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D:\NĂM 2025\BRAINMARK\NĂM 2026\KPI QUÝ 2 CÁC ĐƠN VỊ\KẾT QUẢ KPI QUÝ II.26 - FINAL\BAN HCNS\"/>
    </mc:Choice>
  </mc:AlternateContent>
  <xr:revisionPtr revIDLastSave="0" documentId="13_ncr:1_{7AF014AF-4ECC-47C1-A49D-DF8006E4ADA0}" xr6:coauthVersionLast="47" xr6:coauthVersionMax="47" xr10:uidLastSave="{00000000-0000-0000-0000-000000000000}"/>
  <bookViews>
    <workbookView xWindow="-120" yWindow="-120" windowWidth="29040" windowHeight="15840" firstSheet="10" activeTab="30" xr2:uid="{00000000-000D-0000-FFFF-FFFF00000000}"/>
  </bookViews>
  <sheets>
    <sheet name="A7.0.DM Biểu mẫu" sheetId="32" state="hidden" r:id="rId1"/>
    <sheet name="A7.1.Muc tieu Công ty" sheetId="13" state="hidden" r:id="rId2"/>
    <sheet name="A7.2.Mục tiêu tổng hợp" sheetId="24" state="hidden" r:id="rId3"/>
    <sheet name="A7.2.Mục tiêu tổng hợp (SL)" sheetId="46" state="hidden" r:id="rId4"/>
    <sheet name="A7.3.Mục tiêu Phòng Năm" sheetId="23" state="hidden" r:id="rId5"/>
    <sheet name="Mục tiêu c Chi phân bổ" sheetId="77" state="hidden" r:id="rId6"/>
    <sheet name="A7.5.Mục tiêu Phòng Tháng" sheetId="15" state="hidden" r:id="rId7"/>
    <sheet name="A7.8.KPI Cong ty Nam 2025" sheetId="25" state="hidden" r:id="rId8"/>
    <sheet name="Bảng đánh giá KPI (ĐK thêm)" sheetId="63" state="hidden" r:id="rId9"/>
    <sheet name="A7.10.NH KPI CÁ NHÂN" sheetId="43" state="hidden" r:id="rId10"/>
    <sheet name="A7.9.KPI Ban HCNS năm 2026" sheetId="72" r:id="rId11"/>
    <sheet name="1.KPI nam.PGĐ(HC-TS-ATNB)" sheetId="27" state="hidden" r:id="rId12"/>
    <sheet name="2.KPI nam.PGĐ(CSKH-LĐ TL)" sheetId="48" state="hidden" r:id="rId13"/>
    <sheet name="3.KPI nam.PGD(NS-PC)" sheetId="49" state="hidden" r:id="rId14"/>
    <sheet name="4.1.KPI nam.NV HCNS-Nhi" sheetId="50" state="hidden" r:id="rId15"/>
    <sheet name="A7.6.Mục tiêu NV Năm 2026" sheetId="74" state="hidden" r:id="rId16"/>
    <sheet name="4.2.KPI nam.NV HCNS-Nhu" sheetId="51" state="hidden" r:id="rId17"/>
    <sheet name="5.KPI nam.NV VTLT" sheetId="52" state="hidden" r:id="rId18"/>
    <sheet name="6.KPI nam.Lai xe (2)" sheetId="68" state="hidden" r:id="rId19"/>
    <sheet name="6.KPI nam.Lai xe (1)" sheetId="76" state="hidden" r:id="rId20"/>
    <sheet name="7.KPI nam.NV CSKH (4NV) (4)" sheetId="90" state="hidden" r:id="rId21"/>
    <sheet name="7.KPI nam.NV CSKH (4NV) (3)" sheetId="89" state="hidden" r:id="rId22"/>
    <sheet name="7.KPI nam.NV CSKH (4NV) (1)" sheetId="71" state="hidden" r:id="rId23"/>
    <sheet name="7.KPI nam.NV CSKH (4NV) (2)" sheetId="88" state="hidden" r:id="rId24"/>
    <sheet name="A7.9.KPI Ban HCNS Quy 1.26" sheetId="73" r:id="rId25"/>
    <sheet name="A7.4.Mục tiêu Phòng 4 quý.2026" sheetId="16" state="hidden" r:id="rId26"/>
    <sheet name="A7.7.Mục tiêu Nhân viên Q1.26" sheetId="87" state="hidden" r:id="rId27"/>
    <sheet name="Bảng xác nhận KPI - Quý 2" sheetId="106" r:id="rId28"/>
    <sheet name="Bảng xác nhận KPI (ĐK thêm)-Q2" sheetId="108" r:id="rId29"/>
    <sheet name="Bảng tổng hợp kết quả KPI Q2" sheetId="109" r:id="rId30"/>
    <sheet name="A7.9.KPI Ban HCNS Quy 2.26" sheetId="95" r:id="rId31"/>
    <sheet name="A7.13.KPI Quan ly.Q2" sheetId="107" r:id="rId32"/>
    <sheet name="1.KPI Q2.PGĐ Ban(HC-TS-ATNB" sheetId="78" r:id="rId33"/>
    <sheet name="2.KPI Q2.PGĐ(CSKH-LĐ TL)" sheetId="79" r:id="rId34"/>
    <sheet name="3.KPI Q2.PGĐ(NS-PC)" sheetId="80" r:id="rId35"/>
    <sheet name="4.1.KPI Q2.NV HCNS-Nhi" sheetId="81" r:id="rId36"/>
    <sheet name="4.2.KPI Q2.NV HCNS-Nhu" sheetId="82" r:id="rId37"/>
    <sheet name="5.KPI Q2.NV VTLT" sheetId="83" r:id="rId38"/>
    <sheet name="6.KPI Q2.NV Lai xe (2)" sheetId="91" r:id="rId39"/>
    <sheet name="6.KPI Q2.NV Lai xe (1)" sheetId="84" r:id="rId40"/>
    <sheet name="7.KPI Q2.NV CSKH (4NV) (4)" sheetId="94" r:id="rId41"/>
    <sheet name="7.KPI Q2.NV CSKH (4NV) (3)" sheetId="103" r:id="rId42"/>
    <sheet name="7.KPI Q2.NV CSKH (4NV) (2)" sheetId="102" r:id="rId43"/>
    <sheet name="7.KPI Q2.NV CSKH (4NV) (1)" sheetId="104" r:id="rId44"/>
    <sheet name="A7.12.KPI Quản lý - Năm" sheetId="28" state="hidden" r:id="rId45"/>
    <sheet name="A7.13.KPI Quan ly.Q4" sheetId="44" state="hidden" r:id="rId46"/>
    <sheet name="1.KPI Q4.PGĐ Ban(HC-TS-ATNB)" sheetId="17" state="hidden" r:id="rId47"/>
    <sheet name="2.KPI Q4.PGĐ(CSKH-LĐ TL)" sheetId="55" state="hidden" r:id="rId48"/>
    <sheet name="3.KPI Q4.PGĐ(NS-PC)" sheetId="56" state="hidden" r:id="rId49"/>
    <sheet name="4.1.KPI Q4.Nv HCNS-Nhi" sheetId="57" state="hidden" r:id="rId50"/>
    <sheet name="4.2.KPI Q4.NV HCNS-Nhu" sheetId="58" state="hidden" r:id="rId51"/>
    <sheet name="5.KPI Q4.NV VTLT" sheetId="59" state="hidden" r:id="rId52"/>
    <sheet name="6.KPI Q4.NV Lai xe (Bốn)" sheetId="64" state="hidden" r:id="rId53"/>
    <sheet name="6.KPI Q4.NV Lai xe (Khiêm)" sheetId="60" state="hidden" r:id="rId54"/>
    <sheet name="7.KPI Q4.NV CSKH (1)" sheetId="61" state="hidden" r:id="rId55"/>
    <sheet name="7.KPI Q4.NV CSKH (2)" sheetId="65" state="hidden" r:id="rId56"/>
    <sheet name="7.KPI Q4.NV CSKH (3)" sheetId="66" state="hidden" r:id="rId57"/>
    <sheet name="7.KPI Q4.NV CSKH (4)" sheetId="67" state="hidden" r:id="rId58"/>
    <sheet name="A7.15.Tiêu chí thái độ hành vi" sheetId="40" state="hidden" r:id="rId59"/>
    <sheet name="A7.16.Tổng hợp KPI cá nhân -Quý" sheetId="35" state="hidden" r:id="rId60"/>
    <sheet name="A7.17.Tổng hợp KPI cá nhân -Năm" sheetId="37" state="hidden" r:id="rId61"/>
    <sheet name="A7.18.Tổng hợp KPI Phòng" sheetId="39" state="hidden" r:id="rId62"/>
  </sheets>
  <externalReferences>
    <externalReference r:id="rId63"/>
  </externalReferences>
  <definedNames>
    <definedName name="_xlnm._FilterDatabase" localSheetId="15" hidden="1">'A7.6.Mục tiêu NV Năm 2026'!$A$10:$X$31</definedName>
    <definedName name="_xlnm._FilterDatabase" localSheetId="26" hidden="1">'A7.7.Mục tiêu Nhân viên Q1.26'!$B$10:$X$26</definedName>
    <definedName name="_xlnm.Print_Area" localSheetId="32">'1.KPI Q2.PGĐ Ban(HC-TS-ATNB'!$A$1:$N$44</definedName>
    <definedName name="_xlnm.Print_Area" localSheetId="46">'1.KPI Q4.PGĐ Ban(HC-TS-ATNB)'!$A$1:$N$45</definedName>
    <definedName name="_xlnm.Print_Area" localSheetId="33">'2.KPI Q2.PGĐ(CSKH-LĐ TL)'!$A$1:$N$45</definedName>
    <definedName name="_xlnm.Print_Area" localSheetId="47">'2.KPI Q4.PGĐ(CSKH-LĐ TL)'!$A$1:$N$45</definedName>
    <definedName name="_xlnm.Print_Area" localSheetId="34">'3.KPI Q2.PGĐ(NS-PC)'!$A$1:$N$44</definedName>
    <definedName name="_xlnm.Print_Area" localSheetId="48">'3.KPI Q4.PGĐ(NS-PC)'!$A$1:$N$45</definedName>
    <definedName name="_xlnm.Print_Area" localSheetId="31">'A7.13.KPI Quan ly.Q2'!$A$1:$N$25</definedName>
    <definedName name="_xlnm.Print_Area" localSheetId="61">'A7.18.Tổng hợp KPI Phòng'!$A$1:$N$42</definedName>
    <definedName name="_xlnm.Print_Area" localSheetId="10">'A7.9.KPI Ban HCNS năm 2026'!$A$1:$M$41</definedName>
    <definedName name="_xlnm.Print_Area" localSheetId="24">'A7.9.KPI Ban HCNS Quy 1.26'!$A$1:$M$36</definedName>
    <definedName name="_xlnm.Print_Area" localSheetId="30">'A7.9.KPI Ban HCNS Quy 2.26'!$A$1:$N$36</definedName>
    <definedName name="_xlnm.Print_Area" localSheetId="8">'Bảng đánh giá KPI (ĐK thêm)'!$A$1:$R$28</definedName>
    <definedName name="_xlnm.Print_Area" localSheetId="27">'Bảng xác nhận KPI - Quý 2'!$A$1:$T$24</definedName>
    <definedName name="_xlnm.Print_Area" localSheetId="28">'Bảng xác nhận KPI (ĐK thêm)-Q2'!$A$1:$P$40</definedName>
    <definedName name="_xlnm.Print_Area" localSheetId="5">'Mục tiêu c Chi phân bổ'!$A$1:$M$41</definedName>
    <definedName name="_xlnm.Print_Titles" localSheetId="10">'A7.9.KPI Ban HCNS năm 2026'!$9:$9</definedName>
    <definedName name="_xlnm.Print_Titles" localSheetId="24">'A7.9.KPI Ban HCNS Quy 1.26'!$9:$9</definedName>
    <definedName name="_xlnm.Print_Titles" localSheetId="30">'A7.9.KPI Ban HCNS Quy 2.26'!$8:$8</definedName>
    <definedName name="_xlnm.Print_Titles" localSheetId="27">'Bảng xác nhận KPI - Quý 2'!$4:$4</definedName>
    <definedName name="_xlnm.Print_Titles" localSheetId="28">'Bảng xác nhận KPI (ĐK thêm)-Q2'!$4:$4</definedName>
    <definedName name="_xlnm.Print_Titles" localSheetId="5">'Mục tiêu c Chi phân bổ'!$9:$9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09" l="1"/>
  <c r="L11" i="95" l="1"/>
  <c r="M15" i="78" l="1"/>
  <c r="N15" i="78" s="1"/>
  <c r="M23" i="95"/>
  <c r="M14" i="95"/>
  <c r="A6" i="109" l="1"/>
  <c r="A7" i="109" s="1"/>
  <c r="A8" i="109" s="1"/>
  <c r="A9" i="109" s="1"/>
  <c r="A10" i="109" s="1"/>
  <c r="A11" i="109" s="1"/>
  <c r="A12" i="109" s="1"/>
  <c r="A13" i="109" s="1"/>
  <c r="A14" i="109" s="1"/>
  <c r="A15" i="109" s="1"/>
  <c r="A16" i="109" s="1"/>
  <c r="A17" i="109" s="1"/>
  <c r="D22" i="106" l="1"/>
  <c r="N13" i="80"/>
  <c r="M16" i="80"/>
  <c r="L15" i="95"/>
  <c r="N17" i="78"/>
  <c r="N13" i="91"/>
  <c r="L16" i="104"/>
  <c r="N13" i="107"/>
  <c r="M14" i="107"/>
  <c r="L15" i="82" l="1"/>
  <c r="L16" i="82"/>
  <c r="L17" i="82"/>
  <c r="N14" i="107" l="1"/>
  <c r="N21" i="78"/>
  <c r="L16" i="102" l="1"/>
  <c r="L16" i="103"/>
  <c r="L16" i="94"/>
  <c r="L17" i="83"/>
  <c r="L16" i="83"/>
  <c r="L15" i="83"/>
  <c r="L18" i="82"/>
  <c r="L15" i="81"/>
  <c r="M19" i="80"/>
  <c r="N19" i="80" s="1"/>
  <c r="L19" i="80"/>
  <c r="L18" i="80"/>
  <c r="L17" i="80"/>
  <c r="L16" i="80"/>
  <c r="L15" i="80"/>
  <c r="N28" i="77"/>
  <c r="E17" i="80"/>
  <c r="N22" i="104"/>
  <c r="M22" i="104"/>
  <c r="N21" i="104"/>
  <c r="M20" i="104"/>
  <c r="N20" i="104" s="1"/>
  <c r="N19" i="104"/>
  <c r="M19" i="104"/>
  <c r="M18" i="104"/>
  <c r="N18" i="104" s="1"/>
  <c r="K16" i="104"/>
  <c r="M16" i="104" s="1"/>
  <c r="N16" i="104" s="1"/>
  <c r="J16" i="104"/>
  <c r="G16" i="104"/>
  <c r="E16" i="104"/>
  <c r="C16" i="104"/>
  <c r="K15" i="104"/>
  <c r="M15" i="104" s="1"/>
  <c r="N15" i="104" s="1"/>
  <c r="J15" i="104"/>
  <c r="G15" i="104"/>
  <c r="E15" i="104"/>
  <c r="C15" i="104"/>
  <c r="M22" i="103"/>
  <c r="N22" i="103" s="1"/>
  <c r="N21" i="103" s="1"/>
  <c r="M20" i="103"/>
  <c r="N20" i="103" s="1"/>
  <c r="M19" i="103"/>
  <c r="N19" i="103" s="1"/>
  <c r="M18" i="103"/>
  <c r="N18" i="103" s="1"/>
  <c r="K16" i="103"/>
  <c r="J16" i="103"/>
  <c r="G16" i="103"/>
  <c r="E16" i="103"/>
  <c r="C16" i="103"/>
  <c r="K15" i="103"/>
  <c r="J15" i="103"/>
  <c r="G15" i="103"/>
  <c r="E15" i="103"/>
  <c r="C15" i="103"/>
  <c r="M22" i="102"/>
  <c r="N22" i="102" s="1"/>
  <c r="N21" i="102" s="1"/>
  <c r="M20" i="102"/>
  <c r="N20" i="102" s="1"/>
  <c r="M19" i="102"/>
  <c r="N19" i="102" s="1"/>
  <c r="M18" i="102"/>
  <c r="N18" i="102" s="1"/>
  <c r="K16" i="102"/>
  <c r="J16" i="102"/>
  <c r="G16" i="102"/>
  <c r="E16" i="102"/>
  <c r="C16" i="102"/>
  <c r="K15" i="102"/>
  <c r="J15" i="102"/>
  <c r="G15" i="102"/>
  <c r="E15" i="102"/>
  <c r="C15" i="102"/>
  <c r="M20" i="94"/>
  <c r="N20" i="94" s="1"/>
  <c r="N13" i="104" l="1"/>
  <c r="M16" i="102"/>
  <c r="N16" i="102" s="1"/>
  <c r="M15" i="102"/>
  <c r="N15" i="102" s="1"/>
  <c r="M15" i="103"/>
  <c r="N15" i="103" s="1"/>
  <c r="M16" i="103"/>
  <c r="N16" i="103" s="1"/>
  <c r="N13" i="103"/>
  <c r="N13" i="102"/>
  <c r="K17" i="83"/>
  <c r="M17" i="83" s="1"/>
  <c r="N17" i="83" s="1"/>
  <c r="J17" i="83"/>
  <c r="G17" i="83"/>
  <c r="E17" i="83"/>
  <c r="C17" i="83"/>
  <c r="G16" i="83"/>
  <c r="K17" i="79" l="1"/>
  <c r="M17" i="79" s="1"/>
  <c r="N17" i="79" s="1"/>
  <c r="J17" i="79"/>
  <c r="G17" i="79"/>
  <c r="E17" i="79" l="1"/>
  <c r="E16" i="79"/>
  <c r="C17" i="79"/>
  <c r="M18" i="80"/>
  <c r="K19" i="80"/>
  <c r="J19" i="80"/>
  <c r="G19" i="80"/>
  <c r="E19" i="80"/>
  <c r="C19" i="80"/>
  <c r="C18" i="79"/>
  <c r="E18" i="79"/>
  <c r="G18" i="79"/>
  <c r="J18" i="79"/>
  <c r="K18" i="79"/>
  <c r="M18" i="79"/>
  <c r="N18" i="79" s="1"/>
  <c r="N12" i="72" l="1"/>
  <c r="L12" i="72"/>
  <c r="K16" i="94" l="1"/>
  <c r="J16" i="94"/>
  <c r="G16" i="94"/>
  <c r="E16" i="94"/>
  <c r="C16" i="94"/>
  <c r="K15" i="94"/>
  <c r="J15" i="94"/>
  <c r="G15" i="94"/>
  <c r="E15" i="94"/>
  <c r="C15" i="94"/>
  <c r="M24" i="73"/>
  <c r="M19" i="73"/>
  <c r="M16" i="73"/>
  <c r="M10" i="73"/>
  <c r="K16" i="83"/>
  <c r="M16" i="83" s="1"/>
  <c r="J16" i="83"/>
  <c r="E16" i="83"/>
  <c r="C16" i="83"/>
  <c r="K15" i="83"/>
  <c r="J15" i="83"/>
  <c r="G15" i="83"/>
  <c r="E15" i="83"/>
  <c r="C15" i="83"/>
  <c r="M17" i="78"/>
  <c r="M21" i="79"/>
  <c r="L25" i="95"/>
  <c r="M25" i="95" s="1"/>
  <c r="L18" i="95"/>
  <c r="M18" i="95" s="1"/>
  <c r="M17" i="95" s="1"/>
  <c r="J18" i="82"/>
  <c r="K18" i="82"/>
  <c r="M18" i="82" s="1"/>
  <c r="N18" i="82" s="1"/>
  <c r="G18" i="82"/>
  <c r="E18" i="82"/>
  <c r="C18" i="82"/>
  <c r="M16" i="82"/>
  <c r="N16" i="82" s="1"/>
  <c r="K16" i="82"/>
  <c r="J16" i="82"/>
  <c r="G16" i="82"/>
  <c r="E16" i="82"/>
  <c r="C16" i="82"/>
  <c r="K17" i="82"/>
  <c r="J17" i="82"/>
  <c r="G17" i="82"/>
  <c r="E17" i="82"/>
  <c r="C17" i="82"/>
  <c r="K15" i="82"/>
  <c r="M15" i="82" s="1"/>
  <c r="J15" i="82"/>
  <c r="G15" i="82"/>
  <c r="C15" i="82"/>
  <c r="K16" i="81"/>
  <c r="E16" i="81"/>
  <c r="G16" i="81"/>
  <c r="C16" i="81"/>
  <c r="K15" i="81"/>
  <c r="J15" i="81"/>
  <c r="G15" i="81"/>
  <c r="E15" i="81"/>
  <c r="C15" i="81"/>
  <c r="M20" i="78"/>
  <c r="M19" i="78"/>
  <c r="N19" i="78" s="1"/>
  <c r="N13" i="78" s="1"/>
  <c r="K18" i="80"/>
  <c r="J18" i="80"/>
  <c r="G18" i="80"/>
  <c r="E18" i="80"/>
  <c r="C18" i="80"/>
  <c r="K17" i="80"/>
  <c r="J17" i="80"/>
  <c r="G17" i="80"/>
  <c r="C17" i="80"/>
  <c r="K16" i="80"/>
  <c r="J16" i="80"/>
  <c r="G16" i="80"/>
  <c r="E16" i="80"/>
  <c r="C16" i="80"/>
  <c r="K15" i="80"/>
  <c r="J15" i="80"/>
  <c r="E15" i="80"/>
  <c r="C15" i="80"/>
  <c r="K19" i="79"/>
  <c r="M19" i="79" s="1"/>
  <c r="N19" i="79" s="1"/>
  <c r="J19" i="79"/>
  <c r="G19" i="79"/>
  <c r="E19" i="79"/>
  <c r="C19" i="79"/>
  <c r="K16" i="79"/>
  <c r="J16" i="79"/>
  <c r="G16" i="79"/>
  <c r="K15" i="79"/>
  <c r="J15" i="79"/>
  <c r="E15" i="79"/>
  <c r="C15" i="79"/>
  <c r="M22" i="78"/>
  <c r="M23" i="78"/>
  <c r="N22" i="78"/>
  <c r="K17" i="78"/>
  <c r="J17" i="78"/>
  <c r="J16" i="78"/>
  <c r="K16" i="78"/>
  <c r="G16" i="78" l="1"/>
  <c r="K15" i="78"/>
  <c r="J15" i="78"/>
  <c r="G17" i="78"/>
  <c r="E17" i="78"/>
  <c r="C17" i="78"/>
  <c r="E16" i="78"/>
  <c r="C16" i="78"/>
  <c r="G15" i="78"/>
  <c r="E15" i="78"/>
  <c r="C15" i="78"/>
  <c r="D26" i="95" l="1"/>
  <c r="L24" i="95"/>
  <c r="M24" i="95" s="1"/>
  <c r="L22" i="95"/>
  <c r="M22" i="95" s="1"/>
  <c r="L21" i="95"/>
  <c r="M21" i="95" s="1"/>
  <c r="M26" i="95" s="1"/>
  <c r="L12" i="107" s="1"/>
  <c r="L20" i="95"/>
  <c r="M20" i="95" s="1"/>
  <c r="L19" i="95"/>
  <c r="M19" i="95" s="1"/>
  <c r="L16" i="95"/>
  <c r="M16" i="95" s="1"/>
  <c r="M15" i="95"/>
  <c r="L13" i="95"/>
  <c r="M13" i="95" s="1"/>
  <c r="L12" i="95"/>
  <c r="M12" i="95" s="1"/>
  <c r="M11" i="95"/>
  <c r="M9" i="95" s="1"/>
  <c r="L10" i="95"/>
  <c r="M10" i="95" s="1"/>
  <c r="L12" i="73" l="1"/>
  <c r="M17" i="82"/>
  <c r="N17" i="82" s="1"/>
  <c r="L12" i="81" l="1"/>
  <c r="M21" i="80"/>
  <c r="L12" i="102" l="1"/>
  <c r="M12" i="102" s="1"/>
  <c r="N12" i="102" s="1"/>
  <c r="N11" i="102" s="1"/>
  <c r="N24" i="102" s="1"/>
  <c r="D15" i="109" s="1"/>
  <c r="L12" i="94"/>
  <c r="L12" i="80"/>
  <c r="L12" i="91"/>
  <c r="L12" i="82"/>
  <c r="M12" i="107"/>
  <c r="N12" i="107" s="1"/>
  <c r="L12" i="83"/>
  <c r="L12" i="84"/>
  <c r="L12" i="104"/>
  <c r="M12" i="104" s="1"/>
  <c r="N12" i="104" s="1"/>
  <c r="N11" i="104" s="1"/>
  <c r="N24" i="104" s="1"/>
  <c r="D16" i="109" s="1"/>
  <c r="L12" i="103"/>
  <c r="M12" i="103" s="1"/>
  <c r="N12" i="103" s="1"/>
  <c r="N11" i="103" s="1"/>
  <c r="N24" i="103" s="1"/>
  <c r="D17" i="109" s="1"/>
  <c r="L12" i="78"/>
  <c r="L12" i="79"/>
  <c r="L18" i="73"/>
  <c r="N11" i="107" l="1"/>
  <c r="N15" i="107" s="1"/>
  <c r="K12" i="73"/>
  <c r="N21" i="79" l="1"/>
  <c r="L25" i="73" l="1"/>
  <c r="M22" i="94" l="1"/>
  <c r="N22" i="94" s="1"/>
  <c r="N21" i="94" s="1"/>
  <c r="M19" i="94"/>
  <c r="N19" i="94" s="1"/>
  <c r="M18" i="94"/>
  <c r="N18" i="94" s="1"/>
  <c r="M16" i="94"/>
  <c r="N16" i="94" s="1"/>
  <c r="M15" i="94"/>
  <c r="N15" i="94" s="1"/>
  <c r="M22" i="91"/>
  <c r="N22" i="91" s="1"/>
  <c r="N21" i="91" s="1"/>
  <c r="M20" i="91"/>
  <c r="N20" i="91" s="1"/>
  <c r="M19" i="91"/>
  <c r="N19" i="91" s="1"/>
  <c r="M18" i="91"/>
  <c r="N18" i="91" s="1"/>
  <c r="M17" i="91"/>
  <c r="N17" i="91" s="1"/>
  <c r="M16" i="91"/>
  <c r="N16" i="91" s="1"/>
  <c r="B33" i="90"/>
  <c r="B34" i="90" s="1"/>
  <c r="Q29" i="90"/>
  <c r="Q28" i="90"/>
  <c r="B28" i="90"/>
  <c r="Q27" i="90"/>
  <c r="Q26" i="90"/>
  <c r="B26" i="90"/>
  <c r="Q25" i="90"/>
  <c r="Q22" i="90"/>
  <c r="I34" i="90" s="1"/>
  <c r="N34" i="90" s="1"/>
  <c r="P21" i="90"/>
  <c r="Q21" i="90" s="1"/>
  <c r="P20" i="90"/>
  <c r="Q20" i="90" s="1"/>
  <c r="P19" i="90"/>
  <c r="Q19" i="90" s="1"/>
  <c r="P18" i="90"/>
  <c r="Q18" i="90" s="1"/>
  <c r="P17" i="90"/>
  <c r="Q17" i="90" s="1"/>
  <c r="Q15" i="90" s="1"/>
  <c r="I33" i="90" s="1"/>
  <c r="N33" i="90" s="1"/>
  <c r="Q14" i="90"/>
  <c r="O14" i="90"/>
  <c r="Q13" i="90"/>
  <c r="O13" i="90"/>
  <c r="Q11" i="90"/>
  <c r="I32" i="90" s="1"/>
  <c r="N32" i="90" s="1"/>
  <c r="B33" i="89"/>
  <c r="B34" i="89" s="1"/>
  <c r="Q29" i="89"/>
  <c r="Q28" i="89"/>
  <c r="B28" i="89"/>
  <c r="Q27" i="89"/>
  <c r="Q26" i="89"/>
  <c r="B26" i="89"/>
  <c r="Q25" i="89"/>
  <c r="Q22" i="89"/>
  <c r="I34" i="89" s="1"/>
  <c r="N34" i="89" s="1"/>
  <c r="P21" i="89"/>
  <c r="Q21" i="89" s="1"/>
  <c r="P20" i="89"/>
  <c r="Q20" i="89" s="1"/>
  <c r="P19" i="89"/>
  <c r="Q19" i="89" s="1"/>
  <c r="P18" i="89"/>
  <c r="Q18" i="89" s="1"/>
  <c r="P17" i="89"/>
  <c r="Q17" i="89" s="1"/>
  <c r="Q15" i="89" s="1"/>
  <c r="I33" i="89" s="1"/>
  <c r="N33" i="89" s="1"/>
  <c r="Q14" i="89"/>
  <c r="O14" i="89"/>
  <c r="Q13" i="89"/>
  <c r="O13" i="89"/>
  <c r="Q11" i="89"/>
  <c r="I32" i="89" s="1"/>
  <c r="N32" i="89" s="1"/>
  <c r="B33" i="88"/>
  <c r="B34" i="88" s="1"/>
  <c r="Q29" i="88"/>
  <c r="Q28" i="88"/>
  <c r="B28" i="88"/>
  <c r="Q27" i="88"/>
  <c r="Q26" i="88"/>
  <c r="B26" i="88"/>
  <c r="Q25" i="88"/>
  <c r="Q22" i="88"/>
  <c r="I34" i="88" s="1"/>
  <c r="N34" i="88" s="1"/>
  <c r="P21" i="88"/>
  <c r="Q21" i="88" s="1"/>
  <c r="P20" i="88"/>
  <c r="Q20" i="88" s="1"/>
  <c r="P19" i="88"/>
  <c r="Q19" i="88" s="1"/>
  <c r="P18" i="88"/>
  <c r="Q18" i="88" s="1"/>
  <c r="P17" i="88"/>
  <c r="Q17" i="88" s="1"/>
  <c r="Q15" i="88" s="1"/>
  <c r="I33" i="88" s="1"/>
  <c r="N33" i="88" s="1"/>
  <c r="Q14" i="88"/>
  <c r="O14" i="88"/>
  <c r="Q13" i="88"/>
  <c r="O13" i="88"/>
  <c r="Q11" i="88"/>
  <c r="I32" i="88" s="1"/>
  <c r="N32" i="88" s="1"/>
  <c r="L24" i="72"/>
  <c r="N13" i="94" l="1"/>
  <c r="Q30" i="90"/>
  <c r="O32" i="90" s="1"/>
  <c r="Q30" i="89"/>
  <c r="O32" i="89" s="1"/>
  <c r="Q30" i="88"/>
  <c r="O32" i="88" s="1"/>
  <c r="M16" i="81"/>
  <c r="N16" i="81" s="1"/>
  <c r="T26" i="87" l="1"/>
  <c r="R26" i="87"/>
  <c r="P26" i="87"/>
  <c r="N26" i="87"/>
  <c r="L26" i="87"/>
  <c r="J26" i="87"/>
  <c r="H26" i="87"/>
  <c r="F26" i="87"/>
  <c r="D26" i="87"/>
  <c r="G25" i="87"/>
  <c r="N15" i="82"/>
  <c r="N13" i="82" s="1"/>
  <c r="M15" i="79" l="1"/>
  <c r="N15" i="79" s="1"/>
  <c r="M16" i="78"/>
  <c r="N16" i="78" s="1"/>
  <c r="L23" i="73"/>
  <c r="M23" i="73" s="1"/>
  <c r="M16" i="79"/>
  <c r="N16" i="79" s="1"/>
  <c r="M22" i="84"/>
  <c r="N22" i="84" s="1"/>
  <c r="N21" i="84" s="1"/>
  <c r="M20" i="84"/>
  <c r="N20" i="84" s="1"/>
  <c r="M19" i="84"/>
  <c r="N19" i="84" s="1"/>
  <c r="M18" i="84"/>
  <c r="N18" i="84" s="1"/>
  <c r="M17" i="84"/>
  <c r="N17" i="84" s="1"/>
  <c r="M16" i="84"/>
  <c r="N16" i="84" s="1"/>
  <c r="N13" i="84" s="1"/>
  <c r="M22" i="83"/>
  <c r="N22" i="83" s="1"/>
  <c r="N21" i="83" s="1"/>
  <c r="M20" i="83"/>
  <c r="N20" i="83" s="1"/>
  <c r="M19" i="83"/>
  <c r="N19" i="83" s="1"/>
  <c r="N16" i="83"/>
  <c r="M15" i="83"/>
  <c r="N15" i="83" s="1"/>
  <c r="N13" i="83" s="1"/>
  <c r="M21" i="82"/>
  <c r="N21" i="82" s="1"/>
  <c r="N20" i="82" s="1"/>
  <c r="M21" i="81"/>
  <c r="N21" i="81" s="1"/>
  <c r="N20" i="81" s="1"/>
  <c r="M19" i="81"/>
  <c r="N19" i="81" s="1"/>
  <c r="M18" i="81"/>
  <c r="N18" i="81" s="1"/>
  <c r="M15" i="81"/>
  <c r="N15" i="81" s="1"/>
  <c r="M23" i="80"/>
  <c r="N23" i="80" s="1"/>
  <c r="N22" i="80" s="1"/>
  <c r="N21" i="80"/>
  <c r="N18" i="80"/>
  <c r="M17" i="80"/>
  <c r="N17" i="80" s="1"/>
  <c r="N16" i="80"/>
  <c r="M15" i="80"/>
  <c r="N15" i="80" s="1"/>
  <c r="M23" i="79"/>
  <c r="N23" i="79" s="1"/>
  <c r="N22" i="79" s="1"/>
  <c r="N23" i="78"/>
  <c r="N20" i="78"/>
  <c r="N13" i="81" l="1"/>
  <c r="N13" i="79"/>
  <c r="F30" i="16"/>
  <c r="N30" i="77" l="1"/>
  <c r="M30" i="77"/>
  <c r="L30" i="77"/>
  <c r="N29" i="77"/>
  <c r="L29" i="77"/>
  <c r="M29" i="77" s="1"/>
  <c r="L28" i="77"/>
  <c r="M28" i="77" s="1"/>
  <c r="L27" i="77"/>
  <c r="M27" i="77" s="1"/>
  <c r="L25" i="77"/>
  <c r="M25" i="77" s="1"/>
  <c r="L24" i="77"/>
  <c r="M24" i="77" s="1"/>
  <c r="L23" i="77"/>
  <c r="M23" i="77" s="1"/>
  <c r="L22" i="77"/>
  <c r="M22" i="77" s="1"/>
  <c r="L21" i="77"/>
  <c r="M21" i="77" s="1"/>
  <c r="L19" i="77"/>
  <c r="M19" i="77" s="1"/>
  <c r="L18" i="77"/>
  <c r="M18" i="77" s="1"/>
  <c r="L17" i="77"/>
  <c r="M17" i="77" s="1"/>
  <c r="L15" i="77"/>
  <c r="M15" i="77" s="1"/>
  <c r="L14" i="77"/>
  <c r="M14" i="77" s="1"/>
  <c r="L13" i="77"/>
  <c r="M13" i="77" s="1"/>
  <c r="L12" i="77"/>
  <c r="M12" i="77" s="1"/>
  <c r="L11" i="77"/>
  <c r="M11" i="77" s="1"/>
  <c r="B33" i="76" l="1"/>
  <c r="B34" i="76" s="1"/>
  <c r="Q29" i="76"/>
  <c r="Q28" i="76"/>
  <c r="B28" i="76"/>
  <c r="Q27" i="76"/>
  <c r="Q26" i="76"/>
  <c r="B26" i="76"/>
  <c r="Q25" i="76"/>
  <c r="Q22" i="76" s="1"/>
  <c r="I34" i="76" s="1"/>
  <c r="N34" i="76" s="1"/>
  <c r="P21" i="76"/>
  <c r="Q21" i="76" s="1"/>
  <c r="P20" i="76"/>
  <c r="Q20" i="76" s="1"/>
  <c r="P19" i="76"/>
  <c r="Q19" i="76" s="1"/>
  <c r="P18" i="76"/>
  <c r="Q18" i="76" s="1"/>
  <c r="P17" i="76"/>
  <c r="Q17" i="76" s="1"/>
  <c r="Q15" i="76" s="1"/>
  <c r="I33" i="76" s="1"/>
  <c r="N33" i="76" s="1"/>
  <c r="O14" i="76"/>
  <c r="Q14" i="76" s="1"/>
  <c r="O13" i="76"/>
  <c r="Q13" i="76" s="1"/>
  <c r="P21" i="52"/>
  <c r="Q21" i="52" s="1"/>
  <c r="P19" i="51"/>
  <c r="P18" i="51"/>
  <c r="Q19" i="49"/>
  <c r="P19" i="49"/>
  <c r="P21" i="49"/>
  <c r="Q21" i="49" s="1"/>
  <c r="P20" i="49"/>
  <c r="Q20" i="49" s="1"/>
  <c r="P18" i="49"/>
  <c r="Q18" i="49" s="1"/>
  <c r="P17" i="49"/>
  <c r="P21" i="48"/>
  <c r="Q21" i="48" s="1"/>
  <c r="P17" i="48"/>
  <c r="Q17" i="48" s="1"/>
  <c r="P22" i="27"/>
  <c r="Q22" i="27"/>
  <c r="P21" i="27"/>
  <c r="Q21" i="27" s="1"/>
  <c r="P20" i="27"/>
  <c r="Q20" i="27" s="1"/>
  <c r="L19" i="72"/>
  <c r="P19" i="27"/>
  <c r="P18" i="27"/>
  <c r="Q18" i="27" s="1"/>
  <c r="Q11" i="76" l="1"/>
  <c r="I32" i="76" s="1"/>
  <c r="N32" i="76" s="1"/>
  <c r="Q30" i="76"/>
  <c r="O32" i="76" s="1"/>
  <c r="P17" i="27" l="1"/>
  <c r="Q17" i="27" s="1"/>
  <c r="D25" i="73" l="1"/>
  <c r="H31" i="74"/>
  <c r="J31" i="74"/>
  <c r="T31" i="74"/>
  <c r="R31" i="74"/>
  <c r="P31" i="74"/>
  <c r="N31" i="74"/>
  <c r="L31" i="74"/>
  <c r="F31" i="74"/>
  <c r="D31" i="74"/>
  <c r="M25" i="73" l="1"/>
  <c r="L22" i="73"/>
  <c r="M22" i="73" s="1"/>
  <c r="L21" i="73"/>
  <c r="M21" i="73" s="1"/>
  <c r="L20" i="73"/>
  <c r="M20" i="73" s="1"/>
  <c r="M18" i="73"/>
  <c r="L17" i="73"/>
  <c r="M17" i="73" s="1"/>
  <c r="L15" i="73"/>
  <c r="M15" i="73" s="1"/>
  <c r="L14" i="73"/>
  <c r="M14" i="73" s="1"/>
  <c r="L13" i="73"/>
  <c r="M13" i="73" s="1"/>
  <c r="M12" i="73"/>
  <c r="L11" i="73"/>
  <c r="M11" i="73" s="1"/>
  <c r="L18" i="72"/>
  <c r="M18" i="72" s="1"/>
  <c r="L17" i="72"/>
  <c r="M17" i="72" s="1"/>
  <c r="L30" i="72"/>
  <c r="M30" i="72" s="1"/>
  <c r="L29" i="72"/>
  <c r="M29" i="72" s="1"/>
  <c r="L28" i="72"/>
  <c r="M28" i="72" s="1"/>
  <c r="L27" i="72"/>
  <c r="M27" i="72" s="1"/>
  <c r="L25" i="72"/>
  <c r="M25" i="72" s="1"/>
  <c r="M24" i="72"/>
  <c r="L23" i="72"/>
  <c r="M23" i="72" s="1"/>
  <c r="L22" i="72"/>
  <c r="M22" i="72" s="1"/>
  <c r="L21" i="72"/>
  <c r="M21" i="72" s="1"/>
  <c r="M19" i="72"/>
  <c r="L15" i="72"/>
  <c r="M15" i="72" s="1"/>
  <c r="L14" i="72"/>
  <c r="M14" i="72" s="1"/>
  <c r="L13" i="72"/>
  <c r="M13" i="72" s="1"/>
  <c r="M12" i="72"/>
  <c r="L11" i="72"/>
  <c r="M11" i="72" s="1"/>
  <c r="B33" i="71" l="1"/>
  <c r="B34" i="71" s="1"/>
  <c r="Q29" i="71"/>
  <c r="Q28" i="71"/>
  <c r="B28" i="71"/>
  <c r="Q27" i="71"/>
  <c r="Q26" i="71"/>
  <c r="B26" i="71"/>
  <c r="Q25" i="71"/>
  <c r="Q22" i="71" s="1"/>
  <c r="I34" i="71" s="1"/>
  <c r="N34" i="71" s="1"/>
  <c r="P21" i="71"/>
  <c r="Q21" i="71" s="1"/>
  <c r="P20" i="71"/>
  <c r="Q20" i="71" s="1"/>
  <c r="P19" i="71"/>
  <c r="Q19" i="71" s="1"/>
  <c r="P18" i="71"/>
  <c r="Q18" i="71" s="1"/>
  <c r="P17" i="71"/>
  <c r="Q17" i="71" s="1"/>
  <c r="O14" i="71"/>
  <c r="Q14" i="71" s="1"/>
  <c r="O13" i="71"/>
  <c r="Q13" i="71" s="1"/>
  <c r="B33" i="68"/>
  <c r="B34" i="68" s="1"/>
  <c r="Q29" i="68"/>
  <c r="Q28" i="68"/>
  <c r="B28" i="68"/>
  <c r="Q27" i="68"/>
  <c r="Q26" i="68"/>
  <c r="B26" i="68"/>
  <c r="Q25" i="68"/>
  <c r="Q22" i="68" s="1"/>
  <c r="I34" i="68" s="1"/>
  <c r="N34" i="68" s="1"/>
  <c r="P21" i="68"/>
  <c r="Q21" i="68" s="1"/>
  <c r="P20" i="68"/>
  <c r="Q20" i="68" s="1"/>
  <c r="P19" i="68"/>
  <c r="Q19" i="68" s="1"/>
  <c r="P18" i="68"/>
  <c r="Q18" i="68" s="1"/>
  <c r="P17" i="68"/>
  <c r="Q17" i="68" s="1"/>
  <c r="O14" i="68"/>
  <c r="Q14" i="68" s="1"/>
  <c r="O13" i="68"/>
  <c r="Q13" i="68" s="1"/>
  <c r="M24" i="67"/>
  <c r="N24" i="67" s="1"/>
  <c r="N23" i="67"/>
  <c r="N22" i="67" s="1"/>
  <c r="M23" i="67"/>
  <c r="M21" i="67"/>
  <c r="N21" i="67" s="1"/>
  <c r="M20" i="67"/>
  <c r="N20" i="67" s="1"/>
  <c r="M18" i="67"/>
  <c r="N18" i="67" s="1"/>
  <c r="M17" i="67"/>
  <c r="N17" i="67" s="1"/>
  <c r="M16" i="67"/>
  <c r="N16" i="67" s="1"/>
  <c r="M15" i="67"/>
  <c r="N15" i="67" s="1"/>
  <c r="M12" i="67"/>
  <c r="N12" i="67" s="1"/>
  <c r="N11" i="67" s="1"/>
  <c r="M24" i="66"/>
  <c r="N24" i="66" s="1"/>
  <c r="M23" i="66"/>
  <c r="N23" i="66" s="1"/>
  <c r="M21" i="66"/>
  <c r="N21" i="66" s="1"/>
  <c r="M20" i="66"/>
  <c r="N20" i="66" s="1"/>
  <c r="M18" i="66"/>
  <c r="N18" i="66" s="1"/>
  <c r="M17" i="66"/>
  <c r="N17" i="66" s="1"/>
  <c r="M16" i="66"/>
  <c r="N16" i="66" s="1"/>
  <c r="M15" i="66"/>
  <c r="N15" i="66" s="1"/>
  <c r="M12" i="66"/>
  <c r="N12" i="66" s="1"/>
  <c r="N11" i="66" s="1"/>
  <c r="M24" i="65"/>
  <c r="N24" i="65" s="1"/>
  <c r="M23" i="65"/>
  <c r="N23" i="65" s="1"/>
  <c r="M21" i="65"/>
  <c r="N21" i="65" s="1"/>
  <c r="M20" i="65"/>
  <c r="N20" i="65" s="1"/>
  <c r="M18" i="65"/>
  <c r="N18" i="65" s="1"/>
  <c r="M17" i="65"/>
  <c r="N17" i="65" s="1"/>
  <c r="M16" i="65"/>
  <c r="N16" i="65" s="1"/>
  <c r="M15" i="65"/>
  <c r="N15" i="65" s="1"/>
  <c r="M12" i="65"/>
  <c r="N12" i="65" s="1"/>
  <c r="N11" i="65" s="1"/>
  <c r="M23" i="64"/>
  <c r="N23" i="64" s="1"/>
  <c r="M22" i="64"/>
  <c r="N22" i="64" s="1"/>
  <c r="M20" i="64"/>
  <c r="N20" i="64" s="1"/>
  <c r="M19" i="64"/>
  <c r="N19" i="64" s="1"/>
  <c r="M18" i="64"/>
  <c r="N18" i="64" s="1"/>
  <c r="M17" i="64"/>
  <c r="N17" i="64" s="1"/>
  <c r="M16" i="64"/>
  <c r="M12" i="64"/>
  <c r="N12" i="64" s="1"/>
  <c r="N11" i="64" s="1"/>
  <c r="N22" i="65" l="1"/>
  <c r="N13" i="66"/>
  <c r="N22" i="66"/>
  <c r="N21" i="64"/>
  <c r="Q11" i="68"/>
  <c r="I32" i="68" s="1"/>
  <c r="N32" i="68" s="1"/>
  <c r="Q11" i="71"/>
  <c r="I32" i="71" s="1"/>
  <c r="N32" i="71" s="1"/>
  <c r="Q15" i="71"/>
  <c r="I33" i="71" s="1"/>
  <c r="N33" i="71" s="1"/>
  <c r="N16" i="64"/>
  <c r="N13" i="64" s="1"/>
  <c r="N24" i="64" s="1"/>
  <c r="M26" i="73"/>
  <c r="Q15" i="68"/>
  <c r="I33" i="68" s="1"/>
  <c r="N33" i="68" s="1"/>
  <c r="Q30" i="68" s="1"/>
  <c r="O32" i="68" s="1"/>
  <c r="N13" i="67"/>
  <c r="N25" i="67" s="1"/>
  <c r="N25" i="66"/>
  <c r="N13" i="65"/>
  <c r="N25" i="65" s="1"/>
  <c r="M12" i="84" l="1"/>
  <c r="N12" i="84" s="1"/>
  <c r="N11" i="84" s="1"/>
  <c r="N24" i="84" s="1"/>
  <c r="D10" i="109" s="1"/>
  <c r="M12" i="83"/>
  <c r="N12" i="83" s="1"/>
  <c r="N11" i="83" s="1"/>
  <c r="N24" i="83" s="1"/>
  <c r="D9" i="109" s="1"/>
  <c r="M12" i="94"/>
  <c r="N12" i="94" s="1"/>
  <c r="N11" i="94" s="1"/>
  <c r="N24" i="94" s="1"/>
  <c r="D14" i="109" s="1"/>
  <c r="M12" i="91"/>
  <c r="N12" i="91" s="1"/>
  <c r="N11" i="91" s="1"/>
  <c r="N24" i="91" s="1"/>
  <c r="D11" i="109" s="1"/>
  <c r="M12" i="82"/>
  <c r="N12" i="82" s="1"/>
  <c r="N11" i="82" s="1"/>
  <c r="N23" i="82" s="1"/>
  <c r="D12" i="109" s="1"/>
  <c r="M12" i="81"/>
  <c r="N12" i="81" s="1"/>
  <c r="N11" i="81" s="1"/>
  <c r="N23" i="81" s="1"/>
  <c r="D13" i="109" s="1"/>
  <c r="M12" i="79"/>
  <c r="N12" i="79" s="1"/>
  <c r="N11" i="79" s="1"/>
  <c r="N25" i="79" s="1"/>
  <c r="D8" i="109" s="1"/>
  <c r="M12" i="80"/>
  <c r="N12" i="80" s="1"/>
  <c r="N11" i="80" s="1"/>
  <c r="N25" i="80" s="1"/>
  <c r="D6" i="109" s="1"/>
  <c r="M12" i="78"/>
  <c r="N12" i="78" s="1"/>
  <c r="N11" i="78" s="1"/>
  <c r="N24" i="78" s="1"/>
  <c r="D7" i="109" s="1"/>
  <c r="Q30" i="71"/>
  <c r="O32" i="71" s="1"/>
  <c r="M21" i="56" l="1"/>
  <c r="P22" i="49"/>
  <c r="Q22" i="49" s="1"/>
  <c r="M17" i="61"/>
  <c r="N17" i="61" s="1"/>
  <c r="M18" i="61"/>
  <c r="N18" i="61" s="1"/>
  <c r="M21" i="61"/>
  <c r="N21" i="61" s="1"/>
  <c r="M20" i="61"/>
  <c r="N20" i="61" s="1"/>
  <c r="M16" i="61"/>
  <c r="N16" i="61" s="1"/>
  <c r="M15" i="61"/>
  <c r="N15" i="61" s="1"/>
  <c r="M24" i="61"/>
  <c r="N24" i="61" s="1"/>
  <c r="M23" i="61"/>
  <c r="N23" i="61" s="1"/>
  <c r="N22" i="61" s="1"/>
  <c r="M12" i="61"/>
  <c r="N12" i="61" s="1"/>
  <c r="N11" i="61" s="1"/>
  <c r="M17" i="60"/>
  <c r="N17" i="60" s="1"/>
  <c r="M19" i="60"/>
  <c r="N19" i="60" s="1"/>
  <c r="M20" i="60"/>
  <c r="N20" i="60" s="1"/>
  <c r="M18" i="60"/>
  <c r="N18" i="60" s="1"/>
  <c r="M16" i="60"/>
  <c r="N16" i="60" s="1"/>
  <c r="M23" i="60"/>
  <c r="N23" i="60" s="1"/>
  <c r="M22" i="60"/>
  <c r="N22" i="60" s="1"/>
  <c r="M12" i="60"/>
  <c r="N12" i="60" s="1"/>
  <c r="N11" i="60" s="1"/>
  <c r="M20" i="59"/>
  <c r="M19" i="59"/>
  <c r="M18" i="59"/>
  <c r="M16" i="59"/>
  <c r="N13" i="61" l="1"/>
  <c r="N25" i="61" s="1"/>
  <c r="N13" i="60"/>
  <c r="N21" i="60"/>
  <c r="M15" i="59"/>
  <c r="N15" i="59" s="1"/>
  <c r="N20" i="59"/>
  <c r="N19" i="59"/>
  <c r="N18" i="59"/>
  <c r="M23" i="59"/>
  <c r="N23" i="59" s="1"/>
  <c r="M22" i="59"/>
  <c r="N22" i="59" s="1"/>
  <c r="N16" i="59"/>
  <c r="M12" i="59"/>
  <c r="N12" i="59" s="1"/>
  <c r="N11" i="59" s="1"/>
  <c r="M18" i="58"/>
  <c r="N18" i="58" s="1"/>
  <c r="M20" i="58"/>
  <c r="N20" i="58" s="1"/>
  <c r="M17" i="58"/>
  <c r="N17" i="58" s="1"/>
  <c r="M16" i="58"/>
  <c r="N16" i="58" s="1"/>
  <c r="M15" i="58"/>
  <c r="N15" i="58" s="1"/>
  <c r="M23" i="58"/>
  <c r="N23" i="58" s="1"/>
  <c r="M22" i="58"/>
  <c r="N22" i="58" s="1"/>
  <c r="M12" i="58"/>
  <c r="N12" i="58" s="1"/>
  <c r="N11" i="58" s="1"/>
  <c r="M20" i="57"/>
  <c r="N20" i="57" s="1"/>
  <c r="M19" i="57"/>
  <c r="N19" i="57" s="1"/>
  <c r="M17" i="57"/>
  <c r="N17" i="57" s="1"/>
  <c r="M16" i="57"/>
  <c r="N16" i="57" s="1"/>
  <c r="M15" i="57"/>
  <c r="N15" i="57" s="1"/>
  <c r="M23" i="57"/>
  <c r="N23" i="57" s="1"/>
  <c r="M22" i="57"/>
  <c r="N22" i="57" s="1"/>
  <c r="M12" i="57"/>
  <c r="N12" i="57" s="1"/>
  <c r="N11" i="57" s="1"/>
  <c r="M18" i="56"/>
  <c r="N18" i="56" s="1"/>
  <c r="M17" i="56"/>
  <c r="N17" i="56" s="1"/>
  <c r="M16" i="56"/>
  <c r="N16" i="56" s="1"/>
  <c r="M15" i="56"/>
  <c r="N15" i="56" s="1"/>
  <c r="M19" i="56"/>
  <c r="N19" i="56" s="1"/>
  <c r="M24" i="56"/>
  <c r="N24" i="56" s="1"/>
  <c r="M23" i="56"/>
  <c r="N23" i="56" s="1"/>
  <c r="N21" i="56"/>
  <c r="M12" i="56"/>
  <c r="N12" i="56" s="1"/>
  <c r="N11" i="56" s="1"/>
  <c r="M21" i="55"/>
  <c r="N21" i="55" s="1"/>
  <c r="M19" i="55"/>
  <c r="N19" i="55" s="1"/>
  <c r="M18" i="55"/>
  <c r="N18" i="55" s="1"/>
  <c r="M17" i="55"/>
  <c r="N17" i="55" s="1"/>
  <c r="M16" i="55"/>
  <c r="N16" i="55" s="1"/>
  <c r="M15" i="55"/>
  <c r="N15" i="55" s="1"/>
  <c r="M24" i="55"/>
  <c r="N24" i="55" s="1"/>
  <c r="M23" i="55"/>
  <c r="N23" i="55" s="1"/>
  <c r="M12" i="55"/>
  <c r="N12" i="55" s="1"/>
  <c r="N11" i="55" s="1"/>
  <c r="M21" i="17"/>
  <c r="N21" i="17" s="1"/>
  <c r="M20" i="17"/>
  <c r="N20" i="17" s="1"/>
  <c r="M19" i="17"/>
  <c r="N19" i="17" s="1"/>
  <c r="M17" i="17"/>
  <c r="N17" i="17" s="1"/>
  <c r="M16" i="17"/>
  <c r="N16" i="17" s="1"/>
  <c r="M15" i="17"/>
  <c r="N15" i="17" s="1"/>
  <c r="P20" i="52"/>
  <c r="Q20" i="52" s="1"/>
  <c r="P19" i="52"/>
  <c r="Q19" i="52" s="1"/>
  <c r="P18" i="52"/>
  <c r="Q18" i="52" s="1"/>
  <c r="P17" i="52"/>
  <c r="Q17" i="52" s="1"/>
  <c r="B33" i="52"/>
  <c r="B34" i="52" s="1"/>
  <c r="Q29" i="52"/>
  <c r="Q28" i="52"/>
  <c r="B28" i="52"/>
  <c r="Q27" i="52"/>
  <c r="Q26" i="52"/>
  <c r="B26" i="52"/>
  <c r="Q25" i="52"/>
  <c r="Q22" i="52" s="1"/>
  <c r="I34" i="52" s="1"/>
  <c r="N34" i="52" s="1"/>
  <c r="O14" i="52"/>
  <c r="Q14" i="52" s="1"/>
  <c r="O13" i="52"/>
  <c r="Q13" i="52" s="1"/>
  <c r="Q11" i="52" s="1"/>
  <c r="I32" i="52" s="1"/>
  <c r="N32" i="52" s="1"/>
  <c r="P21" i="51"/>
  <c r="Q21" i="51" s="1"/>
  <c r="P17" i="51"/>
  <c r="Q17" i="51" s="1"/>
  <c r="P20" i="51"/>
  <c r="Q20" i="51" s="1"/>
  <c r="B33" i="51"/>
  <c r="B34" i="51" s="1"/>
  <c r="Q29" i="51"/>
  <c r="Q28" i="51"/>
  <c r="B28" i="51"/>
  <c r="Q27" i="51"/>
  <c r="Q26" i="51"/>
  <c r="B26" i="51"/>
  <c r="Q25" i="51"/>
  <c r="Q22" i="51"/>
  <c r="I34" i="51" s="1"/>
  <c r="N34" i="51" s="1"/>
  <c r="O14" i="51"/>
  <c r="Q14" i="51" s="1"/>
  <c r="Q13" i="51"/>
  <c r="O13" i="51"/>
  <c r="P19" i="50"/>
  <c r="Q19" i="50" s="1"/>
  <c r="P18" i="50"/>
  <c r="Q18" i="50" s="1"/>
  <c r="P17" i="50"/>
  <c r="Q17" i="50" s="1"/>
  <c r="P21" i="50"/>
  <c r="Q21" i="50" s="1"/>
  <c r="P20" i="50"/>
  <c r="Q20" i="50" s="1"/>
  <c r="B33" i="50"/>
  <c r="B34" i="50" s="1"/>
  <c r="Q29" i="50"/>
  <c r="Q28" i="50"/>
  <c r="B28" i="50"/>
  <c r="Q27" i="50"/>
  <c r="Q26" i="50"/>
  <c r="B26" i="50"/>
  <c r="Q25" i="50"/>
  <c r="Q22" i="50" s="1"/>
  <c r="I34" i="50" s="1"/>
  <c r="N34" i="50" s="1"/>
  <c r="O14" i="50"/>
  <c r="Q14" i="50" s="1"/>
  <c r="O13" i="50"/>
  <c r="Q13" i="50" s="1"/>
  <c r="Q11" i="50" s="1"/>
  <c r="I32" i="50" s="1"/>
  <c r="N32" i="50" s="1"/>
  <c r="P23" i="49"/>
  <c r="Q23" i="49" s="1"/>
  <c r="Q17" i="49"/>
  <c r="B35" i="49"/>
  <c r="B36" i="49" s="1"/>
  <c r="Q31" i="49"/>
  <c r="Q30" i="49"/>
  <c r="B30" i="49"/>
  <c r="Q29" i="49"/>
  <c r="Q28" i="49"/>
  <c r="B28" i="49"/>
  <c r="Q27" i="49"/>
  <c r="Q24" i="49" s="1"/>
  <c r="I36" i="49" s="1"/>
  <c r="N36" i="49" s="1"/>
  <c r="O14" i="49"/>
  <c r="Q14" i="49" s="1"/>
  <c r="O13" i="49"/>
  <c r="Q13" i="49" s="1"/>
  <c r="P18" i="48"/>
  <c r="Q18" i="48" s="1"/>
  <c r="P19" i="48"/>
  <c r="Q19" i="48" s="1"/>
  <c r="P23" i="48"/>
  <c r="Q23" i="48" s="1"/>
  <c r="P22" i="48"/>
  <c r="Q22" i="48" s="1"/>
  <c r="P20" i="48"/>
  <c r="Q20" i="48" s="1"/>
  <c r="B35" i="48"/>
  <c r="B36" i="48" s="1"/>
  <c r="Q31" i="48"/>
  <c r="Q30" i="48"/>
  <c r="B30" i="48"/>
  <c r="Q29" i="48"/>
  <c r="Q28" i="48"/>
  <c r="B28" i="48"/>
  <c r="Q27" i="48"/>
  <c r="Q24" i="48" s="1"/>
  <c r="I36" i="48" s="1"/>
  <c r="N36" i="48" s="1"/>
  <c r="O14" i="48"/>
  <c r="Q14" i="48" s="1"/>
  <c r="O13" i="48"/>
  <c r="Q13" i="48" s="1"/>
  <c r="Q19" i="27"/>
  <c r="M24" i="17"/>
  <c r="N24" i="17" s="1"/>
  <c r="M23" i="17"/>
  <c r="N23" i="17" s="1"/>
  <c r="N22" i="17" s="1"/>
  <c r="M12" i="17"/>
  <c r="N12" i="17" s="1"/>
  <c r="N11" i="17" s="1"/>
  <c r="N14" i="44"/>
  <c r="N13" i="44" s="1"/>
  <c r="M12" i="44"/>
  <c r="N12" i="44" s="1"/>
  <c r="N11" i="44" s="1"/>
  <c r="O25" i="28"/>
  <c r="Q22" i="28"/>
  <c r="Q21" i="28"/>
  <c r="B21" i="28"/>
  <c r="Q20" i="28"/>
  <c r="Q19" i="28"/>
  <c r="B19" i="28"/>
  <c r="Q18" i="28"/>
  <c r="Q15" i="28"/>
  <c r="I26" i="28" s="1"/>
  <c r="N26" i="28" s="1"/>
  <c r="O14" i="28"/>
  <c r="Q14" i="28" s="1"/>
  <c r="O13" i="28"/>
  <c r="Q13" i="28" s="1"/>
  <c r="B34" i="27"/>
  <c r="B35" i="27" s="1"/>
  <c r="Q30" i="27"/>
  <c r="Q29" i="27"/>
  <c r="B29" i="27"/>
  <c r="Q28" i="27"/>
  <c r="Q27" i="27"/>
  <c r="B27" i="27"/>
  <c r="Q26" i="27"/>
  <c r="Q23" i="27" s="1"/>
  <c r="I35" i="27" s="1"/>
  <c r="N35" i="27" s="1"/>
  <c r="O14" i="27"/>
  <c r="Q14" i="27" s="1"/>
  <c r="O13" i="27"/>
  <c r="Q13" i="27" s="1"/>
  <c r="Q11" i="48" l="1"/>
  <c r="I34" i="48" s="1"/>
  <c r="N34" i="48" s="1"/>
  <c r="N22" i="55"/>
  <c r="N15" i="44"/>
  <c r="Q11" i="28"/>
  <c r="I25" i="28" s="1"/>
  <c r="N25" i="28" s="1"/>
  <c r="N21" i="58"/>
  <c r="N22" i="56"/>
  <c r="Q11" i="49"/>
  <c r="I34" i="49" s="1"/>
  <c r="N34" i="49" s="1"/>
  <c r="N24" i="60"/>
  <c r="N21" i="59"/>
  <c r="N13" i="59"/>
  <c r="N13" i="58"/>
  <c r="N24" i="58" s="1"/>
  <c r="N21" i="57"/>
  <c r="N13" i="57"/>
  <c r="N13" i="56"/>
  <c r="N25" i="56" s="1"/>
  <c r="N13" i="55"/>
  <c r="N13" i="17"/>
  <c r="N25" i="17" s="1"/>
  <c r="Q15" i="52"/>
  <c r="I33" i="52" s="1"/>
  <c r="N33" i="52" s="1"/>
  <c r="Q30" i="52" s="1"/>
  <c r="O32" i="52" s="1"/>
  <c r="Q15" i="51"/>
  <c r="I33" i="51" s="1"/>
  <c r="N33" i="51" s="1"/>
  <c r="Q11" i="51"/>
  <c r="I32" i="51" s="1"/>
  <c r="N32" i="51" s="1"/>
  <c r="Q15" i="50"/>
  <c r="I33" i="50" s="1"/>
  <c r="N33" i="50" s="1"/>
  <c r="Q30" i="50" s="1"/>
  <c r="O32" i="50" s="1"/>
  <c r="Q15" i="49"/>
  <c r="I35" i="49" s="1"/>
  <c r="N35" i="49" s="1"/>
  <c r="Q32" i="49" s="1"/>
  <c r="O34" i="49" s="1"/>
  <c r="Q15" i="48"/>
  <c r="I35" i="48" s="1"/>
  <c r="N35" i="48" s="1"/>
  <c r="Q32" i="48" s="1"/>
  <c r="O34" i="48" s="1"/>
  <c r="Q15" i="27"/>
  <c r="I34" i="27" s="1"/>
  <c r="N34" i="27" s="1"/>
  <c r="Q23" i="28"/>
  <c r="Q11" i="27"/>
  <c r="I33" i="27" s="1"/>
  <c r="N33" i="27" s="1"/>
  <c r="N25" i="55" l="1"/>
  <c r="N24" i="57"/>
  <c r="N24" i="59"/>
  <c r="Q30" i="51"/>
  <c r="O32" i="51" s="1"/>
  <c r="Q31" i="27"/>
  <c r="O33" i="27" s="1"/>
  <c r="D30" i="16" l="1"/>
  <c r="L30" i="16" l="1"/>
  <c r="J30" i="16"/>
  <c r="H30" i="16"/>
  <c r="L18" i="25" l="1"/>
  <c r="F37" i="23"/>
  <c r="D37" i="23"/>
  <c r="L26" i="25"/>
  <c r="L24" i="25"/>
  <c r="L23" i="25"/>
  <c r="L19" i="25"/>
  <c r="L16" i="25"/>
  <c r="L14" i="25"/>
  <c r="L11" i="25"/>
  <c r="L21" i="25"/>
  <c r="L20" i="25"/>
  <c r="L12" i="25"/>
  <c r="Z35" i="46"/>
  <c r="X35" i="46"/>
  <c r="V35" i="46"/>
  <c r="T35" i="46"/>
  <c r="R35" i="46"/>
  <c r="P35" i="46"/>
  <c r="N35" i="46"/>
  <c r="L35" i="46"/>
  <c r="J35" i="46"/>
  <c r="H35" i="46"/>
  <c r="F35" i="46"/>
  <c r="D35" i="46"/>
  <c r="L33" i="25"/>
  <c r="L32" i="25"/>
  <c r="L31" i="25"/>
  <c r="L30" i="25"/>
  <c r="L28" i="25" l="1"/>
  <c r="M28" i="25" s="1"/>
  <c r="L27" i="25"/>
  <c r="M27" i="25" s="1"/>
  <c r="M26" i="25"/>
  <c r="M20" i="25"/>
  <c r="L25" i="25"/>
  <c r="M25" i="25" s="1"/>
  <c r="M18" i="25"/>
  <c r="M24" i="25"/>
  <c r="M23" i="25"/>
  <c r="M12" i="25"/>
  <c r="M21" i="25"/>
  <c r="M19" i="25"/>
  <c r="L17" i="25"/>
  <c r="M17" i="25" s="1"/>
  <c r="M16" i="25"/>
  <c r="M14" i="25"/>
  <c r="M11" i="25"/>
  <c r="L10" i="25"/>
  <c r="M33" i="25"/>
  <c r="M32" i="25"/>
  <c r="M31" i="25"/>
  <c r="M30" i="25"/>
  <c r="L13" i="25"/>
  <c r="M13" i="25" s="1"/>
  <c r="M29" i="25" l="1"/>
  <c r="M22" i="25"/>
  <c r="M15" i="25"/>
  <c r="M10" i="25" l="1"/>
  <c r="M9" i="25" s="1"/>
  <c r="M34" i="25" s="1"/>
  <c r="D35" i="24" l="1"/>
  <c r="D35" i="13"/>
  <c r="L35" i="24" l="1"/>
  <c r="J35" i="24"/>
  <c r="H35" i="24"/>
  <c r="F35" i="24"/>
  <c r="N35" i="24"/>
  <c r="B56" i="40" l="1"/>
  <c r="B57" i="40" s="1"/>
  <c r="B58" i="40" s="1"/>
  <c r="B59" i="40" s="1"/>
  <c r="B60" i="40" s="1"/>
  <c r="B61" i="40" s="1"/>
  <c r="B62" i="40" s="1"/>
  <c r="B63" i="40" s="1"/>
  <c r="B64" i="40" s="1"/>
  <c r="B65" i="40" s="1"/>
  <c r="B46" i="40"/>
  <c r="B47" i="40" s="1"/>
  <c r="B48" i="40" s="1"/>
  <c r="B49" i="40" s="1"/>
  <c r="B50" i="40" s="1"/>
  <c r="B51" i="40" s="1"/>
  <c r="B10" i="40"/>
  <c r="B11" i="40" s="1"/>
  <c r="B12" i="40" s="1"/>
  <c r="B13" i="40" s="1"/>
  <c r="B14" i="40" s="1"/>
  <c r="B15" i="40" s="1"/>
  <c r="B16" i="40" s="1"/>
  <c r="B17" i="40" s="1"/>
  <c r="B18" i="40" s="1"/>
  <c r="B19" i="40" s="1"/>
  <c r="B20" i="40" s="1"/>
  <c r="B21" i="40" s="1"/>
  <c r="B22" i="40" s="1"/>
  <c r="P35" i="24" l="1"/>
  <c r="Z35" i="24"/>
  <c r="X35" i="24" l="1"/>
  <c r="D34" i="25" l="1"/>
  <c r="T35" i="24"/>
  <c r="R35" i="24"/>
  <c r="V35" i="24"/>
  <c r="H11" i="37" l="1"/>
  <c r="G11" i="35"/>
  <c r="G12" i="35"/>
  <c r="H12" i="37"/>
  <c r="H14" i="37" l="1"/>
  <c r="G14" i="35"/>
  <c r="H13" i="37"/>
  <c r="G13" i="35" l="1"/>
  <c r="D34" i="1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10" authorId="0" shapeId="0" xr:uid="{00000000-0006-0000-0A00-000001000000}">
      <text>
        <r>
          <rPr>
            <b/>
            <sz val="10"/>
            <color rgb="FF000000"/>
            <rFont val="Tahoma"/>
            <family val="2"/>
          </rPr>
          <t>Microsoft Office User:</t>
        </r>
        <r>
          <rPr>
            <sz val="10"/>
            <color rgb="FF000000"/>
            <rFont val="Tahoma"/>
            <family val="2"/>
          </rPr>
          <t xml:space="preserve">
</t>
        </r>
        <r>
          <rPr>
            <sz val="10"/>
            <color rgb="FF000000"/>
            <rFont val="Tahoma"/>
            <family val="2"/>
          </rPr>
          <t>NHẬP ĐƠN VỊ TÍNH</t>
        </r>
      </text>
    </comment>
    <comment ref="E10" authorId="0" shapeId="0" xr:uid="{00000000-0006-0000-0A00-000002000000}">
      <text>
        <r>
          <rPr>
            <sz val="12"/>
            <color rgb="FF002060"/>
            <rFont val="Arial"/>
            <family val="2"/>
          </rPr>
          <t>Microsoft Office User:</t>
        </r>
        <r>
          <rPr>
            <b/>
            <sz val="12"/>
            <color rgb="FF002060"/>
            <rFont val="Arial"/>
            <family val="2"/>
          </rPr>
          <t xml:space="preserve">
</t>
        </r>
        <r>
          <rPr>
            <b/>
            <sz val="12"/>
            <color rgb="FF002060"/>
            <rFont val="Arial"/>
            <family val="2"/>
          </rPr>
          <t xml:space="preserve">NHẬP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F10" authorId="0" shapeId="0" xr:uid="{00000000-0006-0000-3000-000001000000}">
      <text>
        <r>
          <rPr>
            <b/>
            <sz val="10"/>
            <color rgb="FF000000"/>
            <rFont val="Tahoma"/>
            <family val="2"/>
          </rPr>
          <t>Microsoft Office User:</t>
        </r>
        <r>
          <rPr>
            <sz val="10"/>
            <color rgb="FF000000"/>
            <rFont val="Tahoma"/>
            <family val="2"/>
          </rPr>
          <t xml:space="preserve">
</t>
        </r>
        <r>
          <rPr>
            <sz val="10"/>
            <color rgb="FF000000"/>
            <rFont val="Tahoma"/>
            <family val="2"/>
          </rPr>
          <t xml:space="preserve">+ Đối với Trưởng khoa/phòng: nhận kết quả KPI khoa/phòng Quý
</t>
        </r>
        <r>
          <rPr>
            <sz val="10"/>
            <color rgb="FF000000"/>
            <rFont val="Tahoma"/>
            <family val="2"/>
          </rPr>
          <t>+ Đối với Nhân viên: nhận kết quả hoàn thành mục tiêu công việc trong Quý</t>
        </r>
      </text>
    </comment>
  </commentList>
</comments>
</file>

<file path=xl/sharedStrings.xml><?xml version="1.0" encoding="utf-8"?>
<sst xmlns="http://schemas.openxmlformats.org/spreadsheetml/2006/main" count="4881" uniqueCount="720">
  <si>
    <t>Stt</t>
  </si>
  <si>
    <t>STT</t>
  </si>
  <si>
    <t>Ghi chú</t>
  </si>
  <si>
    <t>TOTAL</t>
  </si>
  <si>
    <t>TỔNG CỘNG</t>
  </si>
  <si>
    <t>TÀI CHÍNH (F)</t>
  </si>
  <si>
    <t>VẬN HÀNH (B)</t>
  </si>
  <si>
    <t>KHÁCH HÀNG (C)</t>
  </si>
  <si>
    <t>Nội dung</t>
  </si>
  <si>
    <t xml:space="preserve">PHÁT TRIỂN (L) </t>
  </si>
  <si>
    <t>A7.1</t>
  </si>
  <si>
    <t>A7.2</t>
  </si>
  <si>
    <t>A7.3</t>
  </si>
  <si>
    <t>A7.4</t>
  </si>
  <si>
    <t>A7.5</t>
  </si>
  <si>
    <t>A7.6</t>
  </si>
  <si>
    <t>Mục tiêu đánh giá</t>
  </si>
  <si>
    <t>Phương pháp đo</t>
  </si>
  <si>
    <t>Nguồn chứng minh</t>
  </si>
  <si>
    <t>ĐVT</t>
  </si>
  <si>
    <t>Kết quả KPI</t>
  </si>
  <si>
    <t xml:space="preserve">I </t>
  </si>
  <si>
    <t>II</t>
  </si>
  <si>
    <t>MỤC TIÊU CÔNG VIỆC</t>
  </si>
  <si>
    <t>Mục tiêu bắt buộc</t>
  </si>
  <si>
    <t>Người nhận tiêu chí đánh giá</t>
  </si>
  <si>
    <t>Người duyệt tiêu chí đánh giá</t>
  </si>
  <si>
    <t>Người duyệt kết quả đánh giá</t>
  </si>
  <si>
    <t>Chức danh</t>
  </si>
  <si>
    <t>Ngày (Date) ....../....../......</t>
  </si>
  <si>
    <t>A7.7</t>
  </si>
  <si>
    <t>Mục tiêu</t>
  </si>
  <si>
    <t>Hoàn thành</t>
  </si>
  <si>
    <t>TỔNG:</t>
  </si>
  <si>
    <t>Người lập (Prepared by)</t>
  </si>
  <si>
    <t>Xem xét (Checked by)</t>
  </si>
  <si>
    <t>Thời điểm 
ghi nhận</t>
  </si>
  <si>
    <t>A7.8</t>
  </si>
  <si>
    <t>A7.9</t>
  </si>
  <si>
    <t>Tiêu chí đánh giá</t>
  </si>
  <si>
    <t>III</t>
  </si>
  <si>
    <t>IV</t>
  </si>
  <si>
    <t>KẾT QUẢ CỦA QUÁ TRÌNH ĐÁNH GIÁ</t>
  </si>
  <si>
    <t>Tổng điểm</t>
  </si>
  <si>
    <t>Danh hiệu</t>
  </si>
  <si>
    <t>V</t>
  </si>
  <si>
    <t>NHẬN XÉT CHUNG</t>
  </si>
  <si>
    <t>Xu hướng năng lực</t>
  </si>
  <si>
    <t>Đi xuống - Down</t>
  </si>
  <si>
    <t>Ổn định - Stable</t>
  </si>
  <si>
    <t>Đi lên - Up</t>
  </si>
  <si>
    <t>Nhận xét khác</t>
  </si>
  <si>
    <t>- …
- …
- …</t>
  </si>
  <si>
    <t>A7.10</t>
  </si>
  <si>
    <t>MỤC TIÊU QUAN TRỌNG TRONG NĂM</t>
  </si>
  <si>
    <t>Đi xuống (Down)</t>
  </si>
  <si>
    <t>Ổn định (Stable)</t>
  </si>
  <si>
    <t>Đi lên (Up)</t>
  </si>
  <si>
    <t>Duyệt đăng ký KPI</t>
  </si>
  <si>
    <t>Người được đánh giá
(Employee)</t>
  </si>
  <si>
    <t>Duyệt kết quả KPI</t>
  </si>
  <si>
    <t>A7.11</t>
  </si>
  <si>
    <t>Giá trị 1</t>
  </si>
  <si>
    <t>Giá trị 2</t>
  </si>
  <si>
    <t>Giá trị 3</t>
  </si>
  <si>
    <t>Giá trị 4</t>
  </si>
  <si>
    <t>Giá trị 5</t>
  </si>
  <si>
    <t>Kết quả</t>
  </si>
  <si>
    <t>Đạt</t>
  </si>
  <si>
    <t>A7.12</t>
  </si>
  <si>
    <t>Phó Giám đốc</t>
  </si>
  <si>
    <t xml:space="preserve"> Giám đốc</t>
  </si>
  <si>
    <t>Trưởng phòng …...........</t>
  </si>
  <si>
    <t>Giám đốc</t>
  </si>
  <si>
    <t>Giám đốc
(Director)</t>
  </si>
  <si>
    <t xml:space="preserve">        Người kiểm tra
         (Checked by)</t>
  </si>
  <si>
    <t xml:space="preserve">         Người kiểm tra
          (Checked by)</t>
  </si>
  <si>
    <t xml:space="preserve">     Ngày (Date) ....../....../......</t>
  </si>
  <si>
    <t>KPI Cá nhân Tháng/Quý</t>
  </si>
  <si>
    <t>KPI Cá nhân Năm</t>
  </si>
  <si>
    <t>A7.13</t>
  </si>
  <si>
    <t>A7.14</t>
  </si>
  <si>
    <t>Họ tên</t>
  </si>
  <si>
    <t>Quý I</t>
  </si>
  <si>
    <t>Quý II</t>
  </si>
  <si>
    <t>Quý III</t>
  </si>
  <si>
    <t>Quý IV</t>
  </si>
  <si>
    <t>Kết quả KPI Năm</t>
  </si>
  <si>
    <t>Ban KPI</t>
  </si>
  <si>
    <t>A7.15</t>
  </si>
  <si>
    <t>Kết quả KPI Quý …./202…</t>
  </si>
  <si>
    <t>Quy tắc ứng xử</t>
  </si>
  <si>
    <t>Kết quả hoàn thành mục tiêu công việc trong quý</t>
  </si>
  <si>
    <t>Tổng cộng</t>
  </si>
  <si>
    <t>Xếp loại</t>
  </si>
  <si>
    <t>Phân loại</t>
  </si>
  <si>
    <t>C</t>
  </si>
  <si>
    <t>Đạt yêu cầu</t>
  </si>
  <si>
    <t>Trần Ngọc Ánh</t>
  </si>
  <si>
    <t>B</t>
  </si>
  <si>
    <t>Tốt</t>
  </si>
  <si>
    <t>Kết quả KPI năm</t>
  </si>
  <si>
    <t>Kết quả đánh giá phù hợp với giá trị cốt lõi</t>
  </si>
  <si>
    <t>Lê Thanh Tâm</t>
  </si>
  <si>
    <t>D</t>
  </si>
  <si>
    <t>Kết quả KPI Quý</t>
  </si>
  <si>
    <t>A7.16</t>
  </si>
  <si>
    <t>Tổng hợp KPI Cá nhân Quý</t>
  </si>
  <si>
    <t>Tổng hợp KPI Cá nhân Năm</t>
  </si>
  <si>
    <t>Lý Kim Uyên</t>
  </si>
  <si>
    <t>-</t>
  </si>
  <si>
    <t xml:space="preserve">Kết quả </t>
  </si>
  <si>
    <t>Kết quả hoàn thành mục tiêu quan trọng trong năm</t>
  </si>
  <si>
    <t xml:space="preserve">    Giám đốc</t>
  </si>
  <si>
    <t>Không đạt</t>
  </si>
  <si>
    <t>PHƯƠNG PHÁP ĐO</t>
  </si>
  <si>
    <t>Nguồn
chứng minh</t>
  </si>
  <si>
    <t>A7.17</t>
  </si>
  <si>
    <t>Điểm giá trị cốt lõi</t>
  </si>
  <si>
    <t>Tối thiểu</t>
  </si>
  <si>
    <t xml:space="preserve">Cơ bản </t>
  </si>
  <si>
    <t>Thành thạo</t>
  </si>
  <si>
    <t>Xuất sắc</t>
  </si>
  <si>
    <t>Điểm
yêu cầu</t>
  </si>
  <si>
    <t xml:space="preserve">Điểm đạt </t>
  </si>
  <si>
    <t>Điểm đạt</t>
  </si>
  <si>
    <t xml:space="preserve">Phân loại </t>
  </si>
  <si>
    <t>NGÂN HÀNG KPI CÁ NHÂN</t>
  </si>
  <si>
    <t>Mục tiêu đăng ký thêm</t>
  </si>
  <si>
    <t>Ngân hàng KPI cá nhân</t>
  </si>
  <si>
    <t xml:space="preserve">TÊN BIỂU MẪU </t>
  </si>
  <si>
    <t>BIỂU MẪU_A7.BRAINKPI</t>
  </si>
  <si>
    <t>XÂY DỰNG HỆ THỐNG ĐÁNH GIÁ HIỆU QUẢ CÔNG VIỆC</t>
  </si>
  <si>
    <t>BrainMark Vietnam</t>
  </si>
  <si>
    <t>TRỌNG SỐ 
(%)</t>
  </si>
  <si>
    <t>QUÝ I</t>
  </si>
  <si>
    <t>QUÝ II</t>
  </si>
  <si>
    <t>QUÝ III</t>
  </si>
  <si>
    <t>QUÝ IV</t>
  </si>
  <si>
    <t xml:space="preserve">THÁNG 1 </t>
  </si>
  <si>
    <t>THÁNG 2</t>
  </si>
  <si>
    <t>THÁNG 3</t>
  </si>
  <si>
    <t>THÁNG 4</t>
  </si>
  <si>
    <t>THÁNG 5</t>
  </si>
  <si>
    <t>THÁNG 6</t>
  </si>
  <si>
    <t>THÁNG 7</t>
  </si>
  <si>
    <t>THÁNG 8</t>
  </si>
  <si>
    <t>THÁNG 9</t>
  </si>
  <si>
    <t>THÁNG 10</t>
  </si>
  <si>
    <t>THÁNG 11</t>
  </si>
  <si>
    <t>THÁNG 12</t>
  </si>
  <si>
    <t xml:space="preserve">Trọng số 
(%) </t>
  </si>
  <si>
    <t>Trọng số
(%)</t>
  </si>
  <si>
    <t>Đạt
yêu cầu</t>
  </si>
  <si>
    <t>Trọng số (%)</t>
  </si>
  <si>
    <t>Điểm phần II - Mục tiêu quan trọng trong năm</t>
  </si>
  <si>
    <t>Nguyễn Văn A</t>
  </si>
  <si>
    <t>Dự án: XÂY DỰNG HỆ THỐNG ĐÁNH GIÁ HIỆU QUẢ CÔNG VIỆC</t>
  </si>
  <si>
    <t>Tư vấn: BrainMark Vietnam</t>
  </si>
  <si>
    <t>Ngày (Date) ....../....../......                                          Ngày (Date) ....../....../.....</t>
  </si>
  <si>
    <t>Ngày (Date) ....../....../......                                                     Ngày (Date) ....../....../.....                                      Ngày (Date) ....../....../.....</t>
  </si>
  <si>
    <t xml:space="preserve">Cách đặt mục tiêu </t>
  </si>
  <si>
    <t>Các thang đo thưởng gặp trong KPI</t>
  </si>
  <si>
    <t>HƯỚNG DẪN CHUNG</t>
  </si>
  <si>
    <t>Thực hiện
(TH)</t>
  </si>
  <si>
    <t xml:space="preserve">Tiêu chí đánh giá  </t>
  </si>
  <si>
    <t>- Chỉ tiêu ghi vào cột kế hoạch (KH)</t>
  </si>
  <si>
    <t>Từ viết tắt</t>
  </si>
  <si>
    <t xml:space="preserve">KH: Kế hoạch </t>
  </si>
  <si>
    <t>TH: Thực hiện</t>
  </si>
  <si>
    <t>Kế hoạch
(KH)</t>
  </si>
  <si>
    <t>KẾT QUẢ KPI</t>
  </si>
  <si>
    <t>Kế hoạch (KH)</t>
  </si>
  <si>
    <t xml:space="preserve">Thực hiện
(TH) </t>
  </si>
  <si>
    <t>Kế hoạch 
(KH)</t>
  </si>
  <si>
    <t>TỔNG HỢP KẾT QUẢ KPI CÁ NHÂN NĂM 202….</t>
  </si>
  <si>
    <t>TỔNG HỢP KẾT QUẢ KPI CÁ NHÂN QUÝ…../202….</t>
  </si>
  <si>
    <t>NGÂN HÀNG MỤC TIÊU</t>
  </si>
  <si>
    <t>Tiêu chí đánh giá (TH)</t>
  </si>
  <si>
    <t>Tham khảo tài liệu hướng dẫn các thang đo trong KPI</t>
  </si>
  <si>
    <t xml:space="preserve">- Danh từ + động từ + chỉ tiêu </t>
  </si>
  <si>
    <r>
      <rPr>
        <sz val="10"/>
        <color rgb="FF002060"/>
        <rFont val="Arial"/>
        <family val="2"/>
      </rPr>
      <t>Yêu cầu</t>
    </r>
    <r>
      <rPr>
        <b/>
        <sz val="10"/>
        <color rgb="FF002060"/>
        <rFont val="Arial"/>
        <family val="2"/>
      </rPr>
      <t>: CÔNG TY ABC</t>
    </r>
  </si>
  <si>
    <t>MỤC TIÊU CÔNG TY</t>
  </si>
  <si>
    <t>MỤC TIÊU TOÀN CÔNG TY - NĂM 202…</t>
  </si>
  <si>
    <t>MỤC TIÊU PHÒNG … 
NĂM 202….</t>
  </si>
  <si>
    <t>Kết quả KPI Công ty</t>
  </si>
  <si>
    <t xml:space="preserve"> SỰ PHÙ HỢP VỚI GIÁ TRỊ CỐT LÕI CÔNG TY</t>
  </si>
  <si>
    <t>Điểm phần III - Sự phù hợp Giá trị cốt lõi của Công ty</t>
  </si>
  <si>
    <t>1 lần vi phạm</t>
  </si>
  <si>
    <t>I. TUÂN THỦ QUY ĐỊNH CÔNG TY</t>
  </si>
  <si>
    <t>Trừ 50%</t>
  </si>
  <si>
    <t>Không tham dự các buổi huấn luyện / hội họp / sinh hoạt tập thể (nhưng không xin phép)</t>
  </si>
  <si>
    <t>Nghỉ không xin phép hoặc nghỉ trước xin phép sau (nhưng lý do không được cấp trên chấp nhận vì thiếu chính đáng)</t>
  </si>
  <si>
    <t>II. THÁI ĐỘ HÀNH VI</t>
  </si>
  <si>
    <t>Mối quan hệ giữa các Đồng nghiệp</t>
  </si>
  <si>
    <t>Chưa thể hiện sự thấu hiểu, gương mẫu với cấp dưới</t>
  </si>
  <si>
    <t>Không tôn trọng cấp trên, Lãnh đạo (bị nhắc nhở)</t>
  </si>
  <si>
    <t>Không trung thực, khiêm tốn đối với mọi người</t>
  </si>
  <si>
    <t>Thiếu tinh thần trách nhiệm, đổ lỗi cho đồng nghiệp hoặc cấp dưới</t>
  </si>
  <si>
    <t>Thiếu tinh thần tương trợ, cộng tác với đồng nghiệp vì mục tiêu chung của Phòng/ Ban/ Công trường và của Công ty</t>
  </si>
  <si>
    <t>Mối quan hệ của nhân viên đối với Công ty</t>
  </si>
  <si>
    <t>Không tận tâm, trung thành với …</t>
  </si>
  <si>
    <t>Không thực hiện cam kết trong công việc: đúng chất lượng, đúng thời gian, đúng khối lượng, đúng giá trị</t>
  </si>
  <si>
    <t>Mối quan hệ của nhân viên đối với Đối tác</t>
  </si>
  <si>
    <t>Không xem các NCC/NTP/ ĐTC là các đối tác chiến lược</t>
  </si>
  <si>
    <t>Mối quan hệ của nhân viên đối với Chủ đầu tư</t>
  </si>
  <si>
    <t>Chưa xây dựng, duy trì mối quan hệ tốt với các Chủ đầu tư</t>
  </si>
  <si>
    <t>Chưa thể hiện được vai trò của mỗi nhân viên là đại sứ thương hiệu của Công ty khi phối hợp với các Chủ đầu tư</t>
  </si>
  <si>
    <t>Mối quan hệ của nhân viên đối với Xã hội</t>
  </si>
  <si>
    <t>Nhân viên không tham gia các hoạt động xã hội vì lợi ích cộng đồng mà Công ty phát động phong trào</t>
  </si>
  <si>
    <t>III. Ý THỨC</t>
  </si>
  <si>
    <t>Thiếu ý thức giữ gìn vệ sinh, an toàn tại nơi làm việc hoặc trong khuôn viên Công ty, công trường, văn phòng, ... (bị nhắc nhở)</t>
  </si>
  <si>
    <t>Thiếu ý thức trách nhiệm bảo quản, giữ gìn thiết bị, cơ sở vật chất (bị nhắc nhở)</t>
  </si>
  <si>
    <t>Thiếu ý thức trách nhiệm trong quy tắc ứng xử với các mối quan hệ (bị nhắc nhở)</t>
  </si>
  <si>
    <t>IV. AN NINH TRẬT TỰ</t>
  </si>
  <si>
    <t>Cố ý vi phạm quy định về đồng phục và bảo hộ lao động (được cấp trên nhắc nhở)</t>
  </si>
  <si>
    <t>Uống rượu bia khi vào làm việc (có biên bản ghi nhận)</t>
  </si>
  <si>
    <t>Sử dụng ma túy hoặc các chất gây nghiện khác (bị lập biên bản ghi nhận)</t>
  </si>
  <si>
    <t>Chơi bài bạc, cá độ làm mất an ninh trật tự trong Công ty</t>
  </si>
  <si>
    <t xml:space="preserve">Trưởng nhóm </t>
  </si>
  <si>
    <t xml:space="preserve">Nhân viên </t>
  </si>
  <si>
    <t xml:space="preserve">Phó Phò </t>
  </si>
  <si>
    <t xml:space="preserve">Nhóm trưởng </t>
  </si>
  <si>
    <t>Nhân viên</t>
  </si>
  <si>
    <t>SỰ PHÙ HỢP VỚI GIÁ TRỊ CỐT LÕI CÔNG TY</t>
  </si>
  <si>
    <t>KPI Công ty</t>
  </si>
  <si>
    <t>Điểm phần II - Sự phù hợp giá trị cốt lõi Công ty</t>
  </si>
  <si>
    <t>Mục tiêu Công ty</t>
  </si>
  <si>
    <t>Mục tiêu Tổng hợp toàn Công ty</t>
  </si>
  <si>
    <t>KPI Công ty Năm</t>
  </si>
  <si>
    <t>KPI Phòng Năm</t>
  </si>
  <si>
    <t>Thái độ hành vi</t>
  </si>
  <si>
    <t>Tổng hợp KPI Phòng Năm</t>
  </si>
  <si>
    <t>THÁI ĐỘ HÀNH VI</t>
  </si>
  <si>
    <t>PHÒNG PTTT</t>
  </si>
  <si>
    <t>Mục tiêu Phòng (Năm)</t>
  </si>
  <si>
    <t>Mục tiêu Phòng (Quý)</t>
  </si>
  <si>
    <t>Mục tiêu Phòng (Tháng)</t>
  </si>
  <si>
    <t>Mục tiêu Nhân viên (Năm)</t>
  </si>
  <si>
    <t>Mục tiêu Nhân viên (Quý)</t>
  </si>
  <si>
    <t xml:space="preserve">KPI Quản lý (Trưởng phòng) Năm </t>
  </si>
  <si>
    <t>TRỌNG SỐ (%)</t>
  </si>
  <si>
    <t>nguyên tắc: không có mục tiêu nào còn lại ở cấp công ty.</t>
  </si>
  <si>
    <t xml:space="preserve">Đi làm trễ hoặc về sớm quá 3 lần trong tháng (không xét lý do) </t>
  </si>
  <si>
    <t>MÃ SỐ BIỂU MẪU</t>
  </si>
  <si>
    <t>*</t>
  </si>
  <si>
    <t>Trọng số</t>
  </si>
  <si>
    <t>Người lập (Prepared by)                                           Phê duyệt (Approved by)</t>
  </si>
  <si>
    <t>Người lập (Prepared by)                                                     Xem xét (Checked by)                                   Phê duyệt (Approved by)</t>
  </si>
  <si>
    <t xml:space="preserve">Phê duyệt (Approved by)    </t>
  </si>
  <si>
    <t xml:space="preserve">         Phê duyệt (Approved by)</t>
  </si>
  <si>
    <t>A7.18</t>
  </si>
  <si>
    <t>KPI Trưởng phòng Tháng/Quý</t>
  </si>
  <si>
    <t xml:space="preserve">Dự án: </t>
  </si>
  <si>
    <r>
      <rPr>
        <sz val="10"/>
        <color rgb="FF002060"/>
        <rFont val="Arial"/>
        <family val="2"/>
      </rPr>
      <t>Yêu cầu</t>
    </r>
    <r>
      <rPr>
        <b/>
        <sz val="10"/>
        <color rgb="FF002060"/>
        <rFont val="Arial"/>
        <family val="2"/>
      </rPr>
      <t xml:space="preserve">: </t>
    </r>
  </si>
  <si>
    <t>CÔNG TY CỔ PHẦN CẤP NƯỚC ĐÀ NẴNG</t>
  </si>
  <si>
    <t xml:space="preserve">Tư vấn: </t>
  </si>
  <si>
    <t>BAN HCNS</t>
  </si>
  <si>
    <t>BAN KẾ HOẠCH</t>
  </si>
  <si>
    <t>BAN TCKT</t>
  </si>
  <si>
    <t>BAN KỸ THUẬT</t>
  </si>
  <si>
    <t>TT QUẢN LÝ VẬN HÀNH</t>
  </si>
  <si>
    <t>XÍ NGHIỆP XÂY LẮP</t>
  </si>
  <si>
    <t>TRUNG TÂM CNTT</t>
  </si>
  <si>
    <t>MỤC TIÊU BAN ….. - THÁNG/NĂM 202….</t>
  </si>
  <si>
    <t>Ban/Đơn vị ….......</t>
  </si>
  <si>
    <t xml:space="preserve">Trưởng Ban/Đơn vị </t>
  </si>
  <si>
    <t xml:space="preserve">Phó Ban/Đơn vị </t>
  </si>
  <si>
    <t>Trưởng Ban/Đơn vị ….....</t>
  </si>
  <si>
    <t>Ban/Đơn vị:</t>
  </si>
  <si>
    <t>Kết quả KPI năm Công ty + KPI năm Ban/Đơn vị</t>
  </si>
  <si>
    <t>Ban/Đơn vị Ban</t>
  </si>
  <si>
    <t>Ban/Đơn vị HCNS</t>
  </si>
  <si>
    <t xml:space="preserve">Ban/Đơn vị TCKT </t>
  </si>
  <si>
    <t>Ban/Đơn vị Kinh doanh</t>
  </si>
  <si>
    <t>Ban/Đơn vị MKT</t>
  </si>
  <si>
    <t>Ban/Đơn vị ….</t>
  </si>
  <si>
    <t>TỔNG HỢP KẾT QUẢ BAN NĂM 202….</t>
  </si>
  <si>
    <t>Chức danh:</t>
  </si>
  <si>
    <t>Họ và tên:</t>
  </si>
  <si>
    <t>Mã nhân viên:</t>
  </si>
  <si>
    <t>VỊ TRÍ: CHUYÊN VIÊN NHÂN SỰ</t>
  </si>
  <si>
    <t>PHÁT TRIỂN ĐỔI MỚI</t>
  </si>
  <si>
    <t>MỤC TIÊU CÔNG TY - NĂM 2025</t>
  </si>
  <si>
    <r>
      <t xml:space="preserve">Sản lượng nước sản xuất đạt </t>
    </r>
    <r>
      <rPr>
        <i/>
        <sz val="10"/>
        <color indexed="10"/>
        <rFont val="Arial"/>
        <family val="2"/>
      </rPr>
      <t>122.030.057</t>
    </r>
    <r>
      <rPr>
        <i/>
        <sz val="10"/>
        <color indexed="56"/>
        <rFont val="Arial"/>
        <family val="2"/>
      </rPr>
      <t xml:space="preserve"> m³, tăng </t>
    </r>
    <r>
      <rPr>
        <i/>
        <sz val="10"/>
        <color indexed="10"/>
        <rFont val="Arial"/>
        <family val="2"/>
      </rPr>
      <t>3</t>
    </r>
    <r>
      <rPr>
        <i/>
        <sz val="10"/>
        <color indexed="56"/>
        <rFont val="Arial"/>
        <family val="2"/>
      </rPr>
      <t>% so với thực hiện năm trước</t>
    </r>
  </si>
  <si>
    <r>
      <t xml:space="preserve">Sản lượng nước tiêu thụ đạt </t>
    </r>
    <r>
      <rPr>
        <i/>
        <sz val="10"/>
        <color indexed="10"/>
        <rFont val="Arial"/>
        <family val="2"/>
      </rPr>
      <t>106.776.300</t>
    </r>
    <r>
      <rPr>
        <i/>
        <sz val="10"/>
        <color indexed="56"/>
        <rFont val="Arial"/>
        <family val="2"/>
      </rPr>
      <t xml:space="preserve"> m³, tăng </t>
    </r>
    <r>
      <rPr>
        <i/>
        <sz val="10"/>
        <color indexed="10"/>
        <rFont val="Arial"/>
        <family val="2"/>
      </rPr>
      <t>3</t>
    </r>
    <r>
      <rPr>
        <i/>
        <sz val="10"/>
        <color indexed="56"/>
        <rFont val="Arial"/>
        <family val="2"/>
      </rPr>
      <t>% so với năm trước</t>
    </r>
  </si>
  <si>
    <r>
      <t xml:space="preserve">Số lượng thay thế đồng hồ đạt </t>
    </r>
    <r>
      <rPr>
        <i/>
        <sz val="10"/>
        <color indexed="10"/>
        <rFont val="Arial"/>
        <family val="2"/>
      </rPr>
      <t>23.824</t>
    </r>
    <r>
      <rPr>
        <i/>
        <sz val="10"/>
        <color indexed="56"/>
        <rFont val="Arial"/>
        <family val="2"/>
      </rPr>
      <t xml:space="preserve"> chiếc/năm</t>
    </r>
  </si>
  <si>
    <r>
      <t xml:space="preserve">Tỷ lệ khu vực được kiểm soát áp lực nước/tổng khu vực cấp nước đạt </t>
    </r>
    <r>
      <rPr>
        <i/>
        <sz val="10"/>
        <color rgb="FFFF0000"/>
        <rFont val="Arial"/>
        <family val="2"/>
      </rPr>
      <t>100%</t>
    </r>
  </si>
  <si>
    <r>
      <t xml:space="preserve">Doanh thu ngành nước đạt </t>
    </r>
    <r>
      <rPr>
        <i/>
        <sz val="10"/>
        <color indexed="10"/>
        <rFont val="Arial"/>
        <family val="2"/>
      </rPr>
      <t>733,530</t>
    </r>
    <r>
      <rPr>
        <i/>
        <sz val="10"/>
        <color indexed="56"/>
        <rFont val="Arial"/>
        <family val="2"/>
      </rPr>
      <t xml:space="preserve"> tỷ, tăng </t>
    </r>
    <r>
      <rPr>
        <i/>
        <sz val="10"/>
        <color indexed="10"/>
        <rFont val="Arial"/>
        <family val="2"/>
      </rPr>
      <t>15%</t>
    </r>
    <r>
      <rPr>
        <i/>
        <sz val="10"/>
        <color indexed="56"/>
        <rFont val="Arial"/>
        <family val="2"/>
      </rPr>
      <t xml:space="preserve"> so với năm trước</t>
    </r>
  </si>
  <si>
    <r>
      <t xml:space="preserve">Doanh thu ngành xây lắp đạt </t>
    </r>
    <r>
      <rPr>
        <i/>
        <sz val="10"/>
        <color indexed="10"/>
        <rFont val="Arial"/>
        <family val="2"/>
      </rPr>
      <t>3</t>
    </r>
    <r>
      <rPr>
        <i/>
        <sz val="10"/>
        <color indexed="56"/>
        <rFont val="Arial"/>
        <family val="2"/>
      </rPr>
      <t xml:space="preserve"> tỷ</t>
    </r>
  </si>
  <si>
    <r>
      <t xml:space="preserve">Chỉ tiêu đơn giá nước bình quân đạt </t>
    </r>
    <r>
      <rPr>
        <i/>
        <sz val="10"/>
        <color indexed="10"/>
        <rFont val="Arial"/>
        <family val="2"/>
      </rPr>
      <t>7.020</t>
    </r>
    <r>
      <rPr>
        <i/>
        <sz val="10"/>
        <color indexed="56"/>
        <rFont val="Arial"/>
        <family val="2"/>
      </rPr>
      <t xml:space="preserve"> đồng/m³</t>
    </r>
  </si>
  <si>
    <r>
      <t xml:space="preserve">Lợi nhuận trước thuế đạt </t>
    </r>
    <r>
      <rPr>
        <i/>
        <sz val="10"/>
        <color indexed="10"/>
        <rFont val="Arial"/>
        <family val="2"/>
      </rPr>
      <t>161,667</t>
    </r>
    <r>
      <rPr>
        <i/>
        <sz val="10"/>
        <color indexed="56"/>
        <rFont val="Arial"/>
        <family val="2"/>
      </rPr>
      <t xml:space="preserve"> tỷ, tăng </t>
    </r>
    <r>
      <rPr>
        <i/>
        <sz val="10"/>
        <color indexed="10"/>
        <rFont val="Arial"/>
        <family val="2"/>
      </rPr>
      <t>44%</t>
    </r>
    <r>
      <rPr>
        <i/>
        <sz val="10"/>
        <color indexed="56"/>
        <rFont val="Arial"/>
        <family val="2"/>
      </rPr>
      <t xml:space="preserve"> so với năm trước</t>
    </r>
  </si>
  <si>
    <r>
      <t xml:space="preserve">Tỷ lệ công nợ ngành nước/Doanh thu ngành nước không quá </t>
    </r>
    <r>
      <rPr>
        <i/>
        <sz val="10"/>
        <color rgb="FFFF0000"/>
        <rFont val="Arial"/>
        <family val="2"/>
      </rPr>
      <t>1,4%</t>
    </r>
  </si>
  <si>
    <r>
      <t xml:space="preserve">Số lượng đồng hồ khách hàng đặt mới đạt </t>
    </r>
    <r>
      <rPr>
        <i/>
        <sz val="10"/>
        <color indexed="10"/>
        <rFont val="Arial"/>
        <family val="2"/>
        <charset val="163"/>
      </rPr>
      <t xml:space="preserve">7.420 </t>
    </r>
    <r>
      <rPr>
        <i/>
        <sz val="10"/>
        <color indexed="56"/>
        <rFont val="Arial"/>
        <family val="2"/>
      </rPr>
      <t>chiếc</t>
    </r>
  </si>
  <si>
    <r>
      <t>Đảm bảo mức độ hài lòng khách hàng được khảo sát đạt</t>
    </r>
    <r>
      <rPr>
        <i/>
        <sz val="10"/>
        <color indexed="10"/>
        <rFont val="Arial"/>
        <family val="2"/>
        <charset val="163"/>
      </rPr>
      <t xml:space="preserve"> ≥ 80% </t>
    </r>
  </si>
  <si>
    <r>
      <t xml:space="preserve">Thời gian xử lý đơn khiếu nại của KH (có báo cáo bằng văn bản) trung bình không quá </t>
    </r>
    <r>
      <rPr>
        <i/>
        <sz val="10"/>
        <color rgb="FFFF0000"/>
        <rFont val="Arial"/>
        <family val="2"/>
      </rPr>
      <t>05 ngày làm việc</t>
    </r>
    <r>
      <rPr>
        <i/>
        <sz val="10"/>
        <color rgb="FF002060"/>
        <rFont val="Arial"/>
        <family val="2"/>
      </rPr>
      <t xml:space="preserve"> kể từ ngày tiếp nhận đơn</t>
    </r>
  </si>
  <si>
    <r>
      <t xml:space="preserve">Tỷ lệ phản ánh về chất lượng dịch vụ </t>
    </r>
    <r>
      <rPr>
        <i/>
        <sz val="10"/>
        <color indexed="10"/>
        <rFont val="Arial"/>
        <family val="2"/>
        <charset val="163"/>
      </rPr>
      <t>giảm 5%</t>
    </r>
    <r>
      <rPr>
        <i/>
        <sz val="10"/>
        <color indexed="56"/>
        <rFont val="Arial"/>
        <family val="2"/>
      </rPr>
      <t xml:space="preserve"> so với tổng phản ánh năm trước</t>
    </r>
  </si>
  <si>
    <r>
      <t>Tỷ lệ người dùng đăng ký Zalo OA của Công ty đạt</t>
    </r>
    <r>
      <rPr>
        <i/>
        <sz val="10"/>
        <color indexed="10"/>
        <rFont val="Arial"/>
        <family val="2"/>
        <charset val="163"/>
      </rPr>
      <t xml:space="preserve"> ≥ 86%</t>
    </r>
  </si>
  <si>
    <r>
      <t xml:space="preserve">Hoàn thành xây dựng và vận hành hệ thống BSC-KPI trước ngày </t>
    </r>
    <r>
      <rPr>
        <i/>
        <sz val="10"/>
        <color indexed="10"/>
        <rFont val="Arial"/>
        <family val="2"/>
      </rPr>
      <t>31/12/2025</t>
    </r>
  </si>
  <si>
    <r>
      <t xml:space="preserve">Đảm bảo có ít nhất </t>
    </r>
    <r>
      <rPr>
        <i/>
        <sz val="10"/>
        <color indexed="60"/>
        <rFont val="Arial"/>
        <family val="2"/>
      </rPr>
      <t>01</t>
    </r>
    <r>
      <rPr>
        <i/>
        <sz val="10"/>
        <color indexed="56"/>
        <rFont val="Arial"/>
        <family val="2"/>
      </rPr>
      <t xml:space="preserve"> sáng kiến cải tiến cấp Công ty </t>
    </r>
  </si>
  <si>
    <r>
      <t xml:space="preserve">Tổ chức </t>
    </r>
    <r>
      <rPr>
        <i/>
        <sz val="10"/>
        <color indexed="10"/>
        <rFont val="Arial"/>
        <family val="2"/>
        <charset val="163"/>
      </rPr>
      <t xml:space="preserve">03 </t>
    </r>
    <r>
      <rPr>
        <i/>
        <sz val="10"/>
        <color indexed="56"/>
        <rFont val="Arial"/>
        <family val="2"/>
      </rPr>
      <t>khóa đào tạo</t>
    </r>
  </si>
  <si>
    <r>
      <t xml:space="preserve">Có ít nhất </t>
    </r>
    <r>
      <rPr>
        <i/>
        <sz val="10"/>
        <color rgb="FFFF0000"/>
        <rFont val="Arial"/>
        <family val="2"/>
      </rPr>
      <t>01</t>
    </r>
    <r>
      <rPr>
        <i/>
        <sz val="10"/>
        <color indexed="56"/>
        <rFont val="Arial"/>
        <family val="2"/>
      </rPr>
      <t xml:space="preserve"> đề tài/dự án phát triển KHCN được ứng dụng</t>
    </r>
  </si>
  <si>
    <r>
      <t xml:space="preserve">Tỷ lệ thất thoát nước không vượt quá </t>
    </r>
    <r>
      <rPr>
        <i/>
        <sz val="10"/>
        <color indexed="10"/>
        <rFont val="Arial"/>
        <family val="2"/>
      </rPr>
      <t>11,33</t>
    </r>
    <r>
      <rPr>
        <i/>
        <sz val="10"/>
        <color indexed="56"/>
        <rFont val="Arial"/>
        <family val="2"/>
      </rPr>
      <t>%</t>
    </r>
  </si>
  <si>
    <t>Tỷ lệ thất thoát nước thực tế</t>
  </si>
  <si>
    <t>Số lượng đồng hồ thay thế thực tế</t>
  </si>
  <si>
    <t>Tỷ lệ khu vực được kiểm soát áp lực nước / tổng khu vực cấp nước</t>
  </si>
  <si>
    <t>Doanh thu ngành nước thực tế</t>
  </si>
  <si>
    <t>Doanh thu ngành xây lắp thực tế</t>
  </si>
  <si>
    <t>Chỉ tiêu đơn giá nước bình quân trong năm</t>
  </si>
  <si>
    <t>Lợi nhuận trước thuế thực tế</t>
  </si>
  <si>
    <r>
      <t xml:space="preserve">Chi phí vận hành (gồm chi phí hoá chất, điện năng)/m³ nước không vượt quá </t>
    </r>
    <r>
      <rPr>
        <i/>
        <sz val="10"/>
        <color indexed="10"/>
        <rFont val="Arial"/>
        <family val="2"/>
      </rPr>
      <t>574 đồng/m³</t>
    </r>
  </si>
  <si>
    <t>Số lượng đồng hồ đặt mới</t>
  </si>
  <si>
    <t>Tỷ lệ hài lòng của KH/tổng số KH được khảo sát</t>
  </si>
  <si>
    <r>
      <t xml:space="preserve">Đảm bảo </t>
    </r>
    <r>
      <rPr>
        <i/>
        <sz val="10"/>
        <color indexed="10"/>
        <rFont val="Arial"/>
        <family val="2"/>
        <charset val="163"/>
      </rPr>
      <t xml:space="preserve">≥ 2% </t>
    </r>
    <r>
      <rPr>
        <i/>
        <sz val="10"/>
        <color indexed="56"/>
        <rFont val="Arial"/>
        <family val="2"/>
      </rPr>
      <t>khách hàng/tổng số khách hàng</t>
    </r>
    <r>
      <rPr>
        <i/>
        <sz val="10"/>
        <color rgb="FF002060"/>
        <rFont val="Arial"/>
        <family val="2"/>
      </rPr>
      <t xml:space="preserve"> được thiết lập hồ sơ quản lý</t>
    </r>
  </si>
  <si>
    <t>Tỷ lệ người dùng đăng ký Zalo OA của Công ty</t>
  </si>
  <si>
    <t>Thời gian hoàn thành xây dựng và vận hành hệ thống BSC-KPI</t>
  </si>
  <si>
    <t>Số lượng sáng kiến cải tiến cấp Công ty</t>
  </si>
  <si>
    <t>Số khoá đào tạo được tổ chức</t>
  </si>
  <si>
    <t>Số lượng đề tài/dự án phát triển KHCN được ứng dụng</t>
  </si>
  <si>
    <t>TH ≥ 80%KH: KPI = TH/KH*100%
TH &lt; 80%KH: KPI = 0% 
Max KPI = 120%</t>
  </si>
  <si>
    <t>Báo cáo của TTQLVH</t>
  </si>
  <si>
    <t>Báo cáo của TT CSKH</t>
  </si>
  <si>
    <t>TT CNTT</t>
  </si>
  <si>
    <t>Báo cáo của Ban Nhân sự</t>
  </si>
  <si>
    <t>m³</t>
  </si>
  <si>
    <t>đồng/m³</t>
  </si>
  <si>
    <t>%</t>
  </si>
  <si>
    <t>Tỷ</t>
  </si>
  <si>
    <t>Tổng sản lượng nước sản xuất thực tế (bao gồm sản lượng Hoà Liên)</t>
  </si>
  <si>
    <t>Tổng sản lượng nước tiêu thụ thực tế</t>
  </si>
  <si>
    <t>TH ≥ KH, KPI = 100%
TH &lt; KH, KPI = 0</t>
  </si>
  <si>
    <t>Báo cáo của B.TCKT</t>
  </si>
  <si>
    <t>Chi phí vận hành thực tế (gồm chi phí hoá chất &amp; điện năng)/m³ nước
(Không tính Hoà Liên)</t>
  </si>
  <si>
    <t>TH ≤ KH: KPI = KH/TH*100%
TH &gt; KH: KPI = 0% 
Max KPI = 120%</t>
  </si>
  <si>
    <r>
      <t xml:space="preserve">Số lượng đồng hồ khách hàng đặt mới đạt </t>
    </r>
    <r>
      <rPr>
        <i/>
        <sz val="10"/>
        <color indexed="10"/>
        <rFont val="Arial"/>
        <family val="2"/>
      </rPr>
      <t xml:space="preserve">7.420 </t>
    </r>
    <r>
      <rPr>
        <i/>
        <sz val="10"/>
        <color indexed="56"/>
        <rFont val="Arial"/>
        <family val="2"/>
      </rPr>
      <t>chiếc</t>
    </r>
  </si>
  <si>
    <r>
      <t>Đảm bảo mức độ hài lòng khách hàng được khảo sát đạt</t>
    </r>
    <r>
      <rPr>
        <i/>
        <sz val="10"/>
        <color indexed="10"/>
        <rFont val="Arial"/>
        <family val="2"/>
      </rPr>
      <t xml:space="preserve"> ≥ 80% </t>
    </r>
  </si>
  <si>
    <r>
      <t xml:space="preserve">Tỷ lệ phản ánh về chất lượng dịch vụ </t>
    </r>
    <r>
      <rPr>
        <i/>
        <sz val="10"/>
        <color indexed="10"/>
        <rFont val="Arial"/>
        <family val="2"/>
      </rPr>
      <t>giảm 5%</t>
    </r>
    <r>
      <rPr>
        <i/>
        <sz val="10"/>
        <color indexed="56"/>
        <rFont val="Arial"/>
        <family val="2"/>
      </rPr>
      <t xml:space="preserve"> so với tổng phản ánh năm trước</t>
    </r>
  </si>
  <si>
    <r>
      <t>Tỷ lệ người dùng đăng ký Zalo OA của Công ty đạt</t>
    </r>
    <r>
      <rPr>
        <i/>
        <sz val="10"/>
        <color indexed="10"/>
        <rFont val="Arial"/>
        <family val="2"/>
      </rPr>
      <t xml:space="preserve"> ≥ 86%</t>
    </r>
  </si>
  <si>
    <r>
      <t xml:space="preserve">Tổ chức </t>
    </r>
    <r>
      <rPr>
        <i/>
        <sz val="10"/>
        <color indexed="10"/>
        <rFont val="Arial"/>
        <family val="2"/>
      </rPr>
      <t xml:space="preserve">03 </t>
    </r>
    <r>
      <rPr>
        <i/>
        <sz val="10"/>
        <color indexed="56"/>
        <rFont val="Arial"/>
        <family val="2"/>
      </rPr>
      <t>khóa đào tạo</t>
    </r>
  </si>
  <si>
    <t>KPI CÔNG TY NĂM 2025</t>
  </si>
  <si>
    <t>Trung bình thời gian xử lý đơn khiếu nại của KH (có báo cáo bằng văn bản) kể từ ngày tiếp nhận đơn</t>
  </si>
  <si>
    <t>TH ≥ KH: KPI = TH/KH*100%
TH &lt; KH: KPI = 0% 
Max KPI = 120%</t>
  </si>
  <si>
    <t>TH ≤ KH, KPI = 100% 
TH &gt; KH, KPI = 0%</t>
  </si>
  <si>
    <t>Ngày</t>
  </si>
  <si>
    <t>Chiếc</t>
  </si>
  <si>
    <t>Sáng kiến</t>
  </si>
  <si>
    <t>Khoá đào tạo</t>
  </si>
  <si>
    <t>Đề tài/ Dự án</t>
  </si>
  <si>
    <t>XÍ NGHIỆP CẤP NƯỚC KV I
(Hải Châu - Thanh Khê)</t>
  </si>
  <si>
    <t>XÍ NGHIỆP CẤP NƯỚC KV II
(Cẩm Lệ)</t>
  </si>
  <si>
    <t>XÍ NGHIỆP CẤP NƯỚC KV III
(Sơn Trà - Ngũ Hành Sơn)</t>
  </si>
  <si>
    <t>XÍ NGHIỆP CẤP NƯỚC KV IV
(Liên Chiểu)</t>
  </si>
  <si>
    <t>MỤC TIÊU TOÀN CÔNG TY - NĂM 2025</t>
  </si>
  <si>
    <t>TH ≤ KH: KPI = KH/TH*100%
TH &gt; KH: KPI = 0%
Max KPI = 120%</t>
  </si>
  <si>
    <t>Tỷ lệ giảm phản ánh về chất lượng dịch vụ so với tổng số phản ánh năm trước</t>
  </si>
  <si>
    <r>
      <t xml:space="preserve">Sản lượng nước sản xuất đạt </t>
    </r>
    <r>
      <rPr>
        <i/>
        <sz val="10"/>
        <color indexed="10"/>
        <rFont val="Arial"/>
        <family val="2"/>
      </rPr>
      <t>X</t>
    </r>
    <r>
      <rPr>
        <i/>
        <sz val="10"/>
        <color indexed="56"/>
        <rFont val="Arial"/>
        <family val="2"/>
      </rPr>
      <t xml:space="preserve"> m³, tăng </t>
    </r>
    <r>
      <rPr>
        <i/>
        <sz val="10"/>
        <color indexed="10"/>
        <rFont val="Arial"/>
        <family val="2"/>
      </rPr>
      <t>3</t>
    </r>
    <r>
      <rPr>
        <i/>
        <sz val="10"/>
        <color indexed="56"/>
        <rFont val="Arial"/>
        <family val="2"/>
      </rPr>
      <t>% so với thực hiện năm trước</t>
    </r>
  </si>
  <si>
    <t>x</t>
  </si>
  <si>
    <r>
      <t xml:space="preserve">Sản lượng nước tiêu thụ đạt </t>
    </r>
    <r>
      <rPr>
        <i/>
        <sz val="10"/>
        <color indexed="10"/>
        <rFont val="Arial"/>
        <family val="2"/>
      </rPr>
      <t>X</t>
    </r>
    <r>
      <rPr>
        <i/>
        <sz val="10"/>
        <color indexed="56"/>
        <rFont val="Arial"/>
        <family val="2"/>
      </rPr>
      <t xml:space="preserve"> m³, tăng </t>
    </r>
    <r>
      <rPr>
        <i/>
        <sz val="10"/>
        <color indexed="10"/>
        <rFont val="Arial"/>
        <family val="2"/>
      </rPr>
      <t>3</t>
    </r>
    <r>
      <rPr>
        <i/>
        <sz val="10"/>
        <color indexed="56"/>
        <rFont val="Arial"/>
        <family val="2"/>
      </rPr>
      <t>% so với năm trước</t>
    </r>
  </si>
  <si>
    <r>
      <t xml:space="preserve">Tỷ lệ thất thoát nước không vượt quá </t>
    </r>
    <r>
      <rPr>
        <i/>
        <sz val="10"/>
        <color indexed="10"/>
        <rFont val="Arial"/>
        <family val="2"/>
      </rPr>
      <t xml:space="preserve">X </t>
    </r>
    <r>
      <rPr>
        <i/>
        <sz val="10"/>
        <color indexed="56"/>
        <rFont val="Arial"/>
        <family val="2"/>
      </rPr>
      <t>%</t>
    </r>
  </si>
  <si>
    <r>
      <t xml:space="preserve">Số lượng thay thế đồng hồ đạt </t>
    </r>
    <r>
      <rPr>
        <i/>
        <sz val="10"/>
        <color indexed="10"/>
        <rFont val="Arial"/>
        <family val="2"/>
      </rPr>
      <t>X</t>
    </r>
    <r>
      <rPr>
        <i/>
        <sz val="10"/>
        <color indexed="56"/>
        <rFont val="Arial"/>
        <family val="2"/>
      </rPr>
      <t xml:space="preserve"> chiếc/năm</t>
    </r>
  </si>
  <si>
    <r>
      <t xml:space="preserve">Doanh thu ngành nước đạt </t>
    </r>
    <r>
      <rPr>
        <i/>
        <sz val="10"/>
        <color indexed="10"/>
        <rFont val="Arial"/>
        <family val="2"/>
      </rPr>
      <t>X</t>
    </r>
    <r>
      <rPr>
        <i/>
        <sz val="10"/>
        <color indexed="56"/>
        <rFont val="Arial"/>
        <family val="2"/>
      </rPr>
      <t xml:space="preserve"> tỷ, tăng </t>
    </r>
    <r>
      <rPr>
        <i/>
        <sz val="10"/>
        <color indexed="10"/>
        <rFont val="Arial"/>
        <family val="2"/>
      </rPr>
      <t>15%</t>
    </r>
    <r>
      <rPr>
        <i/>
        <sz val="10"/>
        <color indexed="56"/>
        <rFont val="Arial"/>
        <family val="2"/>
      </rPr>
      <t xml:space="preserve"> so với năm trước</t>
    </r>
  </si>
  <si>
    <r>
      <t xml:space="preserve">Doanh thu ngành xây lắp đạt </t>
    </r>
    <r>
      <rPr>
        <i/>
        <sz val="10"/>
        <color indexed="10"/>
        <rFont val="Arial"/>
        <family val="2"/>
      </rPr>
      <t>X</t>
    </r>
    <r>
      <rPr>
        <i/>
        <sz val="10"/>
        <color indexed="56"/>
        <rFont val="Arial"/>
        <family val="2"/>
      </rPr>
      <t xml:space="preserve"> tỷ</t>
    </r>
  </si>
  <si>
    <r>
      <t xml:space="preserve">Chỉ tiêu đơn giá nước bình quân đạt </t>
    </r>
    <r>
      <rPr>
        <i/>
        <sz val="10"/>
        <color indexed="10"/>
        <rFont val="Arial"/>
        <family val="2"/>
      </rPr>
      <t>X</t>
    </r>
    <r>
      <rPr>
        <i/>
        <sz val="10"/>
        <color indexed="56"/>
        <rFont val="Arial"/>
        <family val="2"/>
      </rPr>
      <t xml:space="preserve"> đồng/m³</t>
    </r>
  </si>
  <si>
    <r>
      <t xml:space="preserve">Tỷ lệ công nợ ngành nước/Doanh thu ngành nước không quá </t>
    </r>
    <r>
      <rPr>
        <i/>
        <sz val="10"/>
        <color rgb="FFFF0000"/>
        <rFont val="Arial"/>
        <family val="2"/>
      </rPr>
      <t>X%</t>
    </r>
  </si>
  <si>
    <r>
      <t xml:space="preserve">Chi phí vận hành (gồm chi phí hoá chất, điện năng)/m³ nước không vượt quá </t>
    </r>
    <r>
      <rPr>
        <i/>
        <sz val="10"/>
        <color indexed="10"/>
        <rFont val="Arial"/>
        <family val="2"/>
      </rPr>
      <t>X đồng/m³</t>
    </r>
  </si>
  <si>
    <r>
      <t xml:space="preserve">Số lượng đồng hồ khách hàng đặt mới đạt </t>
    </r>
    <r>
      <rPr>
        <i/>
        <sz val="10"/>
        <color indexed="10"/>
        <rFont val="Arial"/>
        <family val="2"/>
        <charset val="163"/>
      </rPr>
      <t xml:space="preserve">X </t>
    </r>
    <r>
      <rPr>
        <i/>
        <sz val="10"/>
        <color indexed="56"/>
        <rFont val="Arial"/>
        <family val="2"/>
      </rPr>
      <t>chiếc</t>
    </r>
  </si>
  <si>
    <r>
      <t xml:space="preserve">Thời gian xử lý đơn khiếu nại của KH (có báo cáo bằng văn bản) do XN tự xử lý trung bình không quá </t>
    </r>
    <r>
      <rPr>
        <i/>
        <sz val="10"/>
        <color rgb="FFFF0000"/>
        <rFont val="Arial"/>
        <family val="2"/>
      </rPr>
      <t>03 ngày làm việc</t>
    </r>
    <r>
      <rPr>
        <i/>
        <sz val="10"/>
        <color rgb="FF002060"/>
        <rFont val="Arial"/>
        <family val="2"/>
      </rPr>
      <t xml:space="preserve"> kể từ ngày tiếp nhận đơn</t>
    </r>
  </si>
  <si>
    <r>
      <t xml:space="preserve">Đảm bảo </t>
    </r>
    <r>
      <rPr>
        <i/>
        <sz val="10"/>
        <color indexed="10"/>
        <rFont val="Arial"/>
        <family val="2"/>
        <charset val="163"/>
      </rPr>
      <t xml:space="preserve">≥ 2% </t>
    </r>
    <r>
      <rPr>
        <i/>
        <sz val="10"/>
        <color indexed="56"/>
        <rFont val="Arial"/>
        <family val="2"/>
      </rPr>
      <t>khách hàng/tổng số khách hàng</t>
    </r>
    <r>
      <rPr>
        <i/>
        <sz val="10"/>
        <color rgb="FF002060"/>
        <rFont val="Arial"/>
        <family val="2"/>
      </rPr>
      <t xml:space="preserve"> được thiết lập hồ sơ quản lý </t>
    </r>
    <r>
      <rPr>
        <i/>
        <sz val="10"/>
        <color rgb="FF0070C0"/>
        <rFont val="Arial"/>
        <family val="2"/>
      </rPr>
      <t>(tính scan hợp đồng để tạo mã dữ liệu KH)</t>
    </r>
  </si>
  <si>
    <r>
      <t>Tỷ lệ người dùng đăng ký Zalo OA của Xí nghiệp đạt</t>
    </r>
    <r>
      <rPr>
        <i/>
        <sz val="10"/>
        <color indexed="10"/>
        <rFont val="Arial"/>
        <family val="2"/>
        <charset val="163"/>
      </rPr>
      <t xml:space="preserve"> 2% KH còn lại (chưa đk đến thời điểm 30/9)</t>
    </r>
  </si>
  <si>
    <r>
      <t xml:space="preserve">Hoàn thành xây dựng hệ thống BSC-KPI trước ngày </t>
    </r>
    <r>
      <rPr>
        <i/>
        <sz val="10"/>
        <color indexed="10"/>
        <rFont val="Arial"/>
        <family val="2"/>
      </rPr>
      <t>30/11/2025</t>
    </r>
  </si>
  <si>
    <r>
      <t xml:space="preserve">Chiều dài đường ống cải tạo di dời (quý 4) đạt </t>
    </r>
    <r>
      <rPr>
        <i/>
        <sz val="10"/>
        <color rgb="FFFF0000"/>
        <rFont val="Arial"/>
        <family val="2"/>
      </rPr>
      <t>X</t>
    </r>
    <r>
      <rPr>
        <i/>
        <sz val="10"/>
        <color rgb="FF0070C0"/>
        <rFont val="Arial"/>
        <family val="2"/>
      </rPr>
      <t xml:space="preserve"> km</t>
    </r>
  </si>
  <si>
    <t>100% CBNV (thuộc đối tượng đào tạo) của xí nghiệp tham gia khoá đào tạo do Công ty tổ chức</t>
  </si>
  <si>
    <t>xxx</t>
  </si>
  <si>
    <r>
      <t xml:space="preserve">Đảm bảo </t>
    </r>
    <r>
      <rPr>
        <i/>
        <sz val="10"/>
        <color rgb="FFFF0000"/>
        <rFont val="Arial"/>
        <family val="2"/>
      </rPr>
      <t>≥ 2%</t>
    </r>
    <r>
      <rPr>
        <i/>
        <sz val="10"/>
        <color rgb="FF002060"/>
        <rFont val="Arial"/>
        <family val="2"/>
      </rPr>
      <t xml:space="preserve"> khách hàng/tổng số khách hàng được thiết lập hồ sơ quản lý (tính scan hợp đồng để tạo mã dữ liệu KH)</t>
    </r>
  </si>
  <si>
    <t>Tỷ lệ khách hàng/tổng số khách hàng được thiết lập hồ sơ quản lý (chỉ tính scan hợp đồng để tạo mã HĐ và mã KH)</t>
  </si>
  <si>
    <t>Báo cáo của B.KH</t>
  </si>
  <si>
    <r>
      <t xml:space="preserve">TH ≥ </t>
    </r>
    <r>
      <rPr>
        <sz val="10"/>
        <color rgb="FFFF0000"/>
        <rFont val="Arial"/>
        <family val="2"/>
      </rPr>
      <t>95%</t>
    </r>
    <r>
      <rPr>
        <sz val="10"/>
        <color rgb="FF002060"/>
        <rFont val="Arial"/>
        <family val="2"/>
      </rPr>
      <t>KH: KPI = TH/KH*100%
TH &lt; 95%KH: KPI = 0% 
Max KPI = 120%</t>
    </r>
  </si>
  <si>
    <r>
      <t xml:space="preserve">TH ≥ </t>
    </r>
    <r>
      <rPr>
        <sz val="10"/>
        <color rgb="FFFF0000"/>
        <rFont val="Arial"/>
        <family val="2"/>
      </rPr>
      <t>90%</t>
    </r>
    <r>
      <rPr>
        <sz val="10"/>
        <color rgb="FF002060"/>
        <rFont val="Arial"/>
        <family val="2"/>
      </rPr>
      <t xml:space="preserve">KH: KPI = TH/KH*100%
TH &lt; </t>
    </r>
    <r>
      <rPr>
        <sz val="10"/>
        <color rgb="FFFF0000"/>
        <rFont val="Arial"/>
        <family val="2"/>
      </rPr>
      <t>90%</t>
    </r>
    <r>
      <rPr>
        <sz val="10"/>
        <color rgb="FF002060"/>
        <rFont val="Arial"/>
        <family val="2"/>
      </rPr>
      <t>KH: KPI = 0% 
Max KPI = 120%</t>
    </r>
  </si>
  <si>
    <t>Quyết định công nhận sáng kiến</t>
  </si>
  <si>
    <t>QĐ phê duyệt ứng dụng của HĐQT</t>
  </si>
  <si>
    <t>Sản lượng nước sản xuất đạt 122.030.057 m³, tăng 3% so với thực hiện năm trước</t>
  </si>
  <si>
    <t>Sản lượng nước tiêu thụ đạt 106.776.300 m³, tăng 3% so với năm trước</t>
  </si>
  <si>
    <t>Tỷ lệ thất thoát nước không vượt quá 11,33%</t>
  </si>
  <si>
    <t>Số lượng thay thế đồng hồ đạt 23.824 chiếc/năm</t>
  </si>
  <si>
    <t>Tỷ lệ khu vực được kiểm soát áp lực nước/tổng khu vực cấp nước đạt 100%</t>
  </si>
  <si>
    <t>Doanh thu ngành nước đạt 733,530 tỷ, tăng 15% so với năm trước</t>
  </si>
  <si>
    <t>Doanh thu ngành xây lắp đạt 3 tỷ</t>
  </si>
  <si>
    <t>Chỉ tiêu đơn giá nước bình quân đạt 7.020 đồng/m³</t>
  </si>
  <si>
    <t>Lợi nhuận trước thuế đạt 161,667 tỷ, tăng 44% so với năm trước</t>
  </si>
  <si>
    <t>Số lượng đồng hồ khách hàng đặt mới đạt 7.420 chiếc</t>
  </si>
  <si>
    <t xml:space="preserve">Đảm bảo mức độ hài lòng khách hàng được khảo sát đạt ≥ 80% </t>
  </si>
  <si>
    <t>Thời gian xử lý đơn khiếu nại của KH (có báo cáo bằng văn bản) trung bình không quá 05 ngày làm việc kể từ ngày tiếp nhận đơn</t>
  </si>
  <si>
    <t>Tỷ lệ phản ánh về chất lượng dịch vụ giảm 5% so với tổng phản ánh năm trước</t>
  </si>
  <si>
    <t>Đảm bảo ≥ 2% khách hàng/tổng số khách hàng được thiết lập hồ sơ quản lý (tính scan hợp đồng để tạo mã dữ liệu KH)</t>
  </si>
  <si>
    <t>Tỷ lệ người dùng đăng ký Zalo OA của Công ty đạt ≥ 86%</t>
  </si>
  <si>
    <r>
      <t xml:space="preserve">Đảm bảo có ít nhất </t>
    </r>
    <r>
      <rPr>
        <i/>
        <sz val="10"/>
        <color rgb="FFFF0000"/>
        <rFont val="Arial"/>
        <family val="2"/>
      </rPr>
      <t>01</t>
    </r>
    <r>
      <rPr>
        <i/>
        <sz val="10"/>
        <color indexed="56"/>
        <rFont val="Arial"/>
        <family val="2"/>
      </rPr>
      <t xml:space="preserve"> sáng kiến cải tiến cấp Công ty </t>
    </r>
  </si>
  <si>
    <t>Hoàn thành xây dựng và vận hành hệ thống BSC-KPI trước ngày 31/12/2025</t>
  </si>
  <si>
    <t xml:space="preserve">Đảm bảo có ít nhất 01 sáng kiến cải tiến cấp Công ty </t>
  </si>
  <si>
    <t>Tổ chức 03 khóa đào tạo</t>
  </si>
  <si>
    <t>Có ít nhất 01 đề tài/dự án phát triển KHCN được ứng dụng</t>
  </si>
  <si>
    <r>
      <t xml:space="preserve">(*) Anh Chị vui lòng rà soát lại các mục tiêu được Công ty giao và bổ sung các chỉ tiêu X và trọng số của từng mục tiêu tại </t>
    </r>
    <r>
      <rPr>
        <b/>
        <sz val="10"/>
        <color rgb="FF002060"/>
        <rFont val="Arial"/>
        <family val="2"/>
      </rPr>
      <t>sheet A7.3</t>
    </r>
    <r>
      <rPr>
        <sz val="10"/>
        <color rgb="FF002060"/>
        <rFont val="Arial"/>
        <family val="2"/>
      </rPr>
      <t>.
Mỗi phương diện Vận hành - Tài chính- Khách hàng - Phát triển có từ 3 - 5 mục tiêu, các đơn vị chưa được phân bổ đủ 3 - 5 mục tiêu vui lòng đặt thêm mục tiêu dựa trên chức năng nhiệm vụ quan trọng của đơn vị (tham khảo thêm file mục tiêu tham khảo BrainMark gửi) để đủ số lượng mục tiêu và vui lòng tô màu các ô mục tiêu Phòng Ban bổ sung để tiện rà soát.</t>
    </r>
  </si>
  <si>
    <t>Số dư công nợ ngành nước/Doanh thu ngành nước không quá 1,7%</t>
  </si>
  <si>
    <t>Chi phí vận hành (gồm chi phí hoá chất, điện năng)/m³ nước không vượt quá 580 đồng/m³</t>
  </si>
  <si>
    <t>TH ≥ KH, KPI = TH/KH*100%
TH &lt; KH, KPI = 0
Max KPI = 120%</t>
  </si>
  <si>
    <t xml:space="preserve">Họ và tên: </t>
  </si>
  <si>
    <t xml:space="preserve">Chức danh: </t>
  </si>
  <si>
    <t>PHÁT TRIỂN (L)</t>
  </si>
  <si>
    <t>PHÁT TRIỂN</t>
  </si>
  <si>
    <t>Tỷ lệ hoàn thành các công việc theo Ban TGĐ giao (trong cuộc họp giao ban) thực tế</t>
  </si>
  <si>
    <t>Số dư công nợ so với doanh thu (chỉ tính ngành nước)</t>
  </si>
  <si>
    <t>MỤC TIÊU BAN KẾ HOẠCH- NĂM 2025</t>
  </si>
  <si>
    <t>Hoàn thành 95% công việc theo Ban Tổng giám đốc giao trong cuộc họp giao ban</t>
  </si>
  <si>
    <t>Tỷ lệ văn bản, hồ sơ xử lý đúng hạn sau khi tiếp nhận văn bản/tổng số lượng văn bản văn phòng điện tử tiếp nhận thực tế</t>
  </si>
  <si>
    <t>TH = 0, KPI = 100%
TH ≥ 1, KPI = 0%</t>
  </si>
  <si>
    <t>Lần</t>
  </si>
  <si>
    <t>MỤC TIÊU BAN HCNS</t>
  </si>
  <si>
    <t xml:space="preserve"> Tỷ lệ văn bản, hồ sơ xử lý đúng hạn sau khi tiếp nhận văn bản ≥ 95% /tổng số lượng văn bản văn phòng điện tử tiếp nhận </t>
  </si>
  <si>
    <t>Đảm bảo 100%công văn đi đến được xử lý đúng hạn (tại giai đoạn theo chức năng Ban HCNS)</t>
  </si>
  <si>
    <t>Đảm bảo tuân thủ 100% chế độ chính sách quy định Luật Lao động (HĐLĐ, Chế độ nghỉ hưu, nghỉ trước tuổi, nâng lương,…)</t>
  </si>
  <si>
    <t>Đảm bảo trình phê duyệt  kế hoạch lao động tiền lương và quyết toán tiền lương năm trước 20/03 hàng năm</t>
  </si>
  <si>
    <t>Chi phí Văn phòng phẩm (bộ phận văn phòng công ty) giảm 5% so với năm 2024</t>
  </si>
  <si>
    <t>Kinh phí Đào tạo không vượt quá kế hoạch được duyệt trong năm</t>
  </si>
  <si>
    <t>Tiết kiệm chi phí hành chính thường xuyên (văn phòng phẩm, điện nước) ≥ 5% so với năm 2024</t>
  </si>
  <si>
    <t>Không có phàn nàn của khách hàng về thái độ tiếp xúc, chăm sóc khách hàng của Bộ phận Call Center</t>
  </si>
  <si>
    <t>Đảm bảo hoàn thành khảo sát mức độ hài lòng của khách hàng (theo chủ trương của HĐQT)</t>
  </si>
  <si>
    <t>Đảm bảo 40% hồ sơ (hồ sơ nhân sự ) được số hoá</t>
  </si>
  <si>
    <t xml:space="preserve">Hoàn thành việc xây dựng lại đơn giá tiền lương và hệ số lương của Biên đọc (nhằm nâng cao NSLĐ) trình HĐ lương trước 31/12/2025 </t>
  </si>
  <si>
    <t>Hoàn thành xây dựng 50 tình huống xử lý cho Chatbot AI Dawaco</t>
  </si>
  <si>
    <t>Tình huống</t>
  </si>
  <si>
    <t>Đảm bảo 100% công văn đi đến được xử lý đúng hạn (tại giai đoạn theo chức năng Ban HCNS)</t>
  </si>
  <si>
    <t>Số lần công văn đi đến xử lý trễ hạn (tại giai đoạn theo chức năng Ban HCNS) thực tế</t>
  </si>
  <si>
    <t>Số lần vi phạm thực hiện chế độ chính sách  quy định Luật Lao động (HĐLĐ, Chế độ nghỉ hưu, nghỉ trước tuổi, nâng lương,…)</t>
  </si>
  <si>
    <t>Số lần phàn nàn của khách hàng về thái độ tiếp xúc, chăm sóc khách hàng của Bộ phận Call Center</t>
  </si>
  <si>
    <t>Thời gian hoàn thành việc xây dựng lại đơn giá tiền lương và hệ số lương của Biên đọc (nhằm nâng cao NSLĐ) trình HĐ lương thực tế</t>
  </si>
  <si>
    <t>Tỷ lệ hồ sơ (hồ sơ nhân sự) được số hoá thực tế</t>
  </si>
  <si>
    <t>TH &lt;= KH: KPI = 100%
TH &gt; KH: KPI =0%</t>
  </si>
  <si>
    <t>Tỷ lệ kinh phí đào tạo so với kế hoạch đào tạo được duyệt trong năm thực tế</t>
  </si>
  <si>
    <t>Tổ chức 01 khóa đào tạo</t>
  </si>
  <si>
    <t>Phó Giám đốc Ban (Hành chính - Nội quy, Hành chính - Tài sản, An ninh - ATNB)</t>
  </si>
  <si>
    <t>Phó Giám đốc Ban (CSKH - Lao động tiền lương)</t>
  </si>
  <si>
    <t>Phó Giám đốc Ban (Nhân sự - Pháp chế)</t>
  </si>
  <si>
    <t>Nhân viên CSKH</t>
  </si>
  <si>
    <t xml:space="preserve">Phê duyệt (Approved by)    			</t>
  </si>
  <si>
    <t>Đảm bảo tuân thủ 100% chế độ chính sách quy định về PCCC, ATVSLĐ</t>
  </si>
  <si>
    <t>4.1</t>
  </si>
  <si>
    <t>4.2</t>
  </si>
  <si>
    <t>Nhân viên Hành chính nhân sự
(Ý Nhi)</t>
  </si>
  <si>
    <t>Nhân viên Văn thư lưu trữ</t>
  </si>
  <si>
    <t>Nhân viên lái xe</t>
  </si>
  <si>
    <t>Đảm bảo trình phê duyệt kế hoạch lao động tiền lương và quyết toán tiền lương năm trước 30/11/2025</t>
  </si>
  <si>
    <t>Chi phí Văn phòng phẩm (bộ phận văn phòng công ty) giảm 2% so với cùng kỳ</t>
  </si>
  <si>
    <t>Tiết kiệm chi phí điện nước Văn phòng toàn Công ty ≥ 5% so với năm 2024</t>
  </si>
  <si>
    <t>Hoàn thành báo cáo kiểm tra tuân thủ nội quy lao động trước ngày 02 hàng tháng</t>
  </si>
  <si>
    <t>Kiểm soát tiến độ xử lý văn bản, hồ sơ đúng hạn đạt 100%</t>
  </si>
  <si>
    <t>Nhân viên Hành chính nhân sự
(Quỳnh Như)</t>
  </si>
  <si>
    <t>100% hồ sơ, công văn được lưu trữ đúng quy định (nơi nhận, thời hạn…)</t>
  </si>
  <si>
    <t xml:space="preserve">Không có phản ánh, phàn nàn của khách hàng, khách mời về công tác lễ tân khánh tiết </t>
  </si>
  <si>
    <t xml:space="preserve">Đảm bảo không vi phạm Luật ATGT </t>
  </si>
  <si>
    <t>Đảm bảo 100% phương tiện được bảo dưỡng, đăng kiểm, mua bảo hiểm đúng kế hoạch</t>
  </si>
  <si>
    <t>Chi phí nhiên liệu sử dụng không vượt định mức được duyệt</t>
  </si>
  <si>
    <t>Đảm bảo 100% phương tiện luôn sẵn sàng phục vụ (vệ sinh, nhiên liệu, giấy tờ…)</t>
  </si>
  <si>
    <t>100% chuyến đi được ghi chép đầy đủ trong nhật ký hành trình</t>
  </si>
  <si>
    <t>Không có trường hợp chậm trễ trong việc tiếp nhận và chuyển tiếp thông tin khiếu nại</t>
  </si>
  <si>
    <t>Không có trường hợp KH phàn nàn vì cuộc gọi nhỡ do yếu tố chủ quan</t>
  </si>
  <si>
    <t>Dự án:</t>
  </si>
  <si>
    <t>Yêu cầu:</t>
  </si>
  <si>
    <t>Tư vấn:</t>
  </si>
  <si>
    <t xml:space="preserve">Đơn vị: </t>
  </si>
  <si>
    <t>KPI CÔNG TY VÀ KPI NĂM ĐƠN VỊ</t>
  </si>
  <si>
    <t>Kết quả KPI Đơn vị</t>
  </si>
  <si>
    <t>Điểm phần I - KPI năm Công ty và KPI năm Đơn vị</t>
  </si>
  <si>
    <t>Ban HCNS</t>
  </si>
  <si>
    <t>KPI NĂM CÔNG TY VÀ KPI NĂM ĐƠN VỊ</t>
  </si>
  <si>
    <t>KPI Đơn vị</t>
  </si>
  <si>
    <t>Điểm phần I - KPI Công ty + KPI Đơn vị</t>
  </si>
  <si>
    <t xml:space="preserve">        KPI GIÁM ĐỐC BAN - NĂM 2025</t>
  </si>
  <si>
    <t>Giám đốc Ban</t>
  </si>
  <si>
    <t>Đơn vị:</t>
  </si>
  <si>
    <t>KẾT QUẢ KPI ĐƠN VỊ</t>
  </si>
  <si>
    <t xml:space="preserve">  KPI GIÁM ĐỐC BAN - QUÝ 4/2025</t>
  </si>
  <si>
    <t xml:space="preserve">  KPI CÁ NHÂN - QUÝ 4/2025</t>
  </si>
  <si>
    <t>Không quá 1 lần sai sót/chậm trễ trong việc tính lương, thực hiện chế độ chính sách cho người lao động hoặc báo cáo số liệu liên quan cho Giám đốc ban/các đơn vị</t>
  </si>
  <si>
    <t>Đảm bảo theo dõi, ký mới và gia hạn 100% hợp đồng lao động đúng quy định</t>
  </si>
  <si>
    <t>Số lần vi phạm chế độ chính sách quy định về PCCC, ATVSLĐ thực tế</t>
  </si>
  <si>
    <t>Số lần chậm trễ báo cáo kiểm tra tuân thủ nội quy lao động (sau ngày 2 hàng tháng) thực tế</t>
  </si>
  <si>
    <t>Thời gian trình phê duyệt kế hoạch lao động tiền lương và quyết toán tiền lương thực tế</t>
  </si>
  <si>
    <t>Thời gian hoàn thành và vận hành hệ thống BSC-KPI thực tế</t>
  </si>
  <si>
    <t>Thời gian hoàn thành việc xây dựng lại đơn giá tiền lương và hệ số lương của Biên đọc thực tế</t>
  </si>
  <si>
    <t>Số lần sai sót/chậm trễ trong việc tính lương, thực hiên chế độ chính sách cho NLĐ hoặc báo cáo số liệu liên quan cho GĐ Ban/các đơn vị thực tế</t>
  </si>
  <si>
    <t>Số lần vi phạm chế độ chính sách quy định Luật Lao động thực tế</t>
  </si>
  <si>
    <t>Nhân viên Hành chính nhân sự</t>
  </si>
  <si>
    <t>Số lần chậm trễ tiến độ xử lý văn bản,hồ sơ theo quy định</t>
  </si>
  <si>
    <t>Số lần chậm trễ việc ký mới, gia hạn hợp đồng lao động thực tế</t>
  </si>
  <si>
    <t>Tỷ lệ hồ sơ nhân sự được số hoá thực tế</t>
  </si>
  <si>
    <t>Số khoá đào tạo tổ chức thực tế</t>
  </si>
  <si>
    <t>Số lần sai sót trong lưu trữ hồ sơ, công văn theo quy định thực tế</t>
  </si>
  <si>
    <t>Số lần chậm trễ xử lý công văn đi đến theo quy định thực tế</t>
  </si>
  <si>
    <t>Tỷ lệ chi phí Văn phòng phẩm (bộ phận văn phòng Công ty) giảm thực tế so với năm 2024</t>
  </si>
  <si>
    <t>Lái xe</t>
  </si>
  <si>
    <t>Số lần vi phạm Luật ATGT thực tế</t>
  </si>
  <si>
    <t>Tỷ lệ phương tiện được bảo dưỡng, đăng kiểm, mua bảo hiểm đúng kế hoạch thực tế</t>
  </si>
  <si>
    <t>Số lần phương tiện chưa sẵn sàng phục vụ khi có yêu cầu thực tế</t>
  </si>
  <si>
    <t>Tỷ lệ chi phí nhiên liệu sử dụng so với định mức được duyệt thực tế</t>
  </si>
  <si>
    <t>Số lần thiếu sót chi chép nhật ký hành trình</t>
  </si>
  <si>
    <t>Số lần chậm trễ hoàn thành khảo sát mức độ hài lòng của khách hàng (theo chủ trương của HĐQT) thực tế</t>
  </si>
  <si>
    <t>Số lần chậm trễ trong việc tiếp nhận và chuyển tiếp thông tin khiếu nại thực tế</t>
  </si>
  <si>
    <t>Số lần phàn nàn của KH vì cuộc gọi nhỡ do yếu tố chủ quan</t>
  </si>
  <si>
    <t xml:space="preserve">Hoàn thành 95% các công việc theo phiếu giao việc, thông báo họp giao ban và thông báo khác của Ban Tổng giám đốc giao </t>
  </si>
  <si>
    <t>Ban Kế hoạch chủ trì, phối hợp với Ban TCKT, Ban HCNS, Ban Kỹ thuật,…</t>
  </si>
  <si>
    <t>Ban HCNS báo cáo, Ban kế hoạch xác nhận</t>
  </si>
  <si>
    <t>Báo cáo của Ban HCNS</t>
  </si>
  <si>
    <t>Báo cáo của Ban HCNS, Ban TCKT xác nhận</t>
  </si>
  <si>
    <t>Ban TCKT</t>
  </si>
  <si>
    <t>TTCNTT xác nhận</t>
  </si>
  <si>
    <t>HCNS báo cáo, các XN liên quan xác nhận</t>
  </si>
  <si>
    <t>TT CNTT xác nhận</t>
  </si>
  <si>
    <t>Hội đồng lương</t>
  </si>
  <si>
    <t>HCNS báo cáo, Ban Kế hoạch xác nhận</t>
  </si>
  <si>
    <t>Số lần chậm trễ hoàn thành khoả sát mức độ hài lòng của khách hàng (theo chủ trương của HĐQT) thực tế</t>
  </si>
  <si>
    <t>Đảm bảo 100% tham mưu pháp lý cho HĐQT, Ban Điều hành</t>
  </si>
  <si>
    <t>Đảm bảo 100% công văn đi - đến được chuyển đến đúng đơn vị theo phê duyệt của lãnh đạo</t>
  </si>
  <si>
    <t>Ban HCNS Tổng hợp báo cáo</t>
  </si>
  <si>
    <t xml:space="preserve">Ban HCNS </t>
  </si>
  <si>
    <t>Ban HCNS báo cáo, Ban TCKT xác nhận</t>
  </si>
  <si>
    <t>Ban HCNS Tổng hợp báo cáo, Ban TCKT xác nhận</t>
  </si>
  <si>
    <t>Ban HCNS báo cáo, Hội đồng lương xác nhận</t>
  </si>
  <si>
    <t>Ban HCNS Tổng hợp báo cáo, TTCNTT xác nhận</t>
  </si>
  <si>
    <t>Số lần công văn đi - đến được chuyển sai đơn vị theo phê duyệt của lãnh đạo thực tế</t>
  </si>
  <si>
    <t>Ban HCNS báo cáo, Ban Kỹ thuật xác nhận</t>
  </si>
  <si>
    <t>Ban HCNS, TTCNTT xác nhận</t>
  </si>
  <si>
    <t>Ban HCNS báo cáo, TTCNTT xác nhận</t>
  </si>
  <si>
    <t>Hoàn thành bàn giao kiểm kê CCDC năm 2024 do Ban HCNS phụ trách trước ngày 30/11/2025</t>
  </si>
  <si>
    <t>Hoàn thành báo cáo kiểm kê CCDC năm 2024 do Ban HCNS phụ trách trước ngày 31/12/2025</t>
  </si>
  <si>
    <t>Tổ chức 01 khóa đào tạo trong quý IV</t>
  </si>
  <si>
    <t>Đảm bảo 100% công văn đi - đến được xử lý đúng hạn (tại giai đoạn theo chức năng Ban HCNS)</t>
  </si>
  <si>
    <t>Đảm bảo 100% phương tiện luôn sẵn sàng phục vụ (sạch sẽ, nhiên liệu, giấy tờ, thời gian đưa - đón lãnh đạo,…)</t>
  </si>
  <si>
    <t>Người lập</t>
  </si>
  <si>
    <t>Giám đốc đơn vị</t>
  </si>
  <si>
    <t>Phê duyệt</t>
  </si>
  <si>
    <t>Người được đánh giá</t>
  </si>
  <si>
    <t>Người kiểm tra/Phê duyệt</t>
  </si>
  <si>
    <t>Nguyễn Văn Vinh</t>
  </si>
  <si>
    <t>0267</t>
  </si>
  <si>
    <t>Đặng Nguyễn Hoài Nhi</t>
  </si>
  <si>
    <t>0036</t>
  </si>
  <si>
    <t>Bùi Thị Ánh Minh</t>
  </si>
  <si>
    <t>0537</t>
  </si>
  <si>
    <t>Trương Thị Ý Nhi</t>
  </si>
  <si>
    <t>0576</t>
  </si>
  <si>
    <t>Nguyễn Thị Quỳnh Như</t>
  </si>
  <si>
    <t>0564</t>
  </si>
  <si>
    <t>Huỳnh Thị Hoài Trang</t>
  </si>
  <si>
    <t>0035</t>
  </si>
  <si>
    <t>Dương Bốn</t>
  </si>
  <si>
    <t>Ban HCNS báo cáo</t>
  </si>
  <si>
    <t>0038</t>
  </si>
  <si>
    <t>Nguyễn Thanh Bình</t>
  </si>
  <si>
    <t>0102</t>
  </si>
  <si>
    <t>Ban Kế hoạch</t>
  </si>
  <si>
    <t>Ban Kỹ thuật</t>
  </si>
  <si>
    <t>Ban Tài chính - Kế toán</t>
  </si>
  <si>
    <t>Trung tâm QLVH</t>
  </si>
  <si>
    <t>Trung tâm CNTT</t>
  </si>
  <si>
    <t>XNCN KV I</t>
  </si>
  <si>
    <t>XNCN KV II</t>
  </si>
  <si>
    <t>XNCN KV III</t>
  </si>
  <si>
    <t>XNCN KV IV</t>
  </si>
  <si>
    <t>CHỮ KÝ XÁC NHẬN</t>
  </si>
  <si>
    <r>
      <t xml:space="preserve">BẢNG XÁC NHẬN KẾT QUẢ KPI BAN HÀNH CHÍNH - NHÂN SỰ - QUÝ 4/NĂM 2025 - MỤC TIÊU ĐĂNG KÝ THÊM
</t>
    </r>
    <r>
      <rPr>
        <b/>
        <sz val="12"/>
        <color rgb="FFFF0000"/>
        <rFont val="Arial"/>
        <family val="2"/>
      </rPr>
      <t>Nếu đúng thì dấu ✔, Sai thì điền số liệu đúng vào</t>
    </r>
  </si>
  <si>
    <t>Hồ Minh Khiêm</t>
  </si>
  <si>
    <t>0039</t>
  </si>
  <si>
    <t>Hoàng Thị Mỹ Dung</t>
  </si>
  <si>
    <t>0097</t>
  </si>
  <si>
    <t>Thái Thu Lê</t>
  </si>
  <si>
    <t>0100</t>
  </si>
  <si>
    <t>Phạm Thùy Tuyết</t>
  </si>
  <si>
    <t>0101</t>
  </si>
  <si>
    <r>
      <rPr>
        <sz val="10"/>
        <color indexed="56"/>
        <rFont val="Arial"/>
        <family val="2"/>
      </rPr>
      <t>Yêu cầu</t>
    </r>
    <r>
      <rPr>
        <b/>
        <sz val="10"/>
        <color indexed="56"/>
        <rFont val="Arial"/>
        <family val="2"/>
      </rPr>
      <t xml:space="preserve">: </t>
    </r>
  </si>
  <si>
    <t>KPI BAN HCNS - NĂM 2026</t>
  </si>
  <si>
    <t xml:space="preserve"> Tỷ lệ văn bản, hồ sơ xử lý đúng hạn sau khi tiếp nhận văn bản ≥ 90%/tổng số lượng văn bản văn phòng điện tử tiếp nhận </t>
  </si>
  <si>
    <t>TH &lt; 80%: KPI= 0
TH ≥ 80%: TH/KH*100%
Max KPI = 120%</t>
  </si>
  <si>
    <t>Đảm bảo trình HĐQT phê duyệt kế hoạch lao động tiền lương và quyết toán tiền lương năm trước trước 31/3/2026</t>
  </si>
  <si>
    <t xml:space="preserve">Thời gian thực tế trình phê duyệt kế hoạch lao động tiền lương và quyết toán tiền lương năm trước </t>
  </si>
  <si>
    <t>Chi phí Văn phòng phẩm (bộ phận văn phòng công ty) giảm 2% so với năm trước</t>
  </si>
  <si>
    <t>Tỷ lệ chi phí VVP (bộ phận VP Công ty) giảm so với năm 2025 thực tế</t>
  </si>
  <si>
    <t>Ban TCKT xác nhận</t>
  </si>
  <si>
    <t>Tiết kiệm điện năng tiêu hao trong năm (VPCT) ≥ 5% so với năm trước</t>
  </si>
  <si>
    <t>TH ≥ KH: KPI = TH/KH*100%
0&lt;TH &lt; KH: KPI = TH/KH*100%
Max KPI = 120%</t>
  </si>
  <si>
    <t>Không quá 4 lần phàn nàn của khách hàng về thái độ tiếp xúc, chăm sóc khách hàng của Bộ phận Call Center</t>
  </si>
  <si>
    <t>TH ≤ KH: KPI = 100%
TH &gt; KH: KPI = 0%</t>
  </si>
  <si>
    <t>Ban HCNS xác nhận</t>
  </si>
  <si>
    <t>Đảm bảo 80% hồ sơ (hồ sơ nhân sự) được số hoá trước 31/12/2026</t>
  </si>
  <si>
    <t>TH &lt; KH: KPI = 0%
TH ≥ KH: KPI = TH/KH*100%</t>
  </si>
  <si>
    <t>Hoàn thành xây dựng hệ thống lương 3P trước ngày 31/12/2026</t>
  </si>
  <si>
    <t>Thời gian hoàn thành xây dựng và vận hành hệ thống lương 3P</t>
  </si>
  <si>
    <t>Hoàn thành việc xây dựng lại đơn giá tiền lương và hệ số lương của Biên đọc (nhằm nâng cao NSLĐ) HĐ lương phê duyệt trước 31/12/2026</t>
  </si>
  <si>
    <t>Ứng dụng AI trong việc lập Kết luận giao ban hàng tháng</t>
  </si>
  <si>
    <t>Số lần ứng dụng AI trong việc lập Kết luận giao ban hàng tháng</t>
  </si>
  <si>
    <t>KPI BAN HCNS - QUÝ 1/NĂM 2026</t>
  </si>
  <si>
    <t>Chi phí Văn phòng phẩm (bộ phận văn phòng công ty) giảm 2% so với quý 1 năm trước</t>
  </si>
  <si>
    <t>Tỷ lệ chi phí VVP (bộ phận VP Công ty) giảm so với quý 1 năm 2025 thực tế</t>
  </si>
  <si>
    <t>Không quá 1 lần phàn nàn của khách hàng về thái độ tiếp xúc, chăm sóc khách hàng của Bộ phận Call Center</t>
  </si>
  <si>
    <t>Tỷ lệ phản ánh về chất lượng dịch vụ giảm 5% so với tổng phản ánh quý 1 năm trước</t>
  </si>
  <si>
    <t>Đảm bảo 20% hồ sơ (hồ sơ nhân sự) được số hoá trước 31/03/2026</t>
  </si>
  <si>
    <t>MỤC TIÊU BAN HCNS- QUÝ/NĂM 2026</t>
  </si>
  <si>
    <t>Hoàn thành báo cáo kiểm kê CCDC năm 2025 do Ban HCNS phụ trách trước ngày 31/03/2026</t>
  </si>
  <si>
    <t>MỤC TIÊU NHÂN VIÊN QUÝ 1 - NĂM 2026</t>
  </si>
  <si>
    <t>Không quá 1 lần có phàn nàn của khách hàng về thái độ tiếp xúc, chăm sóc khách hàng của Bộ phận Call Center</t>
  </si>
  <si>
    <t>Tổ chức 02 khóa đào tạo</t>
  </si>
  <si>
    <t>Sản lượng điện tiêu thụ thụ văn phòng cty năm 2026 không tăng so với năm 2025</t>
  </si>
  <si>
    <t>Hoàn thành sửa đổi, bổ sung các văn bản của công ty và HĐQT giao: Điều lệ, Quy chế hoạt động của HĐQT,… trước 31/12/2026</t>
  </si>
  <si>
    <t>MỤC TIÊU NHÂN VIÊN - NĂM 2026</t>
  </si>
  <si>
    <t>kWh</t>
  </si>
  <si>
    <t>TH ≥ KH: KPI = TH/KH*100%
TH &lt; KH: KPI = TH/KH*100%
Max KPI = 120%</t>
  </si>
  <si>
    <t>Sản lượng điện tiêu thụ văn phòng cty năm 2026 không tăng so với năm 2025</t>
  </si>
  <si>
    <t>Sản lượng điện tiêu thụ 2026 (VPCT) thực tế so với năm 2025</t>
  </si>
  <si>
    <t>KPI NHÂN VIÊN - NĂM 2026</t>
  </si>
  <si>
    <t>Thời gian hoàn thành xây dựng hệ thống lương 3P thực tế</t>
  </si>
  <si>
    <t>Thời gian hoàn thành sửa đổi, bổ sung các văn bản của công ty và HĐQT giao: Điều lệ, Quy chế hoạt động của HĐQT,… thực tế</t>
  </si>
  <si>
    <t>Thời gian trình phê duyệt kế hoạch lao động tiền lương và quyết toán tiền lương năm trước thực tế</t>
  </si>
  <si>
    <t>Tỷ lệ chi phí Văn phòng phẩm (bộ phận văn phòng Công ty) giảm thực tế so với năm 2025</t>
  </si>
  <si>
    <t>Nguyễn Nam Long</t>
  </si>
  <si>
    <t>0281</t>
  </si>
  <si>
    <t>Sản lượng tiêu thụ điện Q1 không cao hơn Q1 năm trước</t>
  </si>
  <si>
    <t>Sản lượng tiêu thụ điện Q1 thực tế so với Q1 năm trước</t>
  </si>
  <si>
    <t>Q1</t>
  </si>
  <si>
    <t>Q2</t>
  </si>
  <si>
    <t>Q3</t>
  </si>
  <si>
    <t>Q4</t>
  </si>
  <si>
    <t>Chi phí Văn phòng phẩm (bộ phận văn phòng công ty) giảm 2% so với quý 2 năm trước</t>
  </si>
  <si>
    <t>Chi phí Văn phòng phẩm (bộ phận văn phòng công ty) giảm 2% so với quý 3 năm trước</t>
  </si>
  <si>
    <t>Chi phí Văn phòng phẩm (bộ phận văn phòng công ty) giảm 2% so với quý  năm trước</t>
  </si>
  <si>
    <t>Tỷ lệ tiết kiệm chi phí hành chính thường xuyên (VVP, điện nước) so với năm 2025 thực tế</t>
  </si>
  <si>
    <t>Sản lượng tiêu thụ điện Q2 không cao hơn Q2 năm trước</t>
  </si>
  <si>
    <t>Sản lượng tiêu thụ điện Q3 không cao hơn Q13năm trước</t>
  </si>
  <si>
    <t>Sản lượng tiêu thụ điện Q4 không cao hơn Q4 năm trước</t>
  </si>
  <si>
    <r>
      <t xml:space="preserve">Tiết kiệm điện năng tiêu hao trong năm (VPCT) ≥ 5% so với năm trước
</t>
    </r>
    <r>
      <rPr>
        <i/>
        <sz val="10"/>
        <color rgb="FFFF0000"/>
        <rFont val="Arial"/>
        <family val="2"/>
      </rPr>
      <t>==&gt;Sản lượng điện tiêu thụ văn phòng cty năm 2026 không tăng so với năm 2025</t>
    </r>
    <r>
      <rPr>
        <i/>
        <sz val="10"/>
        <color rgb="FF002060"/>
        <rFont val="Arial"/>
        <family val="2"/>
      </rPr>
      <t xml:space="preserve">
</t>
    </r>
  </si>
  <si>
    <t>Không quá 4 lần sai sót/chậm trễ trong việc tính lương, thực hiện chế độ chính sách cho người lao động hoặc báo cáo số liệu liên quan cho Giám đốc ban/các đơn vị</t>
  </si>
  <si>
    <t>Không quá 4 lần/người/năm phàn nàn của khách hàng về thái độ tiếp xúc, chăm sóc khách hàng của Bộ phận Call Center</t>
  </si>
  <si>
    <t>Hoàn thành bảng định chuẩn chức danh</t>
  </si>
  <si>
    <t>Hoàn thành hệ thống khung bậc lương</t>
  </si>
  <si>
    <t>Hoàn thành phương án chuyển đổi theo tỉ lệ giả định</t>
  </si>
  <si>
    <t>Hoàn thành bảng định chuẩn chức danh trước 31/3/2026</t>
  </si>
  <si>
    <t>Đảm bảo 20% hồ sơ (hồ sơ nhân sự) được số hoá trước 30/06/2026</t>
  </si>
  <si>
    <t>Đảm bảo 20% hồ sơ (hồ sơ nhân sự) được số hoá trước 30/9/2026</t>
  </si>
  <si>
    <t>Đảm bảo 20% hồ sơ (hồ sơ nhân sự) được số hoá trước 31/12/2026</t>
  </si>
  <si>
    <t>Đảm bảo hoàn thành xây dựng bảng theo dõi công việc của nhóm công nhân chăm sóc trước 31/3/2026</t>
  </si>
  <si>
    <t>Đảm bảo tuân thủ 100% quy định về PCCC, ATVSLĐ</t>
  </si>
  <si>
    <r>
      <rPr>
        <sz val="10"/>
        <color indexed="56"/>
        <rFont val="Times New Roman"/>
        <family val="1"/>
      </rPr>
      <t>Yêu cầu</t>
    </r>
    <r>
      <rPr>
        <b/>
        <sz val="10"/>
        <color indexed="56"/>
        <rFont val="Times New Roman"/>
        <family val="1"/>
      </rPr>
      <t xml:space="preserve">: </t>
    </r>
  </si>
  <si>
    <t>Số liệu 2025</t>
  </si>
  <si>
    <t>Giám đốc Ban HCNS</t>
  </si>
  <si>
    <r>
      <t xml:space="preserve">Tỷ lệ phản ánh về chất lượng dịch vụ giảm 5% so với tổng phản ánh năm trước
</t>
    </r>
    <r>
      <rPr>
        <i/>
        <sz val="10"/>
        <color rgb="FFFF0000"/>
        <rFont val="Arial"/>
        <family val="2"/>
      </rPr>
      <t>==&gt;(Đảm bảo 100% phân loại phản ánh khách hàng đúng)</t>
    </r>
    <r>
      <rPr>
        <i/>
        <sz val="10"/>
        <color rgb="FF002060"/>
        <rFont val="Arial"/>
        <family val="2"/>
      </rPr>
      <t xml:space="preserve">
</t>
    </r>
  </si>
  <si>
    <r>
      <t>Tỷ lệ phản ánh về chất lượng dịch vụ giảm 5% so với tổng phản ánh năm trước</t>
    </r>
    <r>
      <rPr>
        <sz val="10"/>
        <color theme="4" tint="-0.499984740745262"/>
        <rFont val="Times New Roman"/>
        <family val="1"/>
      </rPr>
      <t xml:space="preserve">
</t>
    </r>
  </si>
  <si>
    <t>Tỷ lệ giảm phản ánh về chất lượng dịch vụ so với tổng số phản ánh quý 1 năm trước</t>
  </si>
  <si>
    <r>
      <t xml:space="preserve">Tỷ lệ phản ánh về chất lượng dịch vụ giảm 5% so với tổng phản ánh năm trước
</t>
    </r>
    <r>
      <rPr>
        <i/>
        <sz val="10"/>
        <color rgb="FF002060"/>
        <rFont val="Arial"/>
        <family val="2"/>
      </rPr>
      <t xml:space="preserve">
</t>
    </r>
  </si>
  <si>
    <r>
      <t>Tỷ lệ phản ánh về chất lượng dịch vụ giảm 5% so với tổng phản ánh năm trước</t>
    </r>
    <r>
      <rPr>
        <i/>
        <sz val="10"/>
        <color rgb="FFFF0000"/>
        <rFont val="Times New Roman"/>
        <family val="1"/>
      </rPr>
      <t/>
    </r>
  </si>
  <si>
    <t>Sản lượng tiêu thụ điện Q3 không cao hơn Q3 năm trước</t>
  </si>
  <si>
    <t>Thời gian hoàn thành bảng định chuẩn chức danh</t>
  </si>
  <si>
    <t>Không quá 1 lần/ người/ quý phàn nàn của khách hàng về thái độ tiếp xúc, chăm sóc khách hàng của Bộ phận Call Center</t>
  </si>
  <si>
    <r>
      <rPr>
        <sz val="10"/>
        <color rgb="FF002060"/>
        <rFont val="Times New Roman"/>
        <family val="1"/>
      </rPr>
      <t>Yêu cầu</t>
    </r>
    <r>
      <rPr>
        <b/>
        <sz val="10"/>
        <color rgb="FF002060"/>
        <rFont val="Times New Roman"/>
        <family val="1"/>
      </rPr>
      <t xml:space="preserve">: </t>
    </r>
  </si>
  <si>
    <t xml:space="preserve">Tỷ lệ phản ánh về chất lượng dịch vụ giảm 5% so với tổng phản ánh năm trước
</t>
  </si>
  <si>
    <t xml:space="preserve">Ban HCNS báo cáo </t>
  </si>
  <si>
    <t>Số liệu năm 2025</t>
  </si>
  <si>
    <r>
      <t xml:space="preserve">Đảm bảo tuân thủ 100% </t>
    </r>
    <r>
      <rPr>
        <i/>
        <sz val="10"/>
        <color rgb="FFFF0000"/>
        <rFont val="Times New Roman"/>
        <family val="1"/>
      </rPr>
      <t>quy định về PCCC, ATVSLĐ</t>
    </r>
  </si>
  <si>
    <t>TH &gt; KH: KPI = 0%
TH&lt;KH: KPI= 100%
Tiết kiệm 5%, KPI = 120%</t>
  </si>
  <si>
    <t>KPI BAN HCNS - QUÝ 2/NĂM 2026</t>
  </si>
  <si>
    <t xml:space="preserve">Kinh phí Đào tạo không vượt quá kế hoạch được duyệt </t>
  </si>
  <si>
    <r>
      <t>Tỷ lệ kinh phí đào tạo so với kế hoạ</t>
    </r>
    <r>
      <rPr>
        <sz val="10"/>
        <color theme="4" tint="-0.499984740745262"/>
        <rFont val="Times New Roman"/>
        <family val="1"/>
      </rPr>
      <t xml:space="preserve">ch đào tạo được duyệt trong năm </t>
    </r>
    <r>
      <rPr>
        <sz val="10"/>
        <color rgb="FF002060"/>
        <rFont val="Times New Roman"/>
        <family val="1"/>
      </rPr>
      <t>thực tế</t>
    </r>
  </si>
  <si>
    <t>Thời gian trình phương án, cách thức khảo sát mức độ hài lòng của KH</t>
  </si>
  <si>
    <t>Ban HCNS xác nhận dựa trên phương án trình</t>
  </si>
  <si>
    <r>
      <t xml:space="preserve">Tỷ lệ phản ánh về chất lượng dịch vụ giảm 5% so với tổng phản ánh quý </t>
    </r>
    <r>
      <rPr>
        <sz val="10"/>
        <color rgb="FFFF0000"/>
        <rFont val="Times New Roman"/>
        <family val="1"/>
      </rPr>
      <t>2</t>
    </r>
    <r>
      <rPr>
        <sz val="10"/>
        <color theme="4" tint="-0.499984740745262"/>
        <rFont val="Times New Roman"/>
        <family val="1"/>
      </rPr>
      <t xml:space="preserve"> năm trước</t>
    </r>
  </si>
  <si>
    <r>
      <t xml:space="preserve">Tỷ lệ giảm phản ánh về chất lượng dịch vụ so với tổng số phản ánh quý </t>
    </r>
    <r>
      <rPr>
        <sz val="10"/>
        <color rgb="FFFF0000"/>
        <rFont val="Times New Roman"/>
        <family val="1"/>
      </rPr>
      <t>2</t>
    </r>
    <r>
      <rPr>
        <sz val="10"/>
        <color rgb="FF002060"/>
        <rFont val="Times New Roman"/>
        <family val="1"/>
      </rPr>
      <t xml:space="preserve"> năm trước</t>
    </r>
  </si>
  <si>
    <t>Đảm bảo 20% hồ sơ nhân sự được số hoá thêm trong quý 2 (Lũy kế hết quý 2 là 40%)</t>
  </si>
  <si>
    <t>Tỷ lệ hồ sơ nhân sự được số hoá thực tế trong quý 2 năm 2026</t>
  </si>
  <si>
    <t>Trình phương án Xây dựng hệ thống khung bậc lương hạn cuối 30/6/2026</t>
  </si>
  <si>
    <t>Thời gian trình phương án Xây dựng hệ thống khung bậc lương</t>
  </si>
  <si>
    <t>Trang, Như</t>
  </si>
  <si>
    <t>call</t>
  </si>
  <si>
    <t>Ý Nhi</t>
  </si>
  <si>
    <t>Hoài Nhi, Ý Nhi, Như</t>
  </si>
  <si>
    <t xml:space="preserve">  KPI CÁ NHÂN - QUÝ 2/2026</t>
  </si>
  <si>
    <t xml:space="preserve">  </t>
  </si>
  <si>
    <t>Bỏ kiểm kê CCDC QUÝ 1</t>
  </si>
  <si>
    <t>Hoài Nhi, Ánh Minh</t>
  </si>
  <si>
    <t>Vinh, Ánh Minh</t>
  </si>
  <si>
    <t>Trang, Ánh Minh</t>
  </si>
  <si>
    <t>Vinh, Như</t>
  </si>
  <si>
    <t>đã bỏ CCDC ở quý 1 (mục tiêu đk thêm)</t>
  </si>
  <si>
    <t>Hoài Nhi, call</t>
  </si>
  <si>
    <t xml:space="preserve">  KPI CÁ NHÂN - QUÝ2/2026</t>
  </si>
  <si>
    <t>Ánh Minh, Hoài Nhi</t>
  </si>
  <si>
    <t>TH ≤  KH: KPI = 100%
TH &gt; KH: KPI =0%</t>
  </si>
  <si>
    <t>Ánh Minh, Trang</t>
  </si>
  <si>
    <t>Hoài Nhi, Ý Nhi (HĐLĐ)</t>
  </si>
  <si>
    <r>
      <t xml:space="preserve">Đảm bảo tuân thủ 100% chế độ chính sách quy định Luật Lao động </t>
    </r>
    <r>
      <rPr>
        <i/>
        <sz val="10"/>
        <color rgb="FFFF0000"/>
        <rFont val="Arial"/>
        <family val="2"/>
      </rPr>
      <t>về chế độ nghỉ hưu, nghỉ trước tuổi, nâng lương,…</t>
    </r>
  </si>
  <si>
    <t>Mục tiêu KPI phòng có đề cập HĐLĐ: Đảm bảo tuân thủ 100% chế độ chính sách quy định Luật Lao động (HĐLĐ, Chế độ nghỉ hưu, nghỉ trước tuổi, nâng lương,…)
==&gt; Nhưng ở mục đk thêm đã có mục theo dõi, ký mới, gia hạn hợp đồng nên ko thêm nội dung mục tiêu này vào mục tiêu bắt buộc</t>
  </si>
  <si>
    <t>TH ≤ KH: KPI = 100%
TH &gt; KH: KPI =0%</t>
  </si>
  <si>
    <t>Không quá 1 lần sai sót trong việc phân loại phản ánh khách hàng trên phần mềm CallCenter (nguồn chứng minh: Xí nghiệp phản ánh)</t>
  </si>
  <si>
    <t>Các XNCN xác nhận</t>
  </si>
  <si>
    <t>Chi phí VVP (bộ phận VP Công ty) quý 2/26 so với quý 2 năm 2025 thực tế</t>
  </si>
  <si>
    <t>Chi phí Văn phòng phẩm (bộ phận văn phòng công ty) quý 2/26 không vượt quá so với quý 2 năm trước</t>
  </si>
  <si>
    <t>Lãnh đạo đơn vị xác nhận</t>
  </si>
  <si>
    <t>Họ và tên</t>
  </si>
  <si>
    <t>Xác nhận của Trưởng đơn vị</t>
  </si>
  <si>
    <r>
      <t xml:space="preserve">BẢNG XÁC NHẬN KẾT QUẢ KPI BAN HÀNH CHÍNH NHÂN SỰ - </t>
    </r>
    <r>
      <rPr>
        <b/>
        <sz val="14"/>
        <color rgb="FFFF0000"/>
        <rFont val="Times New Roman"/>
        <family val="1"/>
      </rPr>
      <t>QUÝ 2/NĂM 2026</t>
    </r>
    <r>
      <rPr>
        <b/>
        <sz val="14"/>
        <color theme="4" tint="-0.499984740745262"/>
        <rFont val="Times New Roman"/>
        <family val="1"/>
      </rPr>
      <t xml:space="preserve"> 
</t>
    </r>
    <r>
      <rPr>
        <b/>
        <sz val="12"/>
        <color theme="4" tint="-0.499984740745262"/>
        <rFont val="Times New Roman"/>
        <family val="1"/>
      </rPr>
      <t>Nếu đúng thì dấu ✔, Sai thì điền số liệu đúng vào</t>
    </r>
  </si>
  <si>
    <r>
      <t xml:space="preserve">BẢNG XÁC NHẬN KẾT QUẢ KPI BAN HÀNH CHÍNH - NHÂN SỰ - </t>
    </r>
    <r>
      <rPr>
        <b/>
        <sz val="14"/>
        <color rgb="FFFF0000"/>
        <rFont val="Times New Roman"/>
        <family val="1"/>
      </rPr>
      <t>QUÝ 2/NĂM 2026</t>
    </r>
    <r>
      <rPr>
        <b/>
        <sz val="14"/>
        <color theme="4" tint="-0.499984740745262"/>
        <rFont val="Times New Roman"/>
        <family val="1"/>
      </rPr>
      <t xml:space="preserve"> - </t>
    </r>
    <r>
      <rPr>
        <b/>
        <sz val="14"/>
        <color rgb="FFFF0000"/>
        <rFont val="Times New Roman"/>
        <family val="1"/>
      </rPr>
      <t>MỤC TIÊU ĐĂNG KÝ THÊM</t>
    </r>
    <r>
      <rPr>
        <b/>
        <sz val="14"/>
        <color theme="4" tint="-0.499984740745262"/>
        <rFont val="Times New Roman"/>
        <family val="1"/>
      </rPr>
      <t xml:space="preserve">
</t>
    </r>
    <r>
      <rPr>
        <b/>
        <sz val="12"/>
        <color theme="4" tint="-0.499984740745262"/>
        <rFont val="Times New Roman"/>
        <family val="1"/>
      </rPr>
      <t>Nếu đúng thì dấu ✔, Sai thì điền số liệu đúng vào</t>
    </r>
  </si>
  <si>
    <t>Phạm Thị Quế Chi</t>
  </si>
  <si>
    <t>0033</t>
  </si>
  <si>
    <t>Mã NLĐ:</t>
  </si>
  <si>
    <t xml:space="preserve">  KPI GIÁM ĐỐC BAN - QUÝ 2/2026</t>
  </si>
  <si>
    <t>Không vi phạm</t>
  </si>
  <si>
    <t>TH ≤ KH: KPI = 100%
TH &gt; KH: KPI = 0% 
Max KPI = 120%</t>
  </si>
  <si>
    <t>Không quá 1 lần sai sót trong việc phân loại phản ánh khách hàng trên phần mềm CallCenter</t>
  </si>
  <si>
    <t xml:space="preserve">Không quá 1 lần sai sót trong việc phân loại phản ánh khách hàng trên phần mềm CallCenter </t>
  </si>
  <si>
    <t>Mã NLĐ</t>
  </si>
  <si>
    <t>Họ và tên CB - CNV</t>
  </si>
  <si>
    <t>BẢNG TỔNG HỢP KẾT QUẢ KPI QUÝ 2.2026
BAN HÀNH CHÍNH - NHÂN SỰ</t>
  </si>
  <si>
    <t>Trình HĐQT/ Tổng Giám đốc phương án, cách thức khảo sát mức độ hài lòng của khách hàng hạn cuối 30/6/2026</t>
  </si>
  <si>
    <t>Công ty Cổ phần Cấp nước Đà Nẵng</t>
  </si>
  <si>
    <t>Đi làm muộn hoặc về sớm (03 tháng)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</si>
</sst>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43" formatCode="_(* #,##0.00_);_(* \(#,##0.00\);_(* &quot;-&quot;??_);_(@_)"/>
    <numFmt numFmtId="164" formatCode="_(* #,##0_);_(* \(#,##0\);_(* &quot;-&quot;??_);_(@_)"/>
    <numFmt numFmtId="165" formatCode="0.0%"/>
    <numFmt numFmtId="166" formatCode="0.0"/>
    <numFmt numFmtId="167" formatCode="[$-1010000]d/m/yyyy;@"/>
    <numFmt numFmtId="168" formatCode="_(* #,##0.0_);_(* \(#,##0.0\);_(* &quot;-&quot;_);_(@_)"/>
    <numFmt numFmtId="169" formatCode="_(* #,##0.000_);_(* \(#,##0.000\);_(* &quot;-&quot;_);_(@_)"/>
    <numFmt numFmtId="170" formatCode="_(* #,##0.0_);_(* \(#,##0.0\);_(* &quot;-&quot;??_);_(@_)"/>
  </numFmts>
  <fonts count="91">
    <font>
      <sz val="12"/>
      <color theme="1"/>
      <name val="Calibri"/>
      <family val="2"/>
      <scheme val="minor"/>
    </font>
    <font>
      <sz val="12"/>
      <color theme="1"/>
      <name val="Times New Roman"/>
      <family val="2"/>
    </font>
    <font>
      <sz val="12"/>
      <color theme="1"/>
      <name val="Times New Roman"/>
      <family val="2"/>
    </font>
    <font>
      <sz val="12"/>
      <color theme="1"/>
      <name val="Calibri"/>
      <family val="2"/>
      <scheme val="minor"/>
    </font>
    <font>
      <sz val="10"/>
      <color theme="1"/>
      <name val="Arial"/>
      <family val="2"/>
    </font>
    <font>
      <sz val="10"/>
      <color rgb="FF002060"/>
      <name val="Arial"/>
      <family val="2"/>
    </font>
    <font>
      <sz val="8"/>
      <name val="Calibri"/>
      <family val="2"/>
      <scheme val="minor"/>
    </font>
    <font>
      <i/>
      <sz val="10"/>
      <color rgb="FF000000"/>
      <name val="Arial"/>
      <family val="2"/>
    </font>
    <font>
      <b/>
      <sz val="16"/>
      <color rgb="FF002060"/>
      <name val="Arial"/>
      <family val="2"/>
    </font>
    <font>
      <sz val="14"/>
      <color rgb="FFFF0000"/>
      <name val="Arial"/>
      <family val="2"/>
    </font>
    <font>
      <sz val="11"/>
      <color theme="1"/>
      <name val="Times New Roman"/>
      <family val="2"/>
    </font>
    <font>
      <sz val="10"/>
      <name val="Arial"/>
      <family val="2"/>
    </font>
    <font>
      <b/>
      <sz val="10"/>
      <color rgb="FF002060"/>
      <name val="Arial"/>
      <family val="2"/>
    </font>
    <font>
      <b/>
      <sz val="14"/>
      <color rgb="FF002060"/>
      <name val="Arial"/>
      <family val="2"/>
    </font>
    <font>
      <i/>
      <sz val="10"/>
      <color rgb="FF002060"/>
      <name val="Arial"/>
      <family val="2"/>
    </font>
    <font>
      <sz val="11"/>
      <color theme="1"/>
      <name val="Calibri"/>
      <family val="2"/>
      <scheme val="minor"/>
    </font>
    <font>
      <b/>
      <sz val="18"/>
      <color rgb="FF002060"/>
      <name val="Arial"/>
      <family val="2"/>
    </font>
    <font>
      <sz val="10"/>
      <color rgb="FFFF0000"/>
      <name val="Arial"/>
      <family val="2"/>
    </font>
    <font>
      <b/>
      <sz val="16"/>
      <color rgb="FFFF0000"/>
      <name val="Arial"/>
      <family val="2"/>
    </font>
    <font>
      <sz val="16"/>
      <name val="Arial"/>
      <family val="2"/>
    </font>
    <font>
      <b/>
      <sz val="10"/>
      <name val="Arial"/>
      <family val="2"/>
    </font>
    <font>
      <b/>
      <sz val="10"/>
      <color rgb="FFFF0000"/>
      <name val="Arial"/>
      <family val="2"/>
    </font>
    <font>
      <i/>
      <sz val="10"/>
      <name val="Arial"/>
      <family val="2"/>
    </font>
    <font>
      <i/>
      <sz val="10"/>
      <color rgb="FFFF0000"/>
      <name val="Arial"/>
      <family val="2"/>
    </font>
    <font>
      <sz val="10"/>
      <name val="VNI-Times"/>
    </font>
    <font>
      <b/>
      <sz val="14"/>
      <color rgb="FFFF0000"/>
      <name val="Arial"/>
      <family val="2"/>
    </font>
    <font>
      <sz val="12"/>
      <name val="VNI-Times"/>
    </font>
    <font>
      <sz val="10"/>
      <name val="Times New Roman"/>
      <family val="1"/>
    </font>
    <font>
      <b/>
      <i/>
      <sz val="10"/>
      <color rgb="FF002060"/>
      <name val="Arial"/>
      <family val="2"/>
    </font>
    <font>
      <sz val="13"/>
      <color rgb="FF002060"/>
      <name val="Arial"/>
      <family val="2"/>
    </font>
    <font>
      <b/>
      <sz val="12"/>
      <color rgb="FF002060"/>
      <name val="Arial"/>
      <family val="2"/>
    </font>
    <font>
      <u/>
      <sz val="12"/>
      <color theme="10"/>
      <name val="Calibri"/>
      <family val="2"/>
      <scheme val="minor"/>
    </font>
    <font>
      <sz val="14"/>
      <color theme="1"/>
      <name val="Arial"/>
      <family val="2"/>
    </font>
    <font>
      <sz val="10"/>
      <color rgb="FF000000"/>
      <name val="Arial"/>
      <family val="2"/>
    </font>
    <font>
      <sz val="10"/>
      <color rgb="FF000000"/>
      <name val="Tahoma"/>
      <family val="2"/>
    </font>
    <font>
      <b/>
      <sz val="10"/>
      <color rgb="FF000000"/>
      <name val="Tahoma"/>
      <family val="2"/>
    </font>
    <font>
      <sz val="12"/>
      <color rgb="FF002060"/>
      <name val="Arial"/>
      <family val="2"/>
    </font>
    <font>
      <sz val="12"/>
      <color rgb="FFFF0000"/>
      <name val="Arial"/>
      <family val="2"/>
    </font>
    <font>
      <sz val="14"/>
      <color rgb="FF002060"/>
      <name val="Arial"/>
      <family val="2"/>
    </font>
    <font>
      <sz val="16"/>
      <color rgb="FFFF0000"/>
      <name val="Arial"/>
      <family val="2"/>
    </font>
    <font>
      <b/>
      <sz val="11"/>
      <color rgb="FF002060"/>
      <name val="Arial"/>
      <family val="2"/>
    </font>
    <font>
      <b/>
      <sz val="10"/>
      <color rgb="FF0070C0"/>
      <name val="Arial"/>
      <family val="2"/>
    </font>
    <font>
      <b/>
      <i/>
      <sz val="14"/>
      <color rgb="FFFF0000"/>
      <name val="Arial"/>
      <family val="2"/>
    </font>
    <font>
      <i/>
      <sz val="10"/>
      <color indexed="10"/>
      <name val="Arial"/>
      <family val="2"/>
    </font>
    <font>
      <i/>
      <sz val="10"/>
      <color indexed="56"/>
      <name val="Arial"/>
      <family val="2"/>
    </font>
    <font>
      <i/>
      <sz val="10"/>
      <color indexed="10"/>
      <name val="Arial"/>
      <family val="2"/>
      <charset val="163"/>
    </font>
    <font>
      <i/>
      <sz val="10"/>
      <color indexed="60"/>
      <name val="Arial"/>
      <family val="2"/>
    </font>
    <font>
      <sz val="11"/>
      <color indexed="8"/>
      <name val="Calibri"/>
      <family val="2"/>
    </font>
    <font>
      <i/>
      <sz val="10"/>
      <color rgb="FF0070C0"/>
      <name val="Arial"/>
      <family val="2"/>
    </font>
    <font>
      <i/>
      <sz val="10"/>
      <color rgb="FF002060"/>
      <name val="Times New Roman"/>
      <family val="1"/>
    </font>
    <font>
      <b/>
      <sz val="13"/>
      <color rgb="FF002060"/>
      <name val="Times New Roman"/>
      <family val="1"/>
    </font>
    <font>
      <b/>
      <sz val="12"/>
      <color rgb="FFFF0000"/>
      <name val="Arial"/>
      <family val="2"/>
    </font>
    <font>
      <b/>
      <sz val="10"/>
      <color rgb="FF002060"/>
      <name val="Times New Roman"/>
      <family val="1"/>
    </font>
    <font>
      <sz val="10"/>
      <color rgb="FF002060"/>
      <name val="Times New Roman"/>
      <family val="1"/>
    </font>
    <font>
      <sz val="10"/>
      <color indexed="56"/>
      <name val="Arial"/>
      <family val="2"/>
    </font>
    <font>
      <b/>
      <sz val="10"/>
      <color indexed="56"/>
      <name val="Arial"/>
      <family val="2"/>
    </font>
    <font>
      <i/>
      <sz val="10"/>
      <color rgb="FFFF0000"/>
      <name val="Times New Roman"/>
      <family val="1"/>
    </font>
    <font>
      <b/>
      <sz val="10"/>
      <color rgb="FFFF0000"/>
      <name val="Times New Roman"/>
      <family val="1"/>
    </font>
    <font>
      <sz val="10"/>
      <color rgb="FFFF0000"/>
      <name val="Times New Roman"/>
      <family val="1"/>
    </font>
    <font>
      <sz val="10"/>
      <color theme="4" tint="-0.499984740745262"/>
      <name val="Arial"/>
      <family val="2"/>
    </font>
    <font>
      <sz val="10"/>
      <color theme="4" tint="-0.499984740745262"/>
      <name val="Times New Roman"/>
      <family val="1"/>
    </font>
    <font>
      <i/>
      <sz val="10"/>
      <color theme="4" tint="-0.499984740745262"/>
      <name val="Times New Roman"/>
      <family val="1"/>
    </font>
    <font>
      <b/>
      <sz val="10"/>
      <color theme="4" tint="-0.499984740745262"/>
      <name val="Times New Roman"/>
      <family val="1"/>
    </font>
    <font>
      <b/>
      <sz val="14"/>
      <color rgb="FFFF0000"/>
      <name val="Times New Roman"/>
      <family val="1"/>
    </font>
    <font>
      <b/>
      <sz val="16"/>
      <color rgb="FFFF0000"/>
      <name val="Times New Roman"/>
      <family val="1"/>
    </font>
    <font>
      <b/>
      <sz val="18"/>
      <color rgb="FF002060"/>
      <name val="Times New Roman"/>
      <family val="1"/>
    </font>
    <font>
      <i/>
      <sz val="10"/>
      <color theme="4" tint="-0.499984740745262"/>
      <name val="Arial"/>
      <family val="2"/>
    </font>
    <font>
      <sz val="10"/>
      <color indexed="56"/>
      <name val="Times New Roman"/>
      <family val="1"/>
    </font>
    <font>
      <b/>
      <sz val="10"/>
      <color indexed="56"/>
      <name val="Times New Roman"/>
      <family val="1"/>
    </font>
    <font>
      <sz val="14"/>
      <color rgb="FFFF0000"/>
      <name val="Times New Roman"/>
      <family val="1"/>
    </font>
    <font>
      <sz val="10"/>
      <color theme="1"/>
      <name val="Times New Roman"/>
      <family val="1"/>
    </font>
    <font>
      <b/>
      <sz val="16"/>
      <color rgb="FF002060"/>
      <name val="Times New Roman"/>
      <family val="1"/>
    </font>
    <font>
      <b/>
      <sz val="10"/>
      <name val="Times New Roman"/>
      <family val="1"/>
    </font>
    <font>
      <b/>
      <i/>
      <sz val="10"/>
      <color rgb="FF002060"/>
      <name val="Times New Roman"/>
      <family val="1"/>
    </font>
    <font>
      <b/>
      <i/>
      <sz val="14"/>
      <color rgb="FFFF0000"/>
      <name val="Times New Roman"/>
      <family val="1"/>
    </font>
    <font>
      <b/>
      <i/>
      <sz val="10"/>
      <color rgb="FFFF0000"/>
      <name val="Times New Roman"/>
      <family val="1"/>
    </font>
    <font>
      <sz val="10"/>
      <color theme="4" tint="-0.249977111117893"/>
      <name val="Times New Roman"/>
      <family val="1"/>
    </font>
    <font>
      <b/>
      <i/>
      <sz val="16"/>
      <color rgb="FFFF0000"/>
      <name val="Times New Roman"/>
      <family val="1"/>
    </font>
    <font>
      <b/>
      <i/>
      <sz val="18"/>
      <color rgb="FF002060"/>
      <name val="Times New Roman"/>
      <family val="1"/>
    </font>
    <font>
      <sz val="11"/>
      <color rgb="FF002060"/>
      <name val="Arial"/>
      <family val="2"/>
    </font>
    <font>
      <b/>
      <sz val="14"/>
      <color theme="4" tint="-0.499984740745262"/>
      <name val="Times New Roman"/>
      <family val="1"/>
    </font>
    <font>
      <b/>
      <sz val="12"/>
      <color theme="4" tint="-0.499984740745262"/>
      <name val="Times New Roman"/>
      <family val="1"/>
    </font>
    <font>
      <b/>
      <sz val="12"/>
      <color rgb="FFFF0000"/>
      <name val="Times New Roman"/>
      <family val="1"/>
    </font>
    <font>
      <sz val="13"/>
      <color rgb="FF002060"/>
      <name val="Times New Roman"/>
      <family val="1"/>
    </font>
    <font>
      <b/>
      <sz val="13"/>
      <color rgb="FF002060"/>
      <name val="Arial"/>
      <family val="2"/>
    </font>
    <font>
      <b/>
      <sz val="13"/>
      <color theme="1"/>
      <name val="Times New Roman"/>
      <family val="1"/>
    </font>
    <font>
      <sz val="13"/>
      <color theme="1"/>
      <name val="Times New Roman"/>
      <family val="1"/>
    </font>
    <font>
      <b/>
      <sz val="14"/>
      <color theme="1"/>
      <name val="Times New Roman"/>
      <family val="1"/>
    </font>
    <font>
      <b/>
      <sz val="14"/>
      <name val="Times New Roman"/>
      <family val="1"/>
    </font>
    <font>
      <sz val="14"/>
      <color theme="1"/>
      <name val="Times New Roman"/>
      <family val="1"/>
    </font>
    <font>
      <sz val="14"/>
      <name val="Times New Roman"/>
      <family val="1"/>
    </font>
  </fonts>
  <fills count="16">
    <fill>
      <patternFill patternType="none"/>
    </fill>
    <fill>
      <patternFill patternType="gray125"/>
    </fill>
    <fill>
      <patternFill patternType="solid">
        <fgColor theme="8" tint="0.79998168889431442"/>
        <bgColor indexed="64"/>
      </patternFill>
    </fill>
    <fill>
      <patternFill patternType="solid">
        <fgColor rgb="FFFFFFCC"/>
        <bgColor indexed="64"/>
      </patternFill>
    </fill>
    <fill>
      <patternFill patternType="solid">
        <fgColor theme="0"/>
        <bgColor indexed="64"/>
      </patternFill>
    </fill>
    <fill>
      <patternFill patternType="solid">
        <fgColor indexed="9"/>
        <bgColor indexed="64"/>
      </patternFill>
    </fill>
    <fill>
      <patternFill patternType="solid">
        <fgColor rgb="FFFFFFFF"/>
        <bgColor rgb="FF000000"/>
      </patternFill>
    </fill>
    <fill>
      <patternFill patternType="solid">
        <fgColor theme="8" tint="0.79998168889431442"/>
        <bgColor rgb="FF000000"/>
      </patternFill>
    </fill>
    <fill>
      <patternFill patternType="solid">
        <fgColor theme="8" tint="0.59999389629810485"/>
        <bgColor indexed="64"/>
      </patternFill>
    </fill>
    <fill>
      <patternFill patternType="solid">
        <fgColor rgb="FFDDEBF7"/>
        <bgColor rgb="FF000000"/>
      </patternFill>
    </fill>
    <fill>
      <patternFill patternType="solid">
        <fgColor theme="0"/>
        <bgColor rgb="FF000000"/>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bgColor theme="0"/>
      </patternFill>
    </fill>
    <fill>
      <patternFill patternType="solid">
        <fgColor rgb="FFFFFF00"/>
        <bgColor indexed="64"/>
      </patternFill>
    </fill>
  </fills>
  <borders count="10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auto="1"/>
      </right>
      <top style="thin">
        <color auto="1"/>
      </top>
      <bottom/>
      <diagonal/>
    </border>
    <border>
      <left style="thin">
        <color auto="1"/>
      </left>
      <right/>
      <top style="thin">
        <color theme="0" tint="-0.249977111117893"/>
      </top>
      <bottom style="hair">
        <color theme="0" tint="-0.34998626667073579"/>
      </bottom>
      <diagonal/>
    </border>
    <border>
      <left style="thin">
        <color auto="1"/>
      </left>
      <right/>
      <top style="hair">
        <color theme="0" tint="-0.34998626667073579"/>
      </top>
      <bottom style="hair">
        <color theme="0" tint="-0.34998626667073579"/>
      </bottom>
      <diagonal/>
    </border>
    <border>
      <left style="thin">
        <color auto="1"/>
      </left>
      <right/>
      <top style="thin">
        <color theme="0" tint="-0.34998626667073579"/>
      </top>
      <bottom style="thin">
        <color auto="1"/>
      </bottom>
      <diagonal/>
    </border>
    <border>
      <left/>
      <right/>
      <top style="thin">
        <color theme="0" tint="-0.34998626667073579"/>
      </top>
      <bottom style="thin">
        <color auto="1"/>
      </bottom>
      <diagonal/>
    </border>
    <border>
      <left/>
      <right style="thin">
        <color theme="0" tint="-0.249977111117893"/>
      </right>
      <top style="thin">
        <color auto="1"/>
      </top>
      <bottom style="thin">
        <color theme="0" tint="-0.249977111117893"/>
      </bottom>
      <diagonal/>
    </border>
    <border>
      <left style="thin">
        <color auto="1"/>
      </left>
      <right/>
      <top style="thin">
        <color theme="0" tint="-0.34998626667073579"/>
      </top>
      <bottom/>
      <diagonal/>
    </border>
    <border>
      <left/>
      <right/>
      <top style="thin">
        <color theme="0" tint="-0.34998626667073579"/>
      </top>
      <bottom/>
      <diagonal/>
    </border>
    <border>
      <left/>
      <right style="thin">
        <color auto="1"/>
      </right>
      <top style="thin">
        <color theme="0" tint="-0.34998626667073579"/>
      </top>
      <bottom/>
      <diagonal/>
    </border>
    <border>
      <left/>
      <right style="hair">
        <color theme="0" tint="-0.249977111117893"/>
      </right>
      <top style="thin">
        <color theme="0" tint="-0.249977111117893"/>
      </top>
      <bottom style="hair">
        <color theme="0" tint="-0.249977111117893"/>
      </bottom>
      <diagonal/>
    </border>
    <border>
      <left style="hair">
        <color theme="0" tint="-0.249977111117893"/>
      </left>
      <right/>
      <top style="thin">
        <color theme="0" tint="-0.249977111117893"/>
      </top>
      <bottom style="hair">
        <color theme="0" tint="-0.249977111117893"/>
      </bottom>
      <diagonal/>
    </border>
    <border>
      <left style="hair">
        <color theme="0" tint="-0.249977111117893"/>
      </left>
      <right style="thin">
        <color auto="1"/>
      </right>
      <top style="thin">
        <color theme="0" tint="-0.249977111117893"/>
      </top>
      <bottom style="hair">
        <color theme="0" tint="-0.249977111117893"/>
      </bottom>
      <diagonal/>
    </border>
    <border>
      <left/>
      <right style="hair">
        <color theme="0" tint="-0.249977111117893"/>
      </right>
      <top style="hair">
        <color theme="0" tint="-0.249977111117893"/>
      </top>
      <bottom style="hair">
        <color theme="0" tint="-0.249977111117893"/>
      </bottom>
      <diagonal/>
    </border>
    <border>
      <left style="hair">
        <color theme="0" tint="-0.249977111117893"/>
      </left>
      <right/>
      <top style="hair">
        <color theme="0" tint="-0.249977111117893"/>
      </top>
      <bottom style="hair">
        <color theme="0" tint="-0.249977111117893"/>
      </bottom>
      <diagonal/>
    </border>
    <border>
      <left style="hair">
        <color theme="0" tint="-0.249977111117893"/>
      </left>
      <right style="thin">
        <color auto="1"/>
      </right>
      <top style="hair">
        <color theme="0" tint="-0.249977111117893"/>
      </top>
      <bottom style="hair">
        <color theme="0" tint="-0.249977111117893"/>
      </bottom>
      <diagonal/>
    </border>
    <border>
      <left style="thin">
        <color auto="1"/>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auto="1"/>
      </left>
      <right/>
      <top/>
      <bottom/>
      <diagonal/>
    </border>
    <border>
      <left/>
      <right style="thin">
        <color auto="1"/>
      </right>
      <top/>
      <bottom/>
      <diagonal/>
    </border>
    <border>
      <left style="hair">
        <color theme="0" tint="-0.249977111117893"/>
      </left>
      <right style="thin">
        <color auto="1"/>
      </right>
      <top/>
      <bottom style="hair">
        <color theme="0" tint="-0.249977111117893"/>
      </bottom>
      <diagonal/>
    </border>
    <border>
      <left style="thin">
        <color auto="1"/>
      </left>
      <right/>
      <top style="hair">
        <color theme="0" tint="-0.34998626667073579"/>
      </top>
      <bottom style="thin">
        <color theme="0" tint="-0.249977111117893"/>
      </bottom>
      <diagonal/>
    </border>
    <border>
      <left style="hair">
        <color theme="0" tint="-0.249977111117893"/>
      </left>
      <right style="thin">
        <color auto="1"/>
      </right>
      <top style="hair">
        <color theme="0" tint="-0.249977111117893"/>
      </top>
      <bottom/>
      <diagonal/>
    </border>
    <border>
      <left style="double">
        <color theme="0" tint="-0.249977111117893"/>
      </left>
      <right style="thin">
        <color auto="1"/>
      </right>
      <top style="double">
        <color theme="0" tint="-0.249977111117893"/>
      </top>
      <bottom style="thin">
        <color auto="1"/>
      </bottom>
      <diagonal/>
    </border>
    <border>
      <left style="hair">
        <color theme="0" tint="-0.249977111117893"/>
      </left>
      <right/>
      <top style="hair">
        <color theme="0" tint="-0.249977111117893"/>
      </top>
      <bottom style="thin">
        <color theme="0" tint="-0.249977111117893"/>
      </bottom>
      <diagonal/>
    </border>
    <border>
      <left style="thin">
        <color theme="0" tint="-0.34998626667073579"/>
      </left>
      <right/>
      <top style="thin">
        <color theme="0" tint="-0.34998626667073579"/>
      </top>
      <bottom style="thin">
        <color auto="1"/>
      </bottom>
      <diagonal/>
    </border>
    <border>
      <left style="double">
        <color theme="0" tint="-0.249977111117893"/>
      </left>
      <right style="double">
        <color theme="0" tint="-0.249977111117893"/>
      </right>
      <top style="double">
        <color theme="0" tint="-0.249977111117893"/>
      </top>
      <bottom style="thin">
        <color auto="1"/>
      </bottom>
      <diagonal/>
    </border>
    <border>
      <left/>
      <right/>
      <top style="thin">
        <color theme="0" tint="-0.34998626667073579"/>
      </top>
      <bottom style="thin">
        <color theme="0" tint="-0.249977111117893"/>
      </bottom>
      <diagonal/>
    </border>
    <border>
      <left style="hair">
        <color theme="0" tint="-0.249977111117893"/>
      </left>
      <right style="hair">
        <color theme="0" tint="-0.249977111117893"/>
      </right>
      <top/>
      <bottom style="hair">
        <color theme="0" tint="-0.249977111117893"/>
      </bottom>
      <diagonal/>
    </border>
    <border>
      <left style="hair">
        <color theme="0" tint="-0.249977111117893"/>
      </left>
      <right style="hair">
        <color theme="0" tint="-0.249977111117893"/>
      </right>
      <top style="hair">
        <color theme="0" tint="-0.249977111117893"/>
      </top>
      <bottom style="hair">
        <color theme="0" tint="-0.249977111117893"/>
      </bottom>
      <diagonal/>
    </border>
    <border>
      <left style="hair">
        <color theme="0" tint="-0.249977111117893"/>
      </left>
      <right style="hair">
        <color theme="0" tint="-0.249977111117893"/>
      </right>
      <top style="hair">
        <color theme="0" tint="-0.249977111117893"/>
      </top>
      <bottom/>
      <diagonal/>
    </border>
    <border>
      <left/>
      <right/>
      <top style="thin">
        <color theme="0" tint="-0.249977111117893"/>
      </top>
      <bottom style="thin">
        <color theme="0" tint="-0.34998626667073579"/>
      </bottom>
      <diagonal/>
    </border>
    <border>
      <left style="hair">
        <color theme="0" tint="-0.249977111117893"/>
      </left>
      <right style="thin">
        <color theme="0" tint="-0.249977111117893"/>
      </right>
      <top style="thin">
        <color theme="0" tint="-0.249977111117893"/>
      </top>
      <bottom style="hair">
        <color theme="0" tint="-0.249977111117893"/>
      </bottom>
      <diagonal/>
    </border>
    <border>
      <left style="hair">
        <color theme="0" tint="-0.249977111117893"/>
      </left>
      <right style="thin">
        <color theme="0" tint="-0.249977111117893"/>
      </right>
      <top style="hair">
        <color theme="0" tint="-0.249977111117893"/>
      </top>
      <bottom style="hair">
        <color theme="0" tint="-0.249977111117893"/>
      </bottom>
      <diagonal/>
    </border>
    <border>
      <left style="thin">
        <color rgb="FFA6A6A6"/>
      </left>
      <right/>
      <top style="thin">
        <color rgb="FFA6A6A6"/>
      </top>
      <bottom/>
      <diagonal/>
    </border>
    <border>
      <left style="thin">
        <color indexed="64"/>
      </left>
      <right/>
      <top style="thin">
        <color rgb="FFBFBFBF"/>
      </top>
      <bottom style="hair">
        <color rgb="FFA6A6A6"/>
      </bottom>
      <diagonal/>
    </border>
    <border>
      <left/>
      <right style="hair">
        <color rgb="FFBFBFBF"/>
      </right>
      <top style="thin">
        <color rgb="FFBFBFBF"/>
      </top>
      <bottom style="hair">
        <color rgb="FFBFBFBF"/>
      </bottom>
      <diagonal/>
    </border>
    <border>
      <left style="thin">
        <color indexed="64"/>
      </left>
      <right/>
      <top/>
      <bottom style="hair">
        <color rgb="FFA6A6A6"/>
      </bottom>
      <diagonal/>
    </border>
    <border>
      <left/>
      <right style="hair">
        <color rgb="FFBFBFBF"/>
      </right>
      <top/>
      <bottom style="hair">
        <color rgb="FFBFBFBF"/>
      </bottom>
      <diagonal/>
    </border>
    <border>
      <left style="thin">
        <color indexed="64"/>
      </left>
      <right/>
      <top/>
      <bottom style="thin">
        <color rgb="FFBFBFBF"/>
      </bottom>
      <diagonal/>
    </border>
    <border>
      <left/>
      <right style="hair">
        <color rgb="FFBFBFBF"/>
      </right>
      <top/>
      <bottom style="thin">
        <color rgb="FFBFBFBF"/>
      </bottom>
      <diagonal/>
    </border>
    <border>
      <left style="thin">
        <color rgb="FFA6A6A6"/>
      </left>
      <right/>
      <top/>
      <bottom style="thin">
        <color rgb="FFA6A6A6"/>
      </bottom>
      <diagonal/>
    </border>
    <border>
      <left style="thin">
        <color rgb="FFA6A6A6"/>
      </left>
      <right/>
      <top style="thin">
        <color rgb="FFA6A6A6"/>
      </top>
      <bottom style="thin">
        <color rgb="FFA6A6A6"/>
      </bottom>
      <diagonal/>
    </border>
    <border>
      <left style="thin">
        <color indexed="64"/>
      </left>
      <right/>
      <top style="thin">
        <color rgb="FFA6A6A6"/>
      </top>
      <bottom style="thin">
        <color indexed="64"/>
      </bottom>
      <diagonal/>
    </border>
    <border>
      <left style="thin">
        <color rgb="FFA6A6A6"/>
      </left>
      <right/>
      <top style="thin">
        <color rgb="FFA6A6A6"/>
      </top>
      <bottom style="thin">
        <color indexed="64"/>
      </bottom>
      <diagonal/>
    </border>
    <border>
      <left style="hair">
        <color theme="0" tint="-0.249977111117893"/>
      </left>
      <right style="thin">
        <color theme="0" tint="-0.249977111117893"/>
      </right>
      <top/>
      <bottom style="hair">
        <color theme="0" tint="-0.249977111117893"/>
      </bottom>
      <diagonal/>
    </border>
    <border>
      <left style="hair">
        <color theme="0" tint="-0.249977111117893"/>
      </left>
      <right style="thin">
        <color theme="0" tint="-0.249977111117893"/>
      </right>
      <top style="thin">
        <color theme="0" tint="-0.249977111117893"/>
      </top>
      <bottom/>
      <diagonal/>
    </border>
    <border>
      <left style="hair">
        <color theme="0" tint="-0.249977111117893"/>
      </left>
      <right style="thin">
        <color indexed="64"/>
      </right>
      <top style="thin">
        <color theme="0" tint="-0.249977111117893"/>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double">
        <color theme="0" tint="-0.34998626667073579"/>
      </left>
      <right style="thin">
        <color auto="1"/>
      </right>
      <top style="double">
        <color theme="0" tint="-0.34998626667073579"/>
      </top>
      <bottom style="double">
        <color theme="0" tint="-0.34998626667073579"/>
      </bottom>
      <diagonal/>
    </border>
    <border>
      <left style="thin">
        <color auto="1"/>
      </left>
      <right style="thin">
        <color theme="0" tint="-0.34998626667073579"/>
      </right>
      <top style="thin">
        <color theme="0" tint="-0.34998626667073579"/>
      </top>
      <bottom style="hair">
        <color theme="0" tint="-0.34998626667073579"/>
      </bottom>
      <diagonal/>
    </border>
    <border>
      <left style="thin">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top style="thin">
        <color theme="0" tint="-0.34998626667073579"/>
      </top>
      <bottom style="hair">
        <color theme="0" tint="-0.34998626667073579"/>
      </bottom>
      <diagonal/>
    </border>
    <border>
      <left/>
      <right style="thin">
        <color theme="2" tint="-0.249977111117893"/>
      </right>
      <top style="thin">
        <color theme="0" tint="-0.34998626667073579"/>
      </top>
      <bottom style="hair">
        <color theme="0" tint="-0.34998626667073579"/>
      </bottom>
      <diagonal/>
    </border>
    <border>
      <left style="thin">
        <color theme="2" tint="-0.249977111117893"/>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right style="thin">
        <color auto="1"/>
      </right>
      <top style="thin">
        <color theme="0" tint="-0.34998626667073579"/>
      </top>
      <bottom style="hair">
        <color theme="0" tint="-0.34998626667073579"/>
      </bottom>
      <diagonal/>
    </border>
    <border>
      <left style="thin">
        <color theme="0" tint="-0.249977111117893"/>
      </left>
      <right/>
      <top style="thin">
        <color theme="0" tint="-0.34998626667073579"/>
      </top>
      <bottom/>
      <diagonal/>
    </border>
    <border>
      <left style="hair">
        <color theme="0" tint="-0.249977111117893"/>
      </left>
      <right style="hair">
        <color theme="0" tint="-0.249977111117893"/>
      </right>
      <top style="thin">
        <color theme="0" tint="-0.249977111117893"/>
      </top>
      <bottom style="hair">
        <color theme="0" tint="-0.249977111117893"/>
      </bottom>
      <diagonal/>
    </border>
    <border>
      <left style="thin">
        <color auto="1"/>
      </left>
      <right style="hair">
        <color theme="0" tint="-0.249977111117893"/>
      </right>
      <top style="hair">
        <color theme="0" tint="-0.249977111117893"/>
      </top>
      <bottom style="hair">
        <color theme="0" tint="-0.249977111117893"/>
      </bottom>
      <diagonal/>
    </border>
    <border>
      <left style="hair">
        <color theme="0" tint="-0.249977111117893"/>
      </left>
      <right style="hair">
        <color theme="0" tint="-0.249977111117893"/>
      </right>
      <top style="hair">
        <color theme="0" tint="-0.249977111117893"/>
      </top>
      <bottom style="thin">
        <color theme="0" tint="-0.249977111117893"/>
      </bottom>
      <diagonal/>
    </border>
    <border>
      <left style="double">
        <color theme="0" tint="-0.34998626667073579"/>
      </left>
      <right style="thin">
        <color auto="1"/>
      </right>
      <top style="double">
        <color theme="0" tint="-0.34998626667073579"/>
      </top>
      <bottom style="thin">
        <color auto="1"/>
      </bottom>
      <diagonal/>
    </border>
    <border>
      <left style="thin">
        <color theme="0" tint="-0.249977111117893"/>
      </left>
      <right style="hair">
        <color theme="0" tint="-0.249977111117893"/>
      </right>
      <top style="hair">
        <color theme="0" tint="-0.249977111117893"/>
      </top>
      <bottom style="hair">
        <color theme="0" tint="-0.249977111117893"/>
      </bottom>
      <diagonal/>
    </border>
    <border>
      <left style="thin">
        <color auto="1"/>
      </left>
      <right style="hair">
        <color theme="0" tint="-0.249977111117893"/>
      </right>
      <top style="hair">
        <color theme="0" tint="-0.249977111117893"/>
      </top>
      <bottom style="thin">
        <color auto="1"/>
      </bottom>
      <diagonal/>
    </border>
    <border>
      <left style="hair">
        <color theme="0" tint="-0.249977111117893"/>
      </left>
      <right style="hair">
        <color theme="0" tint="-0.249977111117893"/>
      </right>
      <top style="hair">
        <color theme="0" tint="-0.249977111117893"/>
      </top>
      <bottom style="thin">
        <color auto="1"/>
      </bottom>
      <diagonal/>
    </border>
    <border>
      <left/>
      <right style="hair">
        <color theme="0" tint="-0.249977111117893"/>
      </right>
      <top style="hair">
        <color theme="0" tint="-0.249977111117893"/>
      </top>
      <bottom/>
      <diagonal/>
    </border>
    <border>
      <left style="thin">
        <color indexed="64"/>
      </left>
      <right/>
      <top style="thin">
        <color indexed="64"/>
      </top>
      <bottom style="thin">
        <color auto="1"/>
      </bottom>
      <diagonal/>
    </border>
    <border>
      <left style="thin">
        <color indexed="64"/>
      </left>
      <right style="thin">
        <color indexed="64"/>
      </right>
      <top style="hair">
        <color indexed="64"/>
      </top>
      <bottom style="hair">
        <color indexed="64"/>
      </bottom>
      <diagonal/>
    </border>
    <border>
      <left style="thin">
        <color indexed="64"/>
      </left>
      <right style="hair">
        <color theme="0" tint="-0.249977111117893"/>
      </right>
      <top style="hair">
        <color indexed="64"/>
      </top>
      <bottom style="hair">
        <color indexed="64"/>
      </bottom>
      <diagonal/>
    </border>
    <border>
      <left style="thin">
        <color indexed="64"/>
      </left>
      <right style="thin">
        <color indexed="64"/>
      </right>
      <top style="hair">
        <color indexed="64"/>
      </top>
      <bottom style="thin">
        <color auto="1"/>
      </bottom>
      <diagonal/>
    </border>
    <border>
      <left style="thin">
        <color indexed="64"/>
      </left>
      <right/>
      <top style="hair">
        <color indexed="64"/>
      </top>
      <bottom style="thin">
        <color auto="1"/>
      </bottom>
      <diagonal/>
    </border>
    <border>
      <left style="thin">
        <color indexed="64"/>
      </left>
      <right style="thin">
        <color indexed="64"/>
      </right>
      <top/>
      <bottom style="hair">
        <color indexed="64"/>
      </bottom>
      <diagonal/>
    </border>
    <border>
      <left style="thin">
        <color indexed="64"/>
      </left>
      <right style="hair">
        <color theme="0" tint="-0.249977111117893"/>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theme="0" tint="-0.249977111117893"/>
      </right>
      <top style="thin">
        <color auto="1"/>
      </top>
      <bottom style="thin">
        <color theme="0" tint="-0.249977111117893"/>
      </bottom>
      <diagonal/>
    </border>
    <border>
      <left/>
      <right/>
      <top/>
      <bottom style="thin">
        <color theme="0" tint="-0.249977111117893"/>
      </bottom>
      <diagonal/>
    </border>
    <border>
      <left style="thin">
        <color auto="1"/>
      </left>
      <right style="thin">
        <color theme="0" tint="-0.34998626667073579"/>
      </right>
      <top style="thin">
        <color auto="1"/>
      </top>
      <bottom style="thin">
        <color theme="1"/>
      </bottom>
      <diagonal/>
    </border>
    <border>
      <left style="thin">
        <color theme="0" tint="-0.34998626667073579"/>
      </left>
      <right style="thin">
        <color theme="0" tint="-0.34998626667073579"/>
      </right>
      <top style="thin">
        <color auto="1"/>
      </top>
      <bottom style="thin">
        <color theme="1"/>
      </bottom>
      <diagonal/>
    </border>
    <border>
      <left style="thin">
        <color theme="0" tint="-0.34998626667073579"/>
      </left>
      <right style="thin">
        <color theme="1"/>
      </right>
      <top style="thin">
        <color auto="1"/>
      </top>
      <bottom style="thin">
        <color theme="1"/>
      </bottom>
      <diagonal/>
    </border>
    <border>
      <left style="thin">
        <color auto="1"/>
      </left>
      <right/>
      <top style="thin">
        <color auto="1"/>
      </top>
      <bottom style="thin">
        <color theme="1"/>
      </bottom>
      <diagonal/>
    </border>
    <border>
      <left/>
      <right/>
      <top style="thin">
        <color auto="1"/>
      </top>
      <bottom style="thin">
        <color theme="1"/>
      </bottom>
      <diagonal/>
    </border>
    <border>
      <left/>
      <right style="thin">
        <color theme="0" tint="-0.34998626667073579"/>
      </right>
      <top style="thin">
        <color auto="1"/>
      </top>
      <bottom style="thin">
        <color theme="1"/>
      </bottom>
      <diagonal/>
    </border>
    <border>
      <left style="thin">
        <color theme="0" tint="-0.34998626667073579"/>
      </left>
      <right/>
      <top style="thin">
        <color auto="1"/>
      </top>
      <bottom style="thin">
        <color theme="1"/>
      </bottom>
      <diagonal/>
    </border>
    <border>
      <left/>
      <right style="thin">
        <color auto="1"/>
      </right>
      <top style="thin">
        <color auto="1"/>
      </top>
      <bottom style="thin">
        <color theme="1"/>
      </bottom>
      <diagonal/>
    </border>
    <border>
      <left style="thin">
        <color theme="0" tint="-0.249977111117893"/>
      </left>
      <right style="thin">
        <color theme="1"/>
      </right>
      <top style="thin">
        <color auto="1"/>
      </top>
      <bottom style="thin">
        <color indexed="64"/>
      </bottom>
      <diagonal/>
    </border>
    <border>
      <left style="thin">
        <color auto="1"/>
      </left>
      <right/>
      <top style="thin">
        <color auto="1"/>
      </top>
      <bottom style="thin">
        <color theme="0" tint="-0.34998626667073579"/>
      </bottom>
      <diagonal/>
    </border>
    <border>
      <left/>
      <right/>
      <top style="thin">
        <color auto="1"/>
      </top>
      <bottom style="thin">
        <color theme="0" tint="-0.34998626667073579"/>
      </bottom>
      <diagonal/>
    </border>
    <border>
      <left/>
      <right style="thin">
        <color indexed="64"/>
      </right>
      <top style="thin">
        <color indexed="64"/>
      </top>
      <bottom style="thin">
        <color theme="0" tint="-0.34998626667073579"/>
      </bottom>
      <diagonal/>
    </border>
    <border>
      <left style="hair">
        <color theme="0" tint="-0.249977111117893"/>
      </left>
      <right style="thin">
        <color auto="1"/>
      </right>
      <top style="hair">
        <color theme="0" tint="-0.249977111117893"/>
      </top>
      <bottom style="thin">
        <color indexed="64"/>
      </bottom>
      <diagonal/>
    </border>
    <border>
      <left style="hair">
        <color theme="0" tint="-0.249977111117893"/>
      </left>
      <right style="thin">
        <color theme="1"/>
      </right>
      <top style="thin">
        <color indexed="64"/>
      </top>
      <bottom style="hair">
        <color theme="0" tint="-0.249977111117893"/>
      </bottom>
      <diagonal/>
    </border>
    <border>
      <left style="hair">
        <color theme="0" tint="-0.249977111117893"/>
      </left>
      <right/>
      <top/>
      <bottom/>
      <diagonal/>
    </border>
    <border>
      <left style="hair">
        <color theme="0" tint="-0.249977111117893"/>
      </left>
      <right/>
      <top style="hair">
        <color theme="0" tint="-0.249977111117893"/>
      </top>
      <bottom/>
      <diagonal/>
    </border>
    <border>
      <left style="hair">
        <color theme="0" tint="-0.249977111117893"/>
      </left>
      <right style="thin">
        <color auto="1"/>
      </right>
      <top/>
      <bottom/>
      <diagonal/>
    </border>
    <border>
      <left style="hair">
        <color theme="0" tint="-0.249977111117893"/>
      </left>
      <right style="thin">
        <color theme="0" tint="-0.249977111117893"/>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bottom style="thin">
        <color auto="1"/>
      </bottom>
      <diagonal/>
    </border>
    <border>
      <left style="thin">
        <color indexed="64"/>
      </left>
      <right/>
      <top/>
      <bottom style="thin">
        <color indexed="64"/>
      </bottom>
      <diagonal/>
    </border>
    <border>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s>
  <cellStyleXfs count="30">
    <xf numFmtId="0" fontId="0" fillId="0" borderId="0"/>
    <xf numFmtId="43" fontId="3" fillId="0" borderId="0" applyFont="0" applyFill="0" applyBorder="0" applyAlignment="0" applyProtection="0"/>
    <xf numFmtId="0" fontId="10" fillId="0" borderId="0"/>
    <xf numFmtId="43" fontId="10" fillId="0" borderId="0" applyFont="0" applyFill="0" applyBorder="0" applyAlignment="0" applyProtection="0"/>
    <xf numFmtId="9" fontId="11" fillId="0" borderId="0" applyFont="0" applyFill="0" applyBorder="0" applyAlignment="0" applyProtection="0"/>
    <xf numFmtId="43" fontId="15" fillId="0" borderId="0" applyFont="0" applyFill="0" applyBorder="0" applyAlignment="0" applyProtection="0"/>
    <xf numFmtId="9" fontId="3" fillId="0" borderId="0" applyFont="0" applyFill="0" applyBorder="0" applyAlignment="0" applyProtection="0"/>
    <xf numFmtId="0" fontId="24" fillId="0" borderId="0"/>
    <xf numFmtId="0" fontId="26" fillId="0" borderId="0"/>
    <xf numFmtId="43" fontId="27" fillId="0" borderId="0" applyFont="0" applyFill="0" applyBorder="0" applyAlignment="0" applyProtection="0"/>
    <xf numFmtId="0" fontId="31" fillId="0" borderId="0" applyNumberFormat="0" applyFill="0" applyBorder="0" applyAlignment="0" applyProtection="0"/>
    <xf numFmtId="0" fontId="15" fillId="0" borderId="0"/>
    <xf numFmtId="41" fontId="3" fillId="0" borderId="0" applyFont="0" applyFill="0" applyBorder="0" applyAlignment="0" applyProtection="0"/>
    <xf numFmtId="0" fontId="15" fillId="0" borderId="0"/>
    <xf numFmtId="43" fontId="15" fillId="0" borderId="0" applyFont="0" applyFill="0" applyBorder="0" applyAlignment="0" applyProtection="0"/>
    <xf numFmtId="0" fontId="15" fillId="0" borderId="0"/>
    <xf numFmtId="9" fontId="3" fillId="0" borderId="0" applyFont="0" applyFill="0" applyBorder="0" applyAlignment="0" applyProtection="0"/>
    <xf numFmtId="43" fontId="47"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9" fontId="15" fillId="0" borderId="0" applyFont="0" applyFill="0" applyBorder="0" applyAlignment="0" applyProtection="0"/>
    <xf numFmtId="41" fontId="3" fillId="0" borderId="0" applyFont="0" applyFill="0" applyBorder="0" applyAlignment="0" applyProtection="0"/>
    <xf numFmtId="43" fontId="15" fillId="0" borderId="0" applyFont="0" applyFill="0" applyBorder="0" applyAlignment="0" applyProtection="0"/>
    <xf numFmtId="41" fontId="3" fillId="0" borderId="0" applyFont="0" applyFill="0" applyBorder="0" applyAlignment="0" applyProtection="0"/>
    <xf numFmtId="9" fontId="15" fillId="0" borderId="0" applyFont="0" applyFill="0" applyBorder="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xf numFmtId="9" fontId="1" fillId="0" borderId="0" applyFont="0" applyFill="0" applyBorder="0" applyAlignment="0" applyProtection="0"/>
    <xf numFmtId="0" fontId="1" fillId="0" borderId="0"/>
  </cellStyleXfs>
  <cellXfs count="1232">
    <xf numFmtId="0" fontId="0" fillId="0" borderId="0" xfId="0"/>
    <xf numFmtId="0" fontId="5" fillId="0" borderId="0" xfId="2" applyFont="1" applyAlignment="1">
      <alignment vertical="center"/>
    </xf>
    <xf numFmtId="0" fontId="5" fillId="0" borderId="0" xfId="2" applyFont="1" applyAlignment="1">
      <alignment horizontal="center" vertical="center"/>
    </xf>
    <xf numFmtId="0" fontId="5" fillId="0" borderId="0" xfId="0" applyFont="1" applyAlignment="1">
      <alignment vertical="center"/>
    </xf>
    <xf numFmtId="0" fontId="12" fillId="0" borderId="0" xfId="2" applyFont="1" applyAlignment="1">
      <alignment horizontal="center" vertical="center"/>
    </xf>
    <xf numFmtId="0" fontId="5" fillId="5" borderId="0" xfId="2" applyFont="1" applyFill="1" applyAlignment="1">
      <alignment vertical="center"/>
    </xf>
    <xf numFmtId="0" fontId="5" fillId="5" borderId="0" xfId="2" applyFont="1" applyFill="1" applyAlignment="1">
      <alignment horizontal="center" vertical="center"/>
    </xf>
    <xf numFmtId="0" fontId="16" fillId="0" borderId="0" xfId="0" applyFont="1" applyAlignment="1">
      <alignment vertical="center" wrapText="1"/>
    </xf>
    <xf numFmtId="0" fontId="4" fillId="0" borderId="0" xfId="0" applyFont="1" applyAlignment="1">
      <alignment vertical="center"/>
    </xf>
    <xf numFmtId="0" fontId="20" fillId="0" borderId="0" xfId="2" applyFont="1" applyAlignment="1">
      <alignment horizontal="center" vertical="center"/>
    </xf>
    <xf numFmtId="0" fontId="11" fillId="4" borderId="0" xfId="2" applyFont="1" applyFill="1" applyAlignment="1">
      <alignment vertical="center"/>
    </xf>
    <xf numFmtId="0" fontId="11" fillId="0" borderId="0" xfId="2" applyFont="1" applyAlignment="1">
      <alignment vertical="center"/>
    </xf>
    <xf numFmtId="9" fontId="7" fillId="4" borderId="24" xfId="6" applyFont="1" applyFill="1" applyBorder="1" applyAlignment="1">
      <alignment horizontal="center" vertical="center" wrapText="1"/>
    </xf>
    <xf numFmtId="0" fontId="17" fillId="0" borderId="0" xfId="2" applyFont="1" applyAlignment="1">
      <alignment vertical="center"/>
    </xf>
    <xf numFmtId="0" fontId="11" fillId="5" borderId="0" xfId="2" applyFont="1" applyFill="1" applyAlignment="1">
      <alignment vertical="center"/>
    </xf>
    <xf numFmtId="0" fontId="11" fillId="5" borderId="0" xfId="2" applyFont="1" applyFill="1" applyAlignment="1">
      <alignment horizontal="center" vertical="center"/>
    </xf>
    <xf numFmtId="0" fontId="11" fillId="5" borderId="0" xfId="2" applyFont="1" applyFill="1" applyAlignment="1">
      <alignment horizontal="left" vertical="center"/>
    </xf>
    <xf numFmtId="0" fontId="11" fillId="0" borderId="0" xfId="2" applyFont="1" applyAlignment="1">
      <alignment horizontal="center" vertical="center"/>
    </xf>
    <xf numFmtId="0" fontId="19" fillId="0" borderId="0" xfId="2" applyFont="1" applyAlignment="1">
      <alignment vertical="center"/>
    </xf>
    <xf numFmtId="9" fontId="21" fillId="4" borderId="2" xfId="2" applyNumberFormat="1" applyFont="1" applyFill="1" applyBorder="1" applyAlignment="1">
      <alignment horizontal="center" vertical="center"/>
    </xf>
    <xf numFmtId="9" fontId="20" fillId="4" borderId="29" xfId="2" applyNumberFormat="1" applyFont="1" applyFill="1" applyBorder="1" applyAlignment="1">
      <alignment vertical="center"/>
    </xf>
    <xf numFmtId="9" fontId="20" fillId="4" borderId="33" xfId="2" applyNumberFormat="1" applyFont="1" applyFill="1" applyBorder="1" applyAlignment="1">
      <alignment vertical="center"/>
    </xf>
    <xf numFmtId="9" fontId="20" fillId="4" borderId="19" xfId="2" applyNumberFormat="1" applyFont="1" applyFill="1" applyBorder="1" applyAlignment="1">
      <alignment vertical="center"/>
    </xf>
    <xf numFmtId="0" fontId="21" fillId="2" borderId="6" xfId="2" applyFont="1" applyFill="1" applyBorder="1" applyAlignment="1">
      <alignment vertical="center" wrapText="1"/>
    </xf>
    <xf numFmtId="0" fontId="21" fillId="2" borderId="27" xfId="2" applyFont="1" applyFill="1" applyBorder="1" applyAlignment="1">
      <alignment vertical="center" wrapText="1"/>
    </xf>
    <xf numFmtId="9" fontId="21" fillId="2" borderId="28" xfId="2" applyNumberFormat="1" applyFont="1" applyFill="1" applyBorder="1" applyAlignment="1">
      <alignment horizontal="center" vertical="center"/>
    </xf>
    <xf numFmtId="9" fontId="21" fillId="2" borderId="7" xfId="2" applyNumberFormat="1" applyFont="1" applyFill="1" applyBorder="1" applyAlignment="1">
      <alignment vertical="center"/>
    </xf>
    <xf numFmtId="9" fontId="21" fillId="2" borderId="25" xfId="2" applyNumberFormat="1" applyFont="1" applyFill="1" applyBorder="1" applyAlignment="1">
      <alignment horizontal="center" vertical="center"/>
    </xf>
    <xf numFmtId="0" fontId="21" fillId="7" borderId="45" xfId="0" applyFont="1" applyFill="1" applyBorder="1" applyAlignment="1">
      <alignment vertical="center" wrapText="1"/>
    </xf>
    <xf numFmtId="0" fontId="21" fillId="7" borderId="46" xfId="0" applyFont="1" applyFill="1" applyBorder="1" applyAlignment="1">
      <alignment vertical="center" wrapText="1"/>
    </xf>
    <xf numFmtId="0" fontId="5" fillId="0" borderId="0" xfId="2" applyFont="1" applyAlignment="1">
      <alignment horizontal="center" vertical="center" wrapText="1"/>
    </xf>
    <xf numFmtId="0" fontId="5" fillId="0" borderId="0" xfId="2" applyFont="1" applyAlignment="1">
      <alignment vertical="center" wrapText="1"/>
    </xf>
    <xf numFmtId="9" fontId="5" fillId="0" borderId="0" xfId="6" applyFont="1" applyBorder="1" applyAlignment="1">
      <alignment horizontal="center" vertical="center" wrapText="1"/>
    </xf>
    <xf numFmtId="9" fontId="12" fillId="0" borderId="0" xfId="6" applyFont="1" applyBorder="1" applyAlignment="1">
      <alignment horizontal="center" vertical="center" wrapText="1"/>
    </xf>
    <xf numFmtId="0" fontId="5" fillId="0" borderId="62" xfId="2" applyFont="1" applyBorder="1" applyAlignment="1">
      <alignment horizontal="center" vertical="center"/>
    </xf>
    <xf numFmtId="9" fontId="5" fillId="5" borderId="0" xfId="6" applyFont="1" applyFill="1" applyAlignment="1">
      <alignment vertical="center"/>
    </xf>
    <xf numFmtId="9" fontId="12" fillId="5" borderId="0" xfId="6" applyFont="1" applyFill="1" applyAlignment="1">
      <alignment vertical="center"/>
    </xf>
    <xf numFmtId="0" fontId="12" fillId="5" borderId="0" xfId="2" applyFont="1" applyFill="1" applyAlignment="1">
      <alignment horizontal="center" vertical="center"/>
    </xf>
    <xf numFmtId="0" fontId="12" fillId="5" borderId="0" xfId="2" applyFont="1" applyFill="1" applyAlignment="1">
      <alignment vertical="center"/>
    </xf>
    <xf numFmtId="9" fontId="5" fillId="0" borderId="0" xfId="6" applyFont="1" applyAlignment="1">
      <alignment vertical="center"/>
    </xf>
    <xf numFmtId="9" fontId="12" fillId="0" borderId="0" xfId="6" applyFont="1" applyAlignment="1">
      <alignment vertical="center"/>
    </xf>
    <xf numFmtId="0" fontId="5" fillId="4" borderId="0" xfId="2" applyFont="1" applyFill="1" applyAlignment="1">
      <alignment vertical="center"/>
    </xf>
    <xf numFmtId="0" fontId="30" fillId="0" borderId="0" xfId="0" applyFont="1" applyAlignment="1">
      <alignment vertical="center"/>
    </xf>
    <xf numFmtId="0" fontId="9" fillId="0" borderId="0" xfId="0" applyFont="1" applyAlignment="1">
      <alignment vertical="center"/>
    </xf>
    <xf numFmtId="0" fontId="5" fillId="0" borderId="0" xfId="0" applyFont="1" applyAlignment="1">
      <alignment horizontal="center" vertical="center"/>
    </xf>
    <xf numFmtId="0" fontId="5" fillId="0" borderId="0" xfId="2" applyFont="1" applyAlignment="1">
      <alignment horizontal="justify" vertical="center"/>
    </xf>
    <xf numFmtId="0" fontId="12" fillId="5" borderId="20" xfId="2" applyFont="1" applyFill="1" applyBorder="1" applyAlignment="1">
      <alignment horizontal="center" vertical="center"/>
    </xf>
    <xf numFmtId="0" fontId="12" fillId="5" borderId="0" xfId="2" applyFont="1" applyFill="1" applyAlignment="1">
      <alignment horizontal="left" vertical="center"/>
    </xf>
    <xf numFmtId="0" fontId="12" fillId="5" borderId="21" xfId="2" applyFont="1" applyFill="1" applyBorder="1" applyAlignment="1">
      <alignment horizontal="center" vertical="center"/>
    </xf>
    <xf numFmtId="0" fontId="12" fillId="4" borderId="0" xfId="2" applyFont="1" applyFill="1" applyAlignment="1">
      <alignment horizontal="center" vertical="center"/>
    </xf>
    <xf numFmtId="0" fontId="5" fillId="0" borderId="20" xfId="2" applyFont="1" applyBorder="1" applyAlignment="1">
      <alignment horizontal="center" vertical="center"/>
    </xf>
    <xf numFmtId="0" fontId="12" fillId="0" borderId="0" xfId="2" applyFont="1" applyAlignment="1">
      <alignment vertical="center"/>
    </xf>
    <xf numFmtId="0" fontId="12" fillId="2" borderId="18" xfId="2" applyFont="1" applyFill="1" applyBorder="1" applyAlignment="1">
      <alignment horizontal="center" vertical="center"/>
    </xf>
    <xf numFmtId="0" fontId="5" fillId="2" borderId="19" xfId="2" applyFont="1" applyFill="1" applyBorder="1" applyAlignment="1">
      <alignment vertical="center"/>
    </xf>
    <xf numFmtId="0" fontId="5" fillId="2" borderId="19" xfId="2" applyFont="1" applyFill="1" applyBorder="1" applyAlignment="1">
      <alignment horizontal="center" vertical="center"/>
    </xf>
    <xf numFmtId="0" fontId="12" fillId="2" borderId="19" xfId="2" applyFont="1" applyFill="1" applyBorder="1" applyAlignment="1">
      <alignment horizontal="center" vertical="center"/>
    </xf>
    <xf numFmtId="9" fontId="21" fillId="2" borderId="51" xfId="6" applyFont="1" applyFill="1" applyBorder="1" applyAlignment="1">
      <alignment horizontal="center" vertical="center" wrapText="1"/>
    </xf>
    <xf numFmtId="0" fontId="11" fillId="0" borderId="0" xfId="2" applyFont="1" applyAlignment="1">
      <alignment horizontal="left" vertical="center"/>
    </xf>
    <xf numFmtId="0" fontId="5" fillId="5" borderId="0" xfId="2" applyFont="1" applyFill="1" applyAlignment="1">
      <alignment horizontal="left" vertical="center"/>
    </xf>
    <xf numFmtId="0" fontId="17" fillId="5" borderId="0" xfId="2" applyFont="1" applyFill="1" applyAlignment="1">
      <alignment horizontal="center" vertical="center"/>
    </xf>
    <xf numFmtId="9" fontId="5" fillId="5" borderId="0" xfId="2" applyNumberFormat="1" applyFont="1" applyFill="1" applyAlignment="1">
      <alignment horizontal="center" vertical="center"/>
    </xf>
    <xf numFmtId="0" fontId="20" fillId="0" borderId="0" xfId="2" applyFont="1" applyAlignment="1">
      <alignment horizontal="right" vertical="center"/>
    </xf>
    <xf numFmtId="0" fontId="11" fillId="0" borderId="0" xfId="2" applyFont="1" applyAlignment="1">
      <alignment horizontal="right" vertical="center"/>
    </xf>
    <xf numFmtId="0" fontId="8" fillId="0" borderId="0" xfId="0" applyFont="1" applyAlignment="1">
      <alignment horizontal="left" vertical="center"/>
    </xf>
    <xf numFmtId="0" fontId="5" fillId="0" borderId="0" xfId="0" applyFont="1"/>
    <xf numFmtId="0" fontId="5" fillId="0" borderId="1" xfId="0" applyFont="1" applyBorder="1" applyAlignment="1">
      <alignment horizontal="center" vertical="center"/>
    </xf>
    <xf numFmtId="0" fontId="5" fillId="0" borderId="1" xfId="0" applyFont="1" applyBorder="1" applyAlignment="1">
      <alignment horizontal="left" vertical="center"/>
    </xf>
    <xf numFmtId="0" fontId="25" fillId="0" borderId="0" xfId="0" applyFont="1" applyAlignment="1">
      <alignment vertical="center" wrapText="1"/>
    </xf>
    <xf numFmtId="0" fontId="32" fillId="0" borderId="0" xfId="0" applyFont="1" applyAlignment="1">
      <alignment vertical="center"/>
    </xf>
    <xf numFmtId="9" fontId="5" fillId="0" borderId="0" xfId="2" applyNumberFormat="1" applyFont="1" applyAlignment="1">
      <alignment vertical="center"/>
    </xf>
    <xf numFmtId="49" fontId="5" fillId="0" borderId="0" xfId="2" applyNumberFormat="1" applyFont="1" applyAlignment="1">
      <alignment horizontal="center" wrapText="1"/>
    </xf>
    <xf numFmtId="49" fontId="5" fillId="0" borderId="0" xfId="0" applyNumberFormat="1" applyFont="1" applyAlignment="1">
      <alignment horizontal="center"/>
    </xf>
    <xf numFmtId="49" fontId="5" fillId="5" borderId="0" xfId="2" applyNumberFormat="1" applyFont="1" applyFill="1" applyAlignment="1">
      <alignment horizontal="center"/>
    </xf>
    <xf numFmtId="49" fontId="5" fillId="0" borderId="0" xfId="2" applyNumberFormat="1" applyFont="1" applyAlignment="1">
      <alignment horizontal="center"/>
    </xf>
    <xf numFmtId="0" fontId="30" fillId="0" borderId="0" xfId="0" applyFont="1" applyAlignment="1">
      <alignment horizontal="center" vertical="center"/>
    </xf>
    <xf numFmtId="0" fontId="16" fillId="0" borderId="0" xfId="0" applyFont="1" applyAlignment="1">
      <alignment horizontal="center" vertical="center" wrapText="1"/>
    </xf>
    <xf numFmtId="0" fontId="8" fillId="0" borderId="0" xfId="0" applyFont="1" applyAlignment="1">
      <alignment horizontal="center" vertical="center"/>
    </xf>
    <xf numFmtId="1" fontId="36" fillId="0" borderId="0" xfId="0" applyNumberFormat="1" applyFont="1" applyAlignment="1">
      <alignment horizontal="center" vertical="center"/>
    </xf>
    <xf numFmtId="0" fontId="36" fillId="0" borderId="0" xfId="0" applyFont="1"/>
    <xf numFmtId="49" fontId="36" fillId="0" borderId="0" xfId="0" applyNumberFormat="1" applyFont="1" applyAlignment="1">
      <alignment horizontal="left" vertical="center"/>
    </xf>
    <xf numFmtId="49" fontId="37" fillId="0" borderId="0" xfId="0" applyNumberFormat="1" applyFont="1"/>
    <xf numFmtId="0" fontId="37" fillId="0" borderId="0" xfId="0" applyFont="1" applyAlignment="1">
      <alignment vertical="center"/>
    </xf>
    <xf numFmtId="0" fontId="13" fillId="0" borderId="0" xfId="0" applyFont="1" applyAlignment="1">
      <alignment vertical="center"/>
    </xf>
    <xf numFmtId="0" fontId="25" fillId="0" borderId="0" xfId="0" applyFont="1" applyAlignment="1">
      <alignment vertical="center"/>
    </xf>
    <xf numFmtId="0" fontId="25" fillId="0" borderId="0" xfId="2" applyFont="1" applyAlignment="1">
      <alignment vertical="center"/>
    </xf>
    <xf numFmtId="0" fontId="16" fillId="0" borderId="0" xfId="0" applyFont="1" applyAlignment="1">
      <alignment horizontal="left" vertical="center" wrapText="1"/>
    </xf>
    <xf numFmtId="0" fontId="5" fillId="0" borderId="1" xfId="2" applyFont="1" applyBorder="1" applyAlignment="1">
      <alignment horizontal="center" vertical="center"/>
    </xf>
    <xf numFmtId="166" fontId="5" fillId="0" borderId="1" xfId="2" applyNumberFormat="1" applyFont="1" applyBorder="1" applyAlignment="1">
      <alignment horizontal="center" vertical="center" wrapText="1"/>
    </xf>
    <xf numFmtId="9" fontId="5" fillId="0" borderId="1" xfId="4" applyFont="1" applyFill="1" applyBorder="1" applyAlignment="1">
      <alignment horizontal="left" vertical="center" wrapText="1"/>
    </xf>
    <xf numFmtId="9" fontId="5" fillId="0" borderId="1" xfId="13" applyNumberFormat="1" applyFont="1" applyBorder="1" applyAlignment="1">
      <alignment horizontal="center" vertical="center"/>
    </xf>
    <xf numFmtId="9" fontId="5" fillId="0" borderId="1" xfId="0" applyNumberFormat="1" applyFont="1" applyBorder="1" applyAlignment="1">
      <alignment horizontal="left" vertical="center" wrapText="1"/>
    </xf>
    <xf numFmtId="0" fontId="12" fillId="8" borderId="1" xfId="2" applyFont="1" applyFill="1" applyBorder="1" applyAlignment="1">
      <alignment horizontal="center" vertical="center" wrapText="1"/>
    </xf>
    <xf numFmtId="0" fontId="25" fillId="0" borderId="1" xfId="0" applyFont="1" applyBorder="1" applyAlignment="1">
      <alignment horizontal="center" vertical="center"/>
    </xf>
    <xf numFmtId="0" fontId="25" fillId="0" borderId="20" xfId="0" applyFont="1" applyBorder="1" applyAlignment="1">
      <alignment horizontal="left" vertical="center"/>
    </xf>
    <xf numFmtId="0" fontId="25" fillId="0" borderId="0" xfId="0" applyFont="1" applyAlignment="1">
      <alignment horizontal="center" vertical="center"/>
    </xf>
    <xf numFmtId="0" fontId="18" fillId="0" borderId="0" xfId="0" applyFont="1" applyAlignment="1">
      <alignment vertical="center"/>
    </xf>
    <xf numFmtId="0" fontId="25" fillId="0" borderId="20" xfId="0" applyFont="1" applyBorder="1" applyAlignment="1">
      <alignment vertical="center"/>
    </xf>
    <xf numFmtId="49" fontId="25" fillId="0" borderId="1" xfId="0" applyNumberFormat="1" applyFont="1" applyBorder="1" applyAlignment="1">
      <alignment horizontal="center" vertical="center"/>
    </xf>
    <xf numFmtId="0" fontId="38" fillId="0" borderId="0" xfId="0" applyFont="1" applyAlignment="1">
      <alignment vertical="center"/>
    </xf>
    <xf numFmtId="0" fontId="25" fillId="0" borderId="1" xfId="0" applyFont="1" applyBorder="1" applyAlignment="1">
      <alignment vertical="center"/>
    </xf>
    <xf numFmtId="0" fontId="38" fillId="0" borderId="0" xfId="0" applyFont="1" applyAlignment="1">
      <alignment horizontal="left" vertical="center"/>
    </xf>
    <xf numFmtId="0" fontId="25" fillId="0" borderId="1" xfId="2" applyFont="1" applyBorder="1" applyAlignment="1">
      <alignment horizontal="center" vertical="center" wrapText="1"/>
    </xf>
    <xf numFmtId="0" fontId="39" fillId="0" borderId="0" xfId="2" applyFont="1" applyAlignment="1">
      <alignment vertical="center" wrapText="1"/>
    </xf>
    <xf numFmtId="0" fontId="9" fillId="0" borderId="0" xfId="2" applyFont="1" applyAlignment="1">
      <alignment vertical="center" wrapText="1"/>
    </xf>
    <xf numFmtId="0" fontId="25" fillId="0" borderId="0" xfId="0" applyFont="1" applyAlignment="1">
      <alignment horizontal="left" vertical="center" wrapText="1"/>
    </xf>
    <xf numFmtId="0" fontId="13" fillId="0" borderId="0" xfId="2" applyFont="1" applyAlignment="1">
      <alignment vertical="center"/>
    </xf>
    <xf numFmtId="0" fontId="38" fillId="0" borderId="0" xfId="0" applyFont="1" applyAlignment="1">
      <alignment horizontal="left" vertical="center" wrapText="1"/>
    </xf>
    <xf numFmtId="0" fontId="5" fillId="0" borderId="0" xfId="0" applyFont="1" applyAlignment="1">
      <alignment horizontal="center" wrapText="1"/>
    </xf>
    <xf numFmtId="0" fontId="5" fillId="4" borderId="0" xfId="0" applyFont="1" applyFill="1" applyAlignment="1">
      <alignment horizontal="left" vertical="center"/>
    </xf>
    <xf numFmtId="0" fontId="12" fillId="2" borderId="1" xfId="0" applyFont="1" applyFill="1" applyBorder="1" applyAlignment="1">
      <alignment horizontal="center" vertical="center"/>
    </xf>
    <xf numFmtId="0" fontId="12" fillId="2" borderId="1" xfId="10" quotePrefix="1" applyFont="1" applyFill="1" applyBorder="1" applyAlignment="1">
      <alignment horizontal="center" vertical="center"/>
    </xf>
    <xf numFmtId="9" fontId="12" fillId="2" borderId="19" xfId="6" applyFont="1" applyFill="1" applyBorder="1" applyAlignment="1">
      <alignment horizontal="center" vertical="center"/>
    </xf>
    <xf numFmtId="0" fontId="12" fillId="2" borderId="6" xfId="2" applyFont="1" applyFill="1" applyBorder="1" applyAlignment="1">
      <alignment vertical="center"/>
    </xf>
    <xf numFmtId="0" fontId="12" fillId="2" borderId="7" xfId="2" applyFont="1" applyFill="1" applyBorder="1" applyAlignment="1">
      <alignment vertical="center"/>
    </xf>
    <xf numFmtId="0" fontId="5" fillId="2" borderId="7" xfId="2" applyFont="1" applyFill="1" applyBorder="1" applyAlignment="1">
      <alignment vertical="center"/>
    </xf>
    <xf numFmtId="0" fontId="5" fillId="2" borderId="7" xfId="2" applyFont="1" applyFill="1" applyBorder="1" applyAlignment="1">
      <alignment horizontal="center" vertical="center"/>
    </xf>
    <xf numFmtId="9" fontId="5" fillId="2" borderId="7" xfId="6" applyFont="1" applyFill="1" applyBorder="1" applyAlignment="1">
      <alignment vertical="center"/>
    </xf>
    <xf numFmtId="9" fontId="12" fillId="2" borderId="7" xfId="6" applyFont="1" applyFill="1" applyBorder="1" applyAlignment="1">
      <alignment vertical="center"/>
    </xf>
    <xf numFmtId="0" fontId="12" fillId="2" borderId="1" xfId="2" applyFont="1" applyFill="1" applyBorder="1" applyAlignment="1">
      <alignment horizontal="center" vertical="center" wrapText="1"/>
    </xf>
    <xf numFmtId="0" fontId="12" fillId="2" borderId="1" xfId="2" applyFont="1" applyFill="1" applyBorder="1" applyAlignment="1">
      <alignment vertical="center" wrapText="1"/>
    </xf>
    <xf numFmtId="0" fontId="12" fillId="2" borderId="72" xfId="2" applyFont="1" applyFill="1" applyBorder="1" applyAlignment="1">
      <alignment vertical="center" wrapText="1"/>
    </xf>
    <xf numFmtId="0" fontId="12" fillId="2" borderId="72" xfId="2" applyFont="1" applyFill="1" applyBorder="1" applyAlignment="1">
      <alignment vertical="center"/>
    </xf>
    <xf numFmtId="0" fontId="5" fillId="2" borderId="72" xfId="2" applyFont="1" applyFill="1" applyBorder="1" applyAlignment="1">
      <alignment vertical="center"/>
    </xf>
    <xf numFmtId="0" fontId="5" fillId="2" borderId="72" xfId="2" applyFont="1" applyFill="1" applyBorder="1" applyAlignment="1">
      <alignment horizontal="center" vertical="center"/>
    </xf>
    <xf numFmtId="49" fontId="12" fillId="2" borderId="72" xfId="2" applyNumberFormat="1" applyFont="1" applyFill="1" applyBorder="1" applyAlignment="1">
      <alignment horizontal="center" wrapText="1"/>
    </xf>
    <xf numFmtId="0" fontId="5" fillId="2" borderId="73" xfId="2" applyFont="1" applyFill="1" applyBorder="1" applyAlignment="1">
      <alignment horizontal="center" vertical="center"/>
    </xf>
    <xf numFmtId="164" fontId="33" fillId="10" borderId="70" xfId="0" applyNumberFormat="1" applyFont="1" applyFill="1" applyBorder="1" applyAlignment="1">
      <alignment vertical="center" wrapText="1"/>
    </xf>
    <xf numFmtId="9" fontId="5" fillId="4" borderId="75" xfId="6" applyFont="1" applyFill="1" applyBorder="1" applyAlignment="1">
      <alignment horizontal="center" vertical="center" wrapText="1"/>
    </xf>
    <xf numFmtId="164" fontId="5" fillId="4" borderId="75" xfId="5" applyNumberFormat="1" applyFont="1" applyFill="1" applyBorder="1" applyAlignment="1">
      <alignment horizontal="center" vertical="center" wrapText="1"/>
    </xf>
    <xf numFmtId="164" fontId="5" fillId="4" borderId="74" xfId="5" applyNumberFormat="1" applyFont="1" applyFill="1" applyBorder="1" applyAlignment="1">
      <alignment vertical="center" wrapText="1"/>
    </xf>
    <xf numFmtId="164" fontId="5" fillId="4" borderId="71" xfId="5" applyNumberFormat="1" applyFont="1" applyFill="1" applyBorder="1" applyAlignment="1">
      <alignment horizontal="center" vertical="center" wrapText="1"/>
    </xf>
    <xf numFmtId="164" fontId="5" fillId="4" borderId="70" xfId="5" applyNumberFormat="1" applyFont="1" applyFill="1" applyBorder="1" applyAlignment="1">
      <alignment vertical="center" wrapText="1"/>
    </xf>
    <xf numFmtId="1" fontId="33" fillId="10" borderId="70" xfId="0" applyNumberFormat="1" applyFont="1" applyFill="1" applyBorder="1" applyAlignment="1">
      <alignment horizontal="center" wrapText="1"/>
    </xf>
    <xf numFmtId="9" fontId="33" fillId="10" borderId="70" xfId="6" applyFont="1" applyFill="1" applyBorder="1" applyAlignment="1">
      <alignment vertical="center" wrapText="1"/>
    </xf>
    <xf numFmtId="164" fontId="33" fillId="10" borderId="70" xfId="0" applyNumberFormat="1" applyFont="1" applyFill="1" applyBorder="1" applyAlignment="1">
      <alignment horizontal="center" vertical="center" wrapText="1"/>
    </xf>
    <xf numFmtId="49" fontId="5" fillId="4" borderId="70" xfId="5" applyNumberFormat="1" applyFont="1" applyFill="1" applyBorder="1" applyAlignment="1">
      <alignment horizontal="center" vertical="center" wrapText="1"/>
    </xf>
    <xf numFmtId="9" fontId="5" fillId="4" borderId="70" xfId="6" applyFont="1" applyFill="1" applyBorder="1" applyAlignment="1">
      <alignment vertical="center" wrapText="1"/>
    </xf>
    <xf numFmtId="0" fontId="12" fillId="2" borderId="6" xfId="2" applyFont="1" applyFill="1" applyBorder="1" applyAlignment="1">
      <alignment vertical="center" wrapText="1"/>
    </xf>
    <xf numFmtId="9" fontId="12" fillId="2" borderId="7" xfId="2" applyNumberFormat="1" applyFont="1" applyFill="1" applyBorder="1" applyAlignment="1">
      <alignment vertical="center"/>
    </xf>
    <xf numFmtId="9" fontId="21" fillId="2" borderId="7" xfId="2" applyNumberFormat="1" applyFont="1" applyFill="1" applyBorder="1" applyAlignment="1">
      <alignment horizontal="center" vertical="center"/>
    </xf>
    <xf numFmtId="0" fontId="5" fillId="4" borderId="0" xfId="0" applyFont="1" applyFill="1" applyAlignment="1">
      <alignment vertical="center"/>
    </xf>
    <xf numFmtId="0" fontId="25" fillId="0" borderId="0" xfId="2" applyFont="1" applyAlignment="1">
      <alignment horizontal="center" vertical="center" wrapText="1"/>
    </xf>
    <xf numFmtId="0" fontId="21" fillId="0" borderId="0" xfId="0" applyFont="1" applyAlignment="1">
      <alignment horizontal="left" vertical="center" wrapText="1"/>
    </xf>
    <xf numFmtId="0" fontId="21" fillId="0" borderId="0" xfId="0" applyFont="1" applyAlignment="1">
      <alignment horizontal="right" vertical="center" wrapText="1"/>
    </xf>
    <xf numFmtId="0" fontId="4" fillId="0" borderId="0" xfId="2" applyFont="1" applyAlignment="1">
      <alignment vertical="center" wrapText="1"/>
    </xf>
    <xf numFmtId="0" fontId="13" fillId="0" borderId="0" xfId="0" applyFont="1" applyAlignment="1">
      <alignment vertical="center" wrapText="1"/>
    </xf>
    <xf numFmtId="0" fontId="12" fillId="2" borderId="91" xfId="2" applyFont="1" applyFill="1" applyBorder="1" applyAlignment="1">
      <alignment horizontal="center" vertical="center"/>
    </xf>
    <xf numFmtId="9" fontId="12" fillId="2" borderId="80" xfId="2" applyNumberFormat="1" applyFont="1" applyFill="1" applyBorder="1" applyAlignment="1">
      <alignment horizontal="center" vertical="center" wrapText="1"/>
    </xf>
    <xf numFmtId="9" fontId="12" fillId="2" borderId="8" xfId="2" applyNumberFormat="1" applyFont="1" applyFill="1" applyBorder="1" applyAlignment="1">
      <alignment horizontal="center" vertical="center" wrapText="1"/>
    </xf>
    <xf numFmtId="0" fontId="12" fillId="9" borderId="3" xfId="0" applyFont="1" applyFill="1" applyBorder="1" applyAlignment="1">
      <alignment horizontal="center" vertical="center" wrapText="1"/>
    </xf>
    <xf numFmtId="0" fontId="5" fillId="4" borderId="20" xfId="2" applyFont="1" applyFill="1" applyBorder="1" applyAlignment="1">
      <alignment vertical="center"/>
    </xf>
    <xf numFmtId="0" fontId="5" fillId="0" borderId="4" xfId="2" applyFont="1" applyBorder="1" applyAlignment="1">
      <alignment horizontal="center" vertical="center"/>
    </xf>
    <xf numFmtId="9" fontId="14" fillId="4" borderId="22" xfId="6" applyFont="1" applyFill="1" applyBorder="1" applyAlignment="1">
      <alignment horizontal="center" vertical="center" wrapText="1"/>
    </xf>
    <xf numFmtId="0" fontId="5" fillId="0" borderId="5" xfId="2" applyFont="1" applyBorder="1" applyAlignment="1">
      <alignment horizontal="center" vertical="center"/>
    </xf>
    <xf numFmtId="9" fontId="14" fillId="4" borderId="17" xfId="6" applyFont="1" applyFill="1" applyBorder="1" applyAlignment="1">
      <alignment horizontal="center" vertical="center" wrapText="1"/>
    </xf>
    <xf numFmtId="0" fontId="5" fillId="0" borderId="23" xfId="2" applyFont="1" applyBorder="1" applyAlignment="1">
      <alignment horizontal="center" vertical="center"/>
    </xf>
    <xf numFmtId="0" fontId="5" fillId="6" borderId="20" xfId="0" applyFont="1" applyFill="1" applyBorder="1" applyAlignment="1">
      <alignment vertical="center"/>
    </xf>
    <xf numFmtId="0" fontId="12" fillId="6" borderId="36" xfId="0" applyFont="1" applyFill="1" applyBorder="1" applyAlignment="1">
      <alignment vertical="center"/>
    </xf>
    <xf numFmtId="0" fontId="12" fillId="6" borderId="43" xfId="0" applyFont="1" applyFill="1" applyBorder="1" applyAlignment="1">
      <alignment vertical="center"/>
    </xf>
    <xf numFmtId="0" fontId="12" fillId="6" borderId="44" xfId="0" applyFont="1" applyFill="1" applyBorder="1" applyAlignment="1">
      <alignment vertical="center"/>
    </xf>
    <xf numFmtId="9" fontId="12" fillId="2" borderId="82" xfId="2" applyNumberFormat="1" applyFont="1" applyFill="1" applyBorder="1" applyAlignment="1">
      <alignment horizontal="center" vertical="center" wrapText="1"/>
    </xf>
    <xf numFmtId="9" fontId="12" fillId="2" borderId="83" xfId="2" applyNumberFormat="1" applyFont="1" applyFill="1" applyBorder="1" applyAlignment="1">
      <alignment horizontal="center" vertical="center" wrapText="1"/>
    </xf>
    <xf numFmtId="9" fontId="12" fillId="2" borderId="84" xfId="2" applyNumberFormat="1" applyFont="1" applyFill="1" applyBorder="1" applyAlignment="1">
      <alignment horizontal="center" vertical="center" wrapText="1"/>
    </xf>
    <xf numFmtId="9" fontId="12" fillId="8" borderId="82" xfId="2" applyNumberFormat="1" applyFont="1" applyFill="1" applyBorder="1" applyAlignment="1">
      <alignment horizontal="center" vertical="center" wrapText="1"/>
    </xf>
    <xf numFmtId="9" fontId="12" fillId="8" borderId="83" xfId="2" applyNumberFormat="1" applyFont="1" applyFill="1" applyBorder="1" applyAlignment="1">
      <alignment horizontal="center" vertical="center" wrapText="1"/>
    </xf>
    <xf numFmtId="9" fontId="12" fillId="2" borderId="90" xfId="2" applyNumberFormat="1" applyFont="1" applyFill="1" applyBorder="1" applyAlignment="1">
      <alignment horizontal="center" vertical="center" wrapText="1"/>
    </xf>
    <xf numFmtId="9" fontId="5" fillId="0" borderId="1" xfId="0" applyNumberFormat="1" applyFont="1" applyBorder="1" applyAlignment="1">
      <alignment horizontal="center" vertical="center"/>
    </xf>
    <xf numFmtId="9" fontId="12" fillId="2" borderId="93" xfId="2" applyNumberFormat="1" applyFont="1" applyFill="1" applyBorder="1" applyAlignment="1">
      <alignment horizontal="center" vertical="center" wrapText="1"/>
    </xf>
    <xf numFmtId="0" fontId="5" fillId="0" borderId="0" xfId="2" applyFont="1" applyAlignment="1">
      <alignment horizontal="left" vertical="center"/>
    </xf>
    <xf numFmtId="0" fontId="12" fillId="11" borderId="9" xfId="2" applyFont="1" applyFill="1" applyBorder="1" applyAlignment="1">
      <alignment vertical="center"/>
    </xf>
    <xf numFmtId="0" fontId="12" fillId="11" borderId="60" xfId="2" applyFont="1" applyFill="1" applyBorder="1" applyAlignment="1">
      <alignment vertical="center"/>
    </xf>
    <xf numFmtId="0" fontId="12" fillId="11" borderId="10" xfId="2" applyFont="1" applyFill="1" applyBorder="1" applyAlignment="1">
      <alignment vertical="center"/>
    </xf>
    <xf numFmtId="0" fontId="12" fillId="11" borderId="11" xfId="2" applyFont="1" applyFill="1" applyBorder="1" applyAlignment="1">
      <alignment vertical="center"/>
    </xf>
    <xf numFmtId="0" fontId="5" fillId="0" borderId="17" xfId="0" applyFont="1" applyBorder="1" applyAlignment="1">
      <alignment horizontal="center" vertical="center"/>
    </xf>
    <xf numFmtId="0" fontId="12" fillId="11" borderId="62" xfId="2" applyFont="1" applyFill="1" applyBorder="1" applyAlignment="1">
      <alignment vertical="center"/>
    </xf>
    <xf numFmtId="0" fontId="12" fillId="11" borderId="65" xfId="2" applyFont="1" applyFill="1" applyBorder="1" applyAlignment="1">
      <alignment vertical="center"/>
    </xf>
    <xf numFmtId="0" fontId="12" fillId="11" borderId="31" xfId="2" applyFont="1" applyFill="1" applyBorder="1" applyAlignment="1">
      <alignment vertical="center"/>
    </xf>
    <xf numFmtId="0" fontId="12" fillId="11" borderId="17" xfId="2" applyFont="1" applyFill="1" applyBorder="1" applyAlignment="1">
      <alignment vertical="center"/>
    </xf>
    <xf numFmtId="0" fontId="12" fillId="0" borderId="0" xfId="2" applyFont="1" applyAlignment="1">
      <alignment horizontal="justify" vertical="center"/>
    </xf>
    <xf numFmtId="166" fontId="12" fillId="4" borderId="17" xfId="2" applyNumberFormat="1" applyFont="1" applyFill="1" applyBorder="1" applyAlignment="1">
      <alignment horizontal="center" vertical="center" wrapText="1"/>
    </xf>
    <xf numFmtId="0" fontId="12" fillId="0" borderId="17" xfId="0" applyFont="1" applyBorder="1" applyAlignment="1">
      <alignment horizontal="center" vertical="center"/>
    </xf>
    <xf numFmtId="0" fontId="40" fillId="0" borderId="17" xfId="0" applyFont="1" applyBorder="1" applyAlignment="1">
      <alignment horizontal="center" vertical="center"/>
    </xf>
    <xf numFmtId="0" fontId="5" fillId="0" borderId="66" xfId="2" applyFont="1" applyBorder="1" applyAlignment="1">
      <alignment horizontal="center" vertical="center"/>
    </xf>
    <xf numFmtId="0" fontId="5" fillId="0" borderId="94" xfId="0" applyFont="1" applyBorder="1" applyAlignment="1">
      <alignment horizontal="center" vertical="center"/>
    </xf>
    <xf numFmtId="0" fontId="21" fillId="2" borderId="19" xfId="2" applyFont="1" applyFill="1" applyBorder="1" applyAlignment="1">
      <alignment horizontal="left" vertical="center" wrapText="1"/>
    </xf>
    <xf numFmtId="9" fontId="21" fillId="2" borderId="50" xfId="2" applyNumberFormat="1" applyFont="1" applyFill="1" applyBorder="1" applyAlignment="1">
      <alignment vertical="center"/>
    </xf>
    <xf numFmtId="9" fontId="21" fillId="2" borderId="64" xfId="6"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27" xfId="2" applyFont="1" applyFill="1" applyBorder="1" applyAlignment="1">
      <alignment vertical="center" wrapText="1"/>
    </xf>
    <xf numFmtId="0" fontId="11" fillId="0" borderId="0" xfId="2" applyFont="1" applyAlignment="1">
      <alignment horizontal="center" vertical="center" wrapText="1"/>
    </xf>
    <xf numFmtId="0" fontId="4" fillId="0" borderId="0" xfId="2" applyFont="1" applyAlignment="1">
      <alignment horizontal="center" vertical="center" wrapText="1"/>
    </xf>
    <xf numFmtId="0" fontId="11" fillId="0" borderId="0" xfId="2" applyFont="1" applyAlignment="1">
      <alignment vertical="center" wrapText="1"/>
    </xf>
    <xf numFmtId="0" fontId="21" fillId="0" borderId="1" xfId="13" applyFont="1" applyBorder="1" applyAlignment="1">
      <alignment horizontal="center" vertical="center"/>
    </xf>
    <xf numFmtId="0" fontId="21" fillId="0" borderId="0" xfId="13" applyFont="1" applyAlignment="1">
      <alignment vertical="center"/>
    </xf>
    <xf numFmtId="0" fontId="4" fillId="0" borderId="0" xfId="13" applyFont="1" applyAlignment="1">
      <alignment vertical="center"/>
    </xf>
    <xf numFmtId="0" fontId="12" fillId="0" borderId="0" xfId="13" applyFont="1" applyAlignment="1">
      <alignment horizontal="left" vertical="center" wrapText="1"/>
    </xf>
    <xf numFmtId="0" fontId="41" fillId="0" borderId="0" xfId="13" applyFont="1" applyAlignment="1">
      <alignment vertical="center" wrapText="1"/>
    </xf>
    <xf numFmtId="0" fontId="12" fillId="0" borderId="0" xfId="13" applyFont="1" applyAlignment="1">
      <alignment vertical="center" wrapText="1"/>
    </xf>
    <xf numFmtId="0" fontId="4" fillId="0" borderId="0" xfId="13" applyFont="1" applyAlignment="1">
      <alignment vertical="center" wrapText="1"/>
    </xf>
    <xf numFmtId="0" fontId="20" fillId="8" borderId="0" xfId="2" applyFont="1" applyFill="1" applyAlignment="1">
      <alignment vertical="center"/>
    </xf>
    <xf numFmtId="0" fontId="20" fillId="2" borderId="0" xfId="2" applyFont="1" applyFill="1" applyAlignment="1">
      <alignment vertical="center"/>
    </xf>
    <xf numFmtId="0" fontId="11" fillId="0" borderId="0" xfId="2" quotePrefix="1" applyFont="1" applyAlignment="1">
      <alignment horizontal="left" vertical="center" wrapText="1"/>
    </xf>
    <xf numFmtId="0" fontId="11" fillId="0" borderId="0" xfId="2" quotePrefix="1" applyFont="1" applyAlignment="1">
      <alignment vertical="center"/>
    </xf>
    <xf numFmtId="0" fontId="20" fillId="2" borderId="0" xfId="2" applyFont="1" applyFill="1" applyAlignment="1">
      <alignment horizontal="left" vertical="center"/>
    </xf>
    <xf numFmtId="0" fontId="11" fillId="0" borderId="0" xfId="2" quotePrefix="1" applyFont="1" applyAlignment="1">
      <alignment horizontal="left" vertical="center"/>
    </xf>
    <xf numFmtId="49" fontId="5" fillId="10" borderId="70" xfId="0" applyNumberFormat="1" applyFont="1" applyFill="1" applyBorder="1" applyAlignment="1">
      <alignment horizontal="center" vertical="center" wrapText="1"/>
    </xf>
    <xf numFmtId="164" fontId="5" fillId="10" borderId="70" xfId="0" applyNumberFormat="1" applyFont="1" applyFill="1" applyBorder="1" applyAlignment="1">
      <alignment vertical="center" wrapText="1"/>
    </xf>
    <xf numFmtId="164" fontId="5" fillId="10" borderId="74" xfId="0" applyNumberFormat="1" applyFont="1" applyFill="1" applyBorder="1" applyAlignment="1">
      <alignment vertical="center" wrapText="1"/>
    </xf>
    <xf numFmtId="0" fontId="5" fillId="0" borderId="1" xfId="10" applyFont="1" applyBorder="1" applyAlignment="1">
      <alignment horizontal="center"/>
    </xf>
    <xf numFmtId="0" fontId="12" fillId="4" borderId="0" xfId="0" applyFont="1" applyFill="1" applyAlignment="1">
      <alignment vertical="center"/>
    </xf>
    <xf numFmtId="0" fontId="42" fillId="0" borderId="0" xfId="0" applyFont="1" applyAlignment="1">
      <alignment vertical="center"/>
    </xf>
    <xf numFmtId="0" fontId="12" fillId="0" borderId="0" xfId="2" applyFont="1" applyAlignment="1">
      <alignment wrapText="1"/>
    </xf>
    <xf numFmtId="0" fontId="12" fillId="0" borderId="0" xfId="2" applyFont="1"/>
    <xf numFmtId="0" fontId="12" fillId="0" borderId="0" xfId="2" applyFont="1" applyAlignment="1">
      <alignment shrinkToFit="1"/>
    </xf>
    <xf numFmtId="0" fontId="12" fillId="2" borderId="1" xfId="2" applyFont="1" applyFill="1" applyBorder="1" applyAlignment="1">
      <alignment vertical="center"/>
    </xf>
    <xf numFmtId="9" fontId="12" fillId="2" borderId="1" xfId="2" applyNumberFormat="1" applyFont="1" applyFill="1" applyBorder="1" applyAlignment="1">
      <alignment horizontal="center" vertical="center"/>
    </xf>
    <xf numFmtId="0" fontId="14" fillId="0" borderId="68" xfId="1" applyNumberFormat="1" applyFont="1" applyFill="1" applyBorder="1" applyAlignment="1">
      <alignment vertical="center" wrapText="1"/>
    </xf>
    <xf numFmtId="9" fontId="7" fillId="4" borderId="95" xfId="6" applyFont="1" applyFill="1" applyBorder="1" applyAlignment="1">
      <alignment horizontal="center" vertical="center" wrapText="1"/>
    </xf>
    <xf numFmtId="9" fontId="7" fillId="0" borderId="24" xfId="6" applyFont="1" applyFill="1" applyBorder="1" applyAlignment="1">
      <alignment horizontal="center" vertical="center" wrapText="1"/>
    </xf>
    <xf numFmtId="9" fontId="12" fillId="2" borderId="29" xfId="2" applyNumberFormat="1" applyFont="1" applyFill="1" applyBorder="1" applyAlignment="1">
      <alignment vertical="center"/>
    </xf>
    <xf numFmtId="9" fontId="7" fillId="0" borderId="95" xfId="6" applyFont="1" applyFill="1" applyBorder="1" applyAlignment="1">
      <alignment horizontal="center" vertical="center" wrapText="1"/>
    </xf>
    <xf numFmtId="164" fontId="14" fillId="0" borderId="12" xfId="1" applyNumberFormat="1" applyFont="1" applyFill="1" applyBorder="1" applyAlignment="1">
      <alignment vertical="center" wrapText="1"/>
    </xf>
    <xf numFmtId="9" fontId="14" fillId="0" borderId="22" xfId="6" applyFont="1" applyFill="1" applyBorder="1" applyAlignment="1">
      <alignment horizontal="center" vertical="center" wrapText="1"/>
    </xf>
    <xf numFmtId="164" fontId="14" fillId="0" borderId="13" xfId="1" applyNumberFormat="1" applyFont="1" applyFill="1" applyBorder="1" applyAlignment="1">
      <alignment vertical="center" wrapText="1"/>
    </xf>
    <xf numFmtId="9" fontId="14" fillId="0" borderId="30" xfId="6" applyFont="1" applyFill="1" applyBorder="1" applyAlignment="1">
      <alignment horizontal="center" vertical="center" wrapText="1"/>
    </xf>
    <xf numFmtId="164" fontId="14" fillId="0" borderId="16" xfId="1" applyNumberFormat="1" applyFont="1" applyFill="1" applyBorder="1" applyAlignment="1">
      <alignment vertical="center" wrapText="1"/>
    </xf>
    <xf numFmtId="9" fontId="14" fillId="0" borderId="17" xfId="6" applyFont="1" applyFill="1" applyBorder="1" applyAlignment="1">
      <alignment horizontal="center" vertical="center" wrapText="1"/>
    </xf>
    <xf numFmtId="164" fontId="14" fillId="0" borderId="15" xfId="1" applyNumberFormat="1" applyFont="1" applyFill="1" applyBorder="1" applyAlignment="1">
      <alignment vertical="center" wrapText="1"/>
    </xf>
    <xf numFmtId="9" fontId="14" fillId="0" borderId="31" xfId="6" applyFont="1" applyFill="1" applyBorder="1" applyAlignment="1">
      <alignment horizontal="center" vertical="center" wrapText="1"/>
    </xf>
    <xf numFmtId="164" fontId="14" fillId="0" borderId="26" xfId="1" applyNumberFormat="1" applyFont="1" applyFill="1" applyBorder="1" applyAlignment="1">
      <alignment vertical="center" wrapText="1"/>
    </xf>
    <xf numFmtId="9" fontId="14" fillId="0" borderId="24" xfId="6" applyFont="1" applyFill="1" applyBorder="1" applyAlignment="1">
      <alignment horizontal="center" vertical="center" wrapText="1"/>
    </xf>
    <xf numFmtId="9" fontId="14" fillId="0" borderId="32" xfId="6" applyFont="1" applyFill="1" applyBorder="1" applyAlignment="1">
      <alignment horizontal="center" vertical="center" wrapText="1"/>
    </xf>
    <xf numFmtId="9" fontId="14" fillId="0" borderId="47" xfId="6" applyFont="1" applyFill="1" applyBorder="1" applyAlignment="1">
      <alignment horizontal="center" vertical="center" wrapText="1"/>
    </xf>
    <xf numFmtId="9" fontId="14" fillId="0" borderId="14" xfId="6" applyFont="1" applyFill="1" applyBorder="1" applyAlignment="1">
      <alignment horizontal="center" vertical="center" wrapText="1"/>
    </xf>
    <xf numFmtId="9" fontId="14" fillId="0" borderId="34" xfId="6" applyFont="1" applyFill="1" applyBorder="1" applyAlignment="1">
      <alignment horizontal="center" vertical="center" wrapText="1"/>
    </xf>
    <xf numFmtId="164" fontId="14" fillId="0" borderId="97" xfId="1" applyNumberFormat="1" applyFont="1" applyFill="1" applyBorder="1" applyAlignment="1">
      <alignment vertical="center" wrapText="1"/>
    </xf>
    <xf numFmtId="9" fontId="14" fillId="0" borderId="98" xfId="6" applyFont="1" applyFill="1" applyBorder="1" applyAlignment="1">
      <alignment horizontal="center" vertical="center" wrapText="1"/>
    </xf>
    <xf numFmtId="9" fontId="14" fillId="0" borderId="96" xfId="6" applyFont="1" applyFill="1" applyBorder="1" applyAlignment="1">
      <alignment horizontal="center" vertical="center" wrapText="1"/>
    </xf>
    <xf numFmtId="164" fontId="14" fillId="0" borderId="38" xfId="0" applyNumberFormat="1" applyFont="1" applyBorder="1" applyAlignment="1">
      <alignment vertical="center" wrapText="1"/>
    </xf>
    <xf numFmtId="164" fontId="14" fillId="0" borderId="40" xfId="0" applyNumberFormat="1" applyFont="1" applyBorder="1" applyAlignment="1">
      <alignment vertical="center" wrapText="1"/>
    </xf>
    <xf numFmtId="9" fontId="14" fillId="0" borderId="35" xfId="6" applyFont="1" applyFill="1" applyBorder="1" applyAlignment="1">
      <alignment horizontal="center" vertical="center" wrapText="1"/>
    </xf>
    <xf numFmtId="9" fontId="14" fillId="0" borderId="99" xfId="6" applyFont="1" applyFill="1" applyBorder="1" applyAlignment="1">
      <alignment horizontal="center" vertical="center" wrapText="1"/>
    </xf>
    <xf numFmtId="9" fontId="14" fillId="0" borderId="49" xfId="6" applyFont="1" applyFill="1" applyBorder="1" applyAlignment="1">
      <alignment horizontal="center" vertical="center" wrapText="1"/>
    </xf>
    <xf numFmtId="9" fontId="14" fillId="0" borderId="48" xfId="6" applyFont="1" applyFill="1" applyBorder="1" applyAlignment="1">
      <alignment horizontal="center" vertical="center" wrapText="1"/>
    </xf>
    <xf numFmtId="0" fontId="5" fillId="2" borderId="7" xfId="2" applyFont="1" applyFill="1" applyBorder="1" applyAlignment="1">
      <alignment vertical="center" wrapText="1"/>
    </xf>
    <xf numFmtId="0" fontId="5" fillId="5" borderId="0" xfId="2" applyFont="1" applyFill="1" applyAlignment="1">
      <alignment vertical="center" wrapText="1"/>
    </xf>
    <xf numFmtId="9" fontId="5" fillId="0" borderId="100" xfId="6" applyFont="1" applyFill="1" applyBorder="1" applyAlignment="1">
      <alignment vertical="center" wrapText="1"/>
    </xf>
    <xf numFmtId="0" fontId="5" fillId="2" borderId="0" xfId="2" applyFont="1" applyFill="1" applyAlignment="1">
      <alignment horizontal="center" vertical="center"/>
    </xf>
    <xf numFmtId="0" fontId="5" fillId="2" borderId="0" xfId="2" applyFont="1" applyFill="1" applyAlignment="1">
      <alignment vertical="center" wrapText="1"/>
    </xf>
    <xf numFmtId="0" fontId="12" fillId="2" borderId="81" xfId="2" applyFont="1" applyFill="1" applyBorder="1" applyAlignment="1">
      <alignment vertical="center"/>
    </xf>
    <xf numFmtId="9" fontId="12" fillId="2" borderId="81" xfId="2" applyNumberFormat="1" applyFont="1" applyFill="1" applyBorder="1" applyAlignment="1">
      <alignment vertical="center"/>
    </xf>
    <xf numFmtId="0" fontId="12" fillId="2" borderId="83" xfId="2" applyFont="1" applyFill="1" applyBorder="1" applyAlignment="1">
      <alignment horizontal="center" vertical="center" wrapText="1"/>
    </xf>
    <xf numFmtId="0" fontId="5" fillId="2" borderId="0" xfId="2" applyFont="1" applyFill="1" applyAlignment="1">
      <alignment vertical="center"/>
    </xf>
    <xf numFmtId="0" fontId="14" fillId="3" borderId="61" xfId="5" applyNumberFormat="1" applyFont="1" applyFill="1" applyBorder="1" applyAlignment="1">
      <alignment vertical="center" wrapText="1"/>
    </xf>
    <xf numFmtId="0" fontId="14" fillId="3" borderId="31" xfId="5" applyNumberFormat="1" applyFont="1" applyFill="1" applyBorder="1" applyAlignment="1">
      <alignment vertical="center" wrapText="1"/>
    </xf>
    <xf numFmtId="0" fontId="14" fillId="3" borderId="63" xfId="5" applyNumberFormat="1" applyFont="1" applyFill="1" applyBorder="1" applyAlignment="1">
      <alignment vertical="center" wrapText="1"/>
    </xf>
    <xf numFmtId="165" fontId="12" fillId="2" borderId="101" xfId="2" applyNumberFormat="1" applyFont="1" applyFill="1" applyBorder="1" applyAlignment="1" applyProtection="1">
      <alignment horizontal="center" vertical="center"/>
      <protection hidden="1"/>
    </xf>
    <xf numFmtId="0" fontId="21" fillId="0" borderId="0" xfId="0" applyFont="1" applyAlignment="1">
      <alignment vertical="center"/>
    </xf>
    <xf numFmtId="0" fontId="21" fillId="0" borderId="0" xfId="0" applyFont="1" applyAlignment="1">
      <alignment vertical="center" wrapText="1"/>
    </xf>
    <xf numFmtId="0" fontId="21" fillId="0" borderId="0" xfId="0" applyFont="1" applyAlignment="1">
      <alignment horizontal="center" vertical="center"/>
    </xf>
    <xf numFmtId="0" fontId="17" fillId="0" borderId="0" xfId="0" applyFont="1" applyAlignment="1">
      <alignment vertical="center"/>
    </xf>
    <xf numFmtId="0" fontId="17" fillId="0" borderId="0" xfId="2" applyFont="1" applyAlignment="1">
      <alignment vertical="center" wrapText="1"/>
    </xf>
    <xf numFmtId="0" fontId="17" fillId="0" borderId="0" xfId="2" applyFont="1" applyAlignment="1">
      <alignment horizontal="center" vertical="center" wrapText="1"/>
    </xf>
    <xf numFmtId="0" fontId="14" fillId="0" borderId="16" xfId="1" applyNumberFormat="1" applyFont="1" applyFill="1" applyBorder="1" applyAlignment="1">
      <alignment vertical="center" wrapText="1"/>
    </xf>
    <xf numFmtId="0" fontId="48" fillId="12" borderId="68" xfId="1" applyNumberFormat="1" applyFont="1" applyFill="1" applyBorder="1" applyAlignment="1">
      <alignment vertical="center" wrapText="1"/>
    </xf>
    <xf numFmtId="164" fontId="48" fillId="12" borderId="15" xfId="1" applyNumberFormat="1" applyFont="1" applyFill="1" applyBorder="1" applyAlignment="1">
      <alignment vertical="center" wrapText="1"/>
    </xf>
    <xf numFmtId="164" fontId="48" fillId="12" borderId="16" xfId="1" applyNumberFormat="1" applyFont="1" applyFill="1" applyBorder="1" applyAlignment="1">
      <alignment vertical="center" wrapText="1"/>
    </xf>
    <xf numFmtId="0" fontId="5" fillId="4" borderId="20" xfId="2" applyFont="1" applyFill="1" applyBorder="1" applyAlignment="1">
      <alignment horizontal="center" vertical="center"/>
    </xf>
    <xf numFmtId="9" fontId="7" fillId="0" borderId="0" xfId="6" applyFont="1" applyFill="1" applyBorder="1" applyAlignment="1">
      <alignment horizontal="center" vertical="center" wrapText="1"/>
    </xf>
    <xf numFmtId="164" fontId="14" fillId="13" borderId="12" xfId="1" applyNumberFormat="1" applyFont="1" applyFill="1" applyBorder="1" applyAlignment="1">
      <alignment vertical="center" wrapText="1"/>
    </xf>
    <xf numFmtId="0" fontId="14" fillId="0" borderId="61" xfId="5" applyNumberFormat="1" applyFont="1" applyFill="1" applyBorder="1" applyAlignment="1">
      <alignment vertical="center" wrapText="1"/>
    </xf>
    <xf numFmtId="0" fontId="14" fillId="0" borderId="31" xfId="5" applyNumberFormat="1" applyFont="1" applyFill="1" applyBorder="1" applyAlignment="1">
      <alignment vertical="center" wrapText="1"/>
    </xf>
    <xf numFmtId="0" fontId="14" fillId="0" borderId="63" xfId="5" applyNumberFormat="1" applyFont="1" applyFill="1" applyBorder="1" applyAlignment="1">
      <alignment vertical="center" wrapText="1"/>
    </xf>
    <xf numFmtId="0" fontId="14" fillId="0" borderId="0" xfId="5" applyNumberFormat="1" applyFont="1" applyFill="1" applyBorder="1" applyAlignment="1">
      <alignment vertical="center" wrapText="1"/>
    </xf>
    <xf numFmtId="9" fontId="5" fillId="0" borderId="61" xfId="0" applyNumberFormat="1" applyFont="1" applyBorder="1" applyAlignment="1">
      <alignment horizontal="left" vertical="center" wrapText="1"/>
    </xf>
    <xf numFmtId="14" fontId="14" fillId="0" borderId="61" xfId="5" quotePrefix="1" applyNumberFormat="1" applyFont="1" applyFill="1" applyBorder="1" applyAlignment="1">
      <alignment vertical="center" wrapText="1"/>
    </xf>
    <xf numFmtId="9" fontId="5" fillId="0" borderId="31" xfId="0" applyNumberFormat="1" applyFont="1" applyBorder="1" applyAlignment="1">
      <alignment vertical="center" wrapText="1"/>
    </xf>
    <xf numFmtId="164" fontId="14" fillId="0" borderId="61" xfId="5" applyNumberFormat="1" applyFont="1" applyFill="1" applyBorder="1" applyAlignment="1">
      <alignment horizontal="center" vertical="center" wrapText="1"/>
    </xf>
    <xf numFmtId="164" fontId="14" fillId="0" borderId="61" xfId="5" applyNumberFormat="1" applyFont="1" applyFill="1" applyBorder="1" applyAlignment="1">
      <alignment vertical="center"/>
    </xf>
    <xf numFmtId="164" fontId="14" fillId="0" borderId="61" xfId="5" applyNumberFormat="1" applyFont="1" applyFill="1" applyBorder="1" applyAlignment="1">
      <alignment vertical="center" wrapText="1"/>
    </xf>
    <xf numFmtId="164" fontId="14" fillId="0" borderId="31" xfId="5" applyNumberFormat="1" applyFont="1" applyFill="1" applyBorder="1" applyAlignment="1">
      <alignment horizontal="center" vertical="center" wrapText="1"/>
    </xf>
    <xf numFmtId="10" fontId="5" fillId="0" borderId="31" xfId="6" applyNumberFormat="1" applyFont="1" applyFill="1" applyBorder="1" applyAlignment="1">
      <alignment vertical="center"/>
    </xf>
    <xf numFmtId="10" fontId="14" fillId="0" borderId="31" xfId="6" applyNumberFormat="1" applyFont="1" applyFill="1" applyBorder="1" applyAlignment="1">
      <alignment vertical="center" wrapText="1"/>
    </xf>
    <xf numFmtId="10" fontId="5" fillId="0" borderId="0" xfId="2" applyNumberFormat="1" applyFont="1" applyAlignment="1">
      <alignment vertical="center"/>
    </xf>
    <xf numFmtId="9" fontId="5" fillId="0" borderId="100" xfId="0" applyNumberFormat="1" applyFont="1" applyBorder="1" applyAlignment="1" applyProtection="1">
      <alignment horizontal="left" vertical="center" wrapText="1"/>
      <protection locked="0"/>
    </xf>
    <xf numFmtId="164" fontId="14" fillId="0" borderId="31" xfId="5" applyNumberFormat="1" applyFont="1" applyFill="1" applyBorder="1" applyAlignment="1">
      <alignment vertical="center" wrapText="1"/>
    </xf>
    <xf numFmtId="9" fontId="5" fillId="0" borderId="100" xfId="6" applyFont="1" applyFill="1" applyBorder="1" applyAlignment="1" applyProtection="1">
      <alignment horizontal="right" vertical="center" wrapText="1"/>
      <protection hidden="1"/>
    </xf>
    <xf numFmtId="9" fontId="5" fillId="0" borderId="63" xfId="0" applyNumberFormat="1" applyFont="1" applyBorder="1" applyAlignment="1">
      <alignment vertical="center" wrapText="1"/>
    </xf>
    <xf numFmtId="164" fontId="14" fillId="0" borderId="63" xfId="5" applyNumberFormat="1" applyFont="1" applyFill="1" applyBorder="1" applyAlignment="1">
      <alignment horizontal="center" vertical="center" wrapText="1"/>
    </xf>
    <xf numFmtId="9" fontId="5" fillId="0" borderId="63" xfId="6" applyFont="1" applyFill="1" applyBorder="1" applyAlignment="1">
      <alignment vertical="center"/>
    </xf>
    <xf numFmtId="9" fontId="14" fillId="0" borderId="31" xfId="6" applyFont="1" applyFill="1" applyBorder="1" applyAlignment="1">
      <alignment vertical="center" wrapText="1"/>
    </xf>
    <xf numFmtId="169" fontId="5" fillId="0" borderId="61" xfId="12" applyNumberFormat="1" applyFont="1" applyFill="1" applyBorder="1" applyAlignment="1">
      <alignment vertical="center"/>
    </xf>
    <xf numFmtId="41" fontId="5" fillId="0" borderId="61" xfId="12" applyFont="1" applyFill="1" applyBorder="1" applyAlignment="1">
      <alignment vertical="center"/>
    </xf>
    <xf numFmtId="168" fontId="14" fillId="0" borderId="31" xfId="12" applyNumberFormat="1" applyFont="1" applyFill="1" applyBorder="1" applyAlignment="1">
      <alignment vertical="center" wrapText="1"/>
    </xf>
    <xf numFmtId="41" fontId="5" fillId="0" borderId="31" xfId="12" applyFont="1" applyFill="1" applyBorder="1" applyAlignment="1">
      <alignment vertical="center"/>
    </xf>
    <xf numFmtId="41" fontId="14" fillId="0" borderId="31" xfId="12" applyFont="1" applyFill="1" applyBorder="1" applyAlignment="1">
      <alignment vertical="center" wrapText="1"/>
    </xf>
    <xf numFmtId="165" fontId="5" fillId="0" borderId="63" xfId="6" applyNumberFormat="1" applyFont="1" applyFill="1" applyBorder="1" applyAlignment="1">
      <alignment vertical="center"/>
    </xf>
    <xf numFmtId="10" fontId="14" fillId="0" borderId="63" xfId="6" applyNumberFormat="1" applyFont="1" applyFill="1" applyBorder="1" applyAlignment="1">
      <alignment vertical="center" wrapText="1"/>
    </xf>
    <xf numFmtId="1" fontId="5" fillId="0" borderId="63" xfId="2" applyNumberFormat="1" applyFont="1" applyBorder="1" applyAlignment="1">
      <alignment vertical="center"/>
    </xf>
    <xf numFmtId="164" fontId="14" fillId="0" borderId="63" xfId="5" applyNumberFormat="1" applyFont="1" applyFill="1" applyBorder="1" applyAlignment="1">
      <alignment vertical="center" wrapText="1"/>
    </xf>
    <xf numFmtId="41" fontId="5" fillId="0" borderId="0" xfId="12" applyFont="1" applyFill="1" applyAlignment="1">
      <alignment vertical="center"/>
    </xf>
    <xf numFmtId="41" fontId="5" fillId="0" borderId="61" xfId="12" quotePrefix="1" applyFont="1" applyFill="1" applyBorder="1" applyAlignment="1">
      <alignment vertical="center"/>
    </xf>
    <xf numFmtId="164" fontId="14" fillId="0" borderId="61" xfId="5" quotePrefix="1" applyNumberFormat="1" applyFont="1" applyFill="1" applyBorder="1" applyAlignment="1">
      <alignment vertical="center" wrapText="1"/>
    </xf>
    <xf numFmtId="9" fontId="5" fillId="0" borderId="31" xfId="6" applyFont="1" applyFill="1" applyBorder="1" applyAlignment="1">
      <alignment vertical="center"/>
    </xf>
    <xf numFmtId="166" fontId="5" fillId="0" borderId="31" xfId="2" applyNumberFormat="1" applyFont="1" applyBorder="1" applyAlignment="1">
      <alignment vertical="center"/>
    </xf>
    <xf numFmtId="170" fontId="14" fillId="0" borderId="31" xfId="5" applyNumberFormat="1" applyFont="1" applyFill="1" applyBorder="1" applyAlignment="1">
      <alignment vertical="center" wrapText="1"/>
    </xf>
    <xf numFmtId="165" fontId="14" fillId="0" borderId="31" xfId="6" applyNumberFormat="1" applyFont="1" applyFill="1" applyBorder="1" applyAlignment="1">
      <alignment vertical="center" wrapText="1"/>
    </xf>
    <xf numFmtId="9" fontId="14" fillId="0" borderId="63" xfId="6" applyFont="1" applyFill="1" applyBorder="1" applyAlignment="1">
      <alignment vertical="center" wrapText="1"/>
    </xf>
    <xf numFmtId="9" fontId="5" fillId="0" borderId="102" xfId="0" applyNumberFormat="1" applyFont="1" applyBorder="1" applyAlignment="1" applyProtection="1">
      <alignment horizontal="left" vertical="center" wrapText="1"/>
      <protection locked="0"/>
    </xf>
    <xf numFmtId="167" fontId="5" fillId="0" borderId="61" xfId="2" applyNumberFormat="1" applyFont="1" applyBorder="1" applyAlignment="1">
      <alignment vertical="center"/>
    </xf>
    <xf numFmtId="9" fontId="5" fillId="0" borderId="102" xfId="18" applyFont="1" applyFill="1" applyBorder="1" applyAlignment="1" applyProtection="1">
      <alignment horizontal="right" vertical="center" wrapText="1"/>
      <protection hidden="1"/>
    </xf>
    <xf numFmtId="9" fontId="5" fillId="0" borderId="61" xfId="0" applyNumberFormat="1" applyFont="1" applyBorder="1" applyAlignment="1">
      <alignment vertical="center" wrapText="1"/>
    </xf>
    <xf numFmtId="0" fontId="5" fillId="0" borderId="31" xfId="2" applyFont="1" applyBorder="1" applyAlignment="1">
      <alignment vertical="center"/>
    </xf>
    <xf numFmtId="165" fontId="21" fillId="2" borderId="25" xfId="2" applyNumberFormat="1" applyFont="1" applyFill="1" applyBorder="1" applyAlignment="1">
      <alignment horizontal="center" vertical="center"/>
    </xf>
    <xf numFmtId="0" fontId="5" fillId="0" borderId="37" xfId="0" applyFont="1" applyBorder="1" applyAlignment="1">
      <alignment horizontal="center" vertical="center"/>
    </xf>
    <xf numFmtId="9" fontId="7" fillId="0" borderId="30" xfId="6" applyFont="1" applyFill="1" applyBorder="1" applyAlignment="1">
      <alignment horizontal="center" vertical="center" wrapText="1"/>
    </xf>
    <xf numFmtId="0" fontId="5" fillId="0" borderId="39" xfId="0" applyFont="1" applyBorder="1" applyAlignment="1">
      <alignment horizontal="center" vertical="center"/>
    </xf>
    <xf numFmtId="9" fontId="7" fillId="0" borderId="31" xfId="6" applyFont="1" applyFill="1" applyBorder="1" applyAlignment="1">
      <alignment horizontal="center" vertical="center" wrapText="1"/>
    </xf>
    <xf numFmtId="164" fontId="7" fillId="0" borderId="16" xfId="1" applyNumberFormat="1" applyFont="1" applyFill="1" applyBorder="1" applyAlignment="1">
      <alignment vertical="center" wrapText="1"/>
    </xf>
    <xf numFmtId="0" fontId="5" fillId="0" borderId="41" xfId="0" applyFont="1" applyBorder="1" applyAlignment="1">
      <alignment horizontal="center" vertical="center"/>
    </xf>
    <xf numFmtId="164" fontId="14" fillId="0" borderId="42" xfId="0" applyNumberFormat="1" applyFont="1" applyBorder="1" applyAlignment="1">
      <alignment vertical="center" wrapText="1"/>
    </xf>
    <xf numFmtId="9" fontId="7" fillId="0" borderId="32" xfId="6" applyFont="1" applyFill="1" applyBorder="1" applyAlignment="1">
      <alignment horizontal="center" vertical="center" wrapText="1"/>
    </xf>
    <xf numFmtId="164" fontId="7" fillId="0" borderId="26" xfId="1" applyNumberFormat="1" applyFont="1" applyFill="1" applyBorder="1" applyAlignment="1">
      <alignment vertical="center" wrapText="1"/>
    </xf>
    <xf numFmtId="9" fontId="22" fillId="0" borderId="34" xfId="6" applyFont="1" applyFill="1" applyBorder="1" applyAlignment="1">
      <alignment horizontal="center" vertical="center" wrapText="1"/>
    </xf>
    <xf numFmtId="164" fontId="7" fillId="0" borderId="13" xfId="1" applyNumberFormat="1" applyFont="1" applyFill="1" applyBorder="1" applyAlignment="1">
      <alignment vertical="center" wrapText="1"/>
    </xf>
    <xf numFmtId="9" fontId="22" fillId="0" borderId="35" xfId="6" applyFont="1" applyFill="1" applyBorder="1" applyAlignment="1">
      <alignment horizontal="center" vertical="center" wrapText="1"/>
    </xf>
    <xf numFmtId="164" fontId="23" fillId="0" borderId="13" xfId="1" applyNumberFormat="1" applyFont="1" applyFill="1" applyBorder="1" applyAlignment="1">
      <alignment vertical="center" wrapText="1"/>
    </xf>
    <xf numFmtId="164" fontId="5" fillId="0" borderId="1" xfId="14" applyNumberFormat="1" applyFont="1" applyFill="1" applyBorder="1" applyAlignment="1">
      <alignment horizontal="left" vertical="center" wrapText="1"/>
    </xf>
    <xf numFmtId="0" fontId="5" fillId="0" borderId="52" xfId="2" applyFont="1" applyBorder="1" applyAlignment="1">
      <alignment horizontal="center" vertical="center"/>
    </xf>
    <xf numFmtId="164" fontId="14" fillId="0" borderId="53" xfId="5" applyNumberFormat="1" applyFont="1" applyFill="1" applyBorder="1" applyAlignment="1">
      <alignment horizontal="left" vertical="center" wrapText="1"/>
    </xf>
    <xf numFmtId="164" fontId="14" fillId="0" borderId="53" xfId="5" applyNumberFormat="1" applyFont="1" applyFill="1" applyBorder="1" applyAlignment="1">
      <alignment horizontal="center" vertical="center" wrapText="1"/>
    </xf>
    <xf numFmtId="166" fontId="5" fillId="0" borderId="53" xfId="2" applyNumberFormat="1" applyFont="1" applyBorder="1" applyAlignment="1">
      <alignment horizontal="center" vertical="center"/>
    </xf>
    <xf numFmtId="9" fontId="5" fillId="0" borderId="53" xfId="6" applyFont="1" applyFill="1" applyBorder="1" applyAlignment="1">
      <alignment vertical="center" wrapText="1"/>
    </xf>
    <xf numFmtId="9" fontId="12" fillId="0" borderId="53" xfId="6" applyFont="1" applyFill="1" applyBorder="1" applyAlignment="1">
      <alignment vertical="center" wrapText="1"/>
    </xf>
    <xf numFmtId="9" fontId="5" fillId="0" borderId="59" xfId="6" applyFont="1" applyFill="1" applyBorder="1" applyAlignment="1">
      <alignment vertical="center"/>
    </xf>
    <xf numFmtId="1" fontId="5" fillId="0" borderId="53" xfId="6" applyNumberFormat="1" applyFont="1" applyFill="1" applyBorder="1" applyAlignment="1">
      <alignment vertical="center" wrapText="1"/>
    </xf>
    <xf numFmtId="1" fontId="12" fillId="0" borderId="53" xfId="6" applyNumberFormat="1" applyFont="1" applyFill="1" applyBorder="1" applyAlignment="1">
      <alignment vertical="center" wrapText="1"/>
    </xf>
    <xf numFmtId="9" fontId="12" fillId="2" borderId="1" xfId="2" applyNumberFormat="1" applyFont="1" applyFill="1" applyBorder="1" applyAlignment="1">
      <alignment horizontal="center" vertical="center" wrapText="1"/>
    </xf>
    <xf numFmtId="0" fontId="5" fillId="2" borderId="1" xfId="2" applyFont="1" applyFill="1" applyBorder="1" applyAlignment="1">
      <alignment vertical="center"/>
    </xf>
    <xf numFmtId="0" fontId="5" fillId="2" borderId="1" xfId="2" applyFont="1" applyFill="1" applyBorder="1" applyAlignment="1">
      <alignment horizontal="center" vertical="center"/>
    </xf>
    <xf numFmtId="0" fontId="5" fillId="2" borderId="1" xfId="2" applyFont="1" applyFill="1" applyBorder="1" applyAlignment="1">
      <alignment vertical="center" wrapText="1"/>
    </xf>
    <xf numFmtId="9" fontId="12" fillId="2" borderId="1" xfId="2" applyNumberFormat="1" applyFont="1" applyFill="1" applyBorder="1" applyAlignment="1">
      <alignment vertical="center"/>
    </xf>
    <xf numFmtId="165" fontId="12" fillId="2" borderId="1" xfId="2" applyNumberFormat="1" applyFont="1" applyFill="1" applyBorder="1" applyAlignment="1" applyProtection="1">
      <alignment horizontal="center" vertical="center"/>
      <protection hidden="1"/>
    </xf>
    <xf numFmtId="164" fontId="14" fillId="0" borderId="1" xfId="1" applyNumberFormat="1" applyFont="1" applyFill="1" applyBorder="1" applyAlignment="1">
      <alignment vertical="center" wrapText="1"/>
    </xf>
    <xf numFmtId="9" fontId="14" fillId="0" borderId="1" xfId="6" applyFont="1" applyFill="1" applyBorder="1" applyAlignment="1">
      <alignment horizontal="center" vertical="center" wrapText="1"/>
    </xf>
    <xf numFmtId="9" fontId="5" fillId="0" borderId="1" xfId="6" applyFont="1" applyFill="1" applyBorder="1" applyAlignment="1">
      <alignment vertical="center" wrapText="1"/>
    </xf>
    <xf numFmtId="9" fontId="5" fillId="0" borderId="1" xfId="6" applyFont="1" applyFill="1" applyBorder="1" applyAlignment="1">
      <alignment vertical="center"/>
    </xf>
    <xf numFmtId="9" fontId="14" fillId="4" borderId="1" xfId="6" applyFont="1" applyFill="1" applyBorder="1" applyAlignment="1">
      <alignment horizontal="center" vertical="center" wrapText="1"/>
    </xf>
    <xf numFmtId="9" fontId="14" fillId="0" borderId="1" xfId="1" applyNumberFormat="1" applyFont="1" applyFill="1" applyBorder="1" applyAlignment="1">
      <alignment horizontal="center" vertical="center" wrapText="1"/>
    </xf>
    <xf numFmtId="9" fontId="5" fillId="0" borderId="1" xfId="0" applyNumberFormat="1" applyFont="1" applyBorder="1" applyAlignment="1">
      <alignment vertical="center" wrapText="1"/>
    </xf>
    <xf numFmtId="9" fontId="5" fillId="0" borderId="1" xfId="0" applyNumberFormat="1" applyFont="1" applyBorder="1" applyAlignment="1" applyProtection="1">
      <alignment horizontal="left" vertical="center" wrapText="1"/>
      <protection locked="0"/>
    </xf>
    <xf numFmtId="164" fontId="14" fillId="0" borderId="1" xfId="5" applyNumberFormat="1" applyFont="1" applyFill="1" applyBorder="1" applyAlignment="1">
      <alignment horizontal="center" vertical="center" wrapText="1"/>
    </xf>
    <xf numFmtId="9" fontId="5" fillId="0" borderId="1" xfId="6" applyFont="1" applyFill="1" applyBorder="1" applyAlignment="1" applyProtection="1">
      <alignment horizontal="right" vertical="center" wrapText="1"/>
      <protection hidden="1"/>
    </xf>
    <xf numFmtId="167" fontId="5" fillId="0" borderId="1" xfId="2" applyNumberFormat="1" applyFont="1" applyBorder="1" applyAlignment="1">
      <alignment vertical="center"/>
    </xf>
    <xf numFmtId="9" fontId="5" fillId="0" borderId="1" xfId="18" applyFont="1" applyFill="1" applyBorder="1" applyAlignment="1" applyProtection="1">
      <alignment horizontal="right" vertical="center" wrapText="1"/>
      <protection hidden="1"/>
    </xf>
    <xf numFmtId="0" fontId="5" fillId="0" borderId="76" xfId="0" applyFont="1" applyBorder="1" applyAlignment="1">
      <alignment horizontal="center" vertical="center"/>
    </xf>
    <xf numFmtId="9" fontId="14" fillId="0" borderId="76" xfId="6" applyFont="1" applyFill="1" applyBorder="1" applyAlignment="1">
      <alignment horizontal="center" vertical="center" wrapText="1"/>
    </xf>
    <xf numFmtId="166" fontId="5" fillId="0" borderId="1" xfId="2" applyNumberFormat="1" applyFont="1" applyBorder="1" applyAlignment="1">
      <alignment vertical="center"/>
    </xf>
    <xf numFmtId="9" fontId="5" fillId="0" borderId="1" xfId="2" applyNumberFormat="1" applyFont="1" applyBorder="1" applyAlignment="1">
      <alignment vertical="center"/>
    </xf>
    <xf numFmtId="9" fontId="21" fillId="2" borderId="1" xfId="2" applyNumberFormat="1" applyFont="1" applyFill="1" applyBorder="1" applyAlignment="1">
      <alignment horizontal="center" vertical="center"/>
    </xf>
    <xf numFmtId="164" fontId="14" fillId="0" borderId="76" xfId="1" applyNumberFormat="1" applyFont="1" applyFill="1" applyBorder="1" applyAlignment="1">
      <alignment horizontal="left" vertical="center" wrapText="1"/>
    </xf>
    <xf numFmtId="164" fontId="14" fillId="0" borderId="1" xfId="0" applyNumberFormat="1" applyFont="1" applyBorder="1" applyAlignment="1">
      <alignment vertical="center" wrapText="1"/>
    </xf>
    <xf numFmtId="9" fontId="14" fillId="0" borderId="1" xfId="6" applyFont="1" applyFill="1" applyBorder="1" applyAlignment="1">
      <alignment vertical="center" wrapText="1"/>
    </xf>
    <xf numFmtId="164" fontId="14" fillId="14" borderId="1" xfId="0" applyNumberFormat="1" applyFont="1" applyFill="1" applyBorder="1" applyAlignment="1">
      <alignment horizontal="center" vertical="center" wrapText="1"/>
    </xf>
    <xf numFmtId="1" fontId="5" fillId="0" borderId="1" xfId="0" applyNumberFormat="1" applyFont="1" applyBorder="1" applyAlignment="1">
      <alignment horizontal="right" vertical="center"/>
    </xf>
    <xf numFmtId="9" fontId="5" fillId="14" borderId="1" xfId="0" applyNumberFormat="1" applyFont="1" applyFill="1" applyBorder="1" applyAlignment="1">
      <alignment horizontal="right" vertical="center" wrapText="1"/>
    </xf>
    <xf numFmtId="164" fontId="23" fillId="0" borderId="26" xfId="1" applyNumberFormat="1" applyFont="1" applyFill="1" applyBorder="1" applyAlignment="1">
      <alignment vertical="center" wrapText="1"/>
    </xf>
    <xf numFmtId="1" fontId="5" fillId="0" borderId="1" xfId="6" applyNumberFormat="1" applyFont="1" applyFill="1" applyBorder="1" applyAlignment="1">
      <alignment vertical="center"/>
    </xf>
    <xf numFmtId="0" fontId="5" fillId="0" borderId="1" xfId="2" applyFont="1" applyBorder="1" applyAlignment="1">
      <alignment vertical="center"/>
    </xf>
    <xf numFmtId="9" fontId="5" fillId="0" borderId="1" xfId="12" applyNumberFormat="1" applyFont="1" applyFill="1" applyBorder="1" applyAlignment="1">
      <alignment vertical="center"/>
    </xf>
    <xf numFmtId="9" fontId="14" fillId="0" borderId="1" xfId="12" applyNumberFormat="1" applyFont="1" applyFill="1" applyBorder="1" applyAlignment="1">
      <alignment vertical="center" wrapText="1"/>
    </xf>
    <xf numFmtId="9" fontId="11" fillId="0" borderId="0" xfId="2" applyNumberFormat="1" applyFont="1" applyAlignment="1">
      <alignment vertical="center"/>
    </xf>
    <xf numFmtId="0" fontId="21" fillId="0" borderId="0" xfId="2" applyFont="1" applyAlignment="1">
      <alignment horizontal="center" vertical="center" wrapText="1"/>
    </xf>
    <xf numFmtId="0" fontId="21" fillId="0" borderId="0" xfId="0" applyFont="1" applyAlignment="1">
      <alignment horizontal="center" vertical="center" wrapText="1"/>
    </xf>
    <xf numFmtId="0" fontId="14" fillId="4" borderId="0" xfId="0" applyFont="1" applyFill="1" applyAlignment="1">
      <alignment horizontal="left" vertical="center" wrapText="1"/>
    </xf>
    <xf numFmtId="0" fontId="5" fillId="4" borderId="0" xfId="0" applyFont="1" applyFill="1" applyAlignment="1">
      <alignment vertical="top"/>
    </xf>
    <xf numFmtId="0" fontId="18" fillId="0" borderId="20" xfId="0" applyFont="1" applyBorder="1" applyAlignment="1">
      <alignment vertical="center"/>
    </xf>
    <xf numFmtId="0" fontId="12" fillId="8" borderId="69" xfId="2" applyFont="1" applyFill="1" applyBorder="1" applyAlignment="1">
      <alignment horizontal="center" vertical="center"/>
    </xf>
    <xf numFmtId="0" fontId="12" fillId="8" borderId="69" xfId="2" applyFont="1" applyFill="1" applyBorder="1" applyAlignment="1">
      <alignment horizontal="left" vertical="center"/>
    </xf>
    <xf numFmtId="9" fontId="12" fillId="8" borderId="78" xfId="2" applyNumberFormat="1" applyFont="1" applyFill="1" applyBorder="1" applyAlignment="1">
      <alignment vertical="center"/>
    </xf>
    <xf numFmtId="0" fontId="5" fillId="8" borderId="78" xfId="2" applyFont="1" applyFill="1" applyBorder="1" applyAlignment="1">
      <alignment vertical="center"/>
    </xf>
    <xf numFmtId="0" fontId="5" fillId="8" borderId="78" xfId="2" applyFont="1" applyFill="1" applyBorder="1" applyAlignment="1">
      <alignment horizontal="center" vertical="center"/>
    </xf>
    <xf numFmtId="0" fontId="12" fillId="8" borderId="78" xfId="2" applyFont="1" applyFill="1" applyBorder="1" applyAlignment="1">
      <alignment vertical="center"/>
    </xf>
    <xf numFmtId="9" fontId="12" fillId="8" borderId="78" xfId="2" applyNumberFormat="1" applyFont="1" applyFill="1" applyBorder="1" applyAlignment="1">
      <alignment horizontal="center" vertical="center"/>
    </xf>
    <xf numFmtId="0" fontId="12" fillId="8" borderId="79" xfId="2" applyFont="1" applyFill="1" applyBorder="1" applyAlignment="1">
      <alignment horizontal="center" vertical="center"/>
    </xf>
    <xf numFmtId="9" fontId="12" fillId="8" borderId="79" xfId="6" applyFont="1" applyFill="1" applyBorder="1" applyAlignment="1">
      <alignment horizontal="center" vertical="center" wrapText="1"/>
    </xf>
    <xf numFmtId="0" fontId="12" fillId="0" borderId="1" xfId="2" applyFont="1" applyBorder="1" applyAlignment="1">
      <alignment horizontal="center" vertical="center" wrapText="1"/>
    </xf>
    <xf numFmtId="0" fontId="12" fillId="0" borderId="77" xfId="2" applyFont="1" applyBorder="1" applyAlignment="1">
      <alignment horizontal="center" vertical="center" wrapText="1"/>
    </xf>
    <xf numFmtId="9" fontId="12" fillId="0" borderId="77" xfId="2" applyNumberFormat="1" applyFont="1" applyBorder="1" applyAlignment="1">
      <alignment horizontal="center" vertical="center" wrapText="1"/>
    </xf>
    <xf numFmtId="164" fontId="14" fillId="0" borderId="1" xfId="5" applyNumberFormat="1" applyFont="1" applyFill="1" applyBorder="1" applyAlignment="1">
      <alignment horizontal="left" vertical="center" wrapText="1"/>
    </xf>
    <xf numFmtId="9" fontId="5" fillId="0" borderId="1" xfId="6" applyFont="1" applyFill="1" applyBorder="1" applyAlignment="1">
      <alignment horizontal="center" vertical="center" wrapText="1"/>
    </xf>
    <xf numFmtId="9" fontId="5" fillId="0" borderId="1" xfId="6" applyFont="1" applyFill="1" applyBorder="1" applyAlignment="1">
      <alignment horizontal="center" vertical="center"/>
    </xf>
    <xf numFmtId="9" fontId="5" fillId="0" borderId="76" xfId="6" applyFont="1" applyFill="1" applyBorder="1" applyAlignment="1">
      <alignment horizontal="center" vertical="center" wrapText="1"/>
    </xf>
    <xf numFmtId="0" fontId="12" fillId="8" borderId="69" xfId="2" applyFont="1" applyFill="1" applyBorder="1" applyAlignment="1">
      <alignment vertical="center"/>
    </xf>
    <xf numFmtId="9" fontId="12" fillId="8" borderId="79" xfId="0" applyNumberFormat="1" applyFont="1" applyFill="1" applyBorder="1" applyAlignment="1">
      <alignment horizontal="center" vertical="center" wrapText="1"/>
    </xf>
    <xf numFmtId="166" fontId="5" fillId="0" borderId="1" xfId="2" applyNumberFormat="1" applyFont="1" applyBorder="1" applyAlignment="1">
      <alignment horizontal="center" vertical="center"/>
    </xf>
    <xf numFmtId="166" fontId="5" fillId="0" borderId="79" xfId="2" applyNumberFormat="1" applyFont="1" applyBorder="1" applyAlignment="1">
      <alignment horizontal="center" vertical="center"/>
    </xf>
    <xf numFmtId="0" fontId="12" fillId="4" borderId="77" xfId="2" applyFont="1" applyFill="1" applyBorder="1" applyAlignment="1">
      <alignment horizontal="center" vertical="center" wrapText="1"/>
    </xf>
    <xf numFmtId="0" fontId="12" fillId="4" borderId="1" xfId="2" applyFont="1" applyFill="1" applyBorder="1" applyAlignment="1">
      <alignment horizontal="center" vertical="center" wrapText="1"/>
    </xf>
    <xf numFmtId="1" fontId="5" fillId="0" borderId="1" xfId="12" applyNumberFormat="1" applyFont="1" applyFill="1" applyBorder="1" applyAlignment="1">
      <alignment horizontal="center" vertical="center" wrapText="1"/>
    </xf>
    <xf numFmtId="1" fontId="5" fillId="0" borderId="1" xfId="12" applyNumberFormat="1" applyFont="1" applyFill="1" applyBorder="1" applyAlignment="1">
      <alignment horizontal="center" vertical="center"/>
    </xf>
    <xf numFmtId="0" fontId="17" fillId="0" borderId="1" xfId="6" applyNumberFormat="1" applyFont="1" applyFill="1" applyBorder="1" applyAlignment="1">
      <alignment horizontal="center" vertical="center" wrapText="1"/>
    </xf>
    <xf numFmtId="1" fontId="5" fillId="0" borderId="76" xfId="12" applyNumberFormat="1" applyFont="1" applyFill="1" applyBorder="1" applyAlignment="1">
      <alignment horizontal="center" vertical="center" wrapText="1"/>
    </xf>
    <xf numFmtId="1" fontId="5" fillId="0" borderId="76" xfId="12" applyNumberFormat="1" applyFont="1" applyFill="1" applyBorder="1" applyAlignment="1">
      <alignment horizontal="center" vertical="center"/>
    </xf>
    <xf numFmtId="0" fontId="17" fillId="0" borderId="76" xfId="6" applyNumberFormat="1" applyFont="1" applyFill="1" applyBorder="1" applyAlignment="1">
      <alignment horizontal="center" vertical="center" wrapText="1"/>
    </xf>
    <xf numFmtId="0" fontId="5" fillId="8" borderId="79" xfId="2" applyFont="1" applyFill="1" applyBorder="1" applyAlignment="1">
      <alignment horizontal="center" vertical="center"/>
    </xf>
    <xf numFmtId="0" fontId="5" fillId="4" borderId="1" xfId="2" applyFont="1" applyFill="1" applyBorder="1" applyAlignment="1">
      <alignment horizontal="center" vertical="center"/>
    </xf>
    <xf numFmtId="0" fontId="14" fillId="4" borderId="0" xfId="0" applyFont="1" applyFill="1" applyAlignment="1">
      <alignment horizontal="center" vertical="center" wrapText="1"/>
    </xf>
    <xf numFmtId="0" fontId="12" fillId="8" borderId="106" xfId="2" applyFont="1" applyFill="1" applyBorder="1" applyAlignment="1">
      <alignment horizontal="left" vertical="center"/>
    </xf>
    <xf numFmtId="9" fontId="12" fillId="8" borderId="107" xfId="2" applyNumberFormat="1" applyFont="1" applyFill="1" applyBorder="1" applyAlignment="1">
      <alignment vertical="center"/>
    </xf>
    <xf numFmtId="0" fontId="5" fillId="8" borderId="107" xfId="2" applyFont="1" applyFill="1" applyBorder="1" applyAlignment="1">
      <alignment vertical="center"/>
    </xf>
    <xf numFmtId="0" fontId="5" fillId="8" borderId="107" xfId="2" applyFont="1" applyFill="1" applyBorder="1" applyAlignment="1">
      <alignment horizontal="center" vertical="center"/>
    </xf>
    <xf numFmtId="9" fontId="21" fillId="8" borderId="79" xfId="6" applyFont="1" applyFill="1" applyBorder="1" applyAlignment="1">
      <alignment horizontal="center" vertical="center" wrapText="1"/>
    </xf>
    <xf numFmtId="0" fontId="12" fillId="4" borderId="69" xfId="2" applyFont="1" applyFill="1" applyBorder="1" applyAlignment="1">
      <alignment horizontal="center" vertical="center"/>
    </xf>
    <xf numFmtId="0" fontId="12" fillId="4" borderId="106" xfId="2" applyFont="1" applyFill="1" applyBorder="1" applyAlignment="1">
      <alignment horizontal="left" vertical="center"/>
    </xf>
    <xf numFmtId="0" fontId="12" fillId="4" borderId="107" xfId="2" applyFont="1" applyFill="1" applyBorder="1" applyAlignment="1">
      <alignment horizontal="left" vertical="center"/>
    </xf>
    <xf numFmtId="0" fontId="12" fillId="4" borderId="3" xfId="2" applyFont="1" applyFill="1" applyBorder="1" applyAlignment="1">
      <alignment horizontal="left" vertical="center"/>
    </xf>
    <xf numFmtId="9" fontId="12" fillId="4" borderId="1" xfId="2" applyNumberFormat="1" applyFont="1" applyFill="1" applyBorder="1" applyAlignment="1">
      <alignment horizontal="center" vertical="center" wrapText="1"/>
    </xf>
    <xf numFmtId="0" fontId="5" fillId="0" borderId="69" xfId="2" applyFont="1" applyBorder="1" applyAlignment="1">
      <alignment horizontal="center" vertical="center"/>
    </xf>
    <xf numFmtId="164" fontId="14" fillId="0" borderId="106" xfId="5" applyNumberFormat="1" applyFont="1" applyFill="1" applyBorder="1" applyAlignment="1">
      <alignment vertical="center" wrapText="1"/>
    </xf>
    <xf numFmtId="164" fontId="14" fillId="0" borderId="69" xfId="5" applyNumberFormat="1" applyFont="1" applyFill="1" applyBorder="1" applyAlignment="1">
      <alignment vertical="center" wrapText="1"/>
    </xf>
    <xf numFmtId="164" fontId="14" fillId="0" borderId="78" xfId="5" applyNumberFormat="1" applyFont="1" applyFill="1" applyBorder="1" applyAlignment="1">
      <alignment horizontal="center" vertical="center" wrapText="1"/>
    </xf>
    <xf numFmtId="0" fontId="12" fillId="8" borderId="104" xfId="2" applyFont="1" applyFill="1" applyBorder="1" applyAlignment="1">
      <alignment vertical="center"/>
    </xf>
    <xf numFmtId="9" fontId="12" fillId="8" borderId="103" xfId="2" applyNumberFormat="1" applyFont="1" applyFill="1" applyBorder="1" applyAlignment="1">
      <alignment vertical="center"/>
    </xf>
    <xf numFmtId="0" fontId="5" fillId="8" borderId="103" xfId="2" applyFont="1" applyFill="1" applyBorder="1" applyAlignment="1">
      <alignment vertical="center"/>
    </xf>
    <xf numFmtId="0" fontId="5" fillId="8" borderId="103" xfId="2" applyFont="1" applyFill="1" applyBorder="1" applyAlignment="1">
      <alignment horizontal="center" vertical="center"/>
    </xf>
    <xf numFmtId="9" fontId="21" fillId="8" borderId="79" xfId="0" applyNumberFormat="1" applyFont="1" applyFill="1" applyBorder="1" applyAlignment="1">
      <alignment horizontal="center" vertical="center" wrapText="1"/>
    </xf>
    <xf numFmtId="0" fontId="12" fillId="4" borderId="1" xfId="2" applyFont="1" applyFill="1" applyBorder="1" applyAlignment="1">
      <alignment horizontal="center" vertical="center"/>
    </xf>
    <xf numFmtId="9" fontId="12" fillId="0" borderId="79" xfId="0" applyNumberFormat="1" applyFont="1" applyBorder="1" applyAlignment="1">
      <alignment horizontal="center" vertical="top"/>
    </xf>
    <xf numFmtId="9" fontId="12" fillId="8" borderId="1" xfId="2" applyNumberFormat="1" applyFont="1" applyFill="1" applyBorder="1" applyAlignment="1">
      <alignment horizontal="center" vertical="center" wrapText="1"/>
    </xf>
    <xf numFmtId="0" fontId="12" fillId="2" borderId="1" xfId="2" applyFont="1" applyFill="1" applyBorder="1" applyAlignment="1">
      <alignment horizontal="center" vertical="center"/>
    </xf>
    <xf numFmtId="0" fontId="21" fillId="2" borderId="76" xfId="2" applyFont="1" applyFill="1" applyBorder="1" applyAlignment="1">
      <alignment horizontal="left" vertical="center" wrapText="1"/>
    </xf>
    <xf numFmtId="9" fontId="21" fillId="2" borderId="76" xfId="2" applyNumberFormat="1" applyFont="1" applyFill="1" applyBorder="1" applyAlignment="1">
      <alignment vertical="center"/>
    </xf>
    <xf numFmtId="9" fontId="12" fillId="2" borderId="1" xfId="6" applyFont="1" applyFill="1" applyBorder="1" applyAlignment="1">
      <alignment horizontal="center" vertical="center"/>
    </xf>
    <xf numFmtId="9" fontId="21" fillId="2" borderId="1" xfId="6" applyFont="1" applyFill="1" applyBorder="1" applyAlignment="1">
      <alignment horizontal="center" vertical="center" wrapText="1"/>
    </xf>
    <xf numFmtId="164" fontId="14" fillId="0" borderId="69" xfId="5" applyNumberFormat="1" applyFont="1" applyFill="1" applyBorder="1" applyAlignment="1">
      <alignment horizontal="left" vertical="center" wrapText="1"/>
    </xf>
    <xf numFmtId="9" fontId="5" fillId="0" borderId="78" xfId="0" applyNumberFormat="1" applyFont="1" applyBorder="1" applyAlignment="1">
      <alignment horizontal="left" vertical="center"/>
    </xf>
    <xf numFmtId="0" fontId="17" fillId="0" borderId="78" xfId="2" applyFont="1" applyBorder="1" applyAlignment="1">
      <alignment horizontal="left" vertical="center" wrapText="1"/>
    </xf>
    <xf numFmtId="9" fontId="5" fillId="0" borderId="79" xfId="6" applyFont="1" applyFill="1" applyBorder="1" applyAlignment="1">
      <alignment vertical="center" wrapText="1"/>
    </xf>
    <xf numFmtId="9" fontId="12" fillId="0" borderId="1" xfId="6" applyFont="1" applyFill="1" applyBorder="1" applyAlignment="1">
      <alignment vertical="center" wrapText="1"/>
    </xf>
    <xf numFmtId="0" fontId="21" fillId="2" borderId="108" xfId="2" applyFont="1" applyFill="1" applyBorder="1" applyAlignment="1">
      <alignment vertical="center" wrapText="1"/>
    </xf>
    <xf numFmtId="9" fontId="21" fillId="2" borderId="108" xfId="2" applyNumberFormat="1" applyFont="1" applyFill="1" applyBorder="1" applyAlignment="1">
      <alignment vertical="center"/>
    </xf>
    <xf numFmtId="0" fontId="12" fillId="2" borderId="76" xfId="2" applyFont="1" applyFill="1" applyBorder="1" applyAlignment="1">
      <alignment horizontal="center" vertical="center"/>
    </xf>
    <xf numFmtId="9" fontId="12" fillId="2" borderId="76" xfId="6" applyFont="1" applyFill="1" applyBorder="1" applyAlignment="1">
      <alignment horizontal="center" vertical="center"/>
    </xf>
    <xf numFmtId="0" fontId="28" fillId="0" borderId="69" xfId="2" applyFont="1" applyBorder="1" applyAlignment="1">
      <alignment vertical="center"/>
    </xf>
    <xf numFmtId="0" fontId="28" fillId="0" borderId="78" xfId="2" applyFont="1" applyBorder="1" applyAlignment="1">
      <alignment vertical="center"/>
    </xf>
    <xf numFmtId="0" fontId="28" fillId="0" borderId="78" xfId="2" applyFont="1" applyBorder="1" applyAlignment="1">
      <alignment horizontal="center" vertical="center"/>
    </xf>
    <xf numFmtId="9" fontId="28" fillId="0" borderId="78" xfId="6" applyFont="1" applyBorder="1" applyAlignment="1">
      <alignment vertical="center"/>
    </xf>
    <xf numFmtId="0" fontId="28" fillId="0" borderId="79" xfId="2" applyFont="1" applyBorder="1" applyAlignment="1">
      <alignment vertical="center"/>
    </xf>
    <xf numFmtId="0" fontId="14" fillId="0" borderId="1" xfId="0" applyFont="1" applyBorder="1" applyAlignment="1">
      <alignment vertical="center" wrapText="1"/>
    </xf>
    <xf numFmtId="9" fontId="14" fillId="0" borderId="1" xfId="1" applyNumberFormat="1" applyFont="1" applyFill="1" applyBorder="1" applyAlignment="1">
      <alignment vertical="center" wrapText="1"/>
    </xf>
    <xf numFmtId="166" fontId="5" fillId="0" borderId="77" xfId="2" applyNumberFormat="1" applyFont="1" applyBorder="1" applyAlignment="1">
      <alignment horizontal="center" vertical="center"/>
    </xf>
    <xf numFmtId="9" fontId="5" fillId="0" borderId="77" xfId="2" applyNumberFormat="1" applyFont="1" applyBorder="1" applyAlignment="1">
      <alignment vertical="center"/>
    </xf>
    <xf numFmtId="0" fontId="14" fillId="0" borderId="1" xfId="1" applyNumberFormat="1" applyFont="1" applyFill="1" applyBorder="1" applyAlignment="1">
      <alignment vertical="center" wrapText="1"/>
    </xf>
    <xf numFmtId="9" fontId="5" fillId="0" borderId="78" xfId="0" applyNumberFormat="1" applyFont="1" applyBorder="1" applyAlignment="1">
      <alignment horizontal="left" vertical="center" wrapText="1"/>
    </xf>
    <xf numFmtId="0" fontId="5" fillId="0" borderId="78" xfId="2" applyFont="1" applyBorder="1" applyAlignment="1">
      <alignment horizontal="left" vertical="center" wrapText="1"/>
    </xf>
    <xf numFmtId="164" fontId="14" fillId="0" borderId="77" xfId="5" applyNumberFormat="1" applyFont="1" applyFill="1" applyBorder="1" applyAlignment="1">
      <alignment horizontal="left" vertical="center" wrapText="1"/>
    </xf>
    <xf numFmtId="9" fontId="14" fillId="0" borderId="77" xfId="6" applyFont="1" applyFill="1" applyBorder="1" applyAlignment="1">
      <alignment horizontal="center" vertical="center" wrapText="1"/>
    </xf>
    <xf numFmtId="166" fontId="5" fillId="0" borderId="77" xfId="2" applyNumberFormat="1" applyFont="1" applyBorder="1" applyAlignment="1">
      <alignment vertical="center"/>
    </xf>
    <xf numFmtId="0" fontId="21" fillId="2" borderId="1" xfId="2" applyFont="1" applyFill="1" applyBorder="1" applyAlignment="1">
      <alignment horizontal="left" vertical="center" wrapText="1"/>
    </xf>
    <xf numFmtId="9" fontId="21" fillId="2" borderId="1" xfId="2" applyNumberFormat="1" applyFont="1" applyFill="1" applyBorder="1" applyAlignment="1">
      <alignment vertical="center"/>
    </xf>
    <xf numFmtId="1" fontId="5" fillId="0" borderId="1" xfId="6" applyNumberFormat="1" applyFont="1" applyFill="1" applyBorder="1" applyAlignment="1">
      <alignment vertical="center" wrapText="1"/>
    </xf>
    <xf numFmtId="1" fontId="12" fillId="0" borderId="1" xfId="6" applyNumberFormat="1" applyFont="1" applyFill="1" applyBorder="1" applyAlignment="1">
      <alignment vertical="center" wrapText="1"/>
    </xf>
    <xf numFmtId="9" fontId="5" fillId="2" borderId="1" xfId="6" applyFont="1" applyFill="1" applyBorder="1" applyAlignment="1">
      <alignment vertical="center"/>
    </xf>
    <xf numFmtId="9" fontId="12" fillId="2" borderId="1" xfId="6" applyFont="1" applyFill="1" applyBorder="1" applyAlignment="1">
      <alignment vertical="center"/>
    </xf>
    <xf numFmtId="1" fontId="5" fillId="0" borderId="1" xfId="2" applyNumberFormat="1" applyFont="1" applyBorder="1" applyAlignment="1">
      <alignment vertical="center"/>
    </xf>
    <xf numFmtId="165" fontId="21" fillId="2" borderId="1" xfId="6" applyNumberFormat="1" applyFont="1" applyFill="1" applyBorder="1" applyAlignment="1">
      <alignment horizontal="center" vertical="center" wrapText="1"/>
    </xf>
    <xf numFmtId="165" fontId="21" fillId="2" borderId="76" xfId="6" applyNumberFormat="1" applyFont="1" applyFill="1" applyBorder="1" applyAlignment="1">
      <alignment horizontal="center" vertical="center" wrapText="1"/>
    </xf>
    <xf numFmtId="9" fontId="23" fillId="0" borderId="1" xfId="1" applyNumberFormat="1" applyFont="1" applyFill="1" applyBorder="1" applyAlignment="1">
      <alignment vertical="center" wrapText="1"/>
    </xf>
    <xf numFmtId="9" fontId="5" fillId="4" borderId="1" xfId="1" applyNumberFormat="1" applyFont="1" applyFill="1" applyBorder="1" applyAlignment="1">
      <alignment horizontal="center" vertical="center" wrapText="1"/>
    </xf>
    <xf numFmtId="0" fontId="23" fillId="0" borderId="1" xfId="1" applyNumberFormat="1" applyFont="1" applyFill="1" applyBorder="1" applyAlignment="1">
      <alignment vertical="center" wrapText="1"/>
    </xf>
    <xf numFmtId="0" fontId="12" fillId="5" borderId="0" xfId="2" applyFont="1" applyFill="1" applyAlignment="1">
      <alignment vertical="center" wrapText="1"/>
    </xf>
    <xf numFmtId="0" fontId="12" fillId="0" borderId="0" xfId="2" quotePrefix="1" applyFont="1" applyAlignment="1">
      <alignment shrinkToFit="1"/>
    </xf>
    <xf numFmtId="0" fontId="12" fillId="4" borderId="0" xfId="0" applyFont="1" applyFill="1" applyAlignment="1">
      <alignment horizontal="center" vertical="center"/>
    </xf>
    <xf numFmtId="0" fontId="50" fillId="4" borderId="0" xfId="0" applyFont="1" applyFill="1" applyAlignment="1">
      <alignment vertical="center"/>
    </xf>
    <xf numFmtId="9" fontId="52" fillId="2" borderId="1" xfId="2" applyNumberFormat="1" applyFont="1" applyFill="1" applyBorder="1" applyAlignment="1">
      <alignment horizontal="center" vertical="center" wrapText="1"/>
    </xf>
    <xf numFmtId="0" fontId="52" fillId="2" borderId="1" xfId="2" applyFont="1" applyFill="1" applyBorder="1" applyAlignment="1">
      <alignment horizontal="center" vertical="center"/>
    </xf>
    <xf numFmtId="0" fontId="53" fillId="4" borderId="1" xfId="0" applyFont="1" applyFill="1" applyBorder="1" applyAlignment="1">
      <alignment horizontal="center" vertical="center"/>
    </xf>
    <xf numFmtId="164" fontId="14" fillId="4" borderId="1" xfId="1" applyNumberFormat="1" applyFont="1" applyFill="1" applyBorder="1" applyAlignment="1">
      <alignment vertical="center" wrapText="1"/>
    </xf>
    <xf numFmtId="9" fontId="5" fillId="4" borderId="1" xfId="6" applyFont="1" applyFill="1" applyBorder="1" applyAlignment="1">
      <alignment vertical="center"/>
    </xf>
    <xf numFmtId="9" fontId="5" fillId="4" borderId="1" xfId="0" applyNumberFormat="1" applyFont="1" applyFill="1" applyBorder="1" applyAlignment="1">
      <alignment horizontal="left" vertical="center" wrapText="1"/>
    </xf>
    <xf numFmtId="0" fontId="53" fillId="0" borderId="1" xfId="0" applyFont="1" applyBorder="1" applyAlignment="1">
      <alignment horizontal="center" vertical="center"/>
    </xf>
    <xf numFmtId="164" fontId="14" fillId="0" borderId="61" xfId="1" applyNumberFormat="1" applyFont="1" applyFill="1" applyBorder="1" applyAlignment="1">
      <alignment vertical="center" wrapText="1"/>
    </xf>
    <xf numFmtId="9" fontId="5" fillId="4" borderId="1" xfId="6" applyFont="1" applyFill="1" applyBorder="1" applyAlignment="1">
      <alignment horizontal="center" vertical="center"/>
    </xf>
    <xf numFmtId="14" fontId="5" fillId="4" borderId="1" xfId="6" applyNumberFormat="1" applyFont="1" applyFill="1" applyBorder="1" applyAlignment="1">
      <alignment horizontal="center" vertical="center"/>
    </xf>
    <xf numFmtId="164" fontId="5" fillId="4" borderId="1" xfId="5" applyNumberFormat="1" applyFont="1" applyFill="1" applyBorder="1" applyAlignment="1">
      <alignment vertical="center" wrapText="1"/>
    </xf>
    <xf numFmtId="14" fontId="5" fillId="4" borderId="1" xfId="5" quotePrefix="1" applyNumberFormat="1" applyFont="1" applyFill="1" applyBorder="1" applyAlignment="1">
      <alignment vertical="center" wrapText="1"/>
    </xf>
    <xf numFmtId="1" fontId="5" fillId="0" borderId="1" xfId="0" applyNumberFormat="1" applyFont="1" applyBorder="1" applyAlignment="1">
      <alignment horizontal="center" vertical="center"/>
    </xf>
    <xf numFmtId="164" fontId="14" fillId="0" borderId="1" xfId="19" applyNumberFormat="1" applyFont="1" applyFill="1" applyBorder="1" applyAlignment="1">
      <alignment vertical="center" wrapText="1"/>
    </xf>
    <xf numFmtId="14" fontId="14" fillId="0" borderId="1" xfId="19" quotePrefix="1" applyNumberFormat="1" applyFont="1" applyFill="1" applyBorder="1" applyAlignment="1">
      <alignment vertical="center" wrapText="1"/>
    </xf>
    <xf numFmtId="164" fontId="14" fillId="0" borderId="1" xfId="19" applyNumberFormat="1" applyFont="1" applyFill="1" applyBorder="1" applyAlignment="1">
      <alignment horizontal="center" vertical="center" wrapText="1"/>
    </xf>
    <xf numFmtId="9" fontId="5" fillId="4" borderId="1" xfId="6" applyFont="1" applyFill="1" applyBorder="1" applyAlignment="1">
      <alignment vertical="center" wrapText="1"/>
    </xf>
    <xf numFmtId="0" fontId="14" fillId="0" borderId="1" xfId="19" applyNumberFormat="1" applyFont="1" applyFill="1" applyBorder="1" applyAlignment="1">
      <alignment vertical="center" wrapText="1"/>
    </xf>
    <xf numFmtId="167" fontId="14" fillId="0" borderId="1" xfId="19" applyNumberFormat="1" applyFont="1" applyFill="1" applyBorder="1" applyAlignment="1">
      <alignment vertical="center" wrapText="1"/>
    </xf>
    <xf numFmtId="9" fontId="5" fillId="0" borderId="1" xfId="20" applyFont="1" applyFill="1" applyBorder="1" applyAlignment="1" applyProtection="1">
      <alignment horizontal="right" vertical="center" wrapText="1"/>
      <protection hidden="1"/>
    </xf>
    <xf numFmtId="167" fontId="5" fillId="0" borderId="1" xfId="0" applyNumberFormat="1" applyFont="1" applyBorder="1" applyAlignment="1">
      <alignment horizontal="right" vertical="center"/>
    </xf>
    <xf numFmtId="165" fontId="5" fillId="0" borderId="1" xfId="6" applyNumberFormat="1" applyFont="1" applyFill="1" applyBorder="1" applyAlignment="1">
      <alignment vertical="center"/>
    </xf>
    <xf numFmtId="165" fontId="21" fillId="2" borderId="1" xfId="2" applyNumberFormat="1" applyFont="1" applyFill="1" applyBorder="1" applyAlignment="1" applyProtection="1">
      <alignment horizontal="center" vertical="center"/>
      <protection hidden="1"/>
    </xf>
    <xf numFmtId="164" fontId="14" fillId="15" borderId="1" xfId="1" applyNumberFormat="1" applyFont="1" applyFill="1" applyBorder="1" applyAlignment="1">
      <alignment vertical="center" wrapText="1"/>
    </xf>
    <xf numFmtId="9" fontId="14" fillId="0" borderId="1" xfId="0" applyNumberFormat="1" applyFont="1" applyBorder="1" applyAlignment="1">
      <alignment vertical="center" wrapText="1"/>
    </xf>
    <xf numFmtId="9" fontId="7" fillId="0" borderId="1" xfId="1" applyNumberFormat="1" applyFont="1" applyFill="1" applyBorder="1" applyAlignment="1">
      <alignment vertical="center" wrapText="1"/>
    </xf>
    <xf numFmtId="0" fontId="21" fillId="7" borderId="1" xfId="0" applyFont="1" applyFill="1" applyBorder="1" applyAlignment="1">
      <alignment vertical="center" wrapText="1"/>
    </xf>
    <xf numFmtId="0" fontId="17" fillId="4" borderId="1" xfId="0" applyFont="1" applyFill="1" applyBorder="1" applyAlignment="1">
      <alignment horizontal="center" vertical="center"/>
    </xf>
    <xf numFmtId="164" fontId="23" fillId="4" borderId="1" xfId="1" applyNumberFormat="1" applyFont="1" applyFill="1" applyBorder="1" applyAlignment="1">
      <alignment vertical="center" wrapText="1"/>
    </xf>
    <xf numFmtId="9" fontId="23" fillId="4" borderId="1" xfId="6" applyFont="1" applyFill="1" applyBorder="1" applyAlignment="1">
      <alignment horizontal="center" vertical="center" wrapText="1"/>
    </xf>
    <xf numFmtId="0" fontId="23" fillId="4" borderId="1" xfId="19" applyNumberFormat="1" applyFont="1" applyFill="1" applyBorder="1" applyAlignment="1">
      <alignment vertical="center" wrapText="1"/>
    </xf>
    <xf numFmtId="9" fontId="17" fillId="0" borderId="1" xfId="0" applyNumberFormat="1" applyFont="1" applyBorder="1" applyAlignment="1" applyProtection="1">
      <alignment horizontal="left" vertical="center" wrapText="1"/>
      <protection locked="0"/>
    </xf>
    <xf numFmtId="9" fontId="17" fillId="4" borderId="1" xfId="0" applyNumberFormat="1" applyFont="1" applyFill="1" applyBorder="1" applyAlignment="1">
      <alignment vertical="center" wrapText="1"/>
    </xf>
    <xf numFmtId="164" fontId="23" fillId="4" borderId="1" xfId="19" applyNumberFormat="1" applyFont="1" applyFill="1" applyBorder="1" applyAlignment="1">
      <alignment horizontal="center" vertical="center" wrapText="1"/>
    </xf>
    <xf numFmtId="9" fontId="23" fillId="4" borderId="1" xfId="12" applyNumberFormat="1" applyFont="1" applyFill="1" applyBorder="1" applyAlignment="1">
      <alignment vertical="center" wrapText="1"/>
    </xf>
    <xf numFmtId="0" fontId="25" fillId="0" borderId="0" xfId="0" applyFont="1" applyAlignment="1">
      <alignment horizontal="left" vertical="center"/>
    </xf>
    <xf numFmtId="164" fontId="23" fillId="0" borderId="1" xfId="1" applyNumberFormat="1" applyFont="1" applyFill="1" applyBorder="1" applyAlignment="1">
      <alignment vertical="center" wrapText="1"/>
    </xf>
    <xf numFmtId="0" fontId="52" fillId="7" borderId="1" xfId="0" applyFont="1" applyFill="1" applyBorder="1" applyAlignment="1">
      <alignment horizontal="center" vertical="center" wrapText="1"/>
    </xf>
    <xf numFmtId="0" fontId="52" fillId="7" borderId="1" xfId="0" applyFont="1" applyFill="1" applyBorder="1" applyAlignment="1">
      <alignment horizontal="center" vertical="center"/>
    </xf>
    <xf numFmtId="0" fontId="52" fillId="2" borderId="1" xfId="2" applyFont="1" applyFill="1" applyBorder="1" applyAlignment="1">
      <alignment vertical="center"/>
    </xf>
    <xf numFmtId="9" fontId="52" fillId="2" borderId="1" xfId="2" applyNumberFormat="1" applyFont="1" applyFill="1" applyBorder="1" applyAlignment="1">
      <alignment horizontal="center" vertical="center"/>
    </xf>
    <xf numFmtId="0" fontId="53" fillId="2" borderId="1" xfId="2" applyFont="1" applyFill="1" applyBorder="1" applyAlignment="1">
      <alignment vertical="center"/>
    </xf>
    <xf numFmtId="9" fontId="53" fillId="2" borderId="1" xfId="2" applyNumberFormat="1" applyFont="1" applyFill="1" applyBorder="1" applyAlignment="1">
      <alignment horizontal="center" vertical="center"/>
    </xf>
    <xf numFmtId="0" fontId="53" fillId="2" borderId="1" xfId="2" applyFont="1" applyFill="1" applyBorder="1" applyAlignment="1">
      <alignment horizontal="center" vertical="center"/>
    </xf>
    <xf numFmtId="0" fontId="53" fillId="2" borderId="1" xfId="2" applyFont="1" applyFill="1" applyBorder="1" applyAlignment="1">
      <alignment horizontal="center" vertical="center" wrapText="1"/>
    </xf>
    <xf numFmtId="164" fontId="49" fillId="0" borderId="1" xfId="1" applyNumberFormat="1" applyFont="1" applyFill="1" applyBorder="1" applyAlignment="1">
      <alignment vertical="center" wrapText="1"/>
    </xf>
    <xf numFmtId="9" fontId="49" fillId="0" borderId="1" xfId="6" applyFont="1" applyFill="1" applyBorder="1" applyAlignment="1">
      <alignment horizontal="center" vertical="center" wrapText="1"/>
    </xf>
    <xf numFmtId="164" fontId="56" fillId="4" borderId="1" xfId="1" applyNumberFormat="1" applyFont="1" applyFill="1" applyBorder="1" applyAlignment="1">
      <alignment vertical="center" wrapText="1"/>
    </xf>
    <xf numFmtId="9" fontId="56" fillId="4" borderId="1" xfId="1" applyNumberFormat="1" applyFont="1" applyFill="1" applyBorder="1" applyAlignment="1">
      <alignment vertical="center" wrapText="1"/>
    </xf>
    <xf numFmtId="9" fontId="49" fillId="4" borderId="1" xfId="6" applyFont="1" applyFill="1" applyBorder="1" applyAlignment="1">
      <alignment horizontal="center" vertical="center" wrapText="1"/>
    </xf>
    <xf numFmtId="164" fontId="56" fillId="4" borderId="1" xfId="0" applyNumberFormat="1" applyFont="1" applyFill="1" applyBorder="1" applyAlignment="1">
      <alignment vertical="center" wrapText="1"/>
    </xf>
    <xf numFmtId="0" fontId="59" fillId="0" borderId="0" xfId="2" applyFont="1" applyAlignment="1">
      <alignment vertical="center"/>
    </xf>
    <xf numFmtId="0" fontId="60" fillId="0" borderId="1" xfId="0" applyFont="1" applyBorder="1" applyAlignment="1">
      <alignment horizontal="center" vertical="center"/>
    </xf>
    <xf numFmtId="164" fontId="61" fillId="0" borderId="1" xfId="1" applyNumberFormat="1" applyFont="1" applyFill="1" applyBorder="1" applyAlignment="1">
      <alignment vertical="center" wrapText="1"/>
    </xf>
    <xf numFmtId="164" fontId="61" fillId="4" borderId="1" xfId="1" applyNumberFormat="1" applyFont="1" applyFill="1" applyBorder="1" applyAlignment="1">
      <alignment vertical="center" wrapText="1"/>
    </xf>
    <xf numFmtId="9" fontId="61" fillId="4" borderId="1" xfId="1" applyNumberFormat="1" applyFont="1" applyFill="1" applyBorder="1" applyAlignment="1">
      <alignment horizontal="center" vertical="center" wrapText="1"/>
    </xf>
    <xf numFmtId="0" fontId="59" fillId="4" borderId="0" xfId="2" applyFont="1" applyFill="1" applyAlignment="1">
      <alignment vertical="center"/>
    </xf>
    <xf numFmtId="0" fontId="62" fillId="2" borderId="1" xfId="2" applyFont="1" applyFill="1" applyBorder="1" applyAlignment="1">
      <alignment vertical="center"/>
    </xf>
    <xf numFmtId="9" fontId="62" fillId="2" borderId="1" xfId="2" applyNumberFormat="1" applyFont="1" applyFill="1" applyBorder="1" applyAlignment="1">
      <alignment horizontal="center" vertical="center"/>
    </xf>
    <xf numFmtId="0" fontId="60" fillId="2" borderId="1" xfId="2" applyFont="1" applyFill="1" applyBorder="1" applyAlignment="1">
      <alignment vertical="center"/>
    </xf>
    <xf numFmtId="9" fontId="60" fillId="2" borderId="1" xfId="2" applyNumberFormat="1" applyFont="1" applyFill="1" applyBorder="1" applyAlignment="1">
      <alignment horizontal="center" vertical="center"/>
    </xf>
    <xf numFmtId="0" fontId="60" fillId="2" borderId="1" xfId="2" applyFont="1" applyFill="1" applyBorder="1" applyAlignment="1">
      <alignment horizontal="center" vertical="center"/>
    </xf>
    <xf numFmtId="0" fontId="60" fillId="2" borderId="1" xfId="2" applyFont="1" applyFill="1" applyBorder="1" applyAlignment="1">
      <alignment horizontal="center" vertical="center" wrapText="1"/>
    </xf>
    <xf numFmtId="9" fontId="61" fillId="4" borderId="1" xfId="6" applyFont="1" applyFill="1" applyBorder="1" applyAlignment="1">
      <alignment horizontal="center" vertical="center" wrapText="1"/>
    </xf>
    <xf numFmtId="164" fontId="61" fillId="4" borderId="1" xfId="0" applyNumberFormat="1" applyFont="1" applyFill="1" applyBorder="1" applyAlignment="1">
      <alignment vertical="center" wrapText="1"/>
    </xf>
    <xf numFmtId="9" fontId="58" fillId="2" borderId="1" xfId="6" applyFont="1" applyFill="1" applyBorder="1" applyAlignment="1">
      <alignment horizontal="center" vertical="center"/>
    </xf>
    <xf numFmtId="9" fontId="57" fillId="2" borderId="1" xfId="6" applyFont="1" applyFill="1" applyBorder="1" applyAlignment="1">
      <alignment vertical="center"/>
    </xf>
    <xf numFmtId="9" fontId="57" fillId="2" borderId="1" xfId="6" applyFont="1" applyFill="1" applyBorder="1" applyAlignment="1">
      <alignment horizontal="center" vertical="center"/>
    </xf>
    <xf numFmtId="9" fontId="58" fillId="2" borderId="1" xfId="6" applyFont="1" applyFill="1" applyBorder="1" applyAlignment="1">
      <alignment vertical="center"/>
    </xf>
    <xf numFmtId="9" fontId="58" fillId="2" borderId="1" xfId="6" applyFont="1" applyFill="1" applyBorder="1" applyAlignment="1">
      <alignment horizontal="center" vertical="center" wrapText="1"/>
    </xf>
    <xf numFmtId="9" fontId="17" fillId="4" borderId="0" xfId="6" applyFont="1" applyFill="1" applyAlignment="1">
      <alignment vertical="center"/>
    </xf>
    <xf numFmtId="0" fontId="49" fillId="4" borderId="0" xfId="0" applyFont="1" applyFill="1" applyAlignment="1">
      <alignment horizontal="left" vertical="center" wrapText="1"/>
    </xf>
    <xf numFmtId="0" fontId="53" fillId="4" borderId="0" xfId="0" applyFont="1" applyFill="1" applyAlignment="1">
      <alignment vertical="center"/>
    </xf>
    <xf numFmtId="0" fontId="53" fillId="4" borderId="0" xfId="0" applyFont="1" applyFill="1" applyAlignment="1">
      <alignment vertical="top"/>
    </xf>
    <xf numFmtId="0" fontId="52" fillId="4" borderId="0" xfId="0" applyFont="1" applyFill="1" applyAlignment="1">
      <alignment vertical="center"/>
    </xf>
    <xf numFmtId="0" fontId="53" fillId="0" borderId="0" xfId="2" applyFont="1" applyAlignment="1">
      <alignment vertical="center"/>
    </xf>
    <xf numFmtId="0" fontId="53" fillId="0" borderId="0" xfId="2" applyFont="1" applyAlignment="1">
      <alignment horizontal="center" vertical="center"/>
    </xf>
    <xf numFmtId="0" fontId="63" fillId="0" borderId="1" xfId="0" applyFont="1" applyBorder="1" applyAlignment="1">
      <alignment vertical="center"/>
    </xf>
    <xf numFmtId="0" fontId="64" fillId="0" borderId="20" xfId="0" applyFont="1" applyBorder="1" applyAlignment="1">
      <alignment vertical="center"/>
    </xf>
    <xf numFmtId="0" fontId="64" fillId="0" borderId="0" xfId="0" applyFont="1" applyAlignment="1">
      <alignment vertical="center"/>
    </xf>
    <xf numFmtId="0" fontId="65" fillId="0" borderId="0" xfId="0" applyFont="1" applyAlignment="1">
      <alignment vertical="center" wrapText="1"/>
    </xf>
    <xf numFmtId="0" fontId="53" fillId="0" borderId="0" xfId="0" applyFont="1" applyAlignment="1">
      <alignment vertical="center"/>
    </xf>
    <xf numFmtId="0" fontId="53" fillId="0" borderId="0" xfId="0" applyFont="1" applyAlignment="1">
      <alignment horizontal="center" vertical="center"/>
    </xf>
    <xf numFmtId="0" fontId="52" fillId="0" borderId="0" xfId="2" applyFont="1" applyAlignment="1">
      <alignment shrinkToFit="1"/>
    </xf>
    <xf numFmtId="0" fontId="52" fillId="0" borderId="0" xfId="2" applyFont="1"/>
    <xf numFmtId="0" fontId="53" fillId="0" borderId="0" xfId="2" applyFont="1" applyAlignment="1">
      <alignment vertical="center" wrapText="1"/>
    </xf>
    <xf numFmtId="0" fontId="52" fillId="0" borderId="0" xfId="2" quotePrefix="1" applyFont="1" applyAlignment="1">
      <alignment shrinkToFit="1"/>
    </xf>
    <xf numFmtId="0" fontId="52" fillId="0" borderId="0" xfId="2" applyFont="1" applyAlignment="1">
      <alignment wrapText="1"/>
    </xf>
    <xf numFmtId="0" fontId="52" fillId="8" borderId="69" xfId="2" applyFont="1" applyFill="1" applyBorder="1" applyAlignment="1">
      <alignment horizontal="center" vertical="center"/>
    </xf>
    <xf numFmtId="0" fontId="52" fillId="8" borderId="69" xfId="2" applyFont="1" applyFill="1" applyBorder="1" applyAlignment="1">
      <alignment horizontal="left" vertical="center"/>
    </xf>
    <xf numFmtId="9" fontId="52" fillId="8" borderId="78" xfId="2" applyNumberFormat="1" applyFont="1" applyFill="1" applyBorder="1" applyAlignment="1">
      <alignment vertical="center"/>
    </xf>
    <xf numFmtId="0" fontId="53" fillId="8" borderId="78" xfId="2" applyFont="1" applyFill="1" applyBorder="1" applyAlignment="1">
      <alignment vertical="center"/>
    </xf>
    <xf numFmtId="0" fontId="53" fillId="8" borderId="78" xfId="2" applyFont="1" applyFill="1" applyBorder="1" applyAlignment="1">
      <alignment horizontal="center" vertical="center"/>
    </xf>
    <xf numFmtId="0" fontId="52" fillId="8" borderId="78" xfId="2" applyFont="1" applyFill="1" applyBorder="1" applyAlignment="1">
      <alignment vertical="center"/>
    </xf>
    <xf numFmtId="9" fontId="52" fillId="8" borderId="78" xfId="2" applyNumberFormat="1" applyFont="1" applyFill="1" applyBorder="1" applyAlignment="1">
      <alignment horizontal="center" vertical="center"/>
    </xf>
    <xf numFmtId="0" fontId="52" fillId="8" borderId="79" xfId="2" applyFont="1" applyFill="1" applyBorder="1" applyAlignment="1">
      <alignment horizontal="center" vertical="center"/>
    </xf>
    <xf numFmtId="9" fontId="52" fillId="8" borderId="79" xfId="6" applyFont="1" applyFill="1" applyBorder="1" applyAlignment="1">
      <alignment horizontal="center" vertical="center" wrapText="1"/>
    </xf>
    <xf numFmtId="0" fontId="52" fillId="0" borderId="1" xfId="2" applyFont="1" applyBorder="1" applyAlignment="1">
      <alignment horizontal="center" vertical="center" wrapText="1"/>
    </xf>
    <xf numFmtId="9" fontId="52" fillId="0" borderId="77" xfId="2" applyNumberFormat="1" applyFont="1" applyBorder="1" applyAlignment="1">
      <alignment horizontal="center" vertical="center" wrapText="1"/>
    </xf>
    <xf numFmtId="0" fontId="52" fillId="0" borderId="77" xfId="2" applyFont="1" applyBorder="1" applyAlignment="1">
      <alignment horizontal="center" vertical="center" wrapText="1"/>
    </xf>
    <xf numFmtId="0" fontId="52" fillId="0" borderId="0" xfId="2" applyFont="1" applyAlignment="1">
      <alignment horizontal="center" vertical="center"/>
    </xf>
    <xf numFmtId="0" fontId="53" fillId="0" borderId="1" xfId="2" applyFont="1" applyBorder="1" applyAlignment="1">
      <alignment horizontal="center" vertical="center"/>
    </xf>
    <xf numFmtId="9" fontId="53" fillId="0" borderId="1" xfId="6" applyFont="1" applyFill="1" applyBorder="1" applyAlignment="1">
      <alignment horizontal="center" vertical="center" wrapText="1"/>
    </xf>
    <xf numFmtId="9" fontId="53" fillId="0" borderId="1" xfId="6" applyFont="1" applyFill="1" applyBorder="1" applyAlignment="1">
      <alignment horizontal="center" vertical="center"/>
    </xf>
    <xf numFmtId="9" fontId="53" fillId="0" borderId="0" xfId="2" applyNumberFormat="1" applyFont="1" applyAlignment="1">
      <alignment vertical="center"/>
    </xf>
    <xf numFmtId="9" fontId="53" fillId="0" borderId="76" xfId="6" applyFont="1" applyFill="1" applyBorder="1" applyAlignment="1">
      <alignment horizontal="center" vertical="center" wrapText="1"/>
    </xf>
    <xf numFmtId="0" fontId="52" fillId="8" borderId="69" xfId="2" applyFont="1" applyFill="1" applyBorder="1" applyAlignment="1">
      <alignment vertical="center"/>
    </xf>
    <xf numFmtId="9" fontId="52" fillId="8" borderId="79" xfId="0" applyNumberFormat="1" applyFont="1" applyFill="1" applyBorder="1" applyAlignment="1">
      <alignment horizontal="center" vertical="center" wrapText="1"/>
    </xf>
    <xf numFmtId="0" fontId="53" fillId="4" borderId="1" xfId="2" applyFont="1" applyFill="1" applyBorder="1" applyAlignment="1">
      <alignment horizontal="center" vertical="center"/>
    </xf>
    <xf numFmtId="164" fontId="49" fillId="4" borderId="1" xfId="5" applyNumberFormat="1" applyFont="1" applyFill="1" applyBorder="1" applyAlignment="1">
      <alignment horizontal="left" vertical="center" wrapText="1"/>
    </xf>
    <xf numFmtId="9" fontId="49" fillId="4" borderId="1" xfId="6" applyFont="1" applyFill="1" applyBorder="1" applyAlignment="1">
      <alignment vertical="center" wrapText="1"/>
    </xf>
    <xf numFmtId="9" fontId="53" fillId="4" borderId="1" xfId="6" applyFont="1" applyFill="1" applyBorder="1" applyAlignment="1">
      <alignment vertical="center"/>
    </xf>
    <xf numFmtId="1" fontId="53" fillId="4" borderId="1" xfId="2" applyNumberFormat="1" applyFont="1" applyFill="1" applyBorder="1" applyAlignment="1">
      <alignment vertical="center"/>
    </xf>
    <xf numFmtId="9" fontId="53" fillId="4" borderId="1" xfId="18" applyFont="1" applyFill="1" applyBorder="1" applyAlignment="1" applyProtection="1">
      <alignment horizontal="right" vertical="center" wrapText="1"/>
      <protection hidden="1"/>
    </xf>
    <xf numFmtId="9" fontId="53" fillId="4" borderId="1" xfId="2" applyNumberFormat="1" applyFont="1" applyFill="1" applyBorder="1" applyAlignment="1">
      <alignment vertical="center"/>
    </xf>
    <xf numFmtId="0" fontId="53" fillId="4" borderId="0" xfId="2" applyFont="1" applyFill="1" applyAlignment="1">
      <alignment vertical="center"/>
    </xf>
    <xf numFmtId="164" fontId="56" fillId="4" borderId="1" xfId="5" applyNumberFormat="1" applyFont="1" applyFill="1" applyBorder="1" applyAlignment="1">
      <alignment horizontal="left" vertical="center" wrapText="1"/>
    </xf>
    <xf numFmtId="1" fontId="53" fillId="4" borderId="1" xfId="0" applyNumberFormat="1" applyFont="1" applyFill="1" applyBorder="1" applyAlignment="1">
      <alignment horizontal="right" vertical="center"/>
    </xf>
    <xf numFmtId="9" fontId="53" fillId="14" borderId="1" xfId="0" applyNumberFormat="1" applyFont="1" applyFill="1" applyBorder="1" applyAlignment="1">
      <alignment horizontal="right" vertical="center" wrapText="1"/>
    </xf>
    <xf numFmtId="167" fontId="53" fillId="4" borderId="1" xfId="2" applyNumberFormat="1" applyFont="1" applyFill="1" applyBorder="1" applyAlignment="1">
      <alignment vertical="center"/>
    </xf>
    <xf numFmtId="0" fontId="53" fillId="4" borderId="1" xfId="6" applyNumberFormat="1" applyFont="1" applyFill="1" applyBorder="1" applyAlignment="1">
      <alignment vertical="center"/>
    </xf>
    <xf numFmtId="9" fontId="53" fillId="4" borderId="1" xfId="6" applyFont="1" applyFill="1" applyBorder="1" applyAlignment="1">
      <alignment vertical="center" wrapText="1"/>
    </xf>
    <xf numFmtId="164" fontId="49" fillId="0" borderId="76" xfId="5" applyNumberFormat="1" applyFont="1" applyFill="1" applyBorder="1" applyAlignment="1">
      <alignment horizontal="left" vertical="center" wrapText="1"/>
    </xf>
    <xf numFmtId="9" fontId="49" fillId="0" borderId="1" xfId="6" applyFont="1" applyFill="1" applyBorder="1" applyAlignment="1">
      <alignment vertical="center" wrapText="1"/>
    </xf>
    <xf numFmtId="167" fontId="53" fillId="0" borderId="1" xfId="2" applyNumberFormat="1" applyFont="1" applyBorder="1" applyAlignment="1">
      <alignment vertical="center"/>
    </xf>
    <xf numFmtId="9" fontId="53" fillId="0" borderId="1" xfId="18" applyFont="1" applyFill="1" applyBorder="1" applyAlignment="1" applyProtection="1">
      <alignment horizontal="right" vertical="center" wrapText="1"/>
      <protection hidden="1"/>
    </xf>
    <xf numFmtId="9" fontId="53" fillId="0" borderId="1" xfId="2" applyNumberFormat="1" applyFont="1" applyBorder="1" applyAlignment="1">
      <alignment vertical="center"/>
    </xf>
    <xf numFmtId="0" fontId="52" fillId="4" borderId="1" xfId="2" applyFont="1" applyFill="1" applyBorder="1" applyAlignment="1">
      <alignment horizontal="center" vertical="center" wrapText="1"/>
    </xf>
    <xf numFmtId="1" fontId="53" fillId="0" borderId="1" xfId="12" applyNumberFormat="1" applyFont="1" applyFill="1" applyBorder="1" applyAlignment="1">
      <alignment horizontal="center" vertical="center"/>
    </xf>
    <xf numFmtId="1" fontId="53" fillId="0" borderId="1" xfId="12" applyNumberFormat="1" applyFont="1" applyFill="1" applyBorder="1" applyAlignment="1">
      <alignment horizontal="center" vertical="center" wrapText="1"/>
    </xf>
    <xf numFmtId="0" fontId="58" fillId="0" borderId="1" xfId="6" applyNumberFormat="1" applyFont="1" applyFill="1" applyBorder="1" applyAlignment="1">
      <alignment horizontal="center" vertical="center" wrapText="1"/>
    </xf>
    <xf numFmtId="0" fontId="53" fillId="0" borderId="0" xfId="2" applyFont="1" applyAlignment="1">
      <alignment horizontal="justify" vertical="center"/>
    </xf>
    <xf numFmtId="1" fontId="53" fillId="0" borderId="76" xfId="12" applyNumberFormat="1" applyFont="1" applyFill="1" applyBorder="1" applyAlignment="1">
      <alignment horizontal="center" vertical="center"/>
    </xf>
    <xf numFmtId="1" fontId="53" fillId="0" borderId="76" xfId="12" applyNumberFormat="1" applyFont="1" applyFill="1" applyBorder="1" applyAlignment="1">
      <alignment horizontal="center" vertical="center" wrapText="1"/>
    </xf>
    <xf numFmtId="0" fontId="58" fillId="0" borderId="76" xfId="6" applyNumberFormat="1" applyFont="1" applyFill="1" applyBorder="1" applyAlignment="1">
      <alignment horizontal="center" vertical="center" wrapText="1"/>
    </xf>
    <xf numFmtId="0" fontId="53" fillId="8" borderId="79" xfId="2" applyFont="1" applyFill="1" applyBorder="1" applyAlignment="1">
      <alignment horizontal="center" vertical="center"/>
    </xf>
    <xf numFmtId="0" fontId="53" fillId="5" borderId="0" xfId="2" applyFont="1" applyFill="1" applyAlignment="1">
      <alignment vertical="center"/>
    </xf>
    <xf numFmtId="0" fontId="53" fillId="5" borderId="0" xfId="2" applyFont="1" applyFill="1" applyAlignment="1">
      <alignment horizontal="center" vertical="center"/>
    </xf>
    <xf numFmtId="0" fontId="52" fillId="5" borderId="0" xfId="2" applyFont="1" applyFill="1" applyAlignment="1">
      <alignment horizontal="center" vertical="center"/>
    </xf>
    <xf numFmtId="0" fontId="52" fillId="5" borderId="0" xfId="2" applyFont="1" applyFill="1" applyAlignment="1">
      <alignment horizontal="left" vertical="center"/>
    </xf>
    <xf numFmtId="0" fontId="52" fillId="5" borderId="0" xfId="2" applyFont="1" applyFill="1" applyAlignment="1">
      <alignment vertical="center"/>
    </xf>
    <xf numFmtId="0" fontId="52" fillId="5" borderId="0" xfId="2" applyFont="1" applyFill="1" applyAlignment="1">
      <alignment vertical="center" wrapText="1"/>
    </xf>
    <xf numFmtId="0" fontId="52" fillId="0" borderId="0" xfId="2" applyFont="1" applyAlignment="1">
      <alignment vertical="center"/>
    </xf>
    <xf numFmtId="0" fontId="53" fillId="5" borderId="0" xfId="2" applyFont="1" applyFill="1" applyAlignment="1">
      <alignment vertical="center" wrapText="1"/>
    </xf>
    <xf numFmtId="9" fontId="53" fillId="0" borderId="1" xfId="6" applyFont="1" applyFill="1" applyBorder="1" applyAlignment="1">
      <alignment vertical="center"/>
    </xf>
    <xf numFmtId="9" fontId="53" fillId="0" borderId="1" xfId="6" applyFont="1" applyFill="1" applyBorder="1" applyAlignment="1" applyProtection="1">
      <alignment horizontal="right" vertical="center" wrapText="1"/>
      <protection hidden="1"/>
    </xf>
    <xf numFmtId="14" fontId="53" fillId="0" borderId="1" xfId="6" applyNumberFormat="1" applyFont="1" applyFill="1" applyBorder="1" applyAlignment="1">
      <alignment vertical="center"/>
    </xf>
    <xf numFmtId="0" fontId="53" fillId="0" borderId="1" xfId="6" applyNumberFormat="1" applyFont="1" applyBorder="1" applyAlignment="1">
      <alignment horizontal="right" vertical="center"/>
    </xf>
    <xf numFmtId="9" fontId="53" fillId="0" borderId="1" xfId="12" applyNumberFormat="1" applyFont="1" applyFill="1" applyBorder="1" applyAlignment="1">
      <alignment vertical="center"/>
    </xf>
    <xf numFmtId="9" fontId="49" fillId="0" borderId="1" xfId="12" applyNumberFormat="1" applyFont="1" applyFill="1" applyBorder="1" applyAlignment="1">
      <alignment vertical="center" wrapText="1"/>
    </xf>
    <xf numFmtId="9" fontId="53" fillId="0" borderId="1" xfId="6" applyFont="1" applyFill="1" applyBorder="1" applyAlignment="1">
      <alignment vertical="center" wrapText="1"/>
    </xf>
    <xf numFmtId="1" fontId="53" fillId="0" borderId="1" xfId="0" applyNumberFormat="1" applyFont="1" applyBorder="1" applyAlignment="1">
      <alignment horizontal="right" vertical="center"/>
    </xf>
    <xf numFmtId="1" fontId="53" fillId="0" borderId="1" xfId="6" applyNumberFormat="1" applyFont="1" applyFill="1" applyBorder="1" applyAlignment="1">
      <alignment vertical="center"/>
    </xf>
    <xf numFmtId="164" fontId="49" fillId="0" borderId="1" xfId="5" applyNumberFormat="1" applyFont="1" applyFill="1" applyBorder="1" applyAlignment="1">
      <alignment horizontal="left" vertical="center" wrapText="1"/>
    </xf>
    <xf numFmtId="0" fontId="58" fillId="0" borderId="0" xfId="2" applyFont="1" applyAlignment="1">
      <alignment vertical="center"/>
    </xf>
    <xf numFmtId="166" fontId="53" fillId="0" borderId="1" xfId="2" applyNumberFormat="1" applyFont="1" applyBorder="1" applyAlignment="1">
      <alignment vertical="center"/>
    </xf>
    <xf numFmtId="0" fontId="53" fillId="0" borderId="1" xfId="2" applyFont="1" applyBorder="1" applyAlignment="1">
      <alignment vertical="center"/>
    </xf>
    <xf numFmtId="9" fontId="49" fillId="0" borderId="1" xfId="1" applyNumberFormat="1" applyFont="1" applyFill="1" applyBorder="1" applyAlignment="1">
      <alignment horizontal="center" vertical="center" wrapText="1"/>
    </xf>
    <xf numFmtId="164" fontId="49" fillId="0" borderId="1" xfId="0" applyNumberFormat="1" applyFont="1" applyBorder="1" applyAlignment="1">
      <alignment vertical="center" wrapText="1"/>
    </xf>
    <xf numFmtId="164" fontId="23" fillId="0" borderId="1" xfId="0" applyNumberFormat="1" applyFont="1" applyBorder="1" applyAlignment="1">
      <alignment vertical="center" wrapText="1"/>
    </xf>
    <xf numFmtId="14" fontId="23" fillId="4" borderId="1" xfId="19" quotePrefix="1" applyNumberFormat="1" applyFont="1" applyFill="1" applyBorder="1" applyAlignment="1">
      <alignment vertical="center" wrapText="1"/>
    </xf>
    <xf numFmtId="9" fontId="17" fillId="4" borderId="1" xfId="12" applyNumberFormat="1" applyFont="1" applyFill="1" applyBorder="1" applyAlignment="1">
      <alignment vertical="center"/>
    </xf>
    <xf numFmtId="9" fontId="17" fillId="4" borderId="1" xfId="6" applyFont="1" applyFill="1" applyBorder="1" applyAlignment="1">
      <alignment vertical="center" wrapText="1"/>
    </xf>
    <xf numFmtId="0" fontId="39" fillId="4" borderId="0" xfId="2" applyFont="1" applyFill="1" applyAlignment="1">
      <alignment vertical="center"/>
    </xf>
    <xf numFmtId="0" fontId="14" fillId="4" borderId="1" xfId="1" applyNumberFormat="1" applyFont="1" applyFill="1" applyBorder="1" applyAlignment="1">
      <alignment vertical="center" wrapText="1"/>
    </xf>
    <xf numFmtId="9" fontId="5" fillId="2" borderId="1" xfId="2" applyNumberFormat="1" applyFont="1" applyFill="1" applyBorder="1" applyAlignment="1">
      <alignment horizontal="center" vertical="center"/>
    </xf>
    <xf numFmtId="9" fontId="5" fillId="2" borderId="1" xfId="6" applyFont="1" applyFill="1" applyBorder="1" applyAlignment="1">
      <alignment horizontal="center" vertical="center"/>
    </xf>
    <xf numFmtId="0" fontId="66" fillId="0" borderId="1" xfId="0" applyFont="1" applyBorder="1" applyAlignment="1">
      <alignment vertical="center" wrapText="1"/>
    </xf>
    <xf numFmtId="0" fontId="66" fillId="0" borderId="1" xfId="1" applyNumberFormat="1" applyFont="1" applyFill="1" applyBorder="1" applyAlignment="1">
      <alignment vertical="center" wrapText="1"/>
    </xf>
    <xf numFmtId="9" fontId="5" fillId="0" borderId="1" xfId="6" applyFont="1" applyBorder="1" applyAlignment="1">
      <alignment vertical="center"/>
    </xf>
    <xf numFmtId="9" fontId="53" fillId="4" borderId="1" xfId="0" applyNumberFormat="1" applyFont="1" applyFill="1" applyBorder="1" applyAlignment="1">
      <alignment horizontal="left" vertical="center" wrapText="1"/>
    </xf>
    <xf numFmtId="0" fontId="53" fillId="0" borderId="0" xfId="2" applyFont="1" applyAlignment="1">
      <alignment horizontal="center" vertical="center" wrapText="1"/>
    </xf>
    <xf numFmtId="0" fontId="27" fillId="0" borderId="0" xfId="2" applyFont="1" applyAlignment="1">
      <alignment vertical="center"/>
    </xf>
    <xf numFmtId="9" fontId="27" fillId="0" borderId="0" xfId="2" applyNumberFormat="1" applyFont="1" applyAlignment="1">
      <alignment vertical="center"/>
    </xf>
    <xf numFmtId="0" fontId="63" fillId="0" borderId="1" xfId="0" applyFont="1" applyBorder="1" applyAlignment="1">
      <alignment horizontal="center" vertical="center"/>
    </xf>
    <xf numFmtId="0" fontId="63" fillId="0" borderId="0" xfId="0" applyFont="1" applyAlignment="1">
      <alignment vertical="center"/>
    </xf>
    <xf numFmtId="0" fontId="69" fillId="0" borderId="0" xfId="0" applyFont="1" applyAlignment="1">
      <alignment vertical="center"/>
    </xf>
    <xf numFmtId="0" fontId="63" fillId="0" borderId="0" xfId="0" applyFont="1" applyAlignment="1">
      <alignment horizontal="center" vertical="center"/>
    </xf>
    <xf numFmtId="0" fontId="63" fillId="0" borderId="0" xfId="0" applyFont="1" applyAlignment="1">
      <alignment horizontal="left" vertical="center"/>
    </xf>
    <xf numFmtId="0" fontId="53" fillId="2" borderId="1" xfId="2" applyFont="1" applyFill="1" applyBorder="1" applyAlignment="1">
      <alignment vertical="center" wrapText="1"/>
    </xf>
    <xf numFmtId="9" fontId="52" fillId="2" borderId="1" xfId="2" applyNumberFormat="1" applyFont="1" applyFill="1" applyBorder="1" applyAlignment="1">
      <alignment vertical="center"/>
    </xf>
    <xf numFmtId="165" fontId="52" fillId="2" borderId="1" xfId="2" applyNumberFormat="1" applyFont="1" applyFill="1" applyBorder="1" applyAlignment="1" applyProtection="1">
      <alignment horizontal="center" vertical="center"/>
      <protection hidden="1"/>
    </xf>
    <xf numFmtId="9" fontId="53" fillId="0" borderId="1" xfId="0" applyNumberFormat="1" applyFont="1" applyBorder="1" applyAlignment="1" applyProtection="1">
      <alignment horizontal="left" vertical="center" wrapText="1"/>
      <protection locked="0"/>
    </xf>
    <xf numFmtId="9" fontId="53" fillId="0" borderId="1" xfId="0" applyNumberFormat="1" applyFont="1" applyBorder="1" applyAlignment="1">
      <alignment vertical="center" wrapText="1"/>
    </xf>
    <xf numFmtId="0" fontId="53" fillId="0" borderId="76" xfId="0" applyFont="1" applyBorder="1" applyAlignment="1">
      <alignment horizontal="center" vertical="center"/>
    </xf>
    <xf numFmtId="9" fontId="53" fillId="0" borderId="1" xfId="20" applyFont="1" applyFill="1" applyBorder="1" applyAlignment="1" applyProtection="1">
      <alignment horizontal="right" vertical="center" wrapText="1"/>
      <protection hidden="1"/>
    </xf>
    <xf numFmtId="9" fontId="53" fillId="4" borderId="1" xfId="0" applyNumberFormat="1" applyFont="1" applyFill="1" applyBorder="1" applyAlignment="1" applyProtection="1">
      <alignment horizontal="left" vertical="center" wrapText="1"/>
      <protection locked="0"/>
    </xf>
    <xf numFmtId="9" fontId="53" fillId="4" borderId="1" xfId="0" applyNumberFormat="1" applyFont="1" applyFill="1" applyBorder="1" applyAlignment="1">
      <alignment vertical="center" wrapText="1"/>
    </xf>
    <xf numFmtId="165" fontId="53" fillId="4" borderId="1" xfId="6" applyNumberFormat="1" applyFont="1" applyFill="1" applyBorder="1" applyAlignment="1">
      <alignment vertical="center"/>
    </xf>
    <xf numFmtId="165" fontId="57" fillId="2" borderId="1" xfId="2" applyNumberFormat="1" applyFont="1" applyFill="1" applyBorder="1" applyAlignment="1" applyProtection="1">
      <alignment horizontal="center" vertical="center"/>
      <protection hidden="1"/>
    </xf>
    <xf numFmtId="164" fontId="53" fillId="0" borderId="1" xfId="1" applyNumberFormat="1" applyFont="1" applyFill="1" applyBorder="1" applyAlignment="1">
      <alignment vertical="center" wrapText="1"/>
    </xf>
    <xf numFmtId="164" fontId="53" fillId="0" borderId="1" xfId="19" applyNumberFormat="1" applyFont="1" applyFill="1" applyBorder="1" applyAlignment="1">
      <alignment vertical="center" wrapText="1"/>
    </xf>
    <xf numFmtId="164" fontId="53" fillId="0" borderId="1" xfId="19" applyNumberFormat="1" applyFont="1" applyFill="1" applyBorder="1" applyAlignment="1">
      <alignment horizontal="center" vertical="center" wrapText="1"/>
    </xf>
    <xf numFmtId="0" fontId="53" fillId="0" borderId="1" xfId="19" applyNumberFormat="1" applyFont="1" applyFill="1" applyBorder="1" applyAlignment="1">
      <alignment vertical="center" wrapText="1"/>
    </xf>
    <xf numFmtId="164" fontId="53" fillId="14" borderId="1" xfId="0" applyNumberFormat="1" applyFont="1" applyFill="1" applyBorder="1" applyAlignment="1">
      <alignment horizontal="center" vertical="center" wrapText="1"/>
    </xf>
    <xf numFmtId="167" fontId="53" fillId="0" borderId="1" xfId="19" applyNumberFormat="1" applyFont="1" applyFill="1" applyBorder="1" applyAlignment="1">
      <alignment vertical="center" wrapText="1"/>
    </xf>
    <xf numFmtId="9" fontId="53" fillId="0" borderId="1" xfId="12" applyNumberFormat="1" applyFont="1" applyFill="1" applyBorder="1" applyAlignment="1">
      <alignment vertical="center" wrapText="1"/>
    </xf>
    <xf numFmtId="164" fontId="58" fillId="4" borderId="1" xfId="1" applyNumberFormat="1" applyFont="1" applyFill="1" applyBorder="1" applyAlignment="1">
      <alignment vertical="center" wrapText="1"/>
    </xf>
    <xf numFmtId="0" fontId="60" fillId="0" borderId="1" xfId="1" applyNumberFormat="1" applyFont="1" applyFill="1" applyBorder="1" applyAlignment="1">
      <alignment vertical="center" wrapText="1"/>
    </xf>
    <xf numFmtId="0" fontId="53" fillId="4" borderId="1" xfId="19" applyNumberFormat="1" applyFont="1" applyFill="1" applyBorder="1" applyAlignment="1">
      <alignment vertical="center" wrapText="1"/>
    </xf>
    <xf numFmtId="164" fontId="53" fillId="4" borderId="1" xfId="19" applyNumberFormat="1" applyFont="1" applyFill="1" applyBorder="1" applyAlignment="1">
      <alignment horizontal="center" vertical="center" wrapText="1"/>
    </xf>
    <xf numFmtId="9" fontId="53" fillId="4" borderId="1" xfId="6" applyFont="1" applyFill="1" applyBorder="1" applyAlignment="1">
      <alignment horizontal="center" vertical="center" wrapText="1"/>
    </xf>
    <xf numFmtId="14" fontId="53" fillId="0" borderId="1" xfId="19" quotePrefix="1" applyNumberFormat="1" applyFont="1" applyFill="1" applyBorder="1" applyAlignment="1">
      <alignment horizontal="center" vertical="center" wrapText="1"/>
    </xf>
    <xf numFmtId="14" fontId="53" fillId="4" borderId="1" xfId="19" quotePrefix="1" applyNumberFormat="1" applyFont="1" applyFill="1" applyBorder="1" applyAlignment="1">
      <alignment horizontal="center" vertical="center" wrapText="1"/>
    </xf>
    <xf numFmtId="164" fontId="53" fillId="0" borderId="1" xfId="1" applyNumberFormat="1" applyFont="1" applyFill="1" applyBorder="1" applyAlignment="1">
      <alignment horizontal="left" vertical="center" wrapText="1"/>
    </xf>
    <xf numFmtId="1" fontId="53" fillId="0" borderId="1" xfId="0" applyNumberFormat="1" applyFont="1" applyBorder="1" applyAlignment="1">
      <alignment horizontal="center" vertical="center"/>
    </xf>
    <xf numFmtId="167" fontId="53" fillId="0" borderId="1" xfId="19" applyNumberFormat="1" applyFont="1" applyFill="1" applyBorder="1" applyAlignment="1">
      <alignment horizontal="center" vertical="center" wrapText="1"/>
    </xf>
    <xf numFmtId="167" fontId="53" fillId="0" borderId="1" xfId="0" applyNumberFormat="1" applyFont="1" applyBorder="1" applyAlignment="1">
      <alignment horizontal="center" vertical="center"/>
    </xf>
    <xf numFmtId="0" fontId="53" fillId="4" borderId="1" xfId="6" applyNumberFormat="1" applyFont="1" applyFill="1" applyBorder="1" applyAlignment="1">
      <alignment horizontal="center" vertical="center"/>
    </xf>
    <xf numFmtId="9" fontId="53" fillId="0" borderId="1" xfId="2" applyNumberFormat="1" applyFont="1" applyBorder="1" applyAlignment="1">
      <alignment horizontal="center" vertical="center"/>
    </xf>
    <xf numFmtId="167" fontId="53" fillId="0" borderId="1" xfId="2" applyNumberFormat="1" applyFont="1" applyBorder="1" applyAlignment="1">
      <alignment horizontal="center" vertical="center"/>
    </xf>
    <xf numFmtId="1" fontId="53" fillId="0" borderId="1" xfId="6" applyNumberFormat="1" applyFont="1" applyFill="1" applyBorder="1" applyAlignment="1">
      <alignment horizontal="center" vertical="center"/>
    </xf>
    <xf numFmtId="1" fontId="53" fillId="0" borderId="1" xfId="2" applyNumberFormat="1" applyFont="1" applyBorder="1" applyAlignment="1">
      <alignment horizontal="center" vertical="center"/>
    </xf>
    <xf numFmtId="9" fontId="14" fillId="4" borderId="1" xfId="19" applyNumberFormat="1" applyFont="1" applyFill="1" applyBorder="1" applyAlignment="1">
      <alignment horizontal="center" vertical="center" wrapText="1"/>
    </xf>
    <xf numFmtId="0" fontId="63" fillId="4" borderId="0" xfId="0" applyFont="1" applyFill="1" applyAlignment="1">
      <alignment vertical="center"/>
    </xf>
    <xf numFmtId="9" fontId="49" fillId="0" borderId="76" xfId="6" applyFont="1" applyFill="1" applyBorder="1" applyAlignment="1">
      <alignment horizontal="center" vertical="center" wrapText="1"/>
    </xf>
    <xf numFmtId="166" fontId="53" fillId="0" borderId="0" xfId="2" applyNumberFormat="1" applyFont="1" applyAlignment="1">
      <alignment vertical="center"/>
    </xf>
    <xf numFmtId="0" fontId="70" fillId="0" borderId="0" xfId="0" applyFont="1" applyAlignment="1">
      <alignment vertical="center"/>
    </xf>
    <xf numFmtId="0" fontId="71" fillId="0" borderId="0" xfId="0" applyFont="1" applyAlignment="1">
      <alignment vertical="center" wrapText="1"/>
    </xf>
    <xf numFmtId="0" fontId="57" fillId="0" borderId="0" xfId="0" applyFont="1" applyAlignment="1">
      <alignment horizontal="center" vertical="center"/>
    </xf>
    <xf numFmtId="164" fontId="60" fillId="0" borderId="1" xfId="1" applyNumberFormat="1" applyFont="1" applyFill="1" applyBorder="1" applyAlignment="1">
      <alignment vertical="center" wrapText="1"/>
    </xf>
    <xf numFmtId="9" fontId="60" fillId="0" borderId="1" xfId="6" applyFont="1" applyFill="1" applyBorder="1" applyAlignment="1">
      <alignment horizontal="center" vertical="center" wrapText="1"/>
    </xf>
    <xf numFmtId="164" fontId="60" fillId="4" borderId="1" xfId="1" applyNumberFormat="1" applyFont="1" applyFill="1" applyBorder="1" applyAlignment="1">
      <alignment vertical="center" wrapText="1"/>
    </xf>
    <xf numFmtId="9" fontId="60" fillId="4" borderId="1" xfId="1" applyNumberFormat="1" applyFont="1" applyFill="1" applyBorder="1" applyAlignment="1">
      <alignment horizontal="center" vertical="center" wrapText="1"/>
    </xf>
    <xf numFmtId="9" fontId="60" fillId="4" borderId="1" xfId="1" applyNumberFormat="1" applyFont="1" applyFill="1" applyBorder="1" applyAlignment="1">
      <alignment vertical="center" wrapText="1"/>
    </xf>
    <xf numFmtId="164" fontId="58" fillId="4" borderId="1" xfId="14" applyNumberFormat="1" applyFont="1" applyFill="1" applyBorder="1" applyAlignment="1">
      <alignment horizontal="left" vertical="center" wrapText="1"/>
    </xf>
    <xf numFmtId="164" fontId="60" fillId="4" borderId="1" xfId="1" applyNumberFormat="1" applyFont="1" applyFill="1" applyBorder="1" applyAlignment="1">
      <alignment horizontal="center" vertical="center" wrapText="1"/>
    </xf>
    <xf numFmtId="9" fontId="58" fillId="4" borderId="1" xfId="1" applyNumberFormat="1" applyFont="1" applyFill="1" applyBorder="1" applyAlignment="1">
      <alignment vertical="center" wrapText="1"/>
    </xf>
    <xf numFmtId="9" fontId="60" fillId="4" borderId="1" xfId="6" applyFont="1" applyFill="1" applyBorder="1" applyAlignment="1">
      <alignment horizontal="center" vertical="center" wrapText="1"/>
    </xf>
    <xf numFmtId="164" fontId="60" fillId="4" borderId="1" xfId="0" applyNumberFormat="1" applyFont="1" applyFill="1" applyBorder="1" applyAlignment="1">
      <alignment vertical="center" wrapText="1"/>
    </xf>
    <xf numFmtId="164" fontId="58" fillId="4" borderId="1" xfId="0" applyNumberFormat="1" applyFont="1" applyFill="1" applyBorder="1" applyAlignment="1">
      <alignment vertical="center" wrapText="1"/>
    </xf>
    <xf numFmtId="0" fontId="27" fillId="0" borderId="0" xfId="2" applyFont="1" applyAlignment="1">
      <alignment horizontal="center" vertical="center"/>
    </xf>
    <xf numFmtId="9" fontId="27" fillId="0" borderId="0" xfId="6" applyFont="1" applyAlignment="1">
      <alignment horizontal="center" vertical="center"/>
    </xf>
    <xf numFmtId="0" fontId="63" fillId="0" borderId="1" xfId="2" applyFont="1" applyBorder="1" applyAlignment="1">
      <alignment horizontal="center" vertical="center" wrapText="1"/>
    </xf>
    <xf numFmtId="9" fontId="63" fillId="0" borderId="0" xfId="6" applyFont="1" applyAlignment="1">
      <alignment horizontal="center" vertical="center"/>
    </xf>
    <xf numFmtId="0" fontId="69" fillId="0" borderId="0" xfId="2" applyFont="1" applyAlignment="1">
      <alignment vertical="center" wrapText="1"/>
    </xf>
    <xf numFmtId="0" fontId="69" fillId="0" borderId="0" xfId="2" applyFont="1" applyAlignment="1">
      <alignment horizontal="center" vertical="center" wrapText="1"/>
    </xf>
    <xf numFmtId="0" fontId="63" fillId="0" borderId="0" xfId="2" applyFont="1" applyAlignment="1">
      <alignment horizontal="center" vertical="center" wrapText="1"/>
    </xf>
    <xf numFmtId="9" fontId="57" fillId="0" borderId="0" xfId="6" applyFont="1" applyAlignment="1">
      <alignment horizontal="center" vertical="center"/>
    </xf>
    <xf numFmtId="9" fontId="52" fillId="2" borderId="1" xfId="6" applyFont="1" applyFill="1" applyBorder="1" applyAlignment="1">
      <alignment horizontal="center" vertical="center" wrapText="1"/>
    </xf>
    <xf numFmtId="0" fontId="72" fillId="0" borderId="0" xfId="2" applyFont="1" applyAlignment="1">
      <alignment horizontal="center" vertical="center"/>
    </xf>
    <xf numFmtId="9" fontId="53" fillId="2" borderId="1" xfId="6" applyFont="1" applyFill="1" applyBorder="1" applyAlignment="1">
      <alignment horizontal="center" vertical="center"/>
    </xf>
    <xf numFmtId="9" fontId="53" fillId="4" borderId="0" xfId="6" applyFont="1" applyFill="1" applyAlignment="1">
      <alignment vertical="center"/>
    </xf>
    <xf numFmtId="9" fontId="52" fillId="2" borderId="1" xfId="6" applyFont="1" applyFill="1" applyBorder="1" applyAlignment="1">
      <alignment vertical="center"/>
    </xf>
    <xf numFmtId="9" fontId="52" fillId="2" borderId="1" xfId="6" applyFont="1" applyFill="1" applyBorder="1" applyAlignment="1">
      <alignment horizontal="center" vertical="center"/>
    </xf>
    <xf numFmtId="9" fontId="53" fillId="2" borderId="1" xfId="6" applyFont="1" applyFill="1" applyBorder="1" applyAlignment="1">
      <alignment vertical="center"/>
    </xf>
    <xf numFmtId="0" fontId="58" fillId="5" borderId="0" xfId="2" applyFont="1" applyFill="1" applyAlignment="1">
      <alignment horizontal="center" vertical="center"/>
    </xf>
    <xf numFmtId="0" fontId="53" fillId="5" borderId="0" xfId="2" applyFont="1" applyFill="1" applyAlignment="1">
      <alignment horizontal="left" vertical="center"/>
    </xf>
    <xf numFmtId="9" fontId="53" fillId="5" borderId="0" xfId="6" applyFont="1" applyFill="1" applyAlignment="1">
      <alignment horizontal="center" vertical="center"/>
    </xf>
    <xf numFmtId="9" fontId="53" fillId="5" borderId="0" xfId="2" applyNumberFormat="1" applyFont="1" applyFill="1" applyAlignment="1">
      <alignment horizontal="center" vertical="center"/>
    </xf>
    <xf numFmtId="0" fontId="49" fillId="4" borderId="0" xfId="0" applyFont="1" applyFill="1" applyAlignment="1">
      <alignment vertical="center"/>
    </xf>
    <xf numFmtId="0" fontId="73" fillId="4" borderId="0" xfId="0" applyFont="1" applyFill="1" applyAlignment="1">
      <alignment vertical="center"/>
    </xf>
    <xf numFmtId="0" fontId="49" fillId="5" borderId="0" xfId="2" applyFont="1" applyFill="1" applyAlignment="1">
      <alignment vertical="center"/>
    </xf>
    <xf numFmtId="0" fontId="73" fillId="5" borderId="0" xfId="2" applyFont="1" applyFill="1" applyAlignment="1">
      <alignment horizontal="center" vertical="center"/>
    </xf>
    <xf numFmtId="0" fontId="73" fillId="5" borderId="0" xfId="2" applyFont="1" applyFill="1" applyAlignment="1">
      <alignment vertical="center"/>
    </xf>
    <xf numFmtId="0" fontId="49" fillId="5" borderId="0" xfId="2" applyFont="1" applyFill="1" applyAlignment="1">
      <alignment horizontal="center" vertical="center"/>
    </xf>
    <xf numFmtId="0" fontId="49" fillId="0" borderId="0" xfId="2" applyFont="1" applyAlignment="1">
      <alignment horizontal="center" vertical="center"/>
    </xf>
    <xf numFmtId="164" fontId="58" fillId="0" borderId="1" xfId="1" applyNumberFormat="1" applyFont="1" applyFill="1" applyBorder="1" applyAlignment="1">
      <alignment vertical="center" wrapText="1"/>
    </xf>
    <xf numFmtId="164" fontId="76" fillId="0" borderId="1" xfId="1" applyNumberFormat="1" applyFont="1" applyFill="1" applyBorder="1" applyAlignment="1">
      <alignment vertical="center" wrapText="1"/>
    </xf>
    <xf numFmtId="164" fontId="53" fillId="0" borderId="1" xfId="0" applyNumberFormat="1" applyFont="1" applyBorder="1" applyAlignment="1">
      <alignment vertical="center" wrapText="1"/>
    </xf>
    <xf numFmtId="9" fontId="53" fillId="0" borderId="1" xfId="1" applyNumberFormat="1" applyFont="1" applyFill="1" applyBorder="1" applyAlignment="1">
      <alignment horizontal="center" vertical="center" wrapText="1"/>
    </xf>
    <xf numFmtId="0" fontId="58" fillId="0" borderId="1" xfId="1" applyNumberFormat="1" applyFont="1" applyFill="1" applyBorder="1" applyAlignment="1">
      <alignment vertical="center" wrapText="1"/>
    </xf>
    <xf numFmtId="0" fontId="49" fillId="4" borderId="0" xfId="0" applyFont="1" applyFill="1" applyAlignment="1">
      <alignment vertical="top"/>
    </xf>
    <xf numFmtId="0" fontId="49" fillId="0" borderId="0" xfId="2" applyFont="1" applyAlignment="1">
      <alignment vertical="center"/>
    </xf>
    <xf numFmtId="0" fontId="74" fillId="0" borderId="1" xfId="0" applyFont="1" applyBorder="1" applyAlignment="1">
      <alignment vertical="center"/>
    </xf>
    <xf numFmtId="0" fontId="77" fillId="0" borderId="20" xfId="0" applyFont="1" applyBorder="1" applyAlignment="1">
      <alignment vertical="center"/>
    </xf>
    <xf numFmtId="0" fontId="77" fillId="0" borderId="0" xfId="0" applyFont="1" applyAlignment="1">
      <alignment vertical="center"/>
    </xf>
    <xf numFmtId="0" fontId="78" fillId="0" borderId="0" xfId="0" applyFont="1" applyAlignment="1">
      <alignment vertical="center" wrapText="1"/>
    </xf>
    <xf numFmtId="0" fontId="49" fillId="0" borderId="0" xfId="0" applyFont="1" applyAlignment="1">
      <alignment vertical="center"/>
    </xf>
    <xf numFmtId="0" fontId="49" fillId="0" borderId="0" xfId="0" applyFont="1" applyAlignment="1">
      <alignment horizontal="center" vertical="center"/>
    </xf>
    <xf numFmtId="0" fontId="73" fillId="0" borderId="0" xfId="2" applyFont="1" applyAlignment="1">
      <alignment shrinkToFit="1"/>
    </xf>
    <xf numFmtId="0" fontId="73" fillId="0" borderId="0" xfId="2" applyFont="1"/>
    <xf numFmtId="0" fontId="49" fillId="0" borderId="0" xfId="2" applyFont="1" applyAlignment="1">
      <alignment vertical="center" wrapText="1"/>
    </xf>
    <xf numFmtId="0" fontId="73" fillId="0" borderId="0" xfId="2" quotePrefix="1" applyFont="1" applyAlignment="1">
      <alignment shrinkToFit="1"/>
    </xf>
    <xf numFmtId="0" fontId="73" fillId="0" borderId="0" xfId="2" applyFont="1" applyAlignment="1">
      <alignment wrapText="1"/>
    </xf>
    <xf numFmtId="0" fontId="73" fillId="8" borderId="69" xfId="2" applyFont="1" applyFill="1" applyBorder="1" applyAlignment="1">
      <alignment horizontal="center" vertical="center"/>
    </xf>
    <xf numFmtId="0" fontId="73" fillId="8" borderId="69" xfId="2" applyFont="1" applyFill="1" applyBorder="1" applyAlignment="1">
      <alignment horizontal="left" vertical="center"/>
    </xf>
    <xf numFmtId="9" fontId="73" fillId="8" borderId="78" xfId="2" applyNumberFormat="1" applyFont="1" applyFill="1" applyBorder="1" applyAlignment="1">
      <alignment vertical="center"/>
    </xf>
    <xf numFmtId="0" fontId="49" fillId="8" borderId="78" xfId="2" applyFont="1" applyFill="1" applyBorder="1" applyAlignment="1">
      <alignment vertical="center"/>
    </xf>
    <xf numFmtId="0" fontId="49" fillId="8" borderId="78" xfId="2" applyFont="1" applyFill="1" applyBorder="1" applyAlignment="1">
      <alignment horizontal="center" vertical="center"/>
    </xf>
    <xf numFmtId="0" fontId="73" fillId="8" borderId="78" xfId="2" applyFont="1" applyFill="1" applyBorder="1" applyAlignment="1">
      <alignment vertical="center"/>
    </xf>
    <xf numFmtId="9" fontId="73" fillId="8" borderId="78" xfId="2" applyNumberFormat="1" applyFont="1" applyFill="1" applyBorder="1" applyAlignment="1">
      <alignment horizontal="center" vertical="center"/>
    </xf>
    <xf numFmtId="0" fontId="73" fillId="8" borderId="79" xfId="2" applyFont="1" applyFill="1" applyBorder="1" applyAlignment="1">
      <alignment horizontal="center" vertical="center"/>
    </xf>
    <xf numFmtId="9" fontId="73" fillId="8" borderId="79" xfId="6" applyFont="1" applyFill="1" applyBorder="1" applyAlignment="1">
      <alignment horizontal="center" vertical="center" wrapText="1"/>
    </xf>
    <xf numFmtId="0" fontId="73" fillId="0" borderId="1" xfId="2" applyFont="1" applyBorder="1" applyAlignment="1">
      <alignment horizontal="center" vertical="center" wrapText="1"/>
    </xf>
    <xf numFmtId="9" fontId="73" fillId="0" borderId="77" xfId="2" applyNumberFormat="1" applyFont="1" applyBorder="1" applyAlignment="1">
      <alignment horizontal="center" vertical="center" wrapText="1"/>
    </xf>
    <xf numFmtId="0" fontId="73" fillId="0" borderId="77" xfId="2" applyFont="1" applyBorder="1" applyAlignment="1">
      <alignment horizontal="center" vertical="center" wrapText="1"/>
    </xf>
    <xf numFmtId="0" fontId="73" fillId="0" borderId="0" xfId="2" applyFont="1" applyAlignment="1">
      <alignment horizontal="center" vertical="center"/>
    </xf>
    <xf numFmtId="0" fontId="49" fillId="0" borderId="1" xfId="2" applyFont="1" applyBorder="1" applyAlignment="1">
      <alignment horizontal="center" vertical="center"/>
    </xf>
    <xf numFmtId="9" fontId="49" fillId="0" borderId="1" xfId="6" applyFont="1" applyFill="1" applyBorder="1" applyAlignment="1">
      <alignment horizontal="center" vertical="center"/>
    </xf>
    <xf numFmtId="9" fontId="49" fillId="0" borderId="0" xfId="2" applyNumberFormat="1" applyFont="1" applyAlignment="1">
      <alignment vertical="center"/>
    </xf>
    <xf numFmtId="0" fontId="73" fillId="8" borderId="69" xfId="2" applyFont="1" applyFill="1" applyBorder="1" applyAlignment="1">
      <alignment vertical="center"/>
    </xf>
    <xf numFmtId="9" fontId="73" fillId="8" borderId="79" xfId="0" applyNumberFormat="1" applyFont="1" applyFill="1" applyBorder="1" applyAlignment="1">
      <alignment horizontal="center" vertical="center" wrapText="1"/>
    </xf>
    <xf numFmtId="9" fontId="49" fillId="0" borderId="1" xfId="6" applyFont="1" applyFill="1" applyBorder="1" applyAlignment="1">
      <alignment vertical="center"/>
    </xf>
    <xf numFmtId="9" fontId="49" fillId="0" borderId="1" xfId="6" applyFont="1" applyFill="1" applyBorder="1" applyAlignment="1" applyProtection="1">
      <alignment horizontal="right" vertical="center" wrapText="1"/>
      <protection hidden="1"/>
    </xf>
    <xf numFmtId="9" fontId="49" fillId="0" borderId="1" xfId="2" applyNumberFormat="1" applyFont="1" applyBorder="1" applyAlignment="1">
      <alignment vertical="center"/>
    </xf>
    <xf numFmtId="0" fontId="49" fillId="0" borderId="1" xfId="2" applyFont="1" applyBorder="1" applyAlignment="1">
      <alignment vertical="center"/>
    </xf>
    <xf numFmtId="9" fontId="49" fillId="0" borderId="1" xfId="18" applyFont="1" applyFill="1" applyBorder="1" applyAlignment="1" applyProtection="1">
      <alignment horizontal="right" vertical="center" wrapText="1"/>
      <protection hidden="1"/>
    </xf>
    <xf numFmtId="0" fontId="49" fillId="0" borderId="1" xfId="6" applyNumberFormat="1" applyFont="1" applyBorder="1" applyAlignment="1">
      <alignment horizontal="right" vertical="center"/>
    </xf>
    <xf numFmtId="9" fontId="49" fillId="14" borderId="1" xfId="0" applyNumberFormat="1" applyFont="1" applyFill="1" applyBorder="1" applyAlignment="1">
      <alignment horizontal="right" vertical="center" wrapText="1"/>
    </xf>
    <xf numFmtId="9" fontId="49" fillId="0" borderId="1" xfId="12" applyNumberFormat="1" applyFont="1" applyFill="1" applyBorder="1" applyAlignment="1">
      <alignment vertical="center"/>
    </xf>
    <xf numFmtId="1" fontId="49" fillId="0" borderId="1" xfId="0" applyNumberFormat="1" applyFont="1" applyBorder="1" applyAlignment="1">
      <alignment horizontal="right" vertical="center"/>
    </xf>
    <xf numFmtId="1" fontId="49" fillId="0" borderId="1" xfId="6" applyNumberFormat="1" applyFont="1" applyFill="1" applyBorder="1" applyAlignment="1">
      <alignment vertical="center"/>
    </xf>
    <xf numFmtId="0" fontId="73" fillId="4" borderId="1" xfId="2" applyFont="1" applyFill="1" applyBorder="1" applyAlignment="1">
      <alignment horizontal="center" vertical="center" wrapText="1"/>
    </xf>
    <xf numFmtId="1" fontId="49" fillId="0" borderId="1" xfId="12" applyNumberFormat="1" applyFont="1" applyFill="1" applyBorder="1" applyAlignment="1">
      <alignment horizontal="center" vertical="center"/>
    </xf>
    <xf numFmtId="1" fontId="49" fillId="0" borderId="1" xfId="12" applyNumberFormat="1" applyFont="1" applyFill="1" applyBorder="1" applyAlignment="1">
      <alignment horizontal="center" vertical="center" wrapText="1"/>
    </xf>
    <xf numFmtId="0" fontId="56" fillId="0" borderId="1" xfId="6" applyNumberFormat="1" applyFont="1" applyFill="1" applyBorder="1" applyAlignment="1">
      <alignment horizontal="center" vertical="center" wrapText="1"/>
    </xf>
    <xf numFmtId="0" fontId="49" fillId="0" borderId="0" xfId="2" applyFont="1" applyAlignment="1">
      <alignment horizontal="justify" vertical="center"/>
    </xf>
    <xf numFmtId="1" fontId="49" fillId="0" borderId="76" xfId="12" applyNumberFormat="1" applyFont="1" applyFill="1" applyBorder="1" applyAlignment="1">
      <alignment horizontal="center" vertical="center"/>
    </xf>
    <xf numFmtId="1" fontId="49" fillId="0" borderId="76" xfId="12" applyNumberFormat="1" applyFont="1" applyFill="1" applyBorder="1" applyAlignment="1">
      <alignment horizontal="center" vertical="center" wrapText="1"/>
    </xf>
    <xf numFmtId="0" fontId="56" fillId="0" borderId="76" xfId="6" applyNumberFormat="1" applyFont="1" applyFill="1" applyBorder="1" applyAlignment="1">
      <alignment horizontal="center" vertical="center" wrapText="1"/>
    </xf>
    <xf numFmtId="0" fontId="49" fillId="8" borderId="79" xfId="2" applyFont="1" applyFill="1" applyBorder="1" applyAlignment="1">
      <alignment horizontal="center" vertical="center"/>
    </xf>
    <xf numFmtId="0" fontId="49" fillId="4" borderId="1" xfId="2" applyFont="1" applyFill="1" applyBorder="1" applyAlignment="1">
      <alignment horizontal="center" vertical="center"/>
    </xf>
    <xf numFmtId="0" fontId="73" fillId="5" borderId="0" xfId="2" applyFont="1" applyFill="1" applyAlignment="1">
      <alignment horizontal="left" vertical="center"/>
    </xf>
    <xf numFmtId="0" fontId="73" fillId="5" borderId="0" xfId="2" applyFont="1" applyFill="1" applyAlignment="1">
      <alignment vertical="center" wrapText="1"/>
    </xf>
    <xf numFmtId="0" fontId="73" fillId="0" borderId="0" xfId="2" applyFont="1" applyAlignment="1">
      <alignment vertical="center"/>
    </xf>
    <xf numFmtId="0" fontId="49" fillId="5" borderId="0" xfId="2" applyFont="1" applyFill="1" applyAlignment="1">
      <alignment vertical="center" wrapText="1"/>
    </xf>
    <xf numFmtId="9" fontId="53" fillId="0" borderId="1" xfId="0" applyNumberFormat="1" applyFont="1" applyBorder="1" applyAlignment="1">
      <alignment horizontal="left" vertical="center" wrapText="1"/>
    </xf>
    <xf numFmtId="164" fontId="53" fillId="0" borderId="1" xfId="5" applyNumberFormat="1" applyFont="1" applyFill="1" applyBorder="1" applyAlignment="1">
      <alignment vertical="center" wrapText="1"/>
    </xf>
    <xf numFmtId="14" fontId="53" fillId="0" borderId="1" xfId="5" quotePrefix="1" applyNumberFormat="1" applyFont="1" applyFill="1" applyBorder="1" applyAlignment="1">
      <alignment vertical="center" wrapText="1"/>
    </xf>
    <xf numFmtId="164" fontId="53" fillId="0" borderId="1" xfId="5" applyNumberFormat="1" applyFont="1" applyFill="1" applyBorder="1" applyAlignment="1">
      <alignment horizontal="center" vertical="center" wrapText="1"/>
    </xf>
    <xf numFmtId="164" fontId="53" fillId="0" borderId="76" xfId="1" applyNumberFormat="1" applyFont="1" applyFill="1" applyBorder="1" applyAlignment="1">
      <alignment horizontal="left" vertical="center" wrapText="1"/>
    </xf>
    <xf numFmtId="14" fontId="53" fillId="0" borderId="1" xfId="19" quotePrefix="1" applyNumberFormat="1" applyFont="1" applyFill="1" applyBorder="1" applyAlignment="1">
      <alignment vertical="center" wrapText="1"/>
    </xf>
    <xf numFmtId="0" fontId="53" fillId="0" borderId="1" xfId="5" applyNumberFormat="1" applyFont="1" applyFill="1" applyBorder="1" applyAlignment="1">
      <alignment vertical="center" wrapText="1"/>
    </xf>
    <xf numFmtId="167" fontId="53" fillId="0" borderId="1" xfId="5" applyNumberFormat="1" applyFont="1" applyFill="1" applyBorder="1" applyAlignment="1">
      <alignment vertical="center" wrapText="1"/>
    </xf>
    <xf numFmtId="0" fontId="53" fillId="0" borderId="1" xfId="5" applyNumberFormat="1" applyFont="1" applyFill="1" applyBorder="1" applyAlignment="1">
      <alignment horizontal="center" vertical="center" wrapText="1"/>
    </xf>
    <xf numFmtId="164" fontId="53" fillId="4" borderId="1" xfId="1" applyNumberFormat="1" applyFont="1" applyFill="1" applyBorder="1" applyAlignment="1">
      <alignment vertical="center" wrapText="1"/>
    </xf>
    <xf numFmtId="0" fontId="49" fillId="4" borderId="1" xfId="6" applyNumberFormat="1" applyFont="1" applyFill="1" applyBorder="1" applyAlignment="1">
      <alignment horizontal="right" vertical="center" wrapText="1"/>
    </xf>
    <xf numFmtId="0" fontId="53" fillId="4" borderId="1" xfId="6" applyNumberFormat="1" applyFont="1" applyFill="1" applyBorder="1" applyAlignment="1">
      <alignment horizontal="right" vertical="center"/>
    </xf>
    <xf numFmtId="0" fontId="53" fillId="4" borderId="1" xfId="12" applyNumberFormat="1" applyFont="1" applyFill="1" applyBorder="1" applyAlignment="1">
      <alignment vertical="center" wrapText="1"/>
    </xf>
    <xf numFmtId="165" fontId="5" fillId="0" borderId="1" xfId="12" applyNumberFormat="1" applyFont="1" applyFill="1" applyBorder="1" applyAlignment="1">
      <alignment vertical="center"/>
    </xf>
    <xf numFmtId="9" fontId="5" fillId="0" borderId="1" xfId="12" applyNumberFormat="1" applyFont="1" applyFill="1" applyBorder="1" applyAlignment="1">
      <alignment horizontal="right" vertical="center"/>
    </xf>
    <xf numFmtId="165" fontId="5" fillId="0" borderId="1" xfId="2" applyNumberFormat="1" applyFont="1" applyBorder="1" applyAlignment="1">
      <alignment vertical="center"/>
    </xf>
    <xf numFmtId="0" fontId="53" fillId="0" borderId="1" xfId="12" applyNumberFormat="1" applyFont="1" applyFill="1" applyBorder="1" applyAlignment="1">
      <alignment vertical="center" wrapText="1"/>
    </xf>
    <xf numFmtId="165" fontId="53" fillId="0" borderId="1" xfId="12" applyNumberFormat="1" applyFont="1" applyFill="1" applyBorder="1" applyAlignment="1">
      <alignment vertical="center" wrapText="1"/>
    </xf>
    <xf numFmtId="165" fontId="12" fillId="0" borderId="1" xfId="6" applyNumberFormat="1" applyFont="1" applyFill="1" applyBorder="1" applyAlignment="1">
      <alignment vertical="center" wrapText="1"/>
    </xf>
    <xf numFmtId="165" fontId="5" fillId="0" borderId="1" xfId="6" applyNumberFormat="1" applyFont="1" applyFill="1" applyBorder="1" applyAlignment="1">
      <alignment vertical="center" wrapText="1"/>
    </xf>
    <xf numFmtId="0" fontId="60" fillId="0" borderId="1" xfId="1" applyNumberFormat="1" applyFont="1" applyFill="1" applyBorder="1" applyAlignment="1">
      <alignment horizontal="left" vertical="center" wrapText="1"/>
    </xf>
    <xf numFmtId="9" fontId="53" fillId="0" borderId="0" xfId="6" applyFont="1" applyAlignment="1">
      <alignment vertical="center"/>
    </xf>
    <xf numFmtId="165" fontId="28" fillId="0" borderId="79" xfId="2" applyNumberFormat="1" applyFont="1" applyBorder="1" applyAlignment="1">
      <alignment vertical="center"/>
    </xf>
    <xf numFmtId="165" fontId="5" fillId="0" borderId="77" xfId="2" applyNumberFormat="1" applyFont="1" applyBorder="1" applyAlignment="1">
      <alignment vertical="center"/>
    </xf>
    <xf numFmtId="165" fontId="53" fillId="0" borderId="1" xfId="6" applyNumberFormat="1" applyFont="1" applyFill="1" applyBorder="1" applyAlignment="1">
      <alignment horizontal="center" vertical="center" wrapText="1"/>
    </xf>
    <xf numFmtId="165" fontId="53" fillId="0" borderId="76" xfId="6" applyNumberFormat="1" applyFont="1" applyFill="1" applyBorder="1" applyAlignment="1">
      <alignment horizontal="center" vertical="center" wrapText="1"/>
    </xf>
    <xf numFmtId="165" fontId="52" fillId="2" borderId="1" xfId="6" applyNumberFormat="1" applyFont="1" applyFill="1" applyBorder="1" applyAlignment="1" applyProtection="1">
      <alignment horizontal="center" vertical="center"/>
      <protection hidden="1"/>
    </xf>
    <xf numFmtId="10" fontId="52" fillId="2" borderId="1" xfId="2" applyNumberFormat="1" applyFont="1" applyFill="1" applyBorder="1" applyAlignment="1" applyProtection="1">
      <alignment horizontal="center" vertical="center"/>
      <protection hidden="1"/>
    </xf>
    <xf numFmtId="1" fontId="5" fillId="4" borderId="1" xfId="2" applyNumberFormat="1" applyFont="1" applyFill="1" applyBorder="1" applyAlignment="1">
      <alignment vertical="center"/>
    </xf>
    <xf numFmtId="166" fontId="53" fillId="0" borderId="1" xfId="2" applyNumberFormat="1" applyFont="1" applyBorder="1" applyAlignment="1">
      <alignment horizontal="center" vertical="center"/>
    </xf>
    <xf numFmtId="9" fontId="5" fillId="0" borderId="79" xfId="6" applyFont="1" applyFill="1" applyBorder="1" applyAlignment="1">
      <alignment horizontal="center" vertical="center" wrapText="1"/>
    </xf>
    <xf numFmtId="0" fontId="53" fillId="0" borderId="1" xfId="8" applyFont="1" applyBorder="1" applyAlignment="1">
      <alignment horizontal="center" vertical="center"/>
    </xf>
    <xf numFmtId="164" fontId="53" fillId="0" borderId="1" xfId="17" applyNumberFormat="1" applyFont="1" applyFill="1" applyBorder="1" applyAlignment="1">
      <alignment vertical="center" wrapText="1"/>
    </xf>
    <xf numFmtId="9" fontId="53" fillId="0" borderId="1" xfId="16" applyFont="1" applyFill="1" applyBorder="1" applyAlignment="1">
      <alignment horizontal="center" vertical="center" wrapText="1"/>
    </xf>
    <xf numFmtId="164" fontId="53" fillId="0" borderId="1" xfId="22" applyNumberFormat="1" applyFont="1" applyFill="1" applyBorder="1" applyAlignment="1">
      <alignment vertical="center" wrapText="1"/>
    </xf>
    <xf numFmtId="9" fontId="53" fillId="0" borderId="1" xfId="8" applyNumberFormat="1" applyFont="1" applyBorder="1" applyAlignment="1" applyProtection="1">
      <alignment horizontal="left" vertical="center" wrapText="1"/>
      <protection locked="0"/>
    </xf>
    <xf numFmtId="14" fontId="53" fillId="0" borderId="1" xfId="22" quotePrefix="1" applyNumberFormat="1" applyFont="1" applyFill="1" applyBorder="1" applyAlignment="1">
      <alignment horizontal="center" vertical="center" wrapText="1"/>
    </xf>
    <xf numFmtId="9" fontId="53" fillId="0" borderId="1" xfId="8" applyNumberFormat="1" applyFont="1" applyBorder="1" applyAlignment="1">
      <alignment vertical="center" wrapText="1"/>
    </xf>
    <xf numFmtId="164" fontId="53" fillId="0" borderId="1" xfId="22" applyNumberFormat="1" applyFont="1" applyFill="1" applyBorder="1" applyAlignment="1">
      <alignment horizontal="center" vertical="center" wrapText="1"/>
    </xf>
    <xf numFmtId="9" fontId="53" fillId="0" borderId="1" xfId="16" applyFont="1" applyFill="1" applyBorder="1" applyAlignment="1">
      <alignment horizontal="center" vertical="center"/>
    </xf>
    <xf numFmtId="9" fontId="53" fillId="0" borderId="1" xfId="16" applyFont="1" applyFill="1" applyBorder="1" applyAlignment="1">
      <alignment vertical="center" wrapText="1"/>
    </xf>
    <xf numFmtId="9" fontId="53" fillId="0" borderId="1" xfId="16" applyFont="1" applyFill="1" applyBorder="1" applyAlignment="1" applyProtection="1">
      <alignment horizontal="right" vertical="center" wrapText="1"/>
      <protection hidden="1"/>
    </xf>
    <xf numFmtId="0" fontId="53" fillId="0" borderId="76" xfId="8" applyFont="1" applyBorder="1" applyAlignment="1">
      <alignment horizontal="center" vertical="center"/>
    </xf>
    <xf numFmtId="164" fontId="53" fillId="0" borderId="76" xfId="17" applyNumberFormat="1" applyFont="1" applyFill="1" applyBorder="1" applyAlignment="1">
      <alignment horizontal="left" vertical="center" wrapText="1"/>
    </xf>
    <xf numFmtId="9" fontId="53" fillId="0" borderId="76" xfId="16" applyFont="1" applyFill="1" applyBorder="1" applyAlignment="1">
      <alignment horizontal="center" vertical="center" wrapText="1"/>
    </xf>
    <xf numFmtId="0" fontId="53" fillId="0" borderId="1" xfId="22" applyNumberFormat="1" applyFont="1" applyFill="1" applyBorder="1" applyAlignment="1">
      <alignment vertical="center" wrapText="1"/>
    </xf>
    <xf numFmtId="164" fontId="53" fillId="14" borderId="1" xfId="8" applyNumberFormat="1" applyFont="1" applyFill="1" applyBorder="1" applyAlignment="1">
      <alignment horizontal="center" vertical="center" wrapText="1"/>
    </xf>
    <xf numFmtId="1" fontId="53" fillId="0" borderId="1" xfId="8" applyNumberFormat="1" applyFont="1" applyBorder="1" applyAlignment="1">
      <alignment horizontal="center" vertical="center"/>
    </xf>
    <xf numFmtId="1" fontId="53" fillId="0" borderId="1" xfId="8" applyNumberFormat="1" applyFont="1" applyBorder="1" applyAlignment="1">
      <alignment horizontal="right" vertical="center"/>
    </xf>
    <xf numFmtId="9" fontId="53" fillId="14" borderId="1" xfId="8" applyNumberFormat="1" applyFont="1" applyFill="1" applyBorder="1" applyAlignment="1">
      <alignment horizontal="right" vertical="center" wrapText="1"/>
    </xf>
    <xf numFmtId="9" fontId="53" fillId="0" borderId="1" xfId="8" applyNumberFormat="1" applyFont="1" applyBorder="1" applyAlignment="1">
      <alignment horizontal="left" vertical="center" wrapText="1"/>
    </xf>
    <xf numFmtId="9" fontId="53" fillId="0" borderId="1" xfId="23" applyNumberFormat="1" applyFont="1" applyFill="1" applyBorder="1" applyAlignment="1">
      <alignment horizontal="center" vertical="center"/>
    </xf>
    <xf numFmtId="165" fontId="53" fillId="0" borderId="1" xfId="23" applyNumberFormat="1" applyFont="1" applyFill="1" applyBorder="1" applyAlignment="1">
      <alignment vertical="center" wrapText="1"/>
    </xf>
    <xf numFmtId="9" fontId="53" fillId="4" borderId="1" xfId="16" applyFont="1" applyFill="1" applyBorder="1" applyAlignment="1">
      <alignment horizontal="center" vertical="center" wrapText="1"/>
    </xf>
    <xf numFmtId="164" fontId="53" fillId="0" borderId="1" xfId="8" applyNumberFormat="1" applyFont="1" applyBorder="1" applyAlignment="1">
      <alignment vertical="center" wrapText="1"/>
    </xf>
    <xf numFmtId="167" fontId="53" fillId="0" borderId="1" xfId="22" applyNumberFormat="1" applyFont="1" applyFill="1" applyBorder="1" applyAlignment="1">
      <alignment horizontal="center" vertical="center" wrapText="1"/>
    </xf>
    <xf numFmtId="0" fontId="53" fillId="4" borderId="1" xfId="8" quotePrefix="1" applyFont="1" applyFill="1" applyBorder="1" applyAlignment="1">
      <alignment vertical="center" wrapText="1"/>
    </xf>
    <xf numFmtId="14" fontId="53" fillId="0" borderId="1" xfId="8" applyNumberFormat="1" applyFont="1" applyBorder="1" applyAlignment="1">
      <alignment horizontal="center" vertical="center"/>
    </xf>
    <xf numFmtId="0" fontId="60" fillId="0" borderId="1" xfId="17" applyNumberFormat="1" applyFont="1" applyFill="1" applyBorder="1" applyAlignment="1">
      <alignment horizontal="left" vertical="center" wrapText="1"/>
    </xf>
    <xf numFmtId="0" fontId="53" fillId="0" borderId="1" xfId="22" applyNumberFormat="1" applyFont="1" applyFill="1" applyBorder="1" applyAlignment="1">
      <alignment horizontal="center" vertical="center" wrapText="1"/>
    </xf>
    <xf numFmtId="9" fontId="53" fillId="0" borderId="1" xfId="16" applyFont="1" applyFill="1" applyBorder="1" applyAlignment="1">
      <alignment vertical="center"/>
    </xf>
    <xf numFmtId="0" fontId="53" fillId="4" borderId="1" xfId="8" applyFont="1" applyFill="1" applyBorder="1" applyAlignment="1">
      <alignment horizontal="center" vertical="center"/>
    </xf>
    <xf numFmtId="164" fontId="53" fillId="4" borderId="1" xfId="17" applyNumberFormat="1" applyFont="1" applyFill="1" applyBorder="1" applyAlignment="1">
      <alignment vertical="center" wrapText="1"/>
    </xf>
    <xf numFmtId="9" fontId="53" fillId="4" borderId="1" xfId="17" applyNumberFormat="1" applyFont="1" applyFill="1" applyBorder="1" applyAlignment="1">
      <alignment horizontal="center" vertical="center" wrapText="1"/>
    </xf>
    <xf numFmtId="0" fontId="53" fillId="4" borderId="1" xfId="22" applyNumberFormat="1" applyFont="1" applyFill="1" applyBorder="1" applyAlignment="1">
      <alignment vertical="center" wrapText="1"/>
    </xf>
    <xf numFmtId="9" fontId="53" fillId="4" borderId="1" xfId="8" applyNumberFormat="1" applyFont="1" applyFill="1" applyBorder="1" applyAlignment="1" applyProtection="1">
      <alignment horizontal="left" vertical="center" wrapText="1"/>
      <protection locked="0"/>
    </xf>
    <xf numFmtId="14" fontId="53" fillId="4" borderId="1" xfId="22" quotePrefix="1" applyNumberFormat="1" applyFont="1" applyFill="1" applyBorder="1" applyAlignment="1">
      <alignment horizontal="center" vertical="center" wrapText="1"/>
    </xf>
    <xf numFmtId="9" fontId="53" fillId="4" borderId="1" xfId="8" applyNumberFormat="1" applyFont="1" applyFill="1" applyBorder="1" applyAlignment="1">
      <alignment vertical="center" wrapText="1"/>
    </xf>
    <xf numFmtId="164" fontId="53" fillId="4" borderId="1" xfId="22" applyNumberFormat="1" applyFont="1" applyFill="1" applyBorder="1" applyAlignment="1">
      <alignment horizontal="center" vertical="center" wrapText="1"/>
    </xf>
    <xf numFmtId="167" fontId="53" fillId="4" borderId="1" xfId="2" applyNumberFormat="1" applyFont="1" applyFill="1" applyBorder="1" applyAlignment="1">
      <alignment horizontal="center" vertical="center"/>
    </xf>
    <xf numFmtId="9" fontId="53" fillId="4" borderId="1" xfId="24" applyFont="1" applyFill="1" applyBorder="1" applyAlignment="1" applyProtection="1">
      <alignment horizontal="right" vertical="center" wrapText="1"/>
      <protection hidden="1"/>
    </xf>
    <xf numFmtId="0" fontId="5" fillId="0" borderId="1" xfId="6" applyNumberFormat="1" applyFont="1" applyFill="1" applyBorder="1" applyAlignment="1">
      <alignment vertical="center"/>
    </xf>
    <xf numFmtId="9" fontId="5" fillId="0" borderId="77" xfId="6" applyFont="1" applyBorder="1" applyAlignment="1">
      <alignment horizontal="center" vertical="center"/>
    </xf>
    <xf numFmtId="0" fontId="5" fillId="0" borderId="1" xfId="6" applyNumberFormat="1" applyFont="1" applyFill="1" applyBorder="1" applyAlignment="1">
      <alignment horizontal="center" vertical="center"/>
    </xf>
    <xf numFmtId="0" fontId="5" fillId="4" borderId="0" xfId="0" applyFont="1" applyFill="1" applyAlignment="1">
      <alignment horizontal="center" vertical="center"/>
    </xf>
    <xf numFmtId="0" fontId="12" fillId="0" borderId="0" xfId="2" applyFont="1" applyAlignment="1">
      <alignment horizontal="center" wrapText="1"/>
    </xf>
    <xf numFmtId="9" fontId="21" fillId="2" borderId="76" xfId="2" applyNumberFormat="1" applyFont="1" applyFill="1" applyBorder="1" applyAlignment="1">
      <alignment horizontal="center" vertical="center"/>
    </xf>
    <xf numFmtId="9" fontId="21" fillId="2" borderId="108" xfId="2" applyNumberFormat="1" applyFont="1" applyFill="1" applyBorder="1" applyAlignment="1">
      <alignment horizontal="center" vertical="center"/>
    </xf>
    <xf numFmtId="0" fontId="5" fillId="4" borderId="0" xfId="0" applyFont="1" applyFill="1" applyAlignment="1">
      <alignment horizontal="left" vertical="top"/>
    </xf>
    <xf numFmtId="0" fontId="5" fillId="0" borderId="0" xfId="2" applyFont="1" applyAlignment="1">
      <alignment horizontal="left" vertical="center" wrapText="1"/>
    </xf>
    <xf numFmtId="0" fontId="12" fillId="0" borderId="0" xfId="2" applyFont="1" applyAlignment="1">
      <alignment horizontal="left"/>
    </xf>
    <xf numFmtId="0" fontId="28" fillId="0" borderId="78" xfId="2" applyFont="1" applyBorder="1" applyAlignment="1">
      <alignment horizontal="left" vertical="center"/>
    </xf>
    <xf numFmtId="9" fontId="5" fillId="0" borderId="0" xfId="6" applyFont="1" applyAlignment="1">
      <alignment horizontal="center" vertical="center"/>
    </xf>
    <xf numFmtId="0" fontId="5" fillId="4" borderId="0" xfId="0" applyFont="1" applyFill="1" applyAlignment="1">
      <alignment horizontal="center" vertical="top"/>
    </xf>
    <xf numFmtId="0" fontId="13" fillId="0" borderId="0" xfId="0" applyFont="1" applyAlignment="1">
      <alignment horizontal="center" vertical="center" wrapText="1"/>
    </xf>
    <xf numFmtId="0" fontId="12" fillId="0" borderId="0" xfId="2" applyFont="1" applyAlignment="1">
      <alignment horizontal="center"/>
    </xf>
    <xf numFmtId="9" fontId="28" fillId="0" borderId="78" xfId="6" applyFont="1" applyBorder="1" applyAlignment="1">
      <alignment horizontal="center" vertical="center"/>
    </xf>
    <xf numFmtId="9" fontId="5" fillId="4" borderId="1" xfId="21" applyNumberFormat="1" applyFont="1" applyFill="1" applyBorder="1" applyAlignment="1">
      <alignment horizontal="center" vertical="center" wrapText="1"/>
    </xf>
    <xf numFmtId="1" fontId="5" fillId="0" borderId="1" xfId="6" applyNumberFormat="1" applyFont="1" applyFill="1" applyBorder="1" applyAlignment="1">
      <alignment horizontal="center" vertical="center" wrapText="1"/>
    </xf>
    <xf numFmtId="9" fontId="5" fillId="5" borderId="0" xfId="6" applyFont="1" applyFill="1" applyAlignment="1">
      <alignment horizontal="center" vertical="center"/>
    </xf>
    <xf numFmtId="0" fontId="53" fillId="4" borderId="1" xfId="2" applyFont="1" applyFill="1" applyBorder="1" applyAlignment="1">
      <alignment vertical="center"/>
    </xf>
    <xf numFmtId="167" fontId="5" fillId="0" borderId="1" xfId="6" applyNumberFormat="1" applyFont="1" applyFill="1" applyBorder="1" applyAlignment="1">
      <alignment vertical="center"/>
    </xf>
    <xf numFmtId="14" fontId="5" fillId="0" borderId="1" xfId="2" applyNumberFormat="1" applyFont="1" applyBorder="1" applyAlignment="1">
      <alignment horizontal="center" vertical="center"/>
    </xf>
    <xf numFmtId="14" fontId="5" fillId="0" borderId="1" xfId="0" applyNumberFormat="1" applyFont="1" applyBorder="1" applyAlignment="1">
      <alignment horizontal="right" vertical="center"/>
    </xf>
    <xf numFmtId="0" fontId="5" fillId="0" borderId="0" xfId="0" applyFont="1" applyAlignment="1">
      <alignment vertical="center" wrapText="1"/>
    </xf>
    <xf numFmtId="0" fontId="5" fillId="0" borderId="1" xfId="12" applyNumberFormat="1" applyFont="1" applyFill="1" applyBorder="1" applyAlignment="1">
      <alignment horizontal="right" vertical="center"/>
    </xf>
    <xf numFmtId="9" fontId="23" fillId="0" borderId="1" xfId="1" applyNumberFormat="1" applyFont="1" applyFill="1" applyBorder="1" applyAlignment="1">
      <alignment horizontal="center" vertical="center" wrapText="1"/>
    </xf>
    <xf numFmtId="0" fontId="5" fillId="15" borderId="0" xfId="2" applyFont="1" applyFill="1" applyAlignment="1">
      <alignment vertical="center"/>
    </xf>
    <xf numFmtId="0" fontId="52" fillId="4" borderId="0" xfId="2" applyFont="1" applyFill="1" applyAlignment="1">
      <alignment vertical="center"/>
    </xf>
    <xf numFmtId="9" fontId="52" fillId="4" borderId="0" xfId="2" applyNumberFormat="1" applyFont="1" applyFill="1" applyAlignment="1">
      <alignment horizontal="center" vertical="center"/>
    </xf>
    <xf numFmtId="0" fontId="53" fillId="4" borderId="0" xfId="2" applyFont="1" applyFill="1" applyAlignment="1">
      <alignment horizontal="center" vertical="center"/>
    </xf>
    <xf numFmtId="0" fontId="53" fillId="4" borderId="0" xfId="2" applyFont="1" applyFill="1" applyAlignment="1">
      <alignment vertical="center" wrapText="1"/>
    </xf>
    <xf numFmtId="0" fontId="52" fillId="4" borderId="0" xfId="2" applyFont="1" applyFill="1" applyAlignment="1">
      <alignment horizontal="center" vertical="center"/>
    </xf>
    <xf numFmtId="9" fontId="52" fillId="4" borderId="0" xfId="2" applyNumberFormat="1" applyFont="1" applyFill="1" applyAlignment="1">
      <alignment vertical="center"/>
    </xf>
    <xf numFmtId="165" fontId="52" fillId="4" borderId="0" xfId="2" applyNumberFormat="1" applyFont="1" applyFill="1" applyAlignment="1" applyProtection="1">
      <alignment horizontal="center" vertical="center"/>
      <protection hidden="1"/>
    </xf>
    <xf numFmtId="0" fontId="52" fillId="4" borderId="0" xfId="25" applyFont="1" applyFill="1" applyAlignment="1">
      <alignment horizontal="center" vertical="center"/>
    </xf>
    <xf numFmtId="0" fontId="50" fillId="4" borderId="0" xfId="25" applyFont="1" applyFill="1" applyAlignment="1">
      <alignment vertical="center"/>
    </xf>
    <xf numFmtId="0" fontId="69" fillId="0" borderId="0" xfId="25" applyFont="1" applyAlignment="1">
      <alignment vertical="center"/>
    </xf>
    <xf numFmtId="0" fontId="53" fillId="0" borderId="0" xfId="25" applyFont="1" applyAlignment="1">
      <alignment vertical="center"/>
    </xf>
    <xf numFmtId="0" fontId="52" fillId="2" borderId="1" xfId="2" applyFont="1" applyFill="1" applyBorder="1" applyAlignment="1">
      <alignment horizontal="center" vertical="center" wrapText="1"/>
    </xf>
    <xf numFmtId="9" fontId="57" fillId="2" borderId="1" xfId="2" applyNumberFormat="1" applyFont="1" applyFill="1" applyBorder="1" applyAlignment="1">
      <alignment horizontal="center" vertical="center" wrapText="1"/>
    </xf>
    <xf numFmtId="164" fontId="49" fillId="13" borderId="1" xfId="5" applyNumberFormat="1" applyFont="1" applyFill="1" applyBorder="1" applyAlignment="1">
      <alignment horizontal="left" vertical="center" wrapText="1"/>
    </xf>
    <xf numFmtId="164" fontId="53" fillId="13" borderId="1" xfId="5" applyNumberFormat="1" applyFont="1" applyFill="1" applyBorder="1" applyAlignment="1">
      <alignment vertical="center" wrapText="1"/>
    </xf>
    <xf numFmtId="14" fontId="53" fillId="13" borderId="1" xfId="5" quotePrefix="1" applyNumberFormat="1" applyFont="1" applyFill="1" applyBorder="1" applyAlignment="1">
      <alignment horizontal="center" vertical="center" wrapText="1"/>
    </xf>
    <xf numFmtId="164" fontId="49" fillId="13" borderId="76" xfId="5" applyNumberFormat="1" applyFont="1" applyFill="1" applyBorder="1" applyAlignment="1">
      <alignment horizontal="left" vertical="center" wrapText="1"/>
    </xf>
    <xf numFmtId="9" fontId="83" fillId="4" borderId="1" xfId="26" applyFont="1" applyFill="1" applyBorder="1" applyAlignment="1">
      <alignment vertical="center"/>
    </xf>
    <xf numFmtId="0" fontId="83" fillId="4" borderId="0" xfId="2" applyFont="1" applyFill="1" applyAlignment="1">
      <alignment vertical="center"/>
    </xf>
    <xf numFmtId="0" fontId="84" fillId="5" borderId="0" xfId="2" applyFont="1" applyFill="1" applyAlignment="1">
      <alignment vertical="center"/>
    </xf>
    <xf numFmtId="167" fontId="53" fillId="0" borderId="1" xfId="8" applyNumberFormat="1" applyFont="1" applyBorder="1" applyAlignment="1">
      <alignment horizontal="right" vertical="center"/>
    </xf>
    <xf numFmtId="9" fontId="14" fillId="0" borderId="1" xfId="21" applyNumberFormat="1" applyFont="1" applyFill="1" applyBorder="1" applyAlignment="1">
      <alignment vertical="center" wrapText="1"/>
    </xf>
    <xf numFmtId="0" fontId="5" fillId="0" borderId="1" xfId="12" applyNumberFormat="1" applyFont="1" applyFill="1" applyBorder="1" applyAlignment="1">
      <alignment vertical="center"/>
    </xf>
    <xf numFmtId="165" fontId="12" fillId="0" borderId="53" xfId="6" applyNumberFormat="1" applyFont="1" applyFill="1" applyBorder="1" applyAlignment="1">
      <alignment vertical="center" wrapText="1"/>
    </xf>
    <xf numFmtId="165" fontId="21" fillId="2" borderId="64" xfId="6" applyNumberFormat="1" applyFont="1" applyFill="1" applyBorder="1" applyAlignment="1">
      <alignment horizontal="center" vertical="center" wrapText="1"/>
    </xf>
    <xf numFmtId="165" fontId="5" fillId="0" borderId="59" xfId="6" applyNumberFormat="1" applyFont="1" applyFill="1" applyBorder="1" applyAlignment="1">
      <alignment vertical="center"/>
    </xf>
    <xf numFmtId="165" fontId="21" fillId="2" borderId="51" xfId="6" applyNumberFormat="1" applyFont="1" applyFill="1" applyBorder="1" applyAlignment="1">
      <alignment horizontal="center" vertical="center" wrapText="1"/>
    </xf>
    <xf numFmtId="0" fontId="12" fillId="0" borderId="1" xfId="6" applyNumberFormat="1" applyFont="1" applyFill="1" applyBorder="1" applyAlignment="1">
      <alignment vertical="center" wrapText="1"/>
    </xf>
    <xf numFmtId="167" fontId="5" fillId="0" borderId="1" xfId="2" applyNumberFormat="1" applyFont="1" applyBorder="1" applyAlignment="1">
      <alignment horizontal="right" vertical="center"/>
    </xf>
    <xf numFmtId="0" fontId="5" fillId="0" borderId="1" xfId="2" applyFont="1" applyBorder="1" applyAlignment="1">
      <alignment horizontal="right" vertical="center"/>
    </xf>
    <xf numFmtId="164" fontId="53" fillId="4" borderId="1" xfId="8" applyNumberFormat="1" applyFont="1" applyFill="1" applyBorder="1" applyAlignment="1">
      <alignment vertical="center" wrapText="1"/>
    </xf>
    <xf numFmtId="9" fontId="53" fillId="4" borderId="1" xfId="8" applyNumberFormat="1" applyFont="1" applyFill="1" applyBorder="1" applyAlignment="1">
      <alignment horizontal="left" vertical="center" wrapText="1"/>
    </xf>
    <xf numFmtId="167" fontId="53" fillId="4" borderId="1" xfId="22" applyNumberFormat="1" applyFont="1" applyFill="1" applyBorder="1" applyAlignment="1">
      <alignment horizontal="center" vertical="center" wrapText="1"/>
    </xf>
    <xf numFmtId="1" fontId="53" fillId="4" borderId="1" xfId="8" applyNumberFormat="1" applyFont="1" applyFill="1" applyBorder="1" applyAlignment="1">
      <alignment horizontal="center" vertical="center"/>
    </xf>
    <xf numFmtId="0" fontId="50" fillId="4" borderId="1" xfId="2" applyFont="1" applyFill="1" applyBorder="1" applyAlignment="1">
      <alignment vertical="center"/>
    </xf>
    <xf numFmtId="9" fontId="53" fillId="4" borderId="1" xfId="28" applyFont="1" applyFill="1" applyBorder="1" applyAlignment="1">
      <alignment vertical="center"/>
    </xf>
    <xf numFmtId="0" fontId="53" fillId="13" borderId="1" xfId="28" applyNumberFormat="1" applyFont="1" applyFill="1" applyBorder="1" applyAlignment="1">
      <alignment horizontal="center" vertical="center"/>
    </xf>
    <xf numFmtId="9" fontId="53" fillId="13" borderId="1" xfId="28" applyFont="1" applyFill="1" applyBorder="1" applyAlignment="1">
      <alignment horizontal="center" vertical="center"/>
    </xf>
    <xf numFmtId="0" fontId="53" fillId="4" borderId="1" xfId="28" applyNumberFormat="1" applyFont="1" applyFill="1" applyBorder="1" applyAlignment="1">
      <alignment vertical="center"/>
    </xf>
    <xf numFmtId="0" fontId="53" fillId="13" borderId="1" xfId="29" applyFont="1" applyFill="1" applyBorder="1" applyAlignment="1">
      <alignment horizontal="left" vertical="center" wrapText="1"/>
    </xf>
    <xf numFmtId="0" fontId="53" fillId="13" borderId="1" xfId="29" applyFont="1" applyFill="1" applyBorder="1" applyAlignment="1">
      <alignment horizontal="center" vertical="center"/>
    </xf>
    <xf numFmtId="0" fontId="53" fillId="0" borderId="0" xfId="29" applyFont="1" applyAlignment="1">
      <alignment vertical="center"/>
    </xf>
    <xf numFmtId="0" fontId="82" fillId="0" borderId="0" xfId="29" applyFont="1" applyAlignment="1">
      <alignment vertical="center" wrapText="1"/>
    </xf>
    <xf numFmtId="0" fontId="69" fillId="0" borderId="0" xfId="29" applyFont="1" applyAlignment="1">
      <alignment vertical="center"/>
    </xf>
    <xf numFmtId="0" fontId="50" fillId="4" borderId="0" xfId="29" applyFont="1" applyFill="1" applyAlignment="1">
      <alignment vertical="center"/>
    </xf>
    <xf numFmtId="0" fontId="52" fillId="4" borderId="0" xfId="29" applyFont="1" applyFill="1" applyAlignment="1">
      <alignment horizontal="center" vertical="center"/>
    </xf>
    <xf numFmtId="165" fontId="53" fillId="0" borderId="1" xfId="23" applyNumberFormat="1" applyFont="1" applyFill="1" applyBorder="1" applyAlignment="1">
      <alignment horizontal="center" vertical="center" wrapText="1"/>
    </xf>
    <xf numFmtId="167" fontId="53" fillId="0" borderId="1" xfId="8" applyNumberFormat="1" applyFont="1" applyBorder="1" applyAlignment="1">
      <alignment horizontal="center" vertical="center"/>
    </xf>
    <xf numFmtId="0" fontId="52" fillId="0" borderId="0" xfId="2" applyFont="1" applyAlignment="1">
      <alignment horizontal="center" vertical="center" wrapText="1"/>
    </xf>
    <xf numFmtId="9" fontId="60" fillId="0" borderId="1" xfId="16" applyFont="1" applyFill="1" applyBorder="1" applyAlignment="1">
      <alignment vertical="center" wrapText="1"/>
    </xf>
    <xf numFmtId="0" fontId="85" fillId="0" borderId="0" xfId="0" applyFont="1"/>
    <xf numFmtId="0" fontId="86" fillId="0" borderId="0" xfId="0" applyFont="1"/>
    <xf numFmtId="0" fontId="86" fillId="0" borderId="0" xfId="0" applyFont="1" applyAlignment="1">
      <alignment horizontal="center"/>
    </xf>
    <xf numFmtId="165" fontId="86" fillId="0" borderId="0" xfId="6" applyNumberFormat="1" applyFont="1" applyAlignment="1">
      <alignment horizontal="center"/>
    </xf>
    <xf numFmtId="0" fontId="12" fillId="5" borderId="0" xfId="2" applyFont="1" applyFill="1" applyAlignment="1">
      <alignment horizontal="center" vertical="center" wrapText="1"/>
    </xf>
    <xf numFmtId="0" fontId="85" fillId="0" borderId="0" xfId="0" applyFont="1" applyAlignment="1">
      <alignment horizontal="left"/>
    </xf>
    <xf numFmtId="49" fontId="88" fillId="4" borderId="1" xfId="13" applyNumberFormat="1" applyFont="1" applyFill="1" applyBorder="1" applyAlignment="1">
      <alignment horizontal="center" vertical="center" wrapText="1"/>
    </xf>
    <xf numFmtId="49" fontId="88" fillId="4" borderId="1" xfId="13" applyNumberFormat="1" applyFont="1" applyFill="1" applyBorder="1" applyAlignment="1">
      <alignment horizontal="center" vertical="center"/>
    </xf>
    <xf numFmtId="165" fontId="88" fillId="4" borderId="1" xfId="6" applyNumberFormat="1" applyFont="1" applyFill="1" applyBorder="1" applyAlignment="1">
      <alignment horizontal="center" vertical="center" wrapText="1"/>
    </xf>
    <xf numFmtId="0" fontId="89" fillId="0" borderId="0" xfId="0" applyFont="1"/>
    <xf numFmtId="0" fontId="90" fillId="0" borderId="1" xfId="0" applyFont="1" applyBorder="1" applyAlignment="1">
      <alignment vertical="center" wrapText="1"/>
    </xf>
    <xf numFmtId="0" fontId="90" fillId="0" borderId="1" xfId="0" applyFont="1" applyBorder="1" applyAlignment="1">
      <alignment horizontal="center" vertical="center"/>
    </xf>
    <xf numFmtId="0" fontId="90" fillId="4" borderId="1" xfId="0" applyFont="1" applyFill="1" applyBorder="1" applyAlignment="1">
      <alignment vertical="center" wrapText="1"/>
    </xf>
    <xf numFmtId="0" fontId="89" fillId="0" borderId="0" xfId="0" applyFont="1" applyAlignment="1">
      <alignment horizontal="center"/>
    </xf>
    <xf numFmtId="165" fontId="89" fillId="0" borderId="0" xfId="6" applyNumberFormat="1" applyFont="1" applyAlignment="1">
      <alignment horizontal="center"/>
    </xf>
    <xf numFmtId="0" fontId="87" fillId="0" borderId="0" xfId="0" applyFont="1" applyAlignment="1">
      <alignment horizontal="center"/>
    </xf>
    <xf numFmtId="0" fontId="87" fillId="0" borderId="0" xfId="0" applyFont="1"/>
    <xf numFmtId="0" fontId="89" fillId="0" borderId="1" xfId="0" applyFont="1" applyBorder="1" applyAlignment="1">
      <alignment horizontal="center" vertical="center"/>
    </xf>
    <xf numFmtId="0" fontId="89" fillId="0" borderId="0" xfId="0" applyFont="1" applyAlignment="1">
      <alignment horizontal="center" vertical="center"/>
    </xf>
    <xf numFmtId="165" fontId="89" fillId="0" borderId="0" xfId="0" applyNumberFormat="1" applyFont="1"/>
    <xf numFmtId="9" fontId="89" fillId="0" borderId="1" xfId="6" applyFont="1" applyBorder="1" applyAlignment="1">
      <alignment horizontal="center"/>
    </xf>
    <xf numFmtId="10" fontId="89" fillId="0" borderId="1" xfId="6" applyNumberFormat="1" applyFont="1" applyBorder="1" applyAlignment="1">
      <alignment horizontal="center"/>
    </xf>
    <xf numFmtId="1" fontId="5" fillId="15" borderId="1" xfId="0" applyNumberFormat="1" applyFont="1" applyFill="1" applyBorder="1" applyAlignment="1">
      <alignment horizontal="right" vertical="center"/>
    </xf>
    <xf numFmtId="0" fontId="53" fillId="5" borderId="0" xfId="2" applyFont="1" applyFill="1" applyAlignment="1">
      <alignment horizontal="center" vertical="center"/>
    </xf>
    <xf numFmtId="0" fontId="63" fillId="0" borderId="20" xfId="0" applyFont="1" applyBorder="1" applyAlignment="1">
      <alignment horizontal="left" vertical="center"/>
    </xf>
    <xf numFmtId="0" fontId="63" fillId="0" borderId="0" xfId="0" applyFont="1" applyAlignment="1">
      <alignment horizontal="left" vertical="center"/>
    </xf>
    <xf numFmtId="0" fontId="52" fillId="5" borderId="0" xfId="2" applyFont="1" applyFill="1" applyAlignment="1">
      <alignment horizontal="center" vertical="center"/>
    </xf>
    <xf numFmtId="0" fontId="30" fillId="0" borderId="0" xfId="0" applyFont="1" applyAlignment="1">
      <alignment horizontal="left" wrapText="1"/>
    </xf>
    <xf numFmtId="0" fontId="30" fillId="0" borderId="0" xfId="0" applyFont="1" applyAlignment="1">
      <alignment horizontal="left"/>
    </xf>
    <xf numFmtId="0" fontId="18" fillId="0" borderId="103" xfId="0" applyFont="1" applyBorder="1" applyAlignment="1">
      <alignment horizontal="left" vertical="center" wrapText="1"/>
    </xf>
    <xf numFmtId="0" fontId="5" fillId="4" borderId="0" xfId="0" applyFont="1" applyFill="1" applyAlignment="1">
      <alignment horizontal="left" vertical="center"/>
    </xf>
    <xf numFmtId="0" fontId="5" fillId="13" borderId="0" xfId="2" applyFont="1" applyFill="1" applyAlignment="1">
      <alignment horizontal="left" vertical="center" wrapText="1"/>
    </xf>
    <xf numFmtId="0" fontId="5" fillId="5" borderId="0" xfId="2" applyFont="1" applyFill="1" applyAlignment="1">
      <alignment horizontal="center" vertical="center"/>
    </xf>
    <xf numFmtId="0" fontId="25" fillId="0" borderId="20" xfId="0" applyFont="1" applyBorder="1" applyAlignment="1">
      <alignment horizontal="left" vertical="center"/>
    </xf>
    <xf numFmtId="0" fontId="25" fillId="0" borderId="0" xfId="0" applyFont="1" applyAlignment="1">
      <alignment horizontal="left" vertical="center"/>
    </xf>
    <xf numFmtId="0" fontId="12" fillId="5" borderId="0" xfId="2" applyFont="1" applyFill="1" applyAlignment="1">
      <alignment horizontal="center" vertical="center"/>
    </xf>
    <xf numFmtId="0" fontId="12" fillId="5" borderId="0" xfId="2" applyFont="1" applyFill="1" applyAlignment="1">
      <alignment horizontal="left" vertical="center"/>
    </xf>
    <xf numFmtId="0" fontId="5" fillId="5" borderId="0" xfId="2" applyFont="1" applyFill="1" applyAlignment="1">
      <alignment horizontal="left" vertical="center"/>
    </xf>
    <xf numFmtId="0" fontId="12" fillId="5" borderId="0" xfId="2" applyFont="1" applyFill="1" applyAlignment="1">
      <alignment vertical="center"/>
    </xf>
    <xf numFmtId="0" fontId="25" fillId="0" borderId="0" xfId="0" applyFont="1" applyAlignment="1">
      <alignment horizontal="center" vertical="center" wrapText="1"/>
    </xf>
    <xf numFmtId="0" fontId="25" fillId="0" borderId="0" xfId="0" applyFont="1" applyAlignment="1">
      <alignment horizontal="center" vertical="center"/>
    </xf>
    <xf numFmtId="0" fontId="52" fillId="2" borderId="69" xfId="2" applyFont="1" applyFill="1" applyBorder="1" applyAlignment="1">
      <alignment horizontal="center" vertical="center"/>
    </xf>
    <xf numFmtId="0" fontId="52" fillId="2" borderId="79" xfId="2" applyFont="1" applyFill="1" applyBorder="1" applyAlignment="1">
      <alignment horizontal="center" vertical="center"/>
    </xf>
    <xf numFmtId="0" fontId="49" fillId="4" borderId="1" xfId="2" applyFont="1" applyFill="1" applyBorder="1" applyAlignment="1">
      <alignment horizontal="left" vertical="center"/>
    </xf>
    <xf numFmtId="9" fontId="49" fillId="0" borderId="1" xfId="0" quotePrefix="1" applyNumberFormat="1" applyFont="1" applyBorder="1" applyAlignment="1">
      <alignment horizontal="left" vertical="center" wrapText="1"/>
    </xf>
    <xf numFmtId="9" fontId="49" fillId="0" borderId="1" xfId="0" applyNumberFormat="1" applyFont="1" applyBorder="1" applyAlignment="1">
      <alignment horizontal="left" vertical="center"/>
    </xf>
    <xf numFmtId="0" fontId="73" fillId="8" borderId="78" xfId="2" applyFont="1" applyFill="1" applyBorder="1" applyAlignment="1">
      <alignment horizontal="center" vertical="center"/>
    </xf>
    <xf numFmtId="0" fontId="49" fillId="0" borderId="1" xfId="5" applyNumberFormat="1" applyFont="1" applyFill="1" applyBorder="1" applyAlignment="1">
      <alignment horizontal="left" vertical="center" wrapText="1"/>
    </xf>
    <xf numFmtId="1" fontId="49" fillId="0" borderId="1" xfId="12" applyNumberFormat="1" applyFont="1" applyFill="1" applyBorder="1" applyAlignment="1">
      <alignment horizontal="center" vertical="center" wrapText="1"/>
    </xf>
    <xf numFmtId="0" fontId="73" fillId="4" borderId="77" xfId="2" applyFont="1" applyFill="1" applyBorder="1" applyAlignment="1">
      <alignment horizontal="center" vertical="center" wrapText="1"/>
    </xf>
    <xf numFmtId="0" fontId="73" fillId="4" borderId="1" xfId="2" applyFont="1" applyFill="1" applyBorder="1" applyAlignment="1">
      <alignment horizontal="center" vertical="center" wrapText="1"/>
    </xf>
    <xf numFmtId="0" fontId="75" fillId="4" borderId="77" xfId="2" applyFont="1" applyFill="1" applyBorder="1" applyAlignment="1">
      <alignment horizontal="center" vertical="center" wrapText="1"/>
    </xf>
    <xf numFmtId="0" fontId="75" fillId="4" borderId="1" xfId="2" applyFont="1" applyFill="1" applyBorder="1" applyAlignment="1">
      <alignment horizontal="center" vertical="center" wrapText="1"/>
    </xf>
    <xf numFmtId="0" fontId="49" fillId="0" borderId="76" xfId="5" applyNumberFormat="1" applyFont="1" applyFill="1" applyBorder="1" applyAlignment="1">
      <alignment horizontal="justify" vertical="center" wrapText="1"/>
    </xf>
    <xf numFmtId="9" fontId="49" fillId="0" borderId="76" xfId="6" applyFont="1" applyFill="1" applyBorder="1" applyAlignment="1">
      <alignment horizontal="center" vertical="center" wrapText="1"/>
    </xf>
    <xf numFmtId="9" fontId="73" fillId="0" borderId="76" xfId="6" applyFont="1" applyFill="1" applyBorder="1" applyAlignment="1">
      <alignment horizontal="center" vertical="center"/>
    </xf>
    <xf numFmtId="0" fontId="73" fillId="0" borderId="77" xfId="2" applyFont="1" applyBorder="1" applyAlignment="1">
      <alignment horizontal="center" vertical="top"/>
    </xf>
    <xf numFmtId="0" fontId="49" fillId="0" borderId="76" xfId="5" applyNumberFormat="1" applyFont="1" applyFill="1" applyBorder="1" applyAlignment="1">
      <alignment horizontal="left" vertical="center" wrapText="1"/>
    </xf>
    <xf numFmtId="1" fontId="49" fillId="0" borderId="76" xfId="12" applyNumberFormat="1" applyFont="1" applyFill="1" applyBorder="1" applyAlignment="1">
      <alignment horizontal="center" vertical="center" wrapText="1"/>
    </xf>
    <xf numFmtId="0" fontId="73" fillId="0" borderId="77" xfId="2" applyFont="1" applyBorder="1" applyAlignment="1">
      <alignment horizontal="center" vertical="center" wrapText="1"/>
    </xf>
    <xf numFmtId="0" fontId="73" fillId="5" borderId="0" xfId="2" applyFont="1" applyFill="1" applyAlignment="1">
      <alignment horizontal="center" vertical="center" wrapText="1"/>
    </xf>
    <xf numFmtId="0" fontId="73" fillId="5" borderId="0" xfId="2" applyFont="1" applyFill="1" applyAlignment="1">
      <alignment horizontal="center" vertical="center"/>
    </xf>
    <xf numFmtId="0" fontId="49" fillId="5" borderId="0" xfId="2" applyFont="1" applyFill="1" applyAlignment="1">
      <alignment horizontal="center" vertical="center"/>
    </xf>
    <xf numFmtId="0" fontId="49" fillId="5" borderId="0" xfId="2" applyFont="1" applyFill="1" applyAlignment="1">
      <alignment horizontal="center" vertical="center" wrapText="1"/>
    </xf>
    <xf numFmtId="0" fontId="73" fillId="0" borderId="1" xfId="2" applyFont="1" applyBorder="1" applyAlignment="1">
      <alignment horizontal="center" vertical="center" wrapText="1"/>
    </xf>
    <xf numFmtId="0" fontId="49" fillId="0" borderId="1" xfId="5" applyNumberFormat="1" applyFont="1" applyFill="1" applyBorder="1" applyAlignment="1">
      <alignment horizontal="justify" vertical="center" wrapText="1"/>
    </xf>
    <xf numFmtId="9" fontId="49" fillId="0" borderId="1" xfId="6" applyFont="1" applyFill="1" applyBorder="1" applyAlignment="1">
      <alignment horizontal="center" vertical="center" wrapText="1"/>
    </xf>
    <xf numFmtId="9" fontId="73" fillId="0" borderId="1" xfId="6" applyFont="1" applyFill="1" applyBorder="1" applyAlignment="1">
      <alignment horizontal="center" vertical="center"/>
    </xf>
    <xf numFmtId="0" fontId="74" fillId="0" borderId="1" xfId="6" applyNumberFormat="1" applyFont="1" applyFill="1" applyBorder="1" applyAlignment="1">
      <alignment horizontal="center" vertical="center" wrapText="1"/>
    </xf>
    <xf numFmtId="0" fontId="74" fillId="0" borderId="1" xfId="6" applyNumberFormat="1" applyFont="1" applyFill="1" applyBorder="1" applyAlignment="1">
      <alignment horizontal="center" vertical="center"/>
    </xf>
    <xf numFmtId="0" fontId="74" fillId="0" borderId="76" xfId="6" applyNumberFormat="1" applyFont="1" applyFill="1" applyBorder="1" applyAlignment="1">
      <alignment horizontal="center" vertical="center"/>
    </xf>
    <xf numFmtId="164" fontId="73" fillId="4" borderId="1" xfId="5" applyNumberFormat="1" applyFont="1" applyFill="1" applyBorder="1" applyAlignment="1">
      <alignment horizontal="center" vertical="center" wrapText="1"/>
    </xf>
    <xf numFmtId="0" fontId="73" fillId="0" borderId="77" xfId="2" applyFont="1" applyBorder="1" applyAlignment="1">
      <alignment horizontal="left" vertical="center"/>
    </xf>
    <xf numFmtId="0" fontId="73" fillId="0" borderId="77" xfId="2" applyFont="1" applyBorder="1" applyAlignment="1">
      <alignment horizontal="left" vertical="center" wrapText="1"/>
    </xf>
    <xf numFmtId="0" fontId="73" fillId="0" borderId="1" xfId="2" applyFont="1" applyBorder="1" applyAlignment="1">
      <alignment horizontal="left" vertical="center" wrapText="1"/>
    </xf>
    <xf numFmtId="166" fontId="49" fillId="0" borderId="69" xfId="2" applyNumberFormat="1" applyFont="1" applyBorder="1" applyAlignment="1">
      <alignment horizontal="center" vertical="center"/>
    </xf>
    <xf numFmtId="166" fontId="49" fillId="0" borderId="79" xfId="2" applyNumberFormat="1" applyFont="1" applyBorder="1" applyAlignment="1">
      <alignment horizontal="center" vertical="center"/>
    </xf>
    <xf numFmtId="0" fontId="49" fillId="0" borderId="69" xfId="2" applyFont="1" applyBorder="1" applyAlignment="1">
      <alignment horizontal="center" vertical="center" wrapText="1"/>
    </xf>
    <xf numFmtId="0" fontId="49" fillId="0" borderId="78" xfId="2" applyFont="1" applyBorder="1" applyAlignment="1">
      <alignment horizontal="center" vertical="center" wrapText="1"/>
    </xf>
    <xf numFmtId="0" fontId="49" fillId="0" borderId="79" xfId="2" applyFont="1" applyBorder="1" applyAlignment="1">
      <alignment horizontal="center" vertical="center" wrapText="1"/>
    </xf>
    <xf numFmtId="9" fontId="49" fillId="0" borderId="69" xfId="0" applyNumberFormat="1" applyFont="1" applyBorder="1" applyAlignment="1">
      <alignment horizontal="left" vertical="center" wrapText="1"/>
    </xf>
    <xf numFmtId="9" fontId="49" fillId="0" borderId="79" xfId="0" applyNumberFormat="1" applyFont="1" applyBorder="1" applyAlignment="1">
      <alignment horizontal="left" vertical="center" wrapText="1"/>
    </xf>
    <xf numFmtId="164" fontId="49" fillId="0" borderId="69" xfId="5" applyNumberFormat="1" applyFont="1" applyFill="1" applyBorder="1" applyAlignment="1">
      <alignment horizontal="left" vertical="center" wrapText="1"/>
    </xf>
    <xf numFmtId="164" fontId="49" fillId="0" borderId="79" xfId="5" applyNumberFormat="1" applyFont="1" applyFill="1" applyBorder="1" applyAlignment="1">
      <alignment horizontal="left" vertical="center" wrapText="1"/>
    </xf>
    <xf numFmtId="164" fontId="49" fillId="0" borderId="1" xfId="5" applyNumberFormat="1" applyFont="1" applyFill="1" applyBorder="1" applyAlignment="1">
      <alignment horizontal="left" vertical="center" wrapText="1"/>
    </xf>
    <xf numFmtId="9" fontId="49" fillId="0" borderId="1" xfId="6" applyFont="1" applyFill="1" applyBorder="1" applyAlignment="1">
      <alignment horizontal="center" vertical="center"/>
    </xf>
    <xf numFmtId="164" fontId="49" fillId="0" borderId="76" xfId="5" applyNumberFormat="1" applyFont="1" applyFill="1" applyBorder="1" applyAlignment="1">
      <alignment horizontal="left" vertical="center" wrapText="1"/>
    </xf>
    <xf numFmtId="9" fontId="49" fillId="0" borderId="76" xfId="6" applyFont="1" applyFill="1" applyBorder="1" applyAlignment="1">
      <alignment horizontal="center" vertical="center"/>
    </xf>
    <xf numFmtId="166" fontId="49" fillId="0" borderId="1" xfId="2" applyNumberFormat="1" applyFont="1" applyBorder="1" applyAlignment="1">
      <alignment horizontal="center" vertical="center"/>
    </xf>
    <xf numFmtId="9" fontId="49" fillId="0" borderId="1" xfId="0" applyNumberFormat="1" applyFont="1" applyBorder="1" applyAlignment="1">
      <alignment horizontal="left" vertical="center" wrapText="1"/>
    </xf>
    <xf numFmtId="0" fontId="49" fillId="4" borderId="77" xfId="2" applyFont="1" applyFill="1" applyBorder="1" applyAlignment="1">
      <alignment horizontal="left" vertical="center"/>
    </xf>
    <xf numFmtId="9" fontId="73" fillId="0" borderId="77" xfId="0" applyNumberFormat="1" applyFont="1" applyBorder="1" applyAlignment="1">
      <alignment horizontal="center" vertical="top"/>
    </xf>
    <xf numFmtId="0" fontId="73" fillId="0" borderId="77" xfId="2" applyFont="1" applyBorder="1" applyAlignment="1">
      <alignment horizontal="center" vertical="center"/>
    </xf>
    <xf numFmtId="164" fontId="49" fillId="4" borderId="1" xfId="5" applyNumberFormat="1" applyFont="1" applyFill="1" applyBorder="1" applyAlignment="1">
      <alignment horizontal="left" vertical="center" wrapText="1"/>
    </xf>
    <xf numFmtId="9" fontId="53" fillId="4" borderId="1" xfId="0" applyNumberFormat="1" applyFont="1" applyFill="1" applyBorder="1" applyAlignment="1">
      <alignment horizontal="left" vertical="center" wrapText="1"/>
    </xf>
    <xf numFmtId="9" fontId="53" fillId="4" borderId="1" xfId="0" applyNumberFormat="1" applyFont="1" applyFill="1" applyBorder="1" applyAlignment="1">
      <alignment horizontal="left" vertical="center"/>
    </xf>
    <xf numFmtId="0" fontId="53" fillId="4" borderId="69" xfId="2" applyFont="1" applyFill="1" applyBorder="1" applyAlignment="1">
      <alignment horizontal="center" vertical="center" wrapText="1"/>
    </xf>
    <xf numFmtId="0" fontId="53" fillId="4" borderId="78" xfId="2" applyFont="1" applyFill="1" applyBorder="1" applyAlignment="1">
      <alignment horizontal="center" vertical="center" wrapText="1"/>
    </xf>
    <xf numFmtId="0" fontId="53" fillId="4" borderId="79" xfId="2" applyFont="1" applyFill="1" applyBorder="1" applyAlignment="1">
      <alignment horizontal="center" vertical="center" wrapText="1"/>
    </xf>
    <xf numFmtId="166" fontId="53" fillId="4" borderId="1" xfId="2" applyNumberFormat="1" applyFont="1" applyFill="1" applyBorder="1" applyAlignment="1">
      <alignment horizontal="center" vertical="center"/>
    </xf>
    <xf numFmtId="9" fontId="53" fillId="0" borderId="76" xfId="6" applyFont="1" applyFill="1" applyBorder="1" applyAlignment="1">
      <alignment horizontal="center" vertical="center" wrapText="1"/>
    </xf>
    <xf numFmtId="9" fontId="53" fillId="0" borderId="76" xfId="6" applyFont="1" applyFill="1" applyBorder="1" applyAlignment="1">
      <alignment horizontal="center" vertical="center"/>
    </xf>
    <xf numFmtId="0" fontId="52" fillId="8" borderId="78" xfId="2" applyFont="1" applyFill="1" applyBorder="1" applyAlignment="1">
      <alignment horizontal="center" vertical="center"/>
    </xf>
    <xf numFmtId="0" fontId="52" fillId="0" borderId="77" xfId="2" applyFont="1" applyBorder="1" applyAlignment="1">
      <alignment horizontal="center" vertical="center" wrapText="1"/>
    </xf>
    <xf numFmtId="0" fontId="52" fillId="0" borderId="77" xfId="2" applyFont="1" applyBorder="1" applyAlignment="1">
      <alignment horizontal="center" vertical="center"/>
    </xf>
    <xf numFmtId="0" fontId="52" fillId="0" borderId="77" xfId="2" applyFont="1" applyBorder="1" applyAlignment="1">
      <alignment horizontal="left" vertical="center" wrapText="1"/>
    </xf>
    <xf numFmtId="0" fontId="52" fillId="0" borderId="77" xfId="2" applyFont="1" applyBorder="1" applyAlignment="1">
      <alignment horizontal="left" vertical="center"/>
    </xf>
    <xf numFmtId="9" fontId="53" fillId="0" borderId="1" xfId="6" applyFont="1" applyFill="1" applyBorder="1" applyAlignment="1">
      <alignment horizontal="center" vertical="center" wrapText="1"/>
    </xf>
    <xf numFmtId="9" fontId="53" fillId="0" borderId="1" xfId="6" applyFont="1" applyFill="1" applyBorder="1" applyAlignment="1">
      <alignment horizontal="center" vertical="center"/>
    </xf>
    <xf numFmtId="164" fontId="49" fillId="4" borderId="76" xfId="5" applyNumberFormat="1" applyFont="1" applyFill="1" applyBorder="1" applyAlignment="1">
      <alignment horizontal="left" vertical="center" wrapText="1"/>
    </xf>
    <xf numFmtId="9" fontId="53" fillId="0" borderId="1" xfId="0" applyNumberFormat="1" applyFont="1" applyBorder="1" applyAlignment="1">
      <alignment horizontal="left" vertical="center" wrapText="1"/>
    </xf>
    <xf numFmtId="9" fontId="53" fillId="0" borderId="1" xfId="0" applyNumberFormat="1" applyFont="1" applyBorder="1" applyAlignment="1">
      <alignment horizontal="left" vertical="center"/>
    </xf>
    <xf numFmtId="0" fontId="53" fillId="0" borderId="69" xfId="2" applyFont="1" applyBorder="1" applyAlignment="1">
      <alignment horizontal="center" vertical="center" wrapText="1"/>
    </xf>
    <xf numFmtId="0" fontId="53" fillId="0" borderId="78" xfId="2" applyFont="1" applyBorder="1" applyAlignment="1">
      <alignment horizontal="center" vertical="center" wrapText="1"/>
    </xf>
    <xf numFmtId="0" fontId="53" fillId="0" borderId="79" xfId="2" applyFont="1" applyBorder="1" applyAlignment="1">
      <alignment horizontal="center" vertical="center" wrapText="1"/>
    </xf>
    <xf numFmtId="166" fontId="53" fillId="0" borderId="1" xfId="2" applyNumberFormat="1" applyFont="1" applyBorder="1" applyAlignment="1">
      <alignment horizontal="center" vertical="center"/>
    </xf>
    <xf numFmtId="0" fontId="52" fillId="0" borderId="1" xfId="2" applyFont="1" applyBorder="1" applyAlignment="1">
      <alignment horizontal="center" vertical="center" wrapText="1"/>
    </xf>
    <xf numFmtId="0" fontId="52" fillId="0" borderId="1" xfId="2" applyFont="1" applyBorder="1" applyAlignment="1">
      <alignment horizontal="left" vertical="center" wrapText="1"/>
    </xf>
    <xf numFmtId="0" fontId="52" fillId="4" borderId="77" xfId="2" applyFont="1" applyFill="1" applyBorder="1" applyAlignment="1">
      <alignment horizontal="center" vertical="center" wrapText="1"/>
    </xf>
    <xf numFmtId="0" fontId="57" fillId="4" borderId="77" xfId="2" applyFont="1" applyFill="1" applyBorder="1" applyAlignment="1">
      <alignment horizontal="center" vertical="center" wrapText="1"/>
    </xf>
    <xf numFmtId="0" fontId="57" fillId="4" borderId="1" xfId="2" applyFont="1" applyFill="1" applyBorder="1" applyAlignment="1">
      <alignment horizontal="center" vertical="center" wrapText="1"/>
    </xf>
    <xf numFmtId="164" fontId="52" fillId="4" borderId="1" xfId="5" applyNumberFormat="1" applyFont="1" applyFill="1" applyBorder="1" applyAlignment="1">
      <alignment horizontal="center" vertical="center" wrapText="1"/>
    </xf>
    <xf numFmtId="1" fontId="53" fillId="0" borderId="1" xfId="12" applyNumberFormat="1" applyFont="1" applyFill="1" applyBorder="1" applyAlignment="1">
      <alignment horizontal="center" vertical="center" wrapText="1"/>
    </xf>
    <xf numFmtId="0" fontId="52" fillId="4" borderId="1" xfId="2" applyFont="1" applyFill="1" applyBorder="1" applyAlignment="1">
      <alignment horizontal="center" vertical="center" wrapText="1"/>
    </xf>
    <xf numFmtId="1" fontId="53" fillId="0" borderId="76" xfId="12" applyNumberFormat="1" applyFont="1" applyFill="1" applyBorder="1" applyAlignment="1">
      <alignment horizontal="center" vertical="center" wrapText="1"/>
    </xf>
    <xf numFmtId="9" fontId="52" fillId="0" borderId="1" xfId="6" applyFont="1" applyFill="1" applyBorder="1" applyAlignment="1">
      <alignment horizontal="center" vertical="center"/>
    </xf>
    <xf numFmtId="0" fontId="63" fillId="0" borderId="1" xfId="6" applyNumberFormat="1" applyFont="1" applyFill="1" applyBorder="1" applyAlignment="1">
      <alignment horizontal="center" vertical="center" wrapText="1"/>
    </xf>
    <xf numFmtId="0" fontId="63" fillId="0" borderId="1" xfId="6" applyNumberFormat="1" applyFont="1" applyFill="1" applyBorder="1" applyAlignment="1">
      <alignment horizontal="center" vertical="center"/>
    </xf>
    <xf numFmtId="0" fontId="63" fillId="0" borderId="76" xfId="6" applyNumberFormat="1" applyFont="1" applyFill="1" applyBorder="1" applyAlignment="1">
      <alignment horizontal="center" vertical="center"/>
    </xf>
    <xf numFmtId="9" fontId="52" fillId="0" borderId="76" xfId="6" applyFont="1" applyFill="1" applyBorder="1" applyAlignment="1">
      <alignment horizontal="center" vertical="center"/>
    </xf>
    <xf numFmtId="0" fontId="53" fillId="4" borderId="77" xfId="2" applyFont="1" applyFill="1" applyBorder="1" applyAlignment="1">
      <alignment horizontal="left" vertical="center"/>
    </xf>
    <xf numFmtId="9" fontId="52" fillId="0" borderId="77" xfId="0" applyNumberFormat="1" applyFont="1" applyBorder="1" applyAlignment="1">
      <alignment horizontal="center" vertical="top"/>
    </xf>
    <xf numFmtId="0" fontId="52" fillId="0" borderId="77" xfId="2" applyFont="1" applyBorder="1" applyAlignment="1">
      <alignment horizontal="center" vertical="top"/>
    </xf>
    <xf numFmtId="0" fontId="53" fillId="4" borderId="1" xfId="2" applyFont="1" applyFill="1" applyBorder="1" applyAlignment="1">
      <alignment horizontal="left" vertical="center"/>
    </xf>
    <xf numFmtId="9" fontId="53" fillId="0" borderId="1" xfId="0" quotePrefix="1" applyNumberFormat="1" applyFont="1" applyBorder="1" applyAlignment="1">
      <alignment horizontal="left" vertical="center" wrapText="1"/>
    </xf>
    <xf numFmtId="0" fontId="52" fillId="5" borderId="0" xfId="2" applyFont="1" applyFill="1" applyAlignment="1">
      <alignment horizontal="center" vertical="center" wrapText="1"/>
    </xf>
    <xf numFmtId="0" fontId="53" fillId="5" borderId="0" xfId="2" applyFont="1" applyFill="1" applyAlignment="1">
      <alignment horizontal="center" vertical="center" wrapText="1"/>
    </xf>
    <xf numFmtId="166" fontId="53" fillId="0" borderId="69" xfId="2" applyNumberFormat="1" applyFont="1" applyBorder="1" applyAlignment="1">
      <alignment horizontal="center" vertical="center"/>
    </xf>
    <xf numFmtId="166" fontId="53" fillId="0" borderId="79" xfId="2" applyNumberFormat="1" applyFont="1" applyBorder="1" applyAlignment="1">
      <alignment horizontal="center" vertical="center"/>
    </xf>
    <xf numFmtId="0" fontId="12" fillId="5" borderId="0" xfId="2" applyFont="1" applyFill="1" applyAlignment="1">
      <alignment horizontal="center" vertical="center" wrapText="1"/>
    </xf>
    <xf numFmtId="0" fontId="5" fillId="5" borderId="0" xfId="2" applyFont="1" applyFill="1" applyAlignment="1">
      <alignment horizontal="center" vertical="center" wrapText="1"/>
    </xf>
    <xf numFmtId="0" fontId="12" fillId="0" borderId="77" xfId="2" applyFont="1" applyBorder="1" applyAlignment="1">
      <alignment horizontal="left" vertical="center" wrapText="1"/>
    </xf>
    <xf numFmtId="0" fontId="12" fillId="0" borderId="77" xfId="2" applyFont="1" applyBorder="1" applyAlignment="1">
      <alignment horizontal="left" vertical="center"/>
    </xf>
    <xf numFmtId="0" fontId="12" fillId="0" borderId="77" xfId="2" applyFont="1" applyBorder="1" applyAlignment="1">
      <alignment horizontal="center" vertical="center" wrapText="1"/>
    </xf>
    <xf numFmtId="164" fontId="14" fillId="0" borderId="1" xfId="5" applyNumberFormat="1" applyFont="1" applyFill="1" applyBorder="1" applyAlignment="1">
      <alignment horizontal="left" vertical="center" wrapText="1"/>
    </xf>
    <xf numFmtId="9" fontId="5" fillId="0" borderId="1" xfId="6" applyFont="1" applyFill="1" applyBorder="1" applyAlignment="1">
      <alignment horizontal="center" vertical="center" wrapText="1"/>
    </xf>
    <xf numFmtId="9" fontId="5" fillId="0" borderId="1" xfId="6" applyFont="1" applyFill="1" applyBorder="1" applyAlignment="1">
      <alignment horizontal="center" vertical="center"/>
    </xf>
    <xf numFmtId="164" fontId="14" fillId="0" borderId="76" xfId="5" applyNumberFormat="1" applyFont="1" applyFill="1" applyBorder="1" applyAlignment="1">
      <alignment horizontal="left" vertical="center" wrapText="1"/>
    </xf>
    <xf numFmtId="9" fontId="5" fillId="0" borderId="76" xfId="6" applyFont="1" applyFill="1" applyBorder="1" applyAlignment="1">
      <alignment horizontal="center" vertical="center" wrapText="1"/>
    </xf>
    <xf numFmtId="9" fontId="5" fillId="0" borderId="76" xfId="6" applyFont="1" applyFill="1" applyBorder="1" applyAlignment="1">
      <alignment horizontal="center" vertical="center"/>
    </xf>
    <xf numFmtId="0" fontId="12" fillId="8" borderId="78" xfId="2" applyFont="1" applyFill="1" applyBorder="1" applyAlignment="1">
      <alignment horizontal="center" vertical="center"/>
    </xf>
    <xf numFmtId="0" fontId="12" fillId="0" borderId="77" xfId="2" applyFont="1" applyBorder="1" applyAlignment="1">
      <alignment horizontal="center" vertical="center"/>
    </xf>
    <xf numFmtId="9" fontId="5" fillId="0" borderId="1" xfId="0" applyNumberFormat="1" applyFont="1" applyBorder="1" applyAlignment="1">
      <alignment horizontal="left" vertical="center" wrapText="1"/>
    </xf>
    <xf numFmtId="9" fontId="5" fillId="0" borderId="1" xfId="0" applyNumberFormat="1" applyFont="1" applyBorder="1" applyAlignment="1">
      <alignment horizontal="left" vertical="center"/>
    </xf>
    <xf numFmtId="0" fontId="5" fillId="0" borderId="69" xfId="2" applyFont="1" applyBorder="1" applyAlignment="1">
      <alignment horizontal="center" vertical="center" wrapText="1"/>
    </xf>
    <xf numFmtId="0" fontId="5" fillId="0" borderId="78" xfId="2" applyFont="1" applyBorder="1" applyAlignment="1">
      <alignment horizontal="center" vertical="center" wrapText="1"/>
    </xf>
    <xf numFmtId="0" fontId="5" fillId="0" borderId="79" xfId="2" applyFont="1" applyBorder="1" applyAlignment="1">
      <alignment horizontal="center" vertical="center" wrapText="1"/>
    </xf>
    <xf numFmtId="166" fontId="5" fillId="0" borderId="1" xfId="2" applyNumberFormat="1" applyFont="1" applyBorder="1" applyAlignment="1">
      <alignment horizontal="center" vertical="center"/>
    </xf>
    <xf numFmtId="0" fontId="12" fillId="0" borderId="1" xfId="2" applyFont="1" applyBorder="1" applyAlignment="1">
      <alignment horizontal="center" vertical="center" wrapText="1"/>
    </xf>
    <xf numFmtId="0" fontId="12" fillId="0" borderId="1" xfId="2" applyFont="1" applyBorder="1" applyAlignment="1">
      <alignment horizontal="left" vertical="center" wrapText="1"/>
    </xf>
    <xf numFmtId="0" fontId="12" fillId="4" borderId="77" xfId="2" applyFont="1" applyFill="1" applyBorder="1" applyAlignment="1">
      <alignment horizontal="center" vertical="center" wrapText="1"/>
    </xf>
    <xf numFmtId="0" fontId="21" fillId="4" borderId="77" xfId="2" applyFont="1" applyFill="1" applyBorder="1" applyAlignment="1">
      <alignment horizontal="center" vertical="center" wrapText="1"/>
    </xf>
    <xf numFmtId="0" fontId="21" fillId="4" borderId="1" xfId="2" applyFont="1" applyFill="1" applyBorder="1" applyAlignment="1">
      <alignment horizontal="center" vertical="center" wrapText="1"/>
    </xf>
    <xf numFmtId="0" fontId="12" fillId="4" borderId="1" xfId="2" applyFont="1" applyFill="1" applyBorder="1" applyAlignment="1">
      <alignment horizontal="center" vertical="center" wrapText="1"/>
    </xf>
    <xf numFmtId="164" fontId="12" fillId="4" borderId="1" xfId="5" applyNumberFormat="1" applyFont="1" applyFill="1" applyBorder="1" applyAlignment="1">
      <alignment horizontal="center" vertical="center" wrapText="1"/>
    </xf>
    <xf numFmtId="0" fontId="14" fillId="0" borderId="1" xfId="5" applyNumberFormat="1" applyFont="1" applyFill="1" applyBorder="1" applyAlignment="1">
      <alignment horizontal="left" vertical="center" wrapText="1"/>
    </xf>
    <xf numFmtId="1" fontId="5" fillId="0" borderId="1" xfId="12" applyNumberFormat="1" applyFont="1" applyFill="1" applyBorder="1" applyAlignment="1">
      <alignment horizontal="center" vertical="center" wrapText="1"/>
    </xf>
    <xf numFmtId="0" fontId="14" fillId="0" borderId="76" xfId="5" applyNumberFormat="1" applyFont="1" applyFill="1" applyBorder="1" applyAlignment="1">
      <alignment horizontal="left" vertical="center" wrapText="1"/>
    </xf>
    <xf numFmtId="1" fontId="5" fillId="0" borderId="76" xfId="12" applyNumberFormat="1" applyFont="1" applyFill="1" applyBorder="1" applyAlignment="1">
      <alignment horizontal="center" vertical="center" wrapText="1"/>
    </xf>
    <xf numFmtId="0" fontId="14" fillId="0" borderId="1" xfId="5" applyNumberFormat="1" applyFont="1" applyFill="1" applyBorder="1" applyAlignment="1">
      <alignment horizontal="justify" vertical="center" wrapText="1"/>
    </xf>
    <xf numFmtId="9" fontId="12" fillId="0" borderId="1" xfId="6" applyFont="1" applyFill="1" applyBorder="1" applyAlignment="1">
      <alignment horizontal="center" vertical="center"/>
    </xf>
    <xf numFmtId="0" fontId="25" fillId="0" borderId="1" xfId="6" applyNumberFormat="1" applyFont="1" applyFill="1" applyBorder="1" applyAlignment="1">
      <alignment horizontal="center" vertical="center" wrapText="1"/>
    </xf>
    <xf numFmtId="0" fontId="25" fillId="0" borderId="1" xfId="6" applyNumberFormat="1" applyFont="1" applyFill="1" applyBorder="1" applyAlignment="1">
      <alignment horizontal="center" vertical="center"/>
    </xf>
    <xf numFmtId="0" fontId="25" fillId="0" borderId="76" xfId="6" applyNumberFormat="1" applyFont="1" applyFill="1" applyBorder="1" applyAlignment="1">
      <alignment horizontal="center" vertical="center"/>
    </xf>
    <xf numFmtId="0" fontId="14" fillId="0" borderId="76" xfId="5" applyNumberFormat="1" applyFont="1" applyFill="1" applyBorder="1" applyAlignment="1">
      <alignment horizontal="justify" vertical="center" wrapText="1"/>
    </xf>
    <xf numFmtId="9" fontId="12" fillId="0" borderId="76" xfId="6" applyFont="1" applyFill="1" applyBorder="1" applyAlignment="1">
      <alignment horizontal="center" vertical="center"/>
    </xf>
    <xf numFmtId="0" fontId="5" fillId="4" borderId="77" xfId="2" applyFont="1" applyFill="1" applyBorder="1" applyAlignment="1">
      <alignment horizontal="left" vertical="center"/>
    </xf>
    <xf numFmtId="9" fontId="12" fillId="0" borderId="77" xfId="0" applyNumberFormat="1" applyFont="1" applyBorder="1" applyAlignment="1">
      <alignment horizontal="center" vertical="top"/>
    </xf>
    <xf numFmtId="0" fontId="12" fillId="0" borderId="77" xfId="2" applyFont="1" applyBorder="1" applyAlignment="1">
      <alignment horizontal="center" vertical="top"/>
    </xf>
    <xf numFmtId="0" fontId="5" fillId="4" borderId="1" xfId="2" applyFont="1" applyFill="1" applyBorder="1" applyAlignment="1">
      <alignment horizontal="left" vertical="center"/>
    </xf>
    <xf numFmtId="9" fontId="5" fillId="0" borderId="1" xfId="0" quotePrefix="1" applyNumberFormat="1" applyFont="1" applyBorder="1" applyAlignment="1">
      <alignment horizontal="left" vertical="center" wrapText="1"/>
    </xf>
    <xf numFmtId="0" fontId="25" fillId="0" borderId="0" xfId="0" applyFont="1" applyAlignment="1">
      <alignment horizontal="left" vertical="center" wrapText="1"/>
    </xf>
    <xf numFmtId="9" fontId="53" fillId="0" borderId="69" xfId="0" applyNumberFormat="1" applyFont="1" applyBorder="1" applyAlignment="1">
      <alignment horizontal="left" vertical="center" wrapText="1"/>
    </xf>
    <xf numFmtId="9" fontId="53" fillId="0" borderId="79" xfId="0" applyNumberFormat="1" applyFont="1" applyBorder="1" applyAlignment="1">
      <alignment horizontal="left" vertical="center" wrapText="1"/>
    </xf>
    <xf numFmtId="0" fontId="53" fillId="5" borderId="0" xfId="2" applyFont="1" applyFill="1" applyAlignment="1">
      <alignment horizontal="left" vertical="center"/>
    </xf>
    <xf numFmtId="0" fontId="80" fillId="0" borderId="0" xfId="25" applyFont="1" applyAlignment="1">
      <alignment horizontal="center" vertical="center" wrapText="1"/>
    </xf>
    <xf numFmtId="0" fontId="80" fillId="0" borderId="0" xfId="25" applyFont="1" applyAlignment="1">
      <alignment horizontal="center" vertical="center"/>
    </xf>
    <xf numFmtId="0" fontId="82" fillId="0" borderId="0" xfId="25" applyFont="1" applyAlignment="1">
      <alignment horizontal="left" vertical="center" wrapText="1"/>
    </xf>
    <xf numFmtId="0" fontId="53" fillId="13" borderId="76" xfId="29" applyFont="1" applyFill="1" applyBorder="1" applyAlignment="1">
      <alignment horizontal="center" vertical="center"/>
    </xf>
    <xf numFmtId="0" fontId="53" fillId="13" borderId="108" xfId="29" applyFont="1" applyFill="1" applyBorder="1" applyAlignment="1">
      <alignment horizontal="center" vertical="center"/>
    </xf>
    <xf numFmtId="0" fontId="53" fillId="13" borderId="77" xfId="29" applyFont="1" applyFill="1" applyBorder="1" applyAlignment="1">
      <alignment horizontal="center" vertical="center"/>
    </xf>
    <xf numFmtId="0" fontId="53" fillId="13" borderId="76" xfId="29" applyFont="1" applyFill="1" applyBorder="1" applyAlignment="1">
      <alignment horizontal="left" vertical="center" wrapText="1"/>
    </xf>
    <xf numFmtId="0" fontId="53" fillId="13" borderId="108" xfId="29" applyFont="1" applyFill="1" applyBorder="1" applyAlignment="1">
      <alignment horizontal="left" vertical="center" wrapText="1"/>
    </xf>
    <xf numFmtId="0" fontId="53" fillId="13" borderId="77" xfId="29" applyFont="1" applyFill="1" applyBorder="1" applyAlignment="1">
      <alignment horizontal="left" vertical="center" wrapText="1"/>
    </xf>
    <xf numFmtId="0" fontId="80" fillId="0" borderId="0" xfId="29" applyFont="1" applyAlignment="1">
      <alignment horizontal="center" vertical="center" wrapText="1"/>
    </xf>
    <xf numFmtId="0" fontId="80" fillId="0" borderId="0" xfId="29" applyFont="1" applyAlignment="1">
      <alignment horizontal="center" vertical="center"/>
    </xf>
    <xf numFmtId="0" fontId="82" fillId="0" borderId="103" xfId="29" applyFont="1" applyBorder="1" applyAlignment="1">
      <alignment horizontal="left" vertical="center" wrapText="1"/>
    </xf>
    <xf numFmtId="0" fontId="52" fillId="2" borderId="78" xfId="2" applyFont="1" applyFill="1" applyBorder="1" applyAlignment="1">
      <alignment horizontal="center" vertical="center"/>
    </xf>
    <xf numFmtId="0" fontId="87" fillId="0" borderId="103" xfId="0" applyFont="1" applyBorder="1" applyAlignment="1">
      <alignment horizontal="center" vertical="center" wrapText="1"/>
    </xf>
    <xf numFmtId="0" fontId="87" fillId="0" borderId="103" xfId="0" applyFont="1" applyBorder="1" applyAlignment="1">
      <alignment horizontal="center" vertical="center"/>
    </xf>
    <xf numFmtId="0" fontId="85" fillId="0" borderId="0" xfId="0" applyFont="1" applyAlignment="1">
      <alignment horizontal="left"/>
    </xf>
    <xf numFmtId="0" fontId="87" fillId="0" borderId="0" xfId="0" applyFont="1" applyAlignment="1">
      <alignment horizontal="center"/>
    </xf>
    <xf numFmtId="0" fontId="29" fillId="0" borderId="20" xfId="0" applyFont="1" applyBorder="1" applyAlignment="1">
      <alignment horizontal="left" vertical="center" wrapText="1"/>
    </xf>
    <xf numFmtId="0" fontId="29" fillId="0" borderId="0" xfId="0" applyFont="1" applyAlignment="1">
      <alignment horizontal="left" vertical="center" wrapText="1"/>
    </xf>
    <xf numFmtId="0" fontId="12" fillId="0" borderId="0" xfId="2" applyFont="1" applyAlignment="1">
      <alignment horizontal="left" wrapText="1"/>
    </xf>
    <xf numFmtId="9" fontId="12" fillId="8" borderId="88" xfId="2" applyNumberFormat="1" applyFont="1" applyFill="1" applyBorder="1" applyAlignment="1">
      <alignment horizontal="center" vertical="center" wrapText="1"/>
    </xf>
    <xf numFmtId="9" fontId="12" fillId="8" borderId="89" xfId="2" applyNumberFormat="1" applyFont="1" applyFill="1" applyBorder="1" applyAlignment="1">
      <alignment horizontal="center" vertical="center" wrapText="1"/>
    </xf>
    <xf numFmtId="9" fontId="12" fillId="8" borderId="85" xfId="2" applyNumberFormat="1" applyFont="1" applyFill="1" applyBorder="1" applyAlignment="1">
      <alignment horizontal="center" vertical="center" wrapText="1"/>
    </xf>
    <xf numFmtId="9" fontId="12" fillId="8" borderId="86" xfId="2" applyNumberFormat="1" applyFont="1" applyFill="1" applyBorder="1" applyAlignment="1">
      <alignment horizontal="center" vertical="center" wrapText="1"/>
    </xf>
    <xf numFmtId="9" fontId="12" fillId="8" borderId="87" xfId="2" applyNumberFormat="1" applyFont="1" applyFill="1" applyBorder="1" applyAlignment="1">
      <alignment horizontal="center" vertical="center" wrapText="1"/>
    </xf>
    <xf numFmtId="0" fontId="12" fillId="2" borderId="19" xfId="2" applyFont="1" applyFill="1" applyBorder="1" applyAlignment="1">
      <alignment horizontal="center" vertical="center"/>
    </xf>
    <xf numFmtId="9" fontId="5" fillId="0" borderId="54" xfId="0" applyNumberFormat="1" applyFont="1" applyBorder="1" applyAlignment="1">
      <alignment horizontal="left" vertical="center"/>
    </xf>
    <xf numFmtId="9" fontId="5" fillId="0" borderId="55" xfId="0" applyNumberFormat="1" applyFont="1" applyBorder="1" applyAlignment="1">
      <alignment horizontal="left" vertical="center"/>
    </xf>
    <xf numFmtId="0" fontId="17" fillId="0" borderId="56" xfId="2" applyFont="1" applyBorder="1" applyAlignment="1">
      <alignment horizontal="left" vertical="center" wrapText="1"/>
    </xf>
    <xf numFmtId="0" fontId="17" fillId="0" borderId="57" xfId="2" applyFont="1" applyBorder="1" applyAlignment="1">
      <alignment horizontal="left" vertical="center" wrapText="1"/>
    </xf>
    <xf numFmtId="0" fontId="17" fillId="0" borderId="58" xfId="2" applyFont="1" applyBorder="1" applyAlignment="1">
      <alignment horizontal="left" vertical="center" wrapText="1"/>
    </xf>
    <xf numFmtId="0" fontId="5" fillId="2" borderId="69" xfId="2" applyFont="1" applyFill="1" applyBorder="1" applyAlignment="1">
      <alignment horizontal="center" vertical="center"/>
    </xf>
    <xf numFmtId="0" fontId="5" fillId="2" borderId="79" xfId="2" applyFont="1" applyFill="1" applyBorder="1" applyAlignment="1">
      <alignment horizontal="center" vertical="center"/>
    </xf>
    <xf numFmtId="0" fontId="5" fillId="2" borderId="78" xfId="2" applyFont="1" applyFill="1" applyBorder="1" applyAlignment="1">
      <alignment horizontal="center" vertical="center"/>
    </xf>
    <xf numFmtId="0" fontId="12" fillId="2" borderId="1" xfId="2" applyFont="1" applyFill="1" applyBorder="1" applyAlignment="1">
      <alignment horizontal="center" vertical="center"/>
    </xf>
    <xf numFmtId="9" fontId="5" fillId="0" borderId="69" xfId="0" applyNumberFormat="1" applyFont="1" applyBorder="1" applyAlignment="1">
      <alignment horizontal="center" vertical="center"/>
    </xf>
    <xf numFmtId="9" fontId="5" fillId="0" borderId="78" xfId="0" applyNumberFormat="1" applyFont="1" applyBorder="1" applyAlignment="1">
      <alignment horizontal="center" vertical="center"/>
    </xf>
    <xf numFmtId="9" fontId="5" fillId="0" borderId="79" xfId="0" applyNumberFormat="1" applyFont="1" applyBorder="1" applyAlignment="1">
      <alignment horizontal="center" vertical="center"/>
    </xf>
    <xf numFmtId="9" fontId="5" fillId="0" borderId="69" xfId="2" applyNumberFormat="1" applyFont="1" applyBorder="1" applyAlignment="1">
      <alignment horizontal="left" vertical="center" wrapText="1"/>
    </xf>
    <xf numFmtId="0" fontId="5" fillId="0" borderId="78" xfId="2" applyFont="1" applyBorder="1" applyAlignment="1">
      <alignment horizontal="left" vertical="center" wrapText="1"/>
    </xf>
    <xf numFmtId="0" fontId="5" fillId="0" borderId="79" xfId="2" applyFont="1" applyBorder="1" applyAlignment="1">
      <alignment horizontal="left" vertical="center" wrapText="1"/>
    </xf>
    <xf numFmtId="9" fontId="5" fillId="0" borderId="78" xfId="0" applyNumberFormat="1" applyFont="1" applyBorder="1" applyAlignment="1">
      <alignment horizontal="left" vertical="center" wrapText="1"/>
    </xf>
    <xf numFmtId="9" fontId="5" fillId="4" borderId="1" xfId="0" applyNumberFormat="1" applyFont="1" applyFill="1" applyBorder="1" applyAlignment="1">
      <alignment horizontal="left" vertical="center" wrapText="1"/>
    </xf>
    <xf numFmtId="9" fontId="5" fillId="4" borderId="1" xfId="0" applyNumberFormat="1" applyFont="1" applyFill="1" applyBorder="1" applyAlignment="1">
      <alignment horizontal="left" vertical="center"/>
    </xf>
    <xf numFmtId="0" fontId="5" fillId="2" borderId="20" xfId="2" applyFont="1" applyFill="1" applyBorder="1" applyAlignment="1">
      <alignment horizontal="center" vertical="center"/>
    </xf>
    <xf numFmtId="0" fontId="5" fillId="2" borderId="21" xfId="2" applyFont="1" applyFill="1" applyBorder="1" applyAlignment="1">
      <alignment horizontal="center" vertical="center"/>
    </xf>
    <xf numFmtId="0" fontId="12" fillId="2" borderId="108" xfId="2" applyFont="1" applyFill="1" applyBorder="1" applyAlignment="1">
      <alignment horizontal="center" vertical="center"/>
    </xf>
    <xf numFmtId="0" fontId="12" fillId="2" borderId="76" xfId="2" applyFont="1" applyFill="1" applyBorder="1" applyAlignment="1">
      <alignment horizontal="center" vertical="center"/>
    </xf>
    <xf numFmtId="0" fontId="28" fillId="0" borderId="78" xfId="2" applyFont="1" applyBorder="1" applyAlignment="1">
      <alignment horizontal="center" vertical="center"/>
    </xf>
    <xf numFmtId="9" fontId="5" fillId="0" borderId="78" xfId="0" applyNumberFormat="1" applyFont="1" applyBorder="1" applyAlignment="1">
      <alignment horizontal="left" vertical="center"/>
    </xf>
    <xf numFmtId="9" fontId="12" fillId="8" borderId="1" xfId="2" applyNumberFormat="1" applyFont="1" applyFill="1" applyBorder="1" applyAlignment="1">
      <alignment horizontal="center" vertical="center" wrapText="1"/>
    </xf>
    <xf numFmtId="9" fontId="12" fillId="8" borderId="69" xfId="2" applyNumberFormat="1" applyFont="1" applyFill="1" applyBorder="1" applyAlignment="1">
      <alignment horizontal="center" vertical="center" wrapText="1"/>
    </xf>
    <xf numFmtId="9" fontId="12" fillId="8" borderId="78" xfId="2" applyNumberFormat="1" applyFont="1" applyFill="1" applyBorder="1" applyAlignment="1">
      <alignment horizontal="center" vertical="center" wrapText="1"/>
    </xf>
    <xf numFmtId="9" fontId="12" fillId="8" borderId="79" xfId="2" applyNumberFormat="1" applyFont="1" applyFill="1" applyBorder="1" applyAlignment="1">
      <alignment horizontal="center" vertical="center" wrapText="1"/>
    </xf>
    <xf numFmtId="0" fontId="5" fillId="2" borderId="106" xfId="2" applyFont="1" applyFill="1" applyBorder="1" applyAlignment="1">
      <alignment horizontal="center" vertical="center"/>
    </xf>
    <xf numFmtId="0" fontId="5" fillId="2" borderId="3" xfId="2" applyFont="1" applyFill="1" applyBorder="1" applyAlignment="1">
      <alignment horizontal="center" vertical="center"/>
    </xf>
    <xf numFmtId="9" fontId="5" fillId="0" borderId="69" xfId="0" applyNumberFormat="1" applyFont="1" applyBorder="1" applyAlignment="1">
      <alignment horizontal="left" vertical="center"/>
    </xf>
    <xf numFmtId="9" fontId="5" fillId="0" borderId="79" xfId="0" applyNumberFormat="1" applyFont="1" applyBorder="1" applyAlignment="1">
      <alignment horizontal="left" vertical="center"/>
    </xf>
    <xf numFmtId="9" fontId="5" fillId="0" borderId="69" xfId="0" applyNumberFormat="1" applyFont="1" applyBorder="1" applyAlignment="1">
      <alignment horizontal="left" vertical="center" wrapText="1"/>
    </xf>
    <xf numFmtId="9" fontId="5" fillId="0" borderId="79" xfId="0" applyNumberFormat="1" applyFont="1" applyBorder="1" applyAlignment="1">
      <alignment horizontal="left" vertical="center" wrapText="1"/>
    </xf>
    <xf numFmtId="9" fontId="5" fillId="4" borderId="69" xfId="0" applyNumberFormat="1" applyFont="1" applyFill="1" applyBorder="1" applyAlignment="1">
      <alignment horizontal="left" vertical="center" wrapText="1"/>
    </xf>
    <xf numFmtId="9" fontId="5" fillId="4" borderId="78" xfId="0" applyNumberFormat="1" applyFont="1" applyFill="1" applyBorder="1" applyAlignment="1">
      <alignment horizontal="left" vertical="center" wrapText="1"/>
    </xf>
    <xf numFmtId="9" fontId="5" fillId="4" borderId="79" xfId="0" applyNumberFormat="1" applyFont="1" applyFill="1" applyBorder="1" applyAlignment="1">
      <alignment horizontal="left" vertical="center" wrapText="1"/>
    </xf>
    <xf numFmtId="9" fontId="5" fillId="0" borderId="69" xfId="2" applyNumberFormat="1" applyFont="1" applyBorder="1" applyAlignment="1">
      <alignment horizontal="center" vertical="center" wrapText="1"/>
    </xf>
    <xf numFmtId="0" fontId="79" fillId="12" borderId="0" xfId="0" applyFont="1" applyFill="1" applyAlignment="1">
      <alignment horizontal="left" vertical="center" wrapText="1"/>
    </xf>
    <xf numFmtId="9" fontId="5" fillId="0" borderId="69" xfId="0" applyNumberFormat="1" applyFont="1" applyBorder="1" applyAlignment="1">
      <alignment horizontal="center" vertical="center" wrapText="1"/>
    </xf>
    <xf numFmtId="9" fontId="5" fillId="0" borderId="78" xfId="0" applyNumberFormat="1" applyFont="1" applyBorder="1" applyAlignment="1">
      <alignment horizontal="center" vertical="center" wrapText="1"/>
    </xf>
    <xf numFmtId="9" fontId="5" fillId="0" borderId="79" xfId="0" applyNumberFormat="1" applyFont="1" applyBorder="1" applyAlignment="1">
      <alignment horizontal="center" vertical="center" wrapText="1"/>
    </xf>
    <xf numFmtId="0" fontId="25" fillId="0" borderId="106" xfId="6" applyNumberFormat="1" applyFont="1" applyFill="1" applyBorder="1" applyAlignment="1">
      <alignment horizontal="center" vertical="center"/>
    </xf>
    <xf numFmtId="0" fontId="25" fillId="0" borderId="107" xfId="6" applyNumberFormat="1" applyFont="1" applyFill="1" applyBorder="1" applyAlignment="1">
      <alignment horizontal="center" vertical="center"/>
    </xf>
    <xf numFmtId="0" fontId="25" fillId="0" borderId="3" xfId="6" applyNumberFormat="1" applyFont="1" applyFill="1" applyBorder="1" applyAlignment="1">
      <alignment horizontal="center" vertical="center"/>
    </xf>
    <xf numFmtId="0" fontId="25" fillId="0" borderId="104" xfId="6" applyNumberFormat="1" applyFont="1" applyFill="1" applyBorder="1" applyAlignment="1">
      <alignment horizontal="center" vertical="center"/>
    </xf>
    <xf numFmtId="0" fontId="25" fillId="0" borderId="103" xfId="6" applyNumberFormat="1" applyFont="1" applyFill="1" applyBorder="1" applyAlignment="1">
      <alignment horizontal="center" vertical="center"/>
    </xf>
    <xf numFmtId="0" fontId="25" fillId="0" borderId="105" xfId="6" applyNumberFormat="1" applyFont="1" applyFill="1" applyBorder="1" applyAlignment="1">
      <alignment horizontal="center" vertical="center"/>
    </xf>
    <xf numFmtId="0" fontId="12" fillId="4" borderId="77" xfId="2" applyFont="1" applyFill="1" applyBorder="1" applyAlignment="1">
      <alignment horizontal="left" vertical="center"/>
    </xf>
    <xf numFmtId="9" fontId="5" fillId="0" borderId="3" xfId="6" applyFont="1" applyFill="1" applyBorder="1" applyAlignment="1">
      <alignment horizontal="center" vertical="center" wrapText="1"/>
    </xf>
    <xf numFmtId="0" fontId="18" fillId="0" borderId="20" xfId="0" applyFont="1" applyBorder="1" applyAlignment="1">
      <alignment horizontal="left" vertical="center" wrapText="1"/>
    </xf>
    <xf numFmtId="0" fontId="18" fillId="0" borderId="0" xfId="0" applyFont="1" applyAlignment="1">
      <alignment horizontal="left" vertical="center" wrapText="1"/>
    </xf>
    <xf numFmtId="0" fontId="5" fillId="5" borderId="0" xfId="2" applyFont="1" applyFill="1" applyAlignment="1">
      <alignment horizontal="left" vertical="center" wrapText="1"/>
    </xf>
    <xf numFmtId="0" fontId="12" fillId="4" borderId="79" xfId="2" applyFont="1" applyFill="1" applyBorder="1" applyAlignment="1">
      <alignment horizontal="center" wrapText="1"/>
    </xf>
    <xf numFmtId="0" fontId="12" fillId="4" borderId="1" xfId="2" applyFont="1" applyFill="1" applyBorder="1" applyAlignment="1">
      <alignment horizontal="center" wrapText="1"/>
    </xf>
    <xf numFmtId="164" fontId="14" fillId="0" borderId="107" xfId="5" applyNumberFormat="1" applyFont="1" applyFill="1" applyBorder="1" applyAlignment="1">
      <alignment horizontal="center" vertical="center" wrapText="1"/>
    </xf>
    <xf numFmtId="164" fontId="14" fillId="0" borderId="3" xfId="5" applyNumberFormat="1" applyFont="1" applyFill="1" applyBorder="1" applyAlignment="1">
      <alignment horizontal="center" vertical="center" wrapText="1"/>
    </xf>
    <xf numFmtId="9" fontId="5" fillId="0" borderId="79" xfId="6" applyFont="1" applyFill="1" applyBorder="1" applyAlignment="1">
      <alignment horizontal="center" vertical="center" wrapText="1"/>
    </xf>
    <xf numFmtId="164" fontId="14" fillId="0" borderId="78" xfId="5" applyNumberFormat="1" applyFont="1" applyFill="1" applyBorder="1" applyAlignment="1">
      <alignment horizontal="center" vertical="center" wrapText="1"/>
    </xf>
    <xf numFmtId="164" fontId="14" fillId="0" borderId="79" xfId="5" applyNumberFormat="1" applyFont="1" applyFill="1" applyBorder="1" applyAlignment="1">
      <alignment horizontal="center" vertical="center" wrapText="1"/>
    </xf>
    <xf numFmtId="0" fontId="5" fillId="4" borderId="104" xfId="2" applyFont="1" applyFill="1" applyBorder="1" applyAlignment="1">
      <alignment horizontal="left" vertical="center"/>
    </xf>
    <xf numFmtId="9" fontId="12" fillId="0" borderId="69" xfId="0" applyNumberFormat="1" applyFont="1" applyBorder="1" applyAlignment="1">
      <alignment horizontal="center" vertical="top"/>
    </xf>
    <xf numFmtId="9" fontId="12" fillId="0" borderId="78" xfId="0" applyNumberFormat="1" applyFont="1" applyBorder="1" applyAlignment="1">
      <alignment horizontal="center" vertical="top"/>
    </xf>
    <xf numFmtId="0" fontId="12" fillId="0" borderId="105" xfId="2" applyFont="1" applyBorder="1" applyAlignment="1">
      <alignment horizontal="center" vertical="top"/>
    </xf>
    <xf numFmtId="9" fontId="5" fillId="0" borderId="77" xfId="0" quotePrefix="1" applyNumberFormat="1" applyFont="1" applyBorder="1" applyAlignment="1">
      <alignment horizontal="left" vertical="center" wrapText="1"/>
    </xf>
    <xf numFmtId="9" fontId="5" fillId="0" borderId="77" xfId="0" applyNumberFormat="1" applyFont="1" applyBorder="1" applyAlignment="1">
      <alignment horizontal="left" vertical="center"/>
    </xf>
    <xf numFmtId="9" fontId="5" fillId="4" borderId="69" xfId="0" applyNumberFormat="1" applyFont="1" applyFill="1" applyBorder="1" applyAlignment="1">
      <alignment horizontal="center" vertical="center" wrapText="1"/>
    </xf>
    <xf numFmtId="9" fontId="5" fillId="4" borderId="78" xfId="0" applyNumberFormat="1" applyFont="1" applyFill="1" applyBorder="1" applyAlignment="1">
      <alignment horizontal="center" vertical="center" wrapText="1"/>
    </xf>
    <xf numFmtId="9" fontId="5" fillId="4" borderId="79" xfId="0" applyNumberFormat="1" applyFont="1" applyFill="1" applyBorder="1" applyAlignment="1">
      <alignment horizontal="center" vertical="center" wrapText="1"/>
    </xf>
    <xf numFmtId="164" fontId="5" fillId="4" borderId="31" xfId="5" applyNumberFormat="1" applyFont="1" applyFill="1" applyBorder="1" applyAlignment="1">
      <alignment horizontal="justify" vertical="center" wrapText="1"/>
    </xf>
    <xf numFmtId="164" fontId="5" fillId="4" borderId="67" xfId="5" applyNumberFormat="1" applyFont="1" applyFill="1" applyBorder="1" applyAlignment="1">
      <alignment horizontal="justify" vertical="center" wrapText="1"/>
    </xf>
    <xf numFmtId="164" fontId="12" fillId="4" borderId="31" xfId="5" applyNumberFormat="1" applyFont="1" applyFill="1" applyBorder="1" applyAlignment="1">
      <alignment horizontal="justify" vertical="center" wrapText="1"/>
    </xf>
    <xf numFmtId="0" fontId="12" fillId="4" borderId="0" xfId="0" applyFont="1" applyFill="1" applyAlignment="1">
      <alignment horizontal="left" vertical="center"/>
    </xf>
    <xf numFmtId="0" fontId="12" fillId="2" borderId="92" xfId="2" applyFont="1" applyFill="1" applyBorder="1" applyAlignment="1">
      <alignment horizontal="center" vertical="center"/>
    </xf>
    <xf numFmtId="0" fontId="12" fillId="2" borderId="1" xfId="2" applyFont="1" applyFill="1" applyBorder="1" applyAlignment="1">
      <alignment horizontal="center" vertical="center" wrapText="1"/>
    </xf>
    <xf numFmtId="0" fontId="12" fillId="2" borderId="76" xfId="2" applyFont="1" applyFill="1" applyBorder="1" applyAlignment="1">
      <alignment horizontal="center" vertical="center" wrapText="1"/>
    </xf>
    <xf numFmtId="0" fontId="12" fillId="2" borderId="77" xfId="2" applyFont="1" applyFill="1" applyBorder="1" applyAlignment="1">
      <alignment horizontal="center" vertical="center" wrapText="1"/>
    </xf>
    <xf numFmtId="49" fontId="12" fillId="2" borderId="1" xfId="2" applyNumberFormat="1" applyFont="1" applyFill="1" applyBorder="1" applyAlignment="1">
      <alignment horizontal="center" vertical="center" wrapText="1"/>
    </xf>
    <xf numFmtId="0" fontId="12" fillId="2" borderId="69" xfId="2" applyFont="1" applyFill="1" applyBorder="1" applyAlignment="1">
      <alignment horizontal="center" vertical="center" wrapText="1"/>
    </xf>
    <xf numFmtId="0" fontId="12" fillId="2" borderId="79" xfId="2" applyFont="1" applyFill="1" applyBorder="1" applyAlignment="1">
      <alignment horizontal="center" vertical="center" wrapText="1"/>
    </xf>
    <xf numFmtId="0" fontId="12" fillId="2" borderId="78" xfId="2" applyFont="1" applyFill="1" applyBorder="1" applyAlignment="1">
      <alignment horizontal="center" vertical="center" wrapText="1"/>
    </xf>
  </cellXfs>
  <cellStyles count="30">
    <cellStyle name="Comma" xfId="1" builtinId="3"/>
    <cellStyle name="Comma [0]" xfId="12" builtinId="6"/>
    <cellStyle name="Comma [0] 2" xfId="21" xr:uid="{00000000-0005-0000-0000-000002000000}"/>
    <cellStyle name="Comma [0] 2 2" xfId="23" xr:uid="{EE45DC74-B1C4-4CB2-8B4D-30642451DD07}"/>
    <cellStyle name="Comma 2" xfId="17" xr:uid="{00000000-0005-0000-0000-000003000000}"/>
    <cellStyle name="Comma 2 2" xfId="14" xr:uid="{00000000-0005-0000-0000-000004000000}"/>
    <cellStyle name="Comma 2 28" xfId="3" xr:uid="{00000000-0005-0000-0000-000005000000}"/>
    <cellStyle name="Comma 3" xfId="5" xr:uid="{00000000-0005-0000-0000-000006000000}"/>
    <cellStyle name="Comma 3 2" xfId="19" xr:uid="{00000000-0005-0000-0000-000007000000}"/>
    <cellStyle name="Comma 3 2 2 2" xfId="22" xr:uid="{195241F7-368E-48FC-A127-972674E1BF90}"/>
    <cellStyle name="Comma 3 3" xfId="9" xr:uid="{00000000-0005-0000-0000-000008000000}"/>
    <cellStyle name="Comma 4" xfId="27" xr:uid="{6F234856-E57E-4FBD-88C0-6AE8BCBA4188}"/>
    <cellStyle name="Hyperlink" xfId="10" builtinId="8"/>
    <cellStyle name="Normal" xfId="0" builtinId="0"/>
    <cellStyle name="Normal 10" xfId="15" xr:uid="{00000000-0005-0000-0000-00000B000000}"/>
    <cellStyle name="Normal 2" xfId="25" xr:uid="{9C5AD4EB-2104-426A-B755-5D6B6C676E02}"/>
    <cellStyle name="Normal 2 2" xfId="8" xr:uid="{00000000-0005-0000-0000-00000C000000}"/>
    <cellStyle name="Normal 2 3" xfId="29" xr:uid="{076D7601-BE35-428B-99AB-13CA73BB7BD4}"/>
    <cellStyle name="Normal 2 3 3" xfId="2" xr:uid="{00000000-0005-0000-0000-00000D000000}"/>
    <cellStyle name="Normal 2 4" xfId="13" xr:uid="{00000000-0005-0000-0000-00000E000000}"/>
    <cellStyle name="Normal 3" xfId="7" xr:uid="{00000000-0005-0000-0000-00000F000000}"/>
    <cellStyle name="Normal 3 2" xfId="11" xr:uid="{00000000-0005-0000-0000-000010000000}"/>
    <cellStyle name="Percent" xfId="6" builtinId="5"/>
    <cellStyle name="Percent 2" xfId="4" xr:uid="{00000000-0005-0000-0000-000012000000}"/>
    <cellStyle name="Percent 2 6" xfId="16" xr:uid="{00000000-0005-0000-0000-000013000000}"/>
    <cellStyle name="Percent 3" xfId="18" xr:uid="{00000000-0005-0000-0000-000014000000}"/>
    <cellStyle name="Percent 3 3" xfId="20" xr:uid="{00000000-0005-0000-0000-000015000000}"/>
    <cellStyle name="Percent 3 3 2" xfId="24" xr:uid="{14F03B18-0441-45AD-9622-490679E4A3C3}"/>
    <cellStyle name="Percent 4" xfId="26" xr:uid="{D454F77F-5B7B-4C12-873F-F70D36C4557D}"/>
    <cellStyle name="Percent 4 2" xfId="28" xr:uid="{5B572EC0-5D57-4B07-8C1E-30191E5A5F3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externalLink" Target="externalLinks/externalLink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drawing1.xml><?xml version="1.0" encoding="utf-8"?>
<xdr:wsDr xmlns:xdr="http://schemas.openxmlformats.org/drawingml/2006/spreadsheetDrawing" xmlns:a="http://schemas.openxmlformats.org/drawingml/2006/main">
  <xdr:twoCellAnchor>
    <xdr:from>
      <xdr:col>9</xdr:col>
      <xdr:colOff>55973</xdr:colOff>
      <xdr:row>36</xdr:row>
      <xdr:rowOff>317214</xdr:rowOff>
    </xdr:from>
    <xdr:to>
      <xdr:col>11</xdr:col>
      <xdr:colOff>296334</xdr:colOff>
      <xdr:row>36</xdr:row>
      <xdr:rowOff>526143</xdr:rowOff>
    </xdr:to>
    <xdr:cxnSp macro="">
      <xdr:nvCxnSpPr>
        <xdr:cNvPr id="2" name="Straight Arrow Connector 1">
          <a:extLst>
            <a:ext uri="{FF2B5EF4-FFF2-40B4-BE49-F238E27FC236}">
              <a16:creationId xmlns:a16="http://schemas.microsoft.com/office/drawing/2014/main" id="{D73F569D-54C6-1F40-9CF1-6D63D6522C19}"/>
            </a:ext>
          </a:extLst>
        </xdr:cNvPr>
        <xdr:cNvCxnSpPr>
          <a:cxnSpLocks noChangeShapeType="1"/>
        </xdr:cNvCxnSpPr>
      </xdr:nvCxnSpPr>
      <xdr:spPr bwMode="auto">
        <a:xfrm>
          <a:off x="8209373" y="13118814"/>
          <a:ext cx="1243661"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36</xdr:row>
      <xdr:rowOff>416271</xdr:rowOff>
    </xdr:from>
    <xdr:to>
      <xdr:col>14</xdr:col>
      <xdr:colOff>509808</xdr:colOff>
      <xdr:row>36</xdr:row>
      <xdr:rowOff>417286</xdr:rowOff>
    </xdr:to>
    <xdr:cxnSp macro="">
      <xdr:nvCxnSpPr>
        <xdr:cNvPr id="3" name="Straight Arrow Connector 2">
          <a:extLst>
            <a:ext uri="{FF2B5EF4-FFF2-40B4-BE49-F238E27FC236}">
              <a16:creationId xmlns:a16="http://schemas.microsoft.com/office/drawing/2014/main" id="{AAB272F3-5F8A-1140-B4DE-0A3F6AF55CE0}"/>
            </a:ext>
          </a:extLst>
        </xdr:cNvPr>
        <xdr:cNvCxnSpPr>
          <a:cxnSpLocks noChangeShapeType="1"/>
        </xdr:cNvCxnSpPr>
      </xdr:nvCxnSpPr>
      <xdr:spPr bwMode="auto">
        <a:xfrm flipV="1">
          <a:off x="10638970" y="13217871"/>
          <a:ext cx="919838"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36</xdr:row>
      <xdr:rowOff>295052</xdr:rowOff>
    </xdr:from>
    <xdr:to>
      <xdr:col>16</xdr:col>
      <xdr:colOff>386475</xdr:colOff>
      <xdr:row>36</xdr:row>
      <xdr:rowOff>508000</xdr:rowOff>
    </xdr:to>
    <xdr:cxnSp macro="">
      <xdr:nvCxnSpPr>
        <xdr:cNvPr id="4" name="Straight Arrow Connector 3">
          <a:extLst>
            <a:ext uri="{FF2B5EF4-FFF2-40B4-BE49-F238E27FC236}">
              <a16:creationId xmlns:a16="http://schemas.microsoft.com/office/drawing/2014/main" id="{B45FE590-38E0-E841-B782-494C06B6FD36}"/>
            </a:ext>
          </a:extLst>
        </xdr:cNvPr>
        <xdr:cNvCxnSpPr>
          <a:cxnSpLocks noChangeShapeType="1"/>
        </xdr:cNvCxnSpPr>
      </xdr:nvCxnSpPr>
      <xdr:spPr bwMode="auto">
        <a:xfrm flipV="1">
          <a:off x="12283320" y="13096652"/>
          <a:ext cx="701555"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36</xdr:row>
      <xdr:rowOff>317214</xdr:rowOff>
    </xdr:from>
    <xdr:to>
      <xdr:col>11</xdr:col>
      <xdr:colOff>296334</xdr:colOff>
      <xdr:row>36</xdr:row>
      <xdr:rowOff>526143</xdr:rowOff>
    </xdr:to>
    <xdr:cxnSp macro="">
      <xdr:nvCxnSpPr>
        <xdr:cNvPr id="5" name="Straight Arrow Connector 4">
          <a:extLst>
            <a:ext uri="{FF2B5EF4-FFF2-40B4-BE49-F238E27FC236}">
              <a16:creationId xmlns:a16="http://schemas.microsoft.com/office/drawing/2014/main" id="{F728F7FA-F227-4041-8E7E-DB8F93E16FC5}"/>
            </a:ext>
          </a:extLst>
        </xdr:cNvPr>
        <xdr:cNvCxnSpPr>
          <a:cxnSpLocks noChangeShapeType="1"/>
        </xdr:cNvCxnSpPr>
      </xdr:nvCxnSpPr>
      <xdr:spPr bwMode="auto">
        <a:xfrm>
          <a:off x="8209373" y="13118814"/>
          <a:ext cx="1243661"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36</xdr:row>
      <xdr:rowOff>416271</xdr:rowOff>
    </xdr:from>
    <xdr:to>
      <xdr:col>14</xdr:col>
      <xdr:colOff>509808</xdr:colOff>
      <xdr:row>36</xdr:row>
      <xdr:rowOff>417286</xdr:rowOff>
    </xdr:to>
    <xdr:cxnSp macro="">
      <xdr:nvCxnSpPr>
        <xdr:cNvPr id="6" name="Straight Arrow Connector 5">
          <a:extLst>
            <a:ext uri="{FF2B5EF4-FFF2-40B4-BE49-F238E27FC236}">
              <a16:creationId xmlns:a16="http://schemas.microsoft.com/office/drawing/2014/main" id="{5C5CF58B-1BB3-D942-96B0-A75F7F48DF56}"/>
            </a:ext>
          </a:extLst>
        </xdr:cNvPr>
        <xdr:cNvCxnSpPr>
          <a:cxnSpLocks noChangeShapeType="1"/>
        </xdr:cNvCxnSpPr>
      </xdr:nvCxnSpPr>
      <xdr:spPr bwMode="auto">
        <a:xfrm flipV="1">
          <a:off x="10638970" y="13217871"/>
          <a:ext cx="919838"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36</xdr:row>
      <xdr:rowOff>295052</xdr:rowOff>
    </xdr:from>
    <xdr:to>
      <xdr:col>16</xdr:col>
      <xdr:colOff>386475</xdr:colOff>
      <xdr:row>36</xdr:row>
      <xdr:rowOff>508000</xdr:rowOff>
    </xdr:to>
    <xdr:cxnSp macro="">
      <xdr:nvCxnSpPr>
        <xdr:cNvPr id="7" name="Straight Arrow Connector 6">
          <a:extLst>
            <a:ext uri="{FF2B5EF4-FFF2-40B4-BE49-F238E27FC236}">
              <a16:creationId xmlns:a16="http://schemas.microsoft.com/office/drawing/2014/main" id="{9727D9C1-1BBE-1A4D-AC8B-6094ADABAEF4}"/>
            </a:ext>
          </a:extLst>
        </xdr:cNvPr>
        <xdr:cNvCxnSpPr>
          <a:cxnSpLocks noChangeShapeType="1"/>
        </xdr:cNvCxnSpPr>
      </xdr:nvCxnSpPr>
      <xdr:spPr bwMode="auto">
        <a:xfrm flipV="1">
          <a:off x="12283320" y="13096652"/>
          <a:ext cx="701555"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36</xdr:row>
      <xdr:rowOff>317214</xdr:rowOff>
    </xdr:from>
    <xdr:to>
      <xdr:col>11</xdr:col>
      <xdr:colOff>296334</xdr:colOff>
      <xdr:row>36</xdr:row>
      <xdr:rowOff>526143</xdr:rowOff>
    </xdr:to>
    <xdr:cxnSp macro="">
      <xdr:nvCxnSpPr>
        <xdr:cNvPr id="8" name="Straight Arrow Connector 7">
          <a:extLst>
            <a:ext uri="{FF2B5EF4-FFF2-40B4-BE49-F238E27FC236}">
              <a16:creationId xmlns:a16="http://schemas.microsoft.com/office/drawing/2014/main" id="{069795A5-0C4F-7340-B8B9-A2A4F0ECE420}"/>
            </a:ext>
          </a:extLst>
        </xdr:cNvPr>
        <xdr:cNvCxnSpPr>
          <a:cxnSpLocks noChangeShapeType="1"/>
        </xdr:cNvCxnSpPr>
      </xdr:nvCxnSpPr>
      <xdr:spPr bwMode="auto">
        <a:xfrm>
          <a:off x="8209373" y="13118814"/>
          <a:ext cx="1243661"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36</xdr:row>
      <xdr:rowOff>416271</xdr:rowOff>
    </xdr:from>
    <xdr:to>
      <xdr:col>14</xdr:col>
      <xdr:colOff>509808</xdr:colOff>
      <xdr:row>36</xdr:row>
      <xdr:rowOff>417286</xdr:rowOff>
    </xdr:to>
    <xdr:cxnSp macro="">
      <xdr:nvCxnSpPr>
        <xdr:cNvPr id="9" name="Straight Arrow Connector 8">
          <a:extLst>
            <a:ext uri="{FF2B5EF4-FFF2-40B4-BE49-F238E27FC236}">
              <a16:creationId xmlns:a16="http://schemas.microsoft.com/office/drawing/2014/main" id="{40462AD4-E19A-5E4A-BE9E-776702D4CBCE}"/>
            </a:ext>
          </a:extLst>
        </xdr:cNvPr>
        <xdr:cNvCxnSpPr>
          <a:cxnSpLocks noChangeShapeType="1"/>
        </xdr:cNvCxnSpPr>
      </xdr:nvCxnSpPr>
      <xdr:spPr bwMode="auto">
        <a:xfrm flipV="1">
          <a:off x="10638970" y="13217871"/>
          <a:ext cx="919838"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36</xdr:row>
      <xdr:rowOff>295052</xdr:rowOff>
    </xdr:from>
    <xdr:to>
      <xdr:col>16</xdr:col>
      <xdr:colOff>386475</xdr:colOff>
      <xdr:row>36</xdr:row>
      <xdr:rowOff>508000</xdr:rowOff>
    </xdr:to>
    <xdr:cxnSp macro="">
      <xdr:nvCxnSpPr>
        <xdr:cNvPr id="13" name="Straight Arrow Connector 12">
          <a:extLst>
            <a:ext uri="{FF2B5EF4-FFF2-40B4-BE49-F238E27FC236}">
              <a16:creationId xmlns:a16="http://schemas.microsoft.com/office/drawing/2014/main" id="{9D974B94-93C8-8449-9A8D-3F8E9C18C493}"/>
            </a:ext>
          </a:extLst>
        </xdr:cNvPr>
        <xdr:cNvCxnSpPr>
          <a:cxnSpLocks noChangeShapeType="1"/>
        </xdr:cNvCxnSpPr>
      </xdr:nvCxnSpPr>
      <xdr:spPr bwMode="auto">
        <a:xfrm flipV="1">
          <a:off x="12283320" y="13096652"/>
          <a:ext cx="701555"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55973</xdr:colOff>
      <xdr:row>37</xdr:row>
      <xdr:rowOff>317214</xdr:rowOff>
    </xdr:from>
    <xdr:to>
      <xdr:col>11</xdr:col>
      <xdr:colOff>296334</xdr:colOff>
      <xdr:row>37</xdr:row>
      <xdr:rowOff>526143</xdr:rowOff>
    </xdr:to>
    <xdr:cxnSp macro="">
      <xdr:nvCxnSpPr>
        <xdr:cNvPr id="2" name="Straight Arrow Connector 1">
          <a:extLst>
            <a:ext uri="{FF2B5EF4-FFF2-40B4-BE49-F238E27FC236}">
              <a16:creationId xmlns:a16="http://schemas.microsoft.com/office/drawing/2014/main" id="{9DC819BA-C6AE-8746-9828-3BFE736234A0}"/>
            </a:ext>
          </a:extLst>
        </xdr:cNvPr>
        <xdr:cNvCxnSpPr>
          <a:cxnSpLocks noChangeShapeType="1"/>
        </xdr:cNvCxnSpPr>
      </xdr:nvCxnSpPr>
      <xdr:spPr bwMode="auto">
        <a:xfrm>
          <a:off x="8209373" y="12471114"/>
          <a:ext cx="1243661"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37</xdr:row>
      <xdr:rowOff>416271</xdr:rowOff>
    </xdr:from>
    <xdr:to>
      <xdr:col>14</xdr:col>
      <xdr:colOff>509808</xdr:colOff>
      <xdr:row>37</xdr:row>
      <xdr:rowOff>417286</xdr:rowOff>
    </xdr:to>
    <xdr:cxnSp macro="">
      <xdr:nvCxnSpPr>
        <xdr:cNvPr id="3" name="Straight Arrow Connector 2">
          <a:extLst>
            <a:ext uri="{FF2B5EF4-FFF2-40B4-BE49-F238E27FC236}">
              <a16:creationId xmlns:a16="http://schemas.microsoft.com/office/drawing/2014/main" id="{A927CE25-AEA7-9A40-973B-F354C891ACCC}"/>
            </a:ext>
          </a:extLst>
        </xdr:cNvPr>
        <xdr:cNvCxnSpPr>
          <a:cxnSpLocks noChangeShapeType="1"/>
        </xdr:cNvCxnSpPr>
      </xdr:nvCxnSpPr>
      <xdr:spPr bwMode="auto">
        <a:xfrm flipV="1">
          <a:off x="10638970" y="12570171"/>
          <a:ext cx="919838"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37</xdr:row>
      <xdr:rowOff>295052</xdr:rowOff>
    </xdr:from>
    <xdr:to>
      <xdr:col>16</xdr:col>
      <xdr:colOff>386475</xdr:colOff>
      <xdr:row>37</xdr:row>
      <xdr:rowOff>508000</xdr:rowOff>
    </xdr:to>
    <xdr:cxnSp macro="">
      <xdr:nvCxnSpPr>
        <xdr:cNvPr id="4" name="Straight Arrow Connector 3">
          <a:extLst>
            <a:ext uri="{FF2B5EF4-FFF2-40B4-BE49-F238E27FC236}">
              <a16:creationId xmlns:a16="http://schemas.microsoft.com/office/drawing/2014/main" id="{466749B0-3588-3D40-94BE-BAC2416BFCAC}"/>
            </a:ext>
          </a:extLst>
        </xdr:cNvPr>
        <xdr:cNvCxnSpPr>
          <a:cxnSpLocks noChangeShapeType="1"/>
        </xdr:cNvCxnSpPr>
      </xdr:nvCxnSpPr>
      <xdr:spPr bwMode="auto">
        <a:xfrm flipV="1">
          <a:off x="12283320" y="12448952"/>
          <a:ext cx="701555"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37</xdr:row>
      <xdr:rowOff>317214</xdr:rowOff>
    </xdr:from>
    <xdr:to>
      <xdr:col>11</xdr:col>
      <xdr:colOff>296334</xdr:colOff>
      <xdr:row>37</xdr:row>
      <xdr:rowOff>526143</xdr:rowOff>
    </xdr:to>
    <xdr:cxnSp macro="">
      <xdr:nvCxnSpPr>
        <xdr:cNvPr id="5" name="Straight Arrow Connector 4">
          <a:extLst>
            <a:ext uri="{FF2B5EF4-FFF2-40B4-BE49-F238E27FC236}">
              <a16:creationId xmlns:a16="http://schemas.microsoft.com/office/drawing/2014/main" id="{95497ACE-62B2-794E-AEA9-889DDD745C3D}"/>
            </a:ext>
          </a:extLst>
        </xdr:cNvPr>
        <xdr:cNvCxnSpPr>
          <a:cxnSpLocks noChangeShapeType="1"/>
        </xdr:cNvCxnSpPr>
      </xdr:nvCxnSpPr>
      <xdr:spPr bwMode="auto">
        <a:xfrm>
          <a:off x="8209373" y="12471114"/>
          <a:ext cx="1243661"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37</xdr:row>
      <xdr:rowOff>416271</xdr:rowOff>
    </xdr:from>
    <xdr:to>
      <xdr:col>14</xdr:col>
      <xdr:colOff>509808</xdr:colOff>
      <xdr:row>37</xdr:row>
      <xdr:rowOff>417286</xdr:rowOff>
    </xdr:to>
    <xdr:cxnSp macro="">
      <xdr:nvCxnSpPr>
        <xdr:cNvPr id="6" name="Straight Arrow Connector 5">
          <a:extLst>
            <a:ext uri="{FF2B5EF4-FFF2-40B4-BE49-F238E27FC236}">
              <a16:creationId xmlns:a16="http://schemas.microsoft.com/office/drawing/2014/main" id="{E96D40D4-EFF3-2E4F-9DBE-8C92DC9FC409}"/>
            </a:ext>
          </a:extLst>
        </xdr:cNvPr>
        <xdr:cNvCxnSpPr>
          <a:cxnSpLocks noChangeShapeType="1"/>
        </xdr:cNvCxnSpPr>
      </xdr:nvCxnSpPr>
      <xdr:spPr bwMode="auto">
        <a:xfrm flipV="1">
          <a:off x="10638970" y="12570171"/>
          <a:ext cx="919838"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37</xdr:row>
      <xdr:rowOff>295052</xdr:rowOff>
    </xdr:from>
    <xdr:to>
      <xdr:col>16</xdr:col>
      <xdr:colOff>386475</xdr:colOff>
      <xdr:row>37</xdr:row>
      <xdr:rowOff>508000</xdr:rowOff>
    </xdr:to>
    <xdr:cxnSp macro="">
      <xdr:nvCxnSpPr>
        <xdr:cNvPr id="7" name="Straight Arrow Connector 6">
          <a:extLst>
            <a:ext uri="{FF2B5EF4-FFF2-40B4-BE49-F238E27FC236}">
              <a16:creationId xmlns:a16="http://schemas.microsoft.com/office/drawing/2014/main" id="{AFCFBE64-B57E-6044-A7A1-A07D9B61CC34}"/>
            </a:ext>
          </a:extLst>
        </xdr:cNvPr>
        <xdr:cNvCxnSpPr>
          <a:cxnSpLocks noChangeShapeType="1"/>
        </xdr:cNvCxnSpPr>
      </xdr:nvCxnSpPr>
      <xdr:spPr bwMode="auto">
        <a:xfrm flipV="1">
          <a:off x="12283320" y="12448952"/>
          <a:ext cx="701555"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37</xdr:row>
      <xdr:rowOff>317214</xdr:rowOff>
    </xdr:from>
    <xdr:to>
      <xdr:col>11</xdr:col>
      <xdr:colOff>296334</xdr:colOff>
      <xdr:row>37</xdr:row>
      <xdr:rowOff>526143</xdr:rowOff>
    </xdr:to>
    <xdr:cxnSp macro="">
      <xdr:nvCxnSpPr>
        <xdr:cNvPr id="8" name="Straight Arrow Connector 7">
          <a:extLst>
            <a:ext uri="{FF2B5EF4-FFF2-40B4-BE49-F238E27FC236}">
              <a16:creationId xmlns:a16="http://schemas.microsoft.com/office/drawing/2014/main" id="{8A6FDAA4-1352-7347-9D25-3F913D292843}"/>
            </a:ext>
          </a:extLst>
        </xdr:cNvPr>
        <xdr:cNvCxnSpPr>
          <a:cxnSpLocks noChangeShapeType="1"/>
        </xdr:cNvCxnSpPr>
      </xdr:nvCxnSpPr>
      <xdr:spPr bwMode="auto">
        <a:xfrm>
          <a:off x="8209373" y="12471114"/>
          <a:ext cx="1243661"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37</xdr:row>
      <xdr:rowOff>416271</xdr:rowOff>
    </xdr:from>
    <xdr:to>
      <xdr:col>14</xdr:col>
      <xdr:colOff>509808</xdr:colOff>
      <xdr:row>37</xdr:row>
      <xdr:rowOff>417286</xdr:rowOff>
    </xdr:to>
    <xdr:cxnSp macro="">
      <xdr:nvCxnSpPr>
        <xdr:cNvPr id="9" name="Straight Arrow Connector 8">
          <a:extLst>
            <a:ext uri="{FF2B5EF4-FFF2-40B4-BE49-F238E27FC236}">
              <a16:creationId xmlns:a16="http://schemas.microsoft.com/office/drawing/2014/main" id="{608A5052-24F9-9C48-894A-B2E3A5E934CD}"/>
            </a:ext>
          </a:extLst>
        </xdr:cNvPr>
        <xdr:cNvCxnSpPr>
          <a:cxnSpLocks noChangeShapeType="1"/>
        </xdr:cNvCxnSpPr>
      </xdr:nvCxnSpPr>
      <xdr:spPr bwMode="auto">
        <a:xfrm flipV="1">
          <a:off x="10638970" y="12570171"/>
          <a:ext cx="919838"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37</xdr:row>
      <xdr:rowOff>295052</xdr:rowOff>
    </xdr:from>
    <xdr:to>
      <xdr:col>16</xdr:col>
      <xdr:colOff>386475</xdr:colOff>
      <xdr:row>37</xdr:row>
      <xdr:rowOff>508000</xdr:rowOff>
    </xdr:to>
    <xdr:cxnSp macro="">
      <xdr:nvCxnSpPr>
        <xdr:cNvPr id="10" name="Straight Arrow Connector 9">
          <a:extLst>
            <a:ext uri="{FF2B5EF4-FFF2-40B4-BE49-F238E27FC236}">
              <a16:creationId xmlns:a16="http://schemas.microsoft.com/office/drawing/2014/main" id="{265407C8-5C86-B54D-92AB-934075743D6D}"/>
            </a:ext>
          </a:extLst>
        </xdr:cNvPr>
        <xdr:cNvCxnSpPr>
          <a:cxnSpLocks noChangeShapeType="1"/>
        </xdr:cNvCxnSpPr>
      </xdr:nvCxnSpPr>
      <xdr:spPr bwMode="auto">
        <a:xfrm flipV="1">
          <a:off x="12283320" y="12448952"/>
          <a:ext cx="701555"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55973</xdr:colOff>
      <xdr:row>37</xdr:row>
      <xdr:rowOff>317214</xdr:rowOff>
    </xdr:from>
    <xdr:to>
      <xdr:col>11</xdr:col>
      <xdr:colOff>296334</xdr:colOff>
      <xdr:row>37</xdr:row>
      <xdr:rowOff>526143</xdr:rowOff>
    </xdr:to>
    <xdr:cxnSp macro="">
      <xdr:nvCxnSpPr>
        <xdr:cNvPr id="2" name="Straight Arrow Connector 1">
          <a:extLst>
            <a:ext uri="{FF2B5EF4-FFF2-40B4-BE49-F238E27FC236}">
              <a16:creationId xmlns:a16="http://schemas.microsoft.com/office/drawing/2014/main" id="{1F8B03A5-3FD4-844A-8C04-256D0C993B23}"/>
            </a:ext>
          </a:extLst>
        </xdr:cNvPr>
        <xdr:cNvCxnSpPr>
          <a:cxnSpLocks noChangeShapeType="1"/>
        </xdr:cNvCxnSpPr>
      </xdr:nvCxnSpPr>
      <xdr:spPr bwMode="auto">
        <a:xfrm>
          <a:off x="8691973" y="12610814"/>
          <a:ext cx="1243661"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37</xdr:row>
      <xdr:rowOff>416271</xdr:rowOff>
    </xdr:from>
    <xdr:to>
      <xdr:col>14</xdr:col>
      <xdr:colOff>509808</xdr:colOff>
      <xdr:row>37</xdr:row>
      <xdr:rowOff>417286</xdr:rowOff>
    </xdr:to>
    <xdr:cxnSp macro="">
      <xdr:nvCxnSpPr>
        <xdr:cNvPr id="3" name="Straight Arrow Connector 2">
          <a:extLst>
            <a:ext uri="{FF2B5EF4-FFF2-40B4-BE49-F238E27FC236}">
              <a16:creationId xmlns:a16="http://schemas.microsoft.com/office/drawing/2014/main" id="{361C5D86-A665-2B49-A8C7-1A886E44C7FC}"/>
            </a:ext>
          </a:extLst>
        </xdr:cNvPr>
        <xdr:cNvCxnSpPr>
          <a:cxnSpLocks noChangeShapeType="1"/>
        </xdr:cNvCxnSpPr>
      </xdr:nvCxnSpPr>
      <xdr:spPr bwMode="auto">
        <a:xfrm flipV="1">
          <a:off x="11121570" y="12709871"/>
          <a:ext cx="1224638"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37</xdr:row>
      <xdr:rowOff>295052</xdr:rowOff>
    </xdr:from>
    <xdr:to>
      <xdr:col>16</xdr:col>
      <xdr:colOff>386475</xdr:colOff>
      <xdr:row>37</xdr:row>
      <xdr:rowOff>508000</xdr:rowOff>
    </xdr:to>
    <xdr:cxnSp macro="">
      <xdr:nvCxnSpPr>
        <xdr:cNvPr id="4" name="Straight Arrow Connector 3">
          <a:extLst>
            <a:ext uri="{FF2B5EF4-FFF2-40B4-BE49-F238E27FC236}">
              <a16:creationId xmlns:a16="http://schemas.microsoft.com/office/drawing/2014/main" id="{68B900D6-F459-6F46-966A-6813561F3677}"/>
            </a:ext>
          </a:extLst>
        </xdr:cNvPr>
        <xdr:cNvCxnSpPr>
          <a:cxnSpLocks noChangeShapeType="1"/>
        </xdr:cNvCxnSpPr>
      </xdr:nvCxnSpPr>
      <xdr:spPr bwMode="auto">
        <a:xfrm flipV="1">
          <a:off x="13070720" y="12588652"/>
          <a:ext cx="701555"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37</xdr:row>
      <xdr:rowOff>317214</xdr:rowOff>
    </xdr:from>
    <xdr:to>
      <xdr:col>11</xdr:col>
      <xdr:colOff>296334</xdr:colOff>
      <xdr:row>37</xdr:row>
      <xdr:rowOff>526143</xdr:rowOff>
    </xdr:to>
    <xdr:cxnSp macro="">
      <xdr:nvCxnSpPr>
        <xdr:cNvPr id="5" name="Straight Arrow Connector 4">
          <a:extLst>
            <a:ext uri="{FF2B5EF4-FFF2-40B4-BE49-F238E27FC236}">
              <a16:creationId xmlns:a16="http://schemas.microsoft.com/office/drawing/2014/main" id="{B82EF34E-872A-B543-8193-FE7CC7F86510}"/>
            </a:ext>
          </a:extLst>
        </xdr:cNvPr>
        <xdr:cNvCxnSpPr>
          <a:cxnSpLocks noChangeShapeType="1"/>
        </xdr:cNvCxnSpPr>
      </xdr:nvCxnSpPr>
      <xdr:spPr bwMode="auto">
        <a:xfrm>
          <a:off x="8691973" y="12610814"/>
          <a:ext cx="1243661"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37</xdr:row>
      <xdr:rowOff>416271</xdr:rowOff>
    </xdr:from>
    <xdr:to>
      <xdr:col>14</xdr:col>
      <xdr:colOff>509808</xdr:colOff>
      <xdr:row>37</xdr:row>
      <xdr:rowOff>417286</xdr:rowOff>
    </xdr:to>
    <xdr:cxnSp macro="">
      <xdr:nvCxnSpPr>
        <xdr:cNvPr id="6" name="Straight Arrow Connector 5">
          <a:extLst>
            <a:ext uri="{FF2B5EF4-FFF2-40B4-BE49-F238E27FC236}">
              <a16:creationId xmlns:a16="http://schemas.microsoft.com/office/drawing/2014/main" id="{AAEB6C26-BA6A-A14A-B1A3-C8E4509A6271}"/>
            </a:ext>
          </a:extLst>
        </xdr:cNvPr>
        <xdr:cNvCxnSpPr>
          <a:cxnSpLocks noChangeShapeType="1"/>
        </xdr:cNvCxnSpPr>
      </xdr:nvCxnSpPr>
      <xdr:spPr bwMode="auto">
        <a:xfrm flipV="1">
          <a:off x="11121570" y="12709871"/>
          <a:ext cx="1224638"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37</xdr:row>
      <xdr:rowOff>295052</xdr:rowOff>
    </xdr:from>
    <xdr:to>
      <xdr:col>16</xdr:col>
      <xdr:colOff>386475</xdr:colOff>
      <xdr:row>37</xdr:row>
      <xdr:rowOff>508000</xdr:rowOff>
    </xdr:to>
    <xdr:cxnSp macro="">
      <xdr:nvCxnSpPr>
        <xdr:cNvPr id="7" name="Straight Arrow Connector 6">
          <a:extLst>
            <a:ext uri="{FF2B5EF4-FFF2-40B4-BE49-F238E27FC236}">
              <a16:creationId xmlns:a16="http://schemas.microsoft.com/office/drawing/2014/main" id="{8CC21AF3-5F05-0149-9D86-5DB3F8722E23}"/>
            </a:ext>
          </a:extLst>
        </xdr:cNvPr>
        <xdr:cNvCxnSpPr>
          <a:cxnSpLocks noChangeShapeType="1"/>
        </xdr:cNvCxnSpPr>
      </xdr:nvCxnSpPr>
      <xdr:spPr bwMode="auto">
        <a:xfrm flipV="1">
          <a:off x="13070720" y="12588652"/>
          <a:ext cx="701555"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37</xdr:row>
      <xdr:rowOff>317214</xdr:rowOff>
    </xdr:from>
    <xdr:to>
      <xdr:col>11</xdr:col>
      <xdr:colOff>296334</xdr:colOff>
      <xdr:row>37</xdr:row>
      <xdr:rowOff>526143</xdr:rowOff>
    </xdr:to>
    <xdr:cxnSp macro="">
      <xdr:nvCxnSpPr>
        <xdr:cNvPr id="8" name="Straight Arrow Connector 7">
          <a:extLst>
            <a:ext uri="{FF2B5EF4-FFF2-40B4-BE49-F238E27FC236}">
              <a16:creationId xmlns:a16="http://schemas.microsoft.com/office/drawing/2014/main" id="{402F09B0-CFFB-8443-AE68-BA5184383EA0}"/>
            </a:ext>
          </a:extLst>
        </xdr:cNvPr>
        <xdr:cNvCxnSpPr>
          <a:cxnSpLocks noChangeShapeType="1"/>
        </xdr:cNvCxnSpPr>
      </xdr:nvCxnSpPr>
      <xdr:spPr bwMode="auto">
        <a:xfrm>
          <a:off x="8691973" y="12610814"/>
          <a:ext cx="1243661"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37</xdr:row>
      <xdr:rowOff>416271</xdr:rowOff>
    </xdr:from>
    <xdr:to>
      <xdr:col>14</xdr:col>
      <xdr:colOff>509808</xdr:colOff>
      <xdr:row>37</xdr:row>
      <xdr:rowOff>417286</xdr:rowOff>
    </xdr:to>
    <xdr:cxnSp macro="">
      <xdr:nvCxnSpPr>
        <xdr:cNvPr id="9" name="Straight Arrow Connector 8">
          <a:extLst>
            <a:ext uri="{FF2B5EF4-FFF2-40B4-BE49-F238E27FC236}">
              <a16:creationId xmlns:a16="http://schemas.microsoft.com/office/drawing/2014/main" id="{8E1FDE09-6E52-D547-B632-6F355526ECD2}"/>
            </a:ext>
          </a:extLst>
        </xdr:cNvPr>
        <xdr:cNvCxnSpPr>
          <a:cxnSpLocks noChangeShapeType="1"/>
        </xdr:cNvCxnSpPr>
      </xdr:nvCxnSpPr>
      <xdr:spPr bwMode="auto">
        <a:xfrm flipV="1">
          <a:off x="11121570" y="12709871"/>
          <a:ext cx="1224638"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37</xdr:row>
      <xdr:rowOff>295052</xdr:rowOff>
    </xdr:from>
    <xdr:to>
      <xdr:col>16</xdr:col>
      <xdr:colOff>386475</xdr:colOff>
      <xdr:row>37</xdr:row>
      <xdr:rowOff>508000</xdr:rowOff>
    </xdr:to>
    <xdr:cxnSp macro="">
      <xdr:nvCxnSpPr>
        <xdr:cNvPr id="10" name="Straight Arrow Connector 9">
          <a:extLst>
            <a:ext uri="{FF2B5EF4-FFF2-40B4-BE49-F238E27FC236}">
              <a16:creationId xmlns:a16="http://schemas.microsoft.com/office/drawing/2014/main" id="{AD7CF9F2-3A3F-0744-9D65-1EE214099163}"/>
            </a:ext>
          </a:extLst>
        </xdr:cNvPr>
        <xdr:cNvCxnSpPr>
          <a:cxnSpLocks noChangeShapeType="1"/>
        </xdr:cNvCxnSpPr>
      </xdr:nvCxnSpPr>
      <xdr:spPr bwMode="auto">
        <a:xfrm flipV="1">
          <a:off x="13070720" y="12588652"/>
          <a:ext cx="701555"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55973</xdr:colOff>
      <xdr:row>35</xdr:row>
      <xdr:rowOff>317214</xdr:rowOff>
    </xdr:from>
    <xdr:to>
      <xdr:col>11</xdr:col>
      <xdr:colOff>296334</xdr:colOff>
      <xdr:row>35</xdr:row>
      <xdr:rowOff>526143</xdr:rowOff>
    </xdr:to>
    <xdr:cxnSp macro="">
      <xdr:nvCxnSpPr>
        <xdr:cNvPr id="2" name="Straight Arrow Connector 1">
          <a:extLst>
            <a:ext uri="{FF2B5EF4-FFF2-40B4-BE49-F238E27FC236}">
              <a16:creationId xmlns:a16="http://schemas.microsoft.com/office/drawing/2014/main" id="{4496B570-BFA1-D744-98FE-06A45408F83D}"/>
            </a:ext>
          </a:extLst>
        </xdr:cNvPr>
        <xdr:cNvCxnSpPr>
          <a:cxnSpLocks noChangeShapeType="1"/>
        </xdr:cNvCxnSpPr>
      </xdr:nvCxnSpPr>
      <xdr:spPr bwMode="auto">
        <a:xfrm>
          <a:off x="8691973" y="11950414"/>
          <a:ext cx="1243661"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3" name="Straight Arrow Connector 2">
          <a:extLst>
            <a:ext uri="{FF2B5EF4-FFF2-40B4-BE49-F238E27FC236}">
              <a16:creationId xmlns:a16="http://schemas.microsoft.com/office/drawing/2014/main" id="{95278DBC-10C3-6F40-8F95-34BF73E3BAE0}"/>
            </a:ext>
          </a:extLst>
        </xdr:cNvPr>
        <xdr:cNvCxnSpPr>
          <a:cxnSpLocks noChangeShapeType="1"/>
        </xdr:cNvCxnSpPr>
      </xdr:nvCxnSpPr>
      <xdr:spPr bwMode="auto">
        <a:xfrm flipV="1">
          <a:off x="11121570" y="12049471"/>
          <a:ext cx="1224638"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4" name="Straight Arrow Connector 3">
          <a:extLst>
            <a:ext uri="{FF2B5EF4-FFF2-40B4-BE49-F238E27FC236}">
              <a16:creationId xmlns:a16="http://schemas.microsoft.com/office/drawing/2014/main" id="{C93942C4-1B80-5047-916A-F4BDC382E361}"/>
            </a:ext>
          </a:extLst>
        </xdr:cNvPr>
        <xdr:cNvCxnSpPr>
          <a:cxnSpLocks noChangeShapeType="1"/>
        </xdr:cNvCxnSpPr>
      </xdr:nvCxnSpPr>
      <xdr:spPr bwMode="auto">
        <a:xfrm flipV="1">
          <a:off x="13070720" y="11928252"/>
          <a:ext cx="701555"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35</xdr:row>
      <xdr:rowOff>317214</xdr:rowOff>
    </xdr:from>
    <xdr:to>
      <xdr:col>11</xdr:col>
      <xdr:colOff>296334</xdr:colOff>
      <xdr:row>35</xdr:row>
      <xdr:rowOff>526143</xdr:rowOff>
    </xdr:to>
    <xdr:cxnSp macro="">
      <xdr:nvCxnSpPr>
        <xdr:cNvPr id="5" name="Straight Arrow Connector 4">
          <a:extLst>
            <a:ext uri="{FF2B5EF4-FFF2-40B4-BE49-F238E27FC236}">
              <a16:creationId xmlns:a16="http://schemas.microsoft.com/office/drawing/2014/main" id="{D66ECF66-DB76-724C-BFDF-6FE58582B46D}"/>
            </a:ext>
          </a:extLst>
        </xdr:cNvPr>
        <xdr:cNvCxnSpPr>
          <a:cxnSpLocks noChangeShapeType="1"/>
        </xdr:cNvCxnSpPr>
      </xdr:nvCxnSpPr>
      <xdr:spPr bwMode="auto">
        <a:xfrm>
          <a:off x="8691973" y="11950414"/>
          <a:ext cx="1243661"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6" name="Straight Arrow Connector 5">
          <a:extLst>
            <a:ext uri="{FF2B5EF4-FFF2-40B4-BE49-F238E27FC236}">
              <a16:creationId xmlns:a16="http://schemas.microsoft.com/office/drawing/2014/main" id="{FF740EEE-7461-284E-92F9-06E608D7373D}"/>
            </a:ext>
          </a:extLst>
        </xdr:cNvPr>
        <xdr:cNvCxnSpPr>
          <a:cxnSpLocks noChangeShapeType="1"/>
        </xdr:cNvCxnSpPr>
      </xdr:nvCxnSpPr>
      <xdr:spPr bwMode="auto">
        <a:xfrm flipV="1">
          <a:off x="11121570" y="12049471"/>
          <a:ext cx="1224638"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7" name="Straight Arrow Connector 6">
          <a:extLst>
            <a:ext uri="{FF2B5EF4-FFF2-40B4-BE49-F238E27FC236}">
              <a16:creationId xmlns:a16="http://schemas.microsoft.com/office/drawing/2014/main" id="{AB505ED7-A20F-6543-AF6E-E34F22B5E0A3}"/>
            </a:ext>
          </a:extLst>
        </xdr:cNvPr>
        <xdr:cNvCxnSpPr>
          <a:cxnSpLocks noChangeShapeType="1"/>
        </xdr:cNvCxnSpPr>
      </xdr:nvCxnSpPr>
      <xdr:spPr bwMode="auto">
        <a:xfrm flipV="1">
          <a:off x="13070720" y="11928252"/>
          <a:ext cx="701555"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35</xdr:row>
      <xdr:rowOff>317214</xdr:rowOff>
    </xdr:from>
    <xdr:to>
      <xdr:col>11</xdr:col>
      <xdr:colOff>296334</xdr:colOff>
      <xdr:row>35</xdr:row>
      <xdr:rowOff>526143</xdr:rowOff>
    </xdr:to>
    <xdr:cxnSp macro="">
      <xdr:nvCxnSpPr>
        <xdr:cNvPr id="8" name="Straight Arrow Connector 7">
          <a:extLst>
            <a:ext uri="{FF2B5EF4-FFF2-40B4-BE49-F238E27FC236}">
              <a16:creationId xmlns:a16="http://schemas.microsoft.com/office/drawing/2014/main" id="{E6164BEF-D4E8-584D-B1DA-9994B7CCDD05}"/>
            </a:ext>
          </a:extLst>
        </xdr:cNvPr>
        <xdr:cNvCxnSpPr>
          <a:cxnSpLocks noChangeShapeType="1"/>
        </xdr:cNvCxnSpPr>
      </xdr:nvCxnSpPr>
      <xdr:spPr bwMode="auto">
        <a:xfrm>
          <a:off x="8691973" y="11950414"/>
          <a:ext cx="1243661"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9" name="Straight Arrow Connector 8">
          <a:extLst>
            <a:ext uri="{FF2B5EF4-FFF2-40B4-BE49-F238E27FC236}">
              <a16:creationId xmlns:a16="http://schemas.microsoft.com/office/drawing/2014/main" id="{525EC7F0-026C-6F42-ADA3-420D163A377C}"/>
            </a:ext>
          </a:extLst>
        </xdr:cNvPr>
        <xdr:cNvCxnSpPr>
          <a:cxnSpLocks noChangeShapeType="1"/>
        </xdr:cNvCxnSpPr>
      </xdr:nvCxnSpPr>
      <xdr:spPr bwMode="auto">
        <a:xfrm flipV="1">
          <a:off x="11121570" y="12049471"/>
          <a:ext cx="1224638"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10" name="Straight Arrow Connector 9">
          <a:extLst>
            <a:ext uri="{FF2B5EF4-FFF2-40B4-BE49-F238E27FC236}">
              <a16:creationId xmlns:a16="http://schemas.microsoft.com/office/drawing/2014/main" id="{8B94C0B1-6B94-2B4C-9364-929E77D18746}"/>
            </a:ext>
          </a:extLst>
        </xdr:cNvPr>
        <xdr:cNvCxnSpPr>
          <a:cxnSpLocks noChangeShapeType="1"/>
        </xdr:cNvCxnSpPr>
      </xdr:nvCxnSpPr>
      <xdr:spPr bwMode="auto">
        <a:xfrm flipV="1">
          <a:off x="13070720" y="11928252"/>
          <a:ext cx="701555"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55973</xdr:colOff>
      <xdr:row>35</xdr:row>
      <xdr:rowOff>317214</xdr:rowOff>
    </xdr:from>
    <xdr:to>
      <xdr:col>11</xdr:col>
      <xdr:colOff>296334</xdr:colOff>
      <xdr:row>35</xdr:row>
      <xdr:rowOff>526143</xdr:rowOff>
    </xdr:to>
    <xdr:cxnSp macro="">
      <xdr:nvCxnSpPr>
        <xdr:cNvPr id="2" name="Straight Arrow Connector 1">
          <a:extLst>
            <a:ext uri="{FF2B5EF4-FFF2-40B4-BE49-F238E27FC236}">
              <a16:creationId xmlns:a16="http://schemas.microsoft.com/office/drawing/2014/main" id="{B6EE84BF-F35B-6543-B06F-04353BD07105}"/>
            </a:ext>
          </a:extLst>
        </xdr:cNvPr>
        <xdr:cNvCxnSpPr>
          <a:cxnSpLocks noChangeShapeType="1"/>
        </xdr:cNvCxnSpPr>
      </xdr:nvCxnSpPr>
      <xdr:spPr bwMode="auto">
        <a:xfrm>
          <a:off x="8691973" y="12255214"/>
          <a:ext cx="1243661"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3" name="Straight Arrow Connector 2">
          <a:extLst>
            <a:ext uri="{FF2B5EF4-FFF2-40B4-BE49-F238E27FC236}">
              <a16:creationId xmlns:a16="http://schemas.microsoft.com/office/drawing/2014/main" id="{8CE877DD-0F15-4D42-85D1-931134DE05C5}"/>
            </a:ext>
          </a:extLst>
        </xdr:cNvPr>
        <xdr:cNvCxnSpPr>
          <a:cxnSpLocks noChangeShapeType="1"/>
        </xdr:cNvCxnSpPr>
      </xdr:nvCxnSpPr>
      <xdr:spPr bwMode="auto">
        <a:xfrm flipV="1">
          <a:off x="11121570" y="12354271"/>
          <a:ext cx="1224638"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4" name="Straight Arrow Connector 3">
          <a:extLst>
            <a:ext uri="{FF2B5EF4-FFF2-40B4-BE49-F238E27FC236}">
              <a16:creationId xmlns:a16="http://schemas.microsoft.com/office/drawing/2014/main" id="{B8589AAF-3B3E-2749-81DF-DDB7F08D6087}"/>
            </a:ext>
          </a:extLst>
        </xdr:cNvPr>
        <xdr:cNvCxnSpPr>
          <a:cxnSpLocks noChangeShapeType="1"/>
        </xdr:cNvCxnSpPr>
      </xdr:nvCxnSpPr>
      <xdr:spPr bwMode="auto">
        <a:xfrm flipV="1">
          <a:off x="13070720" y="12233052"/>
          <a:ext cx="701555"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35</xdr:row>
      <xdr:rowOff>317214</xdr:rowOff>
    </xdr:from>
    <xdr:to>
      <xdr:col>11</xdr:col>
      <xdr:colOff>296334</xdr:colOff>
      <xdr:row>35</xdr:row>
      <xdr:rowOff>526143</xdr:rowOff>
    </xdr:to>
    <xdr:cxnSp macro="">
      <xdr:nvCxnSpPr>
        <xdr:cNvPr id="5" name="Straight Arrow Connector 4">
          <a:extLst>
            <a:ext uri="{FF2B5EF4-FFF2-40B4-BE49-F238E27FC236}">
              <a16:creationId xmlns:a16="http://schemas.microsoft.com/office/drawing/2014/main" id="{0429B01A-EC0D-724B-91CA-EC75C1A41FB6}"/>
            </a:ext>
          </a:extLst>
        </xdr:cNvPr>
        <xdr:cNvCxnSpPr>
          <a:cxnSpLocks noChangeShapeType="1"/>
        </xdr:cNvCxnSpPr>
      </xdr:nvCxnSpPr>
      <xdr:spPr bwMode="auto">
        <a:xfrm>
          <a:off x="8691973" y="12255214"/>
          <a:ext cx="1243661"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6" name="Straight Arrow Connector 5">
          <a:extLst>
            <a:ext uri="{FF2B5EF4-FFF2-40B4-BE49-F238E27FC236}">
              <a16:creationId xmlns:a16="http://schemas.microsoft.com/office/drawing/2014/main" id="{E2BEDA68-4851-CC4D-9A2D-F12AF7B1ACB6}"/>
            </a:ext>
          </a:extLst>
        </xdr:cNvPr>
        <xdr:cNvCxnSpPr>
          <a:cxnSpLocks noChangeShapeType="1"/>
        </xdr:cNvCxnSpPr>
      </xdr:nvCxnSpPr>
      <xdr:spPr bwMode="auto">
        <a:xfrm flipV="1">
          <a:off x="11121570" y="12354271"/>
          <a:ext cx="1224638"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7" name="Straight Arrow Connector 6">
          <a:extLst>
            <a:ext uri="{FF2B5EF4-FFF2-40B4-BE49-F238E27FC236}">
              <a16:creationId xmlns:a16="http://schemas.microsoft.com/office/drawing/2014/main" id="{4DF92DC0-B8D4-934E-AC95-C32203E7E9CD}"/>
            </a:ext>
          </a:extLst>
        </xdr:cNvPr>
        <xdr:cNvCxnSpPr>
          <a:cxnSpLocks noChangeShapeType="1"/>
        </xdr:cNvCxnSpPr>
      </xdr:nvCxnSpPr>
      <xdr:spPr bwMode="auto">
        <a:xfrm flipV="1">
          <a:off x="13070720" y="12233052"/>
          <a:ext cx="701555"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35</xdr:row>
      <xdr:rowOff>317214</xdr:rowOff>
    </xdr:from>
    <xdr:to>
      <xdr:col>11</xdr:col>
      <xdr:colOff>296334</xdr:colOff>
      <xdr:row>35</xdr:row>
      <xdr:rowOff>526143</xdr:rowOff>
    </xdr:to>
    <xdr:cxnSp macro="">
      <xdr:nvCxnSpPr>
        <xdr:cNvPr id="8" name="Straight Arrow Connector 7">
          <a:extLst>
            <a:ext uri="{FF2B5EF4-FFF2-40B4-BE49-F238E27FC236}">
              <a16:creationId xmlns:a16="http://schemas.microsoft.com/office/drawing/2014/main" id="{A3F293D3-4341-5346-BEE1-71F91DDED0BC}"/>
            </a:ext>
          </a:extLst>
        </xdr:cNvPr>
        <xdr:cNvCxnSpPr>
          <a:cxnSpLocks noChangeShapeType="1"/>
        </xdr:cNvCxnSpPr>
      </xdr:nvCxnSpPr>
      <xdr:spPr bwMode="auto">
        <a:xfrm>
          <a:off x="8691973" y="12255214"/>
          <a:ext cx="1243661"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9" name="Straight Arrow Connector 8">
          <a:extLst>
            <a:ext uri="{FF2B5EF4-FFF2-40B4-BE49-F238E27FC236}">
              <a16:creationId xmlns:a16="http://schemas.microsoft.com/office/drawing/2014/main" id="{A99CA2D4-2FF7-274A-AA5C-F6EB9D213195}"/>
            </a:ext>
          </a:extLst>
        </xdr:cNvPr>
        <xdr:cNvCxnSpPr>
          <a:cxnSpLocks noChangeShapeType="1"/>
        </xdr:cNvCxnSpPr>
      </xdr:nvCxnSpPr>
      <xdr:spPr bwMode="auto">
        <a:xfrm flipV="1">
          <a:off x="11121570" y="12354271"/>
          <a:ext cx="1224638"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10" name="Straight Arrow Connector 9">
          <a:extLst>
            <a:ext uri="{FF2B5EF4-FFF2-40B4-BE49-F238E27FC236}">
              <a16:creationId xmlns:a16="http://schemas.microsoft.com/office/drawing/2014/main" id="{0DC8CB7C-36A8-F147-82C0-3AE6218A1B36}"/>
            </a:ext>
          </a:extLst>
        </xdr:cNvPr>
        <xdr:cNvCxnSpPr>
          <a:cxnSpLocks noChangeShapeType="1"/>
        </xdr:cNvCxnSpPr>
      </xdr:nvCxnSpPr>
      <xdr:spPr bwMode="auto">
        <a:xfrm flipV="1">
          <a:off x="13070720" y="12233052"/>
          <a:ext cx="701555"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55973</xdr:colOff>
      <xdr:row>35</xdr:row>
      <xdr:rowOff>317214</xdr:rowOff>
    </xdr:from>
    <xdr:to>
      <xdr:col>11</xdr:col>
      <xdr:colOff>296334</xdr:colOff>
      <xdr:row>35</xdr:row>
      <xdr:rowOff>526143</xdr:rowOff>
    </xdr:to>
    <xdr:cxnSp macro="">
      <xdr:nvCxnSpPr>
        <xdr:cNvPr id="2" name="Straight Arrow Connector 1">
          <a:extLst>
            <a:ext uri="{FF2B5EF4-FFF2-40B4-BE49-F238E27FC236}">
              <a16:creationId xmlns:a16="http://schemas.microsoft.com/office/drawing/2014/main" id="{D132E4A6-B4F7-5540-9060-A745C6A8B3A2}"/>
            </a:ext>
          </a:extLst>
        </xdr:cNvPr>
        <xdr:cNvCxnSpPr>
          <a:cxnSpLocks noChangeShapeType="1"/>
        </xdr:cNvCxnSpPr>
      </xdr:nvCxnSpPr>
      <xdr:spPr bwMode="auto">
        <a:xfrm>
          <a:off x="8691973" y="11734514"/>
          <a:ext cx="1243661"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3" name="Straight Arrow Connector 2">
          <a:extLst>
            <a:ext uri="{FF2B5EF4-FFF2-40B4-BE49-F238E27FC236}">
              <a16:creationId xmlns:a16="http://schemas.microsoft.com/office/drawing/2014/main" id="{DBD0ADBA-CC4D-364A-8A59-996C16FC3775}"/>
            </a:ext>
          </a:extLst>
        </xdr:cNvPr>
        <xdr:cNvCxnSpPr>
          <a:cxnSpLocks noChangeShapeType="1"/>
        </xdr:cNvCxnSpPr>
      </xdr:nvCxnSpPr>
      <xdr:spPr bwMode="auto">
        <a:xfrm flipV="1">
          <a:off x="11121570" y="11833571"/>
          <a:ext cx="1224638"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4" name="Straight Arrow Connector 3">
          <a:extLst>
            <a:ext uri="{FF2B5EF4-FFF2-40B4-BE49-F238E27FC236}">
              <a16:creationId xmlns:a16="http://schemas.microsoft.com/office/drawing/2014/main" id="{6E36066F-7C8B-0340-9A5D-3DDD68C573A4}"/>
            </a:ext>
          </a:extLst>
        </xdr:cNvPr>
        <xdr:cNvCxnSpPr>
          <a:cxnSpLocks noChangeShapeType="1"/>
        </xdr:cNvCxnSpPr>
      </xdr:nvCxnSpPr>
      <xdr:spPr bwMode="auto">
        <a:xfrm flipV="1">
          <a:off x="13070720" y="11712352"/>
          <a:ext cx="701555"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35</xdr:row>
      <xdr:rowOff>317214</xdr:rowOff>
    </xdr:from>
    <xdr:to>
      <xdr:col>11</xdr:col>
      <xdr:colOff>296334</xdr:colOff>
      <xdr:row>35</xdr:row>
      <xdr:rowOff>526143</xdr:rowOff>
    </xdr:to>
    <xdr:cxnSp macro="">
      <xdr:nvCxnSpPr>
        <xdr:cNvPr id="5" name="Straight Arrow Connector 4">
          <a:extLst>
            <a:ext uri="{FF2B5EF4-FFF2-40B4-BE49-F238E27FC236}">
              <a16:creationId xmlns:a16="http://schemas.microsoft.com/office/drawing/2014/main" id="{C867B71A-AA67-8949-B7C5-03AF0510457F}"/>
            </a:ext>
          </a:extLst>
        </xdr:cNvPr>
        <xdr:cNvCxnSpPr>
          <a:cxnSpLocks noChangeShapeType="1"/>
        </xdr:cNvCxnSpPr>
      </xdr:nvCxnSpPr>
      <xdr:spPr bwMode="auto">
        <a:xfrm>
          <a:off x="8691973" y="11734514"/>
          <a:ext cx="1243661"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6" name="Straight Arrow Connector 5">
          <a:extLst>
            <a:ext uri="{FF2B5EF4-FFF2-40B4-BE49-F238E27FC236}">
              <a16:creationId xmlns:a16="http://schemas.microsoft.com/office/drawing/2014/main" id="{EC6DB89A-8844-2842-8870-B6B0B17677FE}"/>
            </a:ext>
          </a:extLst>
        </xdr:cNvPr>
        <xdr:cNvCxnSpPr>
          <a:cxnSpLocks noChangeShapeType="1"/>
        </xdr:cNvCxnSpPr>
      </xdr:nvCxnSpPr>
      <xdr:spPr bwMode="auto">
        <a:xfrm flipV="1">
          <a:off x="11121570" y="11833571"/>
          <a:ext cx="1224638"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7" name="Straight Arrow Connector 6">
          <a:extLst>
            <a:ext uri="{FF2B5EF4-FFF2-40B4-BE49-F238E27FC236}">
              <a16:creationId xmlns:a16="http://schemas.microsoft.com/office/drawing/2014/main" id="{CF7B64E8-32EB-9949-8ADC-5CD298C53D0A}"/>
            </a:ext>
          </a:extLst>
        </xdr:cNvPr>
        <xdr:cNvCxnSpPr>
          <a:cxnSpLocks noChangeShapeType="1"/>
        </xdr:cNvCxnSpPr>
      </xdr:nvCxnSpPr>
      <xdr:spPr bwMode="auto">
        <a:xfrm flipV="1">
          <a:off x="13070720" y="11712352"/>
          <a:ext cx="701555"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35</xdr:row>
      <xdr:rowOff>317214</xdr:rowOff>
    </xdr:from>
    <xdr:to>
      <xdr:col>11</xdr:col>
      <xdr:colOff>296334</xdr:colOff>
      <xdr:row>35</xdr:row>
      <xdr:rowOff>526143</xdr:rowOff>
    </xdr:to>
    <xdr:cxnSp macro="">
      <xdr:nvCxnSpPr>
        <xdr:cNvPr id="8" name="Straight Arrow Connector 7">
          <a:extLst>
            <a:ext uri="{FF2B5EF4-FFF2-40B4-BE49-F238E27FC236}">
              <a16:creationId xmlns:a16="http://schemas.microsoft.com/office/drawing/2014/main" id="{8F1FAB83-BF29-6849-A17D-8713EB9D3DC8}"/>
            </a:ext>
          </a:extLst>
        </xdr:cNvPr>
        <xdr:cNvCxnSpPr>
          <a:cxnSpLocks noChangeShapeType="1"/>
        </xdr:cNvCxnSpPr>
      </xdr:nvCxnSpPr>
      <xdr:spPr bwMode="auto">
        <a:xfrm>
          <a:off x="8691973" y="11734514"/>
          <a:ext cx="1243661"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9" name="Straight Arrow Connector 8">
          <a:extLst>
            <a:ext uri="{FF2B5EF4-FFF2-40B4-BE49-F238E27FC236}">
              <a16:creationId xmlns:a16="http://schemas.microsoft.com/office/drawing/2014/main" id="{8F9CBC77-60FA-774B-A274-9D40D236D066}"/>
            </a:ext>
          </a:extLst>
        </xdr:cNvPr>
        <xdr:cNvCxnSpPr>
          <a:cxnSpLocks noChangeShapeType="1"/>
        </xdr:cNvCxnSpPr>
      </xdr:nvCxnSpPr>
      <xdr:spPr bwMode="auto">
        <a:xfrm flipV="1">
          <a:off x="11121570" y="11833571"/>
          <a:ext cx="1224638"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10" name="Straight Arrow Connector 9">
          <a:extLst>
            <a:ext uri="{FF2B5EF4-FFF2-40B4-BE49-F238E27FC236}">
              <a16:creationId xmlns:a16="http://schemas.microsoft.com/office/drawing/2014/main" id="{B918C796-FE74-2B4D-835F-38C4918C55D2}"/>
            </a:ext>
          </a:extLst>
        </xdr:cNvPr>
        <xdr:cNvCxnSpPr>
          <a:cxnSpLocks noChangeShapeType="1"/>
        </xdr:cNvCxnSpPr>
      </xdr:nvCxnSpPr>
      <xdr:spPr bwMode="auto">
        <a:xfrm flipV="1">
          <a:off x="13070720" y="11712352"/>
          <a:ext cx="701555"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55973</xdr:colOff>
      <xdr:row>35</xdr:row>
      <xdr:rowOff>317214</xdr:rowOff>
    </xdr:from>
    <xdr:to>
      <xdr:col>11</xdr:col>
      <xdr:colOff>296334</xdr:colOff>
      <xdr:row>35</xdr:row>
      <xdr:rowOff>526143</xdr:rowOff>
    </xdr:to>
    <xdr:cxnSp macro="">
      <xdr:nvCxnSpPr>
        <xdr:cNvPr id="2" name="Straight Arrow Connector 1">
          <a:extLst>
            <a:ext uri="{FF2B5EF4-FFF2-40B4-BE49-F238E27FC236}">
              <a16:creationId xmlns:a16="http://schemas.microsoft.com/office/drawing/2014/main" id="{FBA04605-5496-BA4A-9752-6C28592F9716}"/>
            </a:ext>
          </a:extLst>
        </xdr:cNvPr>
        <xdr:cNvCxnSpPr>
          <a:cxnSpLocks noChangeShapeType="1"/>
        </xdr:cNvCxnSpPr>
      </xdr:nvCxnSpPr>
      <xdr:spPr bwMode="auto">
        <a:xfrm>
          <a:off x="8685623" y="11604339"/>
          <a:ext cx="1240486"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3" name="Straight Arrow Connector 2">
          <a:extLst>
            <a:ext uri="{FF2B5EF4-FFF2-40B4-BE49-F238E27FC236}">
              <a16:creationId xmlns:a16="http://schemas.microsoft.com/office/drawing/2014/main" id="{C5C45444-6A07-0E47-A73C-665B9639E8E9}"/>
            </a:ext>
          </a:extLst>
        </xdr:cNvPr>
        <xdr:cNvCxnSpPr>
          <a:cxnSpLocks noChangeShapeType="1"/>
        </xdr:cNvCxnSpPr>
      </xdr:nvCxnSpPr>
      <xdr:spPr bwMode="auto">
        <a:xfrm flipV="1">
          <a:off x="11108870" y="11703396"/>
          <a:ext cx="1221463"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4" name="Straight Arrow Connector 3">
          <a:extLst>
            <a:ext uri="{FF2B5EF4-FFF2-40B4-BE49-F238E27FC236}">
              <a16:creationId xmlns:a16="http://schemas.microsoft.com/office/drawing/2014/main" id="{C96F5D99-048F-C046-95DE-96D34E1BF8D8}"/>
            </a:ext>
          </a:extLst>
        </xdr:cNvPr>
        <xdr:cNvCxnSpPr>
          <a:cxnSpLocks noChangeShapeType="1"/>
        </xdr:cNvCxnSpPr>
      </xdr:nvCxnSpPr>
      <xdr:spPr bwMode="auto">
        <a:xfrm flipV="1">
          <a:off x="13051670" y="11582177"/>
          <a:ext cx="698380"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35</xdr:row>
      <xdr:rowOff>317214</xdr:rowOff>
    </xdr:from>
    <xdr:to>
      <xdr:col>11</xdr:col>
      <xdr:colOff>296334</xdr:colOff>
      <xdr:row>35</xdr:row>
      <xdr:rowOff>526143</xdr:rowOff>
    </xdr:to>
    <xdr:cxnSp macro="">
      <xdr:nvCxnSpPr>
        <xdr:cNvPr id="5" name="Straight Arrow Connector 4">
          <a:extLst>
            <a:ext uri="{FF2B5EF4-FFF2-40B4-BE49-F238E27FC236}">
              <a16:creationId xmlns:a16="http://schemas.microsoft.com/office/drawing/2014/main" id="{F1B20B6E-40AB-234C-9BF3-E1265D7BCACF}"/>
            </a:ext>
          </a:extLst>
        </xdr:cNvPr>
        <xdr:cNvCxnSpPr>
          <a:cxnSpLocks noChangeShapeType="1"/>
        </xdr:cNvCxnSpPr>
      </xdr:nvCxnSpPr>
      <xdr:spPr bwMode="auto">
        <a:xfrm>
          <a:off x="8685623" y="11604339"/>
          <a:ext cx="1240486"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6" name="Straight Arrow Connector 5">
          <a:extLst>
            <a:ext uri="{FF2B5EF4-FFF2-40B4-BE49-F238E27FC236}">
              <a16:creationId xmlns:a16="http://schemas.microsoft.com/office/drawing/2014/main" id="{C3FE2DC2-FB07-C849-B3BF-7CB98B65EC7F}"/>
            </a:ext>
          </a:extLst>
        </xdr:cNvPr>
        <xdr:cNvCxnSpPr>
          <a:cxnSpLocks noChangeShapeType="1"/>
        </xdr:cNvCxnSpPr>
      </xdr:nvCxnSpPr>
      <xdr:spPr bwMode="auto">
        <a:xfrm flipV="1">
          <a:off x="11108870" y="11703396"/>
          <a:ext cx="1221463"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7" name="Straight Arrow Connector 6">
          <a:extLst>
            <a:ext uri="{FF2B5EF4-FFF2-40B4-BE49-F238E27FC236}">
              <a16:creationId xmlns:a16="http://schemas.microsoft.com/office/drawing/2014/main" id="{5822E2A7-A838-B841-BCBB-954889307F6C}"/>
            </a:ext>
          </a:extLst>
        </xdr:cNvPr>
        <xdr:cNvCxnSpPr>
          <a:cxnSpLocks noChangeShapeType="1"/>
        </xdr:cNvCxnSpPr>
      </xdr:nvCxnSpPr>
      <xdr:spPr bwMode="auto">
        <a:xfrm flipV="1">
          <a:off x="13051670" y="11582177"/>
          <a:ext cx="698380"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35</xdr:row>
      <xdr:rowOff>317214</xdr:rowOff>
    </xdr:from>
    <xdr:to>
      <xdr:col>11</xdr:col>
      <xdr:colOff>296334</xdr:colOff>
      <xdr:row>35</xdr:row>
      <xdr:rowOff>526143</xdr:rowOff>
    </xdr:to>
    <xdr:cxnSp macro="">
      <xdr:nvCxnSpPr>
        <xdr:cNvPr id="8" name="Straight Arrow Connector 7">
          <a:extLst>
            <a:ext uri="{FF2B5EF4-FFF2-40B4-BE49-F238E27FC236}">
              <a16:creationId xmlns:a16="http://schemas.microsoft.com/office/drawing/2014/main" id="{DC272E91-9004-1044-B876-4D7DE9656F8A}"/>
            </a:ext>
          </a:extLst>
        </xdr:cNvPr>
        <xdr:cNvCxnSpPr>
          <a:cxnSpLocks noChangeShapeType="1"/>
        </xdr:cNvCxnSpPr>
      </xdr:nvCxnSpPr>
      <xdr:spPr bwMode="auto">
        <a:xfrm>
          <a:off x="8685623" y="11604339"/>
          <a:ext cx="1240486"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9" name="Straight Arrow Connector 8">
          <a:extLst>
            <a:ext uri="{FF2B5EF4-FFF2-40B4-BE49-F238E27FC236}">
              <a16:creationId xmlns:a16="http://schemas.microsoft.com/office/drawing/2014/main" id="{B75EDAA4-846B-9847-A8AC-36F5B6332318}"/>
            </a:ext>
          </a:extLst>
        </xdr:cNvPr>
        <xdr:cNvCxnSpPr>
          <a:cxnSpLocks noChangeShapeType="1"/>
        </xdr:cNvCxnSpPr>
      </xdr:nvCxnSpPr>
      <xdr:spPr bwMode="auto">
        <a:xfrm flipV="1">
          <a:off x="11108870" y="11703396"/>
          <a:ext cx="1221463"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10" name="Straight Arrow Connector 9">
          <a:extLst>
            <a:ext uri="{FF2B5EF4-FFF2-40B4-BE49-F238E27FC236}">
              <a16:creationId xmlns:a16="http://schemas.microsoft.com/office/drawing/2014/main" id="{55605D92-D995-1946-AFFA-812DF943651C}"/>
            </a:ext>
          </a:extLst>
        </xdr:cNvPr>
        <xdr:cNvCxnSpPr>
          <a:cxnSpLocks noChangeShapeType="1"/>
        </xdr:cNvCxnSpPr>
      </xdr:nvCxnSpPr>
      <xdr:spPr bwMode="auto">
        <a:xfrm flipV="1">
          <a:off x="13051670" y="11582177"/>
          <a:ext cx="698380"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55973</xdr:colOff>
      <xdr:row>35</xdr:row>
      <xdr:rowOff>317214</xdr:rowOff>
    </xdr:from>
    <xdr:to>
      <xdr:col>11</xdr:col>
      <xdr:colOff>296334</xdr:colOff>
      <xdr:row>35</xdr:row>
      <xdr:rowOff>526143</xdr:rowOff>
    </xdr:to>
    <xdr:cxnSp macro="">
      <xdr:nvCxnSpPr>
        <xdr:cNvPr id="2" name="Straight Arrow Connector 1">
          <a:extLst>
            <a:ext uri="{FF2B5EF4-FFF2-40B4-BE49-F238E27FC236}">
              <a16:creationId xmlns:a16="http://schemas.microsoft.com/office/drawing/2014/main" id="{FBA04605-5496-BA4A-9752-6C28592F9716}"/>
            </a:ext>
          </a:extLst>
        </xdr:cNvPr>
        <xdr:cNvCxnSpPr>
          <a:cxnSpLocks noChangeShapeType="1"/>
        </xdr:cNvCxnSpPr>
      </xdr:nvCxnSpPr>
      <xdr:spPr bwMode="auto">
        <a:xfrm>
          <a:off x="8685623" y="11604339"/>
          <a:ext cx="1240486"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3" name="Straight Arrow Connector 2">
          <a:extLst>
            <a:ext uri="{FF2B5EF4-FFF2-40B4-BE49-F238E27FC236}">
              <a16:creationId xmlns:a16="http://schemas.microsoft.com/office/drawing/2014/main" id="{C5C45444-6A07-0E47-A73C-665B9639E8E9}"/>
            </a:ext>
          </a:extLst>
        </xdr:cNvPr>
        <xdr:cNvCxnSpPr>
          <a:cxnSpLocks noChangeShapeType="1"/>
        </xdr:cNvCxnSpPr>
      </xdr:nvCxnSpPr>
      <xdr:spPr bwMode="auto">
        <a:xfrm flipV="1">
          <a:off x="11108870" y="11703396"/>
          <a:ext cx="1221463"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4" name="Straight Arrow Connector 3">
          <a:extLst>
            <a:ext uri="{FF2B5EF4-FFF2-40B4-BE49-F238E27FC236}">
              <a16:creationId xmlns:a16="http://schemas.microsoft.com/office/drawing/2014/main" id="{C96F5D99-048F-C046-95DE-96D34E1BF8D8}"/>
            </a:ext>
          </a:extLst>
        </xdr:cNvPr>
        <xdr:cNvCxnSpPr>
          <a:cxnSpLocks noChangeShapeType="1"/>
        </xdr:cNvCxnSpPr>
      </xdr:nvCxnSpPr>
      <xdr:spPr bwMode="auto">
        <a:xfrm flipV="1">
          <a:off x="13051670" y="11582177"/>
          <a:ext cx="698380"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35</xdr:row>
      <xdr:rowOff>317214</xdr:rowOff>
    </xdr:from>
    <xdr:to>
      <xdr:col>11</xdr:col>
      <xdr:colOff>296334</xdr:colOff>
      <xdr:row>35</xdr:row>
      <xdr:rowOff>526143</xdr:rowOff>
    </xdr:to>
    <xdr:cxnSp macro="">
      <xdr:nvCxnSpPr>
        <xdr:cNvPr id="5" name="Straight Arrow Connector 4">
          <a:extLst>
            <a:ext uri="{FF2B5EF4-FFF2-40B4-BE49-F238E27FC236}">
              <a16:creationId xmlns:a16="http://schemas.microsoft.com/office/drawing/2014/main" id="{F1B20B6E-40AB-234C-9BF3-E1265D7BCACF}"/>
            </a:ext>
          </a:extLst>
        </xdr:cNvPr>
        <xdr:cNvCxnSpPr>
          <a:cxnSpLocks noChangeShapeType="1"/>
        </xdr:cNvCxnSpPr>
      </xdr:nvCxnSpPr>
      <xdr:spPr bwMode="auto">
        <a:xfrm>
          <a:off x="8685623" y="11604339"/>
          <a:ext cx="1240486"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6" name="Straight Arrow Connector 5">
          <a:extLst>
            <a:ext uri="{FF2B5EF4-FFF2-40B4-BE49-F238E27FC236}">
              <a16:creationId xmlns:a16="http://schemas.microsoft.com/office/drawing/2014/main" id="{C3FE2DC2-FB07-C849-B3BF-7CB98B65EC7F}"/>
            </a:ext>
          </a:extLst>
        </xdr:cNvPr>
        <xdr:cNvCxnSpPr>
          <a:cxnSpLocks noChangeShapeType="1"/>
        </xdr:cNvCxnSpPr>
      </xdr:nvCxnSpPr>
      <xdr:spPr bwMode="auto">
        <a:xfrm flipV="1">
          <a:off x="11108870" y="11703396"/>
          <a:ext cx="1221463"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7" name="Straight Arrow Connector 6">
          <a:extLst>
            <a:ext uri="{FF2B5EF4-FFF2-40B4-BE49-F238E27FC236}">
              <a16:creationId xmlns:a16="http://schemas.microsoft.com/office/drawing/2014/main" id="{5822E2A7-A838-B841-BCBB-954889307F6C}"/>
            </a:ext>
          </a:extLst>
        </xdr:cNvPr>
        <xdr:cNvCxnSpPr>
          <a:cxnSpLocks noChangeShapeType="1"/>
        </xdr:cNvCxnSpPr>
      </xdr:nvCxnSpPr>
      <xdr:spPr bwMode="auto">
        <a:xfrm flipV="1">
          <a:off x="13051670" y="11582177"/>
          <a:ext cx="698380"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35</xdr:row>
      <xdr:rowOff>317214</xdr:rowOff>
    </xdr:from>
    <xdr:to>
      <xdr:col>11</xdr:col>
      <xdr:colOff>296334</xdr:colOff>
      <xdr:row>35</xdr:row>
      <xdr:rowOff>526143</xdr:rowOff>
    </xdr:to>
    <xdr:cxnSp macro="">
      <xdr:nvCxnSpPr>
        <xdr:cNvPr id="8" name="Straight Arrow Connector 7">
          <a:extLst>
            <a:ext uri="{FF2B5EF4-FFF2-40B4-BE49-F238E27FC236}">
              <a16:creationId xmlns:a16="http://schemas.microsoft.com/office/drawing/2014/main" id="{DC272E91-9004-1044-B876-4D7DE9656F8A}"/>
            </a:ext>
          </a:extLst>
        </xdr:cNvPr>
        <xdr:cNvCxnSpPr>
          <a:cxnSpLocks noChangeShapeType="1"/>
        </xdr:cNvCxnSpPr>
      </xdr:nvCxnSpPr>
      <xdr:spPr bwMode="auto">
        <a:xfrm>
          <a:off x="8685623" y="11604339"/>
          <a:ext cx="1240486"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9" name="Straight Arrow Connector 8">
          <a:extLst>
            <a:ext uri="{FF2B5EF4-FFF2-40B4-BE49-F238E27FC236}">
              <a16:creationId xmlns:a16="http://schemas.microsoft.com/office/drawing/2014/main" id="{B75EDAA4-846B-9847-A8AC-36F5B6332318}"/>
            </a:ext>
          </a:extLst>
        </xdr:cNvPr>
        <xdr:cNvCxnSpPr>
          <a:cxnSpLocks noChangeShapeType="1"/>
        </xdr:cNvCxnSpPr>
      </xdr:nvCxnSpPr>
      <xdr:spPr bwMode="auto">
        <a:xfrm flipV="1">
          <a:off x="11108870" y="11703396"/>
          <a:ext cx="1221463"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10" name="Straight Arrow Connector 9">
          <a:extLst>
            <a:ext uri="{FF2B5EF4-FFF2-40B4-BE49-F238E27FC236}">
              <a16:creationId xmlns:a16="http://schemas.microsoft.com/office/drawing/2014/main" id="{55605D92-D995-1946-AFFA-812DF943651C}"/>
            </a:ext>
          </a:extLst>
        </xdr:cNvPr>
        <xdr:cNvCxnSpPr>
          <a:cxnSpLocks noChangeShapeType="1"/>
        </xdr:cNvCxnSpPr>
      </xdr:nvCxnSpPr>
      <xdr:spPr bwMode="auto">
        <a:xfrm flipV="1">
          <a:off x="13051670" y="11582177"/>
          <a:ext cx="698380"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55973</xdr:colOff>
      <xdr:row>35</xdr:row>
      <xdr:rowOff>317214</xdr:rowOff>
    </xdr:from>
    <xdr:to>
      <xdr:col>11</xdr:col>
      <xdr:colOff>296334</xdr:colOff>
      <xdr:row>35</xdr:row>
      <xdr:rowOff>526143</xdr:rowOff>
    </xdr:to>
    <xdr:cxnSp macro="">
      <xdr:nvCxnSpPr>
        <xdr:cNvPr id="2" name="Straight Arrow Connector 1">
          <a:extLst>
            <a:ext uri="{FF2B5EF4-FFF2-40B4-BE49-F238E27FC236}">
              <a16:creationId xmlns:a16="http://schemas.microsoft.com/office/drawing/2014/main" id="{EA0A32BF-7B9E-4B88-8800-958AB80E6EE9}"/>
            </a:ext>
          </a:extLst>
        </xdr:cNvPr>
        <xdr:cNvCxnSpPr>
          <a:cxnSpLocks noChangeShapeType="1"/>
        </xdr:cNvCxnSpPr>
      </xdr:nvCxnSpPr>
      <xdr:spPr bwMode="auto">
        <a:xfrm>
          <a:off x="8685623" y="11785314"/>
          <a:ext cx="1240486"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3" name="Straight Arrow Connector 2">
          <a:extLst>
            <a:ext uri="{FF2B5EF4-FFF2-40B4-BE49-F238E27FC236}">
              <a16:creationId xmlns:a16="http://schemas.microsoft.com/office/drawing/2014/main" id="{354B7ABA-370F-420B-AFD5-C44A4DF52460}"/>
            </a:ext>
          </a:extLst>
        </xdr:cNvPr>
        <xdr:cNvCxnSpPr>
          <a:cxnSpLocks noChangeShapeType="1"/>
        </xdr:cNvCxnSpPr>
      </xdr:nvCxnSpPr>
      <xdr:spPr bwMode="auto">
        <a:xfrm flipV="1">
          <a:off x="11108870" y="11884371"/>
          <a:ext cx="1221463"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4" name="Straight Arrow Connector 3">
          <a:extLst>
            <a:ext uri="{FF2B5EF4-FFF2-40B4-BE49-F238E27FC236}">
              <a16:creationId xmlns:a16="http://schemas.microsoft.com/office/drawing/2014/main" id="{71BB5154-6B64-41D4-9E07-BB8F2D70D767}"/>
            </a:ext>
          </a:extLst>
        </xdr:cNvPr>
        <xdr:cNvCxnSpPr>
          <a:cxnSpLocks noChangeShapeType="1"/>
        </xdr:cNvCxnSpPr>
      </xdr:nvCxnSpPr>
      <xdr:spPr bwMode="auto">
        <a:xfrm flipV="1">
          <a:off x="13051670" y="11763152"/>
          <a:ext cx="698380"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35</xdr:row>
      <xdr:rowOff>317214</xdr:rowOff>
    </xdr:from>
    <xdr:to>
      <xdr:col>11</xdr:col>
      <xdr:colOff>296334</xdr:colOff>
      <xdr:row>35</xdr:row>
      <xdr:rowOff>526143</xdr:rowOff>
    </xdr:to>
    <xdr:cxnSp macro="">
      <xdr:nvCxnSpPr>
        <xdr:cNvPr id="5" name="Straight Arrow Connector 4">
          <a:extLst>
            <a:ext uri="{FF2B5EF4-FFF2-40B4-BE49-F238E27FC236}">
              <a16:creationId xmlns:a16="http://schemas.microsoft.com/office/drawing/2014/main" id="{4ECDE3BA-DE5D-4DB1-81EE-1E41B93C664A}"/>
            </a:ext>
          </a:extLst>
        </xdr:cNvPr>
        <xdr:cNvCxnSpPr>
          <a:cxnSpLocks noChangeShapeType="1"/>
        </xdr:cNvCxnSpPr>
      </xdr:nvCxnSpPr>
      <xdr:spPr bwMode="auto">
        <a:xfrm>
          <a:off x="8685623" y="11785314"/>
          <a:ext cx="1240486"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6" name="Straight Arrow Connector 5">
          <a:extLst>
            <a:ext uri="{FF2B5EF4-FFF2-40B4-BE49-F238E27FC236}">
              <a16:creationId xmlns:a16="http://schemas.microsoft.com/office/drawing/2014/main" id="{09ACAEA0-99D2-4E4B-947E-DEF5F5812021}"/>
            </a:ext>
          </a:extLst>
        </xdr:cNvPr>
        <xdr:cNvCxnSpPr>
          <a:cxnSpLocks noChangeShapeType="1"/>
        </xdr:cNvCxnSpPr>
      </xdr:nvCxnSpPr>
      <xdr:spPr bwMode="auto">
        <a:xfrm flipV="1">
          <a:off x="11108870" y="11884371"/>
          <a:ext cx="1221463"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7" name="Straight Arrow Connector 6">
          <a:extLst>
            <a:ext uri="{FF2B5EF4-FFF2-40B4-BE49-F238E27FC236}">
              <a16:creationId xmlns:a16="http://schemas.microsoft.com/office/drawing/2014/main" id="{5635AEC0-75F4-468E-A263-7824D1FA9860}"/>
            </a:ext>
          </a:extLst>
        </xdr:cNvPr>
        <xdr:cNvCxnSpPr>
          <a:cxnSpLocks noChangeShapeType="1"/>
        </xdr:cNvCxnSpPr>
      </xdr:nvCxnSpPr>
      <xdr:spPr bwMode="auto">
        <a:xfrm flipV="1">
          <a:off x="13051670" y="11763152"/>
          <a:ext cx="698380"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35</xdr:row>
      <xdr:rowOff>317214</xdr:rowOff>
    </xdr:from>
    <xdr:to>
      <xdr:col>11</xdr:col>
      <xdr:colOff>296334</xdr:colOff>
      <xdr:row>35</xdr:row>
      <xdr:rowOff>526143</xdr:rowOff>
    </xdr:to>
    <xdr:cxnSp macro="">
      <xdr:nvCxnSpPr>
        <xdr:cNvPr id="8" name="Straight Arrow Connector 7">
          <a:extLst>
            <a:ext uri="{FF2B5EF4-FFF2-40B4-BE49-F238E27FC236}">
              <a16:creationId xmlns:a16="http://schemas.microsoft.com/office/drawing/2014/main" id="{8B8B0AD9-86ED-4A0E-8D8C-F1A3292D65E7}"/>
            </a:ext>
          </a:extLst>
        </xdr:cNvPr>
        <xdr:cNvCxnSpPr>
          <a:cxnSpLocks noChangeShapeType="1"/>
        </xdr:cNvCxnSpPr>
      </xdr:nvCxnSpPr>
      <xdr:spPr bwMode="auto">
        <a:xfrm>
          <a:off x="8685623" y="11785314"/>
          <a:ext cx="1240486"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9" name="Straight Arrow Connector 8">
          <a:extLst>
            <a:ext uri="{FF2B5EF4-FFF2-40B4-BE49-F238E27FC236}">
              <a16:creationId xmlns:a16="http://schemas.microsoft.com/office/drawing/2014/main" id="{37406D29-EF9E-4461-A37F-A36B22CD017F}"/>
            </a:ext>
          </a:extLst>
        </xdr:cNvPr>
        <xdr:cNvCxnSpPr>
          <a:cxnSpLocks noChangeShapeType="1"/>
        </xdr:cNvCxnSpPr>
      </xdr:nvCxnSpPr>
      <xdr:spPr bwMode="auto">
        <a:xfrm flipV="1">
          <a:off x="11108870" y="11884371"/>
          <a:ext cx="1221463"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10" name="Straight Arrow Connector 9">
          <a:extLst>
            <a:ext uri="{FF2B5EF4-FFF2-40B4-BE49-F238E27FC236}">
              <a16:creationId xmlns:a16="http://schemas.microsoft.com/office/drawing/2014/main" id="{3152ECDA-0CAE-4658-9499-2667337B5FBB}"/>
            </a:ext>
          </a:extLst>
        </xdr:cNvPr>
        <xdr:cNvCxnSpPr>
          <a:cxnSpLocks noChangeShapeType="1"/>
        </xdr:cNvCxnSpPr>
      </xdr:nvCxnSpPr>
      <xdr:spPr bwMode="auto">
        <a:xfrm flipV="1">
          <a:off x="13051670" y="11763152"/>
          <a:ext cx="698380"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9</xdr:col>
      <xdr:colOff>55973</xdr:colOff>
      <xdr:row>35</xdr:row>
      <xdr:rowOff>317214</xdr:rowOff>
    </xdr:from>
    <xdr:to>
      <xdr:col>11</xdr:col>
      <xdr:colOff>296334</xdr:colOff>
      <xdr:row>35</xdr:row>
      <xdr:rowOff>526143</xdr:rowOff>
    </xdr:to>
    <xdr:cxnSp macro="">
      <xdr:nvCxnSpPr>
        <xdr:cNvPr id="2" name="Straight Arrow Connector 1">
          <a:extLst>
            <a:ext uri="{FF2B5EF4-FFF2-40B4-BE49-F238E27FC236}">
              <a16:creationId xmlns:a16="http://schemas.microsoft.com/office/drawing/2014/main" id="{2687A7CB-FC71-4F51-8178-16402412D7AE}"/>
            </a:ext>
          </a:extLst>
        </xdr:cNvPr>
        <xdr:cNvCxnSpPr>
          <a:cxnSpLocks noChangeShapeType="1"/>
        </xdr:cNvCxnSpPr>
      </xdr:nvCxnSpPr>
      <xdr:spPr bwMode="auto">
        <a:xfrm>
          <a:off x="8685623" y="11785314"/>
          <a:ext cx="1240486"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3" name="Straight Arrow Connector 2">
          <a:extLst>
            <a:ext uri="{FF2B5EF4-FFF2-40B4-BE49-F238E27FC236}">
              <a16:creationId xmlns:a16="http://schemas.microsoft.com/office/drawing/2014/main" id="{ECE441A8-261E-424F-A965-A5BA3972854E}"/>
            </a:ext>
          </a:extLst>
        </xdr:cNvPr>
        <xdr:cNvCxnSpPr>
          <a:cxnSpLocks noChangeShapeType="1"/>
        </xdr:cNvCxnSpPr>
      </xdr:nvCxnSpPr>
      <xdr:spPr bwMode="auto">
        <a:xfrm flipV="1">
          <a:off x="11108870" y="11884371"/>
          <a:ext cx="1221463"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4" name="Straight Arrow Connector 3">
          <a:extLst>
            <a:ext uri="{FF2B5EF4-FFF2-40B4-BE49-F238E27FC236}">
              <a16:creationId xmlns:a16="http://schemas.microsoft.com/office/drawing/2014/main" id="{358AB5CA-D939-4498-8AC4-A54A2B4A696D}"/>
            </a:ext>
          </a:extLst>
        </xdr:cNvPr>
        <xdr:cNvCxnSpPr>
          <a:cxnSpLocks noChangeShapeType="1"/>
        </xdr:cNvCxnSpPr>
      </xdr:nvCxnSpPr>
      <xdr:spPr bwMode="auto">
        <a:xfrm flipV="1">
          <a:off x="13051670" y="11763152"/>
          <a:ext cx="698380"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35</xdr:row>
      <xdr:rowOff>317214</xdr:rowOff>
    </xdr:from>
    <xdr:to>
      <xdr:col>11</xdr:col>
      <xdr:colOff>296334</xdr:colOff>
      <xdr:row>35</xdr:row>
      <xdr:rowOff>526143</xdr:rowOff>
    </xdr:to>
    <xdr:cxnSp macro="">
      <xdr:nvCxnSpPr>
        <xdr:cNvPr id="5" name="Straight Arrow Connector 4">
          <a:extLst>
            <a:ext uri="{FF2B5EF4-FFF2-40B4-BE49-F238E27FC236}">
              <a16:creationId xmlns:a16="http://schemas.microsoft.com/office/drawing/2014/main" id="{8F586F72-47A8-4AF4-BE3B-D0E7195269B4}"/>
            </a:ext>
          </a:extLst>
        </xdr:cNvPr>
        <xdr:cNvCxnSpPr>
          <a:cxnSpLocks noChangeShapeType="1"/>
        </xdr:cNvCxnSpPr>
      </xdr:nvCxnSpPr>
      <xdr:spPr bwMode="auto">
        <a:xfrm>
          <a:off x="8685623" y="11785314"/>
          <a:ext cx="1240486"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6" name="Straight Arrow Connector 5">
          <a:extLst>
            <a:ext uri="{FF2B5EF4-FFF2-40B4-BE49-F238E27FC236}">
              <a16:creationId xmlns:a16="http://schemas.microsoft.com/office/drawing/2014/main" id="{B6342252-5A8B-40F8-9776-4922D9FC7B4E}"/>
            </a:ext>
          </a:extLst>
        </xdr:cNvPr>
        <xdr:cNvCxnSpPr>
          <a:cxnSpLocks noChangeShapeType="1"/>
        </xdr:cNvCxnSpPr>
      </xdr:nvCxnSpPr>
      <xdr:spPr bwMode="auto">
        <a:xfrm flipV="1">
          <a:off x="11108870" y="11884371"/>
          <a:ext cx="1221463"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7" name="Straight Arrow Connector 6">
          <a:extLst>
            <a:ext uri="{FF2B5EF4-FFF2-40B4-BE49-F238E27FC236}">
              <a16:creationId xmlns:a16="http://schemas.microsoft.com/office/drawing/2014/main" id="{1DD355C5-77F4-47D8-A082-F3F87C86D7CF}"/>
            </a:ext>
          </a:extLst>
        </xdr:cNvPr>
        <xdr:cNvCxnSpPr>
          <a:cxnSpLocks noChangeShapeType="1"/>
        </xdr:cNvCxnSpPr>
      </xdr:nvCxnSpPr>
      <xdr:spPr bwMode="auto">
        <a:xfrm flipV="1">
          <a:off x="13051670" y="11763152"/>
          <a:ext cx="698380"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35</xdr:row>
      <xdr:rowOff>317214</xdr:rowOff>
    </xdr:from>
    <xdr:to>
      <xdr:col>11</xdr:col>
      <xdr:colOff>296334</xdr:colOff>
      <xdr:row>35</xdr:row>
      <xdr:rowOff>526143</xdr:rowOff>
    </xdr:to>
    <xdr:cxnSp macro="">
      <xdr:nvCxnSpPr>
        <xdr:cNvPr id="8" name="Straight Arrow Connector 7">
          <a:extLst>
            <a:ext uri="{FF2B5EF4-FFF2-40B4-BE49-F238E27FC236}">
              <a16:creationId xmlns:a16="http://schemas.microsoft.com/office/drawing/2014/main" id="{CCF04753-19BD-4973-BF1A-B4D1F87D6A2D}"/>
            </a:ext>
          </a:extLst>
        </xdr:cNvPr>
        <xdr:cNvCxnSpPr>
          <a:cxnSpLocks noChangeShapeType="1"/>
        </xdr:cNvCxnSpPr>
      </xdr:nvCxnSpPr>
      <xdr:spPr bwMode="auto">
        <a:xfrm>
          <a:off x="8685623" y="11785314"/>
          <a:ext cx="1240486"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9" name="Straight Arrow Connector 8">
          <a:extLst>
            <a:ext uri="{FF2B5EF4-FFF2-40B4-BE49-F238E27FC236}">
              <a16:creationId xmlns:a16="http://schemas.microsoft.com/office/drawing/2014/main" id="{3E6090DC-B9A9-4221-94BB-797FDDB91205}"/>
            </a:ext>
          </a:extLst>
        </xdr:cNvPr>
        <xdr:cNvCxnSpPr>
          <a:cxnSpLocks noChangeShapeType="1"/>
        </xdr:cNvCxnSpPr>
      </xdr:nvCxnSpPr>
      <xdr:spPr bwMode="auto">
        <a:xfrm flipV="1">
          <a:off x="11108870" y="11884371"/>
          <a:ext cx="1221463"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10" name="Straight Arrow Connector 9">
          <a:extLst>
            <a:ext uri="{FF2B5EF4-FFF2-40B4-BE49-F238E27FC236}">
              <a16:creationId xmlns:a16="http://schemas.microsoft.com/office/drawing/2014/main" id="{3A5B1039-2F3B-4E10-A74D-D59CE2F673E7}"/>
            </a:ext>
          </a:extLst>
        </xdr:cNvPr>
        <xdr:cNvCxnSpPr>
          <a:cxnSpLocks noChangeShapeType="1"/>
        </xdr:cNvCxnSpPr>
      </xdr:nvCxnSpPr>
      <xdr:spPr bwMode="auto">
        <a:xfrm flipV="1">
          <a:off x="13051670" y="11763152"/>
          <a:ext cx="698380"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wsDr>
</file>

<file path=xl/drawings/drawing11.xml><?xml version="1.0" encoding="utf-8"?>
<xdr:wsDr xmlns:xdr="http://schemas.openxmlformats.org/drawingml/2006/spreadsheetDrawing" xmlns:a="http://schemas.openxmlformats.org/drawingml/2006/main">
  <xdr:twoCellAnchor>
    <xdr:from>
      <xdr:col>9</xdr:col>
      <xdr:colOff>55973</xdr:colOff>
      <xdr:row>35</xdr:row>
      <xdr:rowOff>317214</xdr:rowOff>
    </xdr:from>
    <xdr:to>
      <xdr:col>11</xdr:col>
      <xdr:colOff>296334</xdr:colOff>
      <xdr:row>35</xdr:row>
      <xdr:rowOff>526143</xdr:rowOff>
    </xdr:to>
    <xdr:cxnSp macro="">
      <xdr:nvCxnSpPr>
        <xdr:cNvPr id="2" name="Straight Arrow Connector 1">
          <a:extLst>
            <a:ext uri="{FF2B5EF4-FFF2-40B4-BE49-F238E27FC236}">
              <a16:creationId xmlns:a16="http://schemas.microsoft.com/office/drawing/2014/main" id="{8EED3813-E3C3-E040-A15F-502844FD041C}"/>
            </a:ext>
          </a:extLst>
        </xdr:cNvPr>
        <xdr:cNvCxnSpPr>
          <a:cxnSpLocks noChangeShapeType="1"/>
        </xdr:cNvCxnSpPr>
      </xdr:nvCxnSpPr>
      <xdr:spPr bwMode="auto">
        <a:xfrm>
          <a:off x="8685623" y="12404439"/>
          <a:ext cx="1240486"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3" name="Straight Arrow Connector 2">
          <a:extLst>
            <a:ext uri="{FF2B5EF4-FFF2-40B4-BE49-F238E27FC236}">
              <a16:creationId xmlns:a16="http://schemas.microsoft.com/office/drawing/2014/main" id="{03FA1CAA-F178-2848-8500-36AC954769DF}"/>
            </a:ext>
          </a:extLst>
        </xdr:cNvPr>
        <xdr:cNvCxnSpPr>
          <a:cxnSpLocks noChangeShapeType="1"/>
        </xdr:cNvCxnSpPr>
      </xdr:nvCxnSpPr>
      <xdr:spPr bwMode="auto">
        <a:xfrm flipV="1">
          <a:off x="11108870" y="12503496"/>
          <a:ext cx="1221463"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4" name="Straight Arrow Connector 3">
          <a:extLst>
            <a:ext uri="{FF2B5EF4-FFF2-40B4-BE49-F238E27FC236}">
              <a16:creationId xmlns:a16="http://schemas.microsoft.com/office/drawing/2014/main" id="{0D047AAD-856A-7F42-806B-A8ACE00AC923}"/>
            </a:ext>
          </a:extLst>
        </xdr:cNvPr>
        <xdr:cNvCxnSpPr>
          <a:cxnSpLocks noChangeShapeType="1"/>
        </xdr:cNvCxnSpPr>
      </xdr:nvCxnSpPr>
      <xdr:spPr bwMode="auto">
        <a:xfrm flipV="1">
          <a:off x="13051670" y="12382277"/>
          <a:ext cx="698380"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35</xdr:row>
      <xdr:rowOff>317214</xdr:rowOff>
    </xdr:from>
    <xdr:to>
      <xdr:col>11</xdr:col>
      <xdr:colOff>296334</xdr:colOff>
      <xdr:row>35</xdr:row>
      <xdr:rowOff>526143</xdr:rowOff>
    </xdr:to>
    <xdr:cxnSp macro="">
      <xdr:nvCxnSpPr>
        <xdr:cNvPr id="5" name="Straight Arrow Connector 4">
          <a:extLst>
            <a:ext uri="{FF2B5EF4-FFF2-40B4-BE49-F238E27FC236}">
              <a16:creationId xmlns:a16="http://schemas.microsoft.com/office/drawing/2014/main" id="{FB56EFE6-37A2-5D47-9D40-D724C22F081E}"/>
            </a:ext>
          </a:extLst>
        </xdr:cNvPr>
        <xdr:cNvCxnSpPr>
          <a:cxnSpLocks noChangeShapeType="1"/>
        </xdr:cNvCxnSpPr>
      </xdr:nvCxnSpPr>
      <xdr:spPr bwMode="auto">
        <a:xfrm>
          <a:off x="8685623" y="12404439"/>
          <a:ext cx="1240486"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6" name="Straight Arrow Connector 5">
          <a:extLst>
            <a:ext uri="{FF2B5EF4-FFF2-40B4-BE49-F238E27FC236}">
              <a16:creationId xmlns:a16="http://schemas.microsoft.com/office/drawing/2014/main" id="{1F89B185-290C-D149-96D6-9802DB6F4D9C}"/>
            </a:ext>
          </a:extLst>
        </xdr:cNvPr>
        <xdr:cNvCxnSpPr>
          <a:cxnSpLocks noChangeShapeType="1"/>
        </xdr:cNvCxnSpPr>
      </xdr:nvCxnSpPr>
      <xdr:spPr bwMode="auto">
        <a:xfrm flipV="1">
          <a:off x="11108870" y="12503496"/>
          <a:ext cx="1221463"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7" name="Straight Arrow Connector 6">
          <a:extLst>
            <a:ext uri="{FF2B5EF4-FFF2-40B4-BE49-F238E27FC236}">
              <a16:creationId xmlns:a16="http://schemas.microsoft.com/office/drawing/2014/main" id="{334D73B6-5139-0440-B971-9E2BEDB54457}"/>
            </a:ext>
          </a:extLst>
        </xdr:cNvPr>
        <xdr:cNvCxnSpPr>
          <a:cxnSpLocks noChangeShapeType="1"/>
        </xdr:cNvCxnSpPr>
      </xdr:nvCxnSpPr>
      <xdr:spPr bwMode="auto">
        <a:xfrm flipV="1">
          <a:off x="13051670" y="12382277"/>
          <a:ext cx="698380"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35</xdr:row>
      <xdr:rowOff>317214</xdr:rowOff>
    </xdr:from>
    <xdr:to>
      <xdr:col>11</xdr:col>
      <xdr:colOff>296334</xdr:colOff>
      <xdr:row>35</xdr:row>
      <xdr:rowOff>526143</xdr:rowOff>
    </xdr:to>
    <xdr:cxnSp macro="">
      <xdr:nvCxnSpPr>
        <xdr:cNvPr id="8" name="Straight Arrow Connector 7">
          <a:extLst>
            <a:ext uri="{FF2B5EF4-FFF2-40B4-BE49-F238E27FC236}">
              <a16:creationId xmlns:a16="http://schemas.microsoft.com/office/drawing/2014/main" id="{75F9B03B-C565-9F45-B398-556F383B17AA}"/>
            </a:ext>
          </a:extLst>
        </xdr:cNvPr>
        <xdr:cNvCxnSpPr>
          <a:cxnSpLocks noChangeShapeType="1"/>
        </xdr:cNvCxnSpPr>
      </xdr:nvCxnSpPr>
      <xdr:spPr bwMode="auto">
        <a:xfrm>
          <a:off x="8685623" y="12404439"/>
          <a:ext cx="1240486"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9" name="Straight Arrow Connector 8">
          <a:extLst>
            <a:ext uri="{FF2B5EF4-FFF2-40B4-BE49-F238E27FC236}">
              <a16:creationId xmlns:a16="http://schemas.microsoft.com/office/drawing/2014/main" id="{4969C1D4-636E-924F-8C8A-6356CAD17401}"/>
            </a:ext>
          </a:extLst>
        </xdr:cNvPr>
        <xdr:cNvCxnSpPr>
          <a:cxnSpLocks noChangeShapeType="1"/>
        </xdr:cNvCxnSpPr>
      </xdr:nvCxnSpPr>
      <xdr:spPr bwMode="auto">
        <a:xfrm flipV="1">
          <a:off x="11108870" y="12503496"/>
          <a:ext cx="1221463"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10" name="Straight Arrow Connector 9">
          <a:extLst>
            <a:ext uri="{FF2B5EF4-FFF2-40B4-BE49-F238E27FC236}">
              <a16:creationId xmlns:a16="http://schemas.microsoft.com/office/drawing/2014/main" id="{E46E9848-253B-C04A-B6E3-FF9DDB206B78}"/>
            </a:ext>
          </a:extLst>
        </xdr:cNvPr>
        <xdr:cNvCxnSpPr>
          <a:cxnSpLocks noChangeShapeType="1"/>
        </xdr:cNvCxnSpPr>
      </xdr:nvCxnSpPr>
      <xdr:spPr bwMode="auto">
        <a:xfrm flipV="1">
          <a:off x="13051670" y="12382277"/>
          <a:ext cx="698380"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wsDr>
</file>

<file path=xl/drawings/drawing12.xml><?xml version="1.0" encoding="utf-8"?>
<xdr:wsDr xmlns:xdr="http://schemas.openxmlformats.org/drawingml/2006/spreadsheetDrawing" xmlns:a="http://schemas.openxmlformats.org/drawingml/2006/main">
  <xdr:twoCellAnchor>
    <xdr:from>
      <xdr:col>9</xdr:col>
      <xdr:colOff>55973</xdr:colOff>
      <xdr:row>35</xdr:row>
      <xdr:rowOff>317214</xdr:rowOff>
    </xdr:from>
    <xdr:to>
      <xdr:col>11</xdr:col>
      <xdr:colOff>296334</xdr:colOff>
      <xdr:row>35</xdr:row>
      <xdr:rowOff>526143</xdr:rowOff>
    </xdr:to>
    <xdr:cxnSp macro="">
      <xdr:nvCxnSpPr>
        <xdr:cNvPr id="2" name="Straight Arrow Connector 1">
          <a:extLst>
            <a:ext uri="{FF2B5EF4-FFF2-40B4-BE49-F238E27FC236}">
              <a16:creationId xmlns:a16="http://schemas.microsoft.com/office/drawing/2014/main" id="{7A0AA1A7-7E33-4181-BA4E-B456A30C7C48}"/>
            </a:ext>
          </a:extLst>
        </xdr:cNvPr>
        <xdr:cNvCxnSpPr>
          <a:cxnSpLocks noChangeShapeType="1"/>
        </xdr:cNvCxnSpPr>
      </xdr:nvCxnSpPr>
      <xdr:spPr bwMode="auto">
        <a:xfrm>
          <a:off x="8685623" y="11785314"/>
          <a:ext cx="1240486"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3" name="Straight Arrow Connector 2">
          <a:extLst>
            <a:ext uri="{FF2B5EF4-FFF2-40B4-BE49-F238E27FC236}">
              <a16:creationId xmlns:a16="http://schemas.microsoft.com/office/drawing/2014/main" id="{9CA7FCAC-4E33-43F2-861D-371F8BDBDF28}"/>
            </a:ext>
          </a:extLst>
        </xdr:cNvPr>
        <xdr:cNvCxnSpPr>
          <a:cxnSpLocks noChangeShapeType="1"/>
        </xdr:cNvCxnSpPr>
      </xdr:nvCxnSpPr>
      <xdr:spPr bwMode="auto">
        <a:xfrm flipV="1">
          <a:off x="11108870" y="11884371"/>
          <a:ext cx="1221463"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4" name="Straight Arrow Connector 3">
          <a:extLst>
            <a:ext uri="{FF2B5EF4-FFF2-40B4-BE49-F238E27FC236}">
              <a16:creationId xmlns:a16="http://schemas.microsoft.com/office/drawing/2014/main" id="{11A691B6-3504-434F-B48F-C42935D7ED6E}"/>
            </a:ext>
          </a:extLst>
        </xdr:cNvPr>
        <xdr:cNvCxnSpPr>
          <a:cxnSpLocks noChangeShapeType="1"/>
        </xdr:cNvCxnSpPr>
      </xdr:nvCxnSpPr>
      <xdr:spPr bwMode="auto">
        <a:xfrm flipV="1">
          <a:off x="13051670" y="11763152"/>
          <a:ext cx="698380"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35</xdr:row>
      <xdr:rowOff>317214</xdr:rowOff>
    </xdr:from>
    <xdr:to>
      <xdr:col>11</xdr:col>
      <xdr:colOff>296334</xdr:colOff>
      <xdr:row>35</xdr:row>
      <xdr:rowOff>526143</xdr:rowOff>
    </xdr:to>
    <xdr:cxnSp macro="">
      <xdr:nvCxnSpPr>
        <xdr:cNvPr id="5" name="Straight Arrow Connector 4">
          <a:extLst>
            <a:ext uri="{FF2B5EF4-FFF2-40B4-BE49-F238E27FC236}">
              <a16:creationId xmlns:a16="http://schemas.microsoft.com/office/drawing/2014/main" id="{587B03F6-516C-4556-ABFF-8EBF5E68AF6E}"/>
            </a:ext>
          </a:extLst>
        </xdr:cNvPr>
        <xdr:cNvCxnSpPr>
          <a:cxnSpLocks noChangeShapeType="1"/>
        </xdr:cNvCxnSpPr>
      </xdr:nvCxnSpPr>
      <xdr:spPr bwMode="auto">
        <a:xfrm>
          <a:off x="8685623" y="11785314"/>
          <a:ext cx="1240486"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6" name="Straight Arrow Connector 5">
          <a:extLst>
            <a:ext uri="{FF2B5EF4-FFF2-40B4-BE49-F238E27FC236}">
              <a16:creationId xmlns:a16="http://schemas.microsoft.com/office/drawing/2014/main" id="{6E954CC9-A0F1-4611-8E0A-0F41B0D333F9}"/>
            </a:ext>
          </a:extLst>
        </xdr:cNvPr>
        <xdr:cNvCxnSpPr>
          <a:cxnSpLocks noChangeShapeType="1"/>
        </xdr:cNvCxnSpPr>
      </xdr:nvCxnSpPr>
      <xdr:spPr bwMode="auto">
        <a:xfrm flipV="1">
          <a:off x="11108870" y="11884371"/>
          <a:ext cx="1221463"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7" name="Straight Arrow Connector 6">
          <a:extLst>
            <a:ext uri="{FF2B5EF4-FFF2-40B4-BE49-F238E27FC236}">
              <a16:creationId xmlns:a16="http://schemas.microsoft.com/office/drawing/2014/main" id="{D43FB8A4-143A-4097-8AD4-5B3E9936C648}"/>
            </a:ext>
          </a:extLst>
        </xdr:cNvPr>
        <xdr:cNvCxnSpPr>
          <a:cxnSpLocks noChangeShapeType="1"/>
        </xdr:cNvCxnSpPr>
      </xdr:nvCxnSpPr>
      <xdr:spPr bwMode="auto">
        <a:xfrm flipV="1">
          <a:off x="13051670" y="11763152"/>
          <a:ext cx="698380"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9</xdr:col>
      <xdr:colOff>55973</xdr:colOff>
      <xdr:row>35</xdr:row>
      <xdr:rowOff>317214</xdr:rowOff>
    </xdr:from>
    <xdr:to>
      <xdr:col>11</xdr:col>
      <xdr:colOff>296334</xdr:colOff>
      <xdr:row>35</xdr:row>
      <xdr:rowOff>526143</xdr:rowOff>
    </xdr:to>
    <xdr:cxnSp macro="">
      <xdr:nvCxnSpPr>
        <xdr:cNvPr id="8" name="Straight Arrow Connector 7">
          <a:extLst>
            <a:ext uri="{FF2B5EF4-FFF2-40B4-BE49-F238E27FC236}">
              <a16:creationId xmlns:a16="http://schemas.microsoft.com/office/drawing/2014/main" id="{42D43A36-C747-466C-A2BB-90DA10845B80}"/>
            </a:ext>
          </a:extLst>
        </xdr:cNvPr>
        <xdr:cNvCxnSpPr>
          <a:cxnSpLocks noChangeShapeType="1"/>
        </xdr:cNvCxnSpPr>
      </xdr:nvCxnSpPr>
      <xdr:spPr bwMode="auto">
        <a:xfrm>
          <a:off x="8685623" y="11785314"/>
          <a:ext cx="1240486" cy="208929"/>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326570</xdr:colOff>
      <xdr:row>35</xdr:row>
      <xdr:rowOff>416271</xdr:rowOff>
    </xdr:from>
    <xdr:to>
      <xdr:col>14</xdr:col>
      <xdr:colOff>509808</xdr:colOff>
      <xdr:row>35</xdr:row>
      <xdr:rowOff>417286</xdr:rowOff>
    </xdr:to>
    <xdr:cxnSp macro="">
      <xdr:nvCxnSpPr>
        <xdr:cNvPr id="9" name="Straight Arrow Connector 8">
          <a:extLst>
            <a:ext uri="{FF2B5EF4-FFF2-40B4-BE49-F238E27FC236}">
              <a16:creationId xmlns:a16="http://schemas.microsoft.com/office/drawing/2014/main" id="{5E36E9B9-5B48-48B7-A61F-8AD51DCFD2C4}"/>
            </a:ext>
          </a:extLst>
        </xdr:cNvPr>
        <xdr:cNvCxnSpPr>
          <a:cxnSpLocks noChangeShapeType="1"/>
        </xdr:cNvCxnSpPr>
      </xdr:nvCxnSpPr>
      <xdr:spPr bwMode="auto">
        <a:xfrm flipV="1">
          <a:off x="11108870" y="11884371"/>
          <a:ext cx="1221463" cy="1015"/>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459620</xdr:colOff>
      <xdr:row>35</xdr:row>
      <xdr:rowOff>295052</xdr:rowOff>
    </xdr:from>
    <xdr:to>
      <xdr:col>16</xdr:col>
      <xdr:colOff>386475</xdr:colOff>
      <xdr:row>35</xdr:row>
      <xdr:rowOff>508000</xdr:rowOff>
    </xdr:to>
    <xdr:cxnSp macro="">
      <xdr:nvCxnSpPr>
        <xdr:cNvPr id="10" name="Straight Arrow Connector 9">
          <a:extLst>
            <a:ext uri="{FF2B5EF4-FFF2-40B4-BE49-F238E27FC236}">
              <a16:creationId xmlns:a16="http://schemas.microsoft.com/office/drawing/2014/main" id="{7982F34F-87F8-4359-A0C8-34E32070D9C1}"/>
            </a:ext>
          </a:extLst>
        </xdr:cNvPr>
        <xdr:cNvCxnSpPr>
          <a:cxnSpLocks noChangeShapeType="1"/>
        </xdr:cNvCxnSpPr>
      </xdr:nvCxnSpPr>
      <xdr:spPr bwMode="auto">
        <a:xfrm flipV="1">
          <a:off x="13051670" y="11763152"/>
          <a:ext cx="698380" cy="212948"/>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8</xdr:col>
      <xdr:colOff>213211</xdr:colOff>
      <xdr:row>27</xdr:row>
      <xdr:rowOff>268833</xdr:rowOff>
    </xdr:from>
    <xdr:to>
      <xdr:col>11</xdr:col>
      <xdr:colOff>556204</xdr:colOff>
      <xdr:row>27</xdr:row>
      <xdr:rowOff>667445</xdr:rowOff>
    </xdr:to>
    <xdr:cxnSp macro="">
      <xdr:nvCxnSpPr>
        <xdr:cNvPr id="2" name="Straight Arrow Connector 1">
          <a:extLst>
            <a:ext uri="{FF2B5EF4-FFF2-40B4-BE49-F238E27FC236}">
              <a16:creationId xmlns:a16="http://schemas.microsoft.com/office/drawing/2014/main" id="{7EA572D0-5D59-AC47-8E6B-05EA1ECBD35F}"/>
            </a:ext>
          </a:extLst>
        </xdr:cNvPr>
        <xdr:cNvCxnSpPr>
          <a:cxnSpLocks noChangeShapeType="1"/>
        </xdr:cNvCxnSpPr>
      </xdr:nvCxnSpPr>
      <xdr:spPr bwMode="auto">
        <a:xfrm>
          <a:off x="7642711" y="8663533"/>
          <a:ext cx="1447893" cy="398612"/>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13</xdr:col>
      <xdr:colOff>170940</xdr:colOff>
      <xdr:row>27</xdr:row>
      <xdr:rowOff>643715</xdr:rowOff>
    </xdr:from>
    <xdr:to>
      <xdr:col>14</xdr:col>
      <xdr:colOff>648905</xdr:colOff>
      <xdr:row>27</xdr:row>
      <xdr:rowOff>658175</xdr:rowOff>
    </xdr:to>
    <xdr:cxnSp macro="">
      <xdr:nvCxnSpPr>
        <xdr:cNvPr id="3" name="Straight Arrow Connector 2">
          <a:extLst>
            <a:ext uri="{FF2B5EF4-FFF2-40B4-BE49-F238E27FC236}">
              <a16:creationId xmlns:a16="http://schemas.microsoft.com/office/drawing/2014/main" id="{8C946AA6-E94C-5A4B-A8DD-2CC102C5534D}"/>
            </a:ext>
          </a:extLst>
        </xdr:cNvPr>
        <xdr:cNvCxnSpPr>
          <a:cxnSpLocks noChangeShapeType="1"/>
        </xdr:cNvCxnSpPr>
      </xdr:nvCxnSpPr>
      <xdr:spPr bwMode="auto">
        <a:xfrm>
          <a:off x="9924540" y="9038415"/>
          <a:ext cx="1239965" cy="14460"/>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twoCellAnchor>
    <xdr:from>
      <xdr:col>15</xdr:col>
      <xdr:colOff>221370</xdr:colOff>
      <xdr:row>27</xdr:row>
      <xdr:rowOff>222481</xdr:rowOff>
    </xdr:from>
    <xdr:to>
      <xdr:col>16</xdr:col>
      <xdr:colOff>537665</xdr:colOff>
      <xdr:row>27</xdr:row>
      <xdr:rowOff>638525</xdr:rowOff>
    </xdr:to>
    <xdr:cxnSp macro="">
      <xdr:nvCxnSpPr>
        <xdr:cNvPr id="4" name="Straight Arrow Connector 3">
          <a:extLst>
            <a:ext uri="{FF2B5EF4-FFF2-40B4-BE49-F238E27FC236}">
              <a16:creationId xmlns:a16="http://schemas.microsoft.com/office/drawing/2014/main" id="{053756AE-AF17-8846-AC84-D71487959483}"/>
            </a:ext>
          </a:extLst>
        </xdr:cNvPr>
        <xdr:cNvCxnSpPr>
          <a:cxnSpLocks noChangeShapeType="1"/>
        </xdr:cNvCxnSpPr>
      </xdr:nvCxnSpPr>
      <xdr:spPr bwMode="auto">
        <a:xfrm flipV="1">
          <a:off x="11600570" y="8617181"/>
          <a:ext cx="1116395" cy="416044"/>
        </a:xfrm>
        <a:prstGeom prst="straightConnector1">
          <a:avLst/>
        </a:prstGeom>
        <a:noFill/>
        <a:ln w="25400">
          <a:solidFill>
            <a:srgbClr val="4F81BD"/>
          </a:solidFill>
          <a:round/>
          <a:headEnd/>
          <a:tailEnd type="triangle" w="med" len="med"/>
        </a:ln>
        <a:effectLst>
          <a:outerShdw blurRad="63500" dist="20000" dir="5400000" rotWithShape="0">
            <a:srgbClr val="000000">
              <a:alpha val="37999"/>
            </a:srgbClr>
          </a:outerShdw>
        </a:effectLst>
        <a:extLst>
          <a:ext uri="{909E8E84-426E-40DD-AFC4-6F175D3DCCD1}">
            <a14:hiddenFill xmlns:a14="http://schemas.microsoft.com/office/drawing/2010/main">
              <a:noFill/>
            </a14:hiddenFill>
          </a:ext>
        </a:extLst>
      </xdr:spPr>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AppData\Local\Temp\Zalo%20Temp\TempDownloads\ng06022026-%209.A7.Dawaco.KPI%20Ban%20HCNS%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7.0.DM Biểu mẫu"/>
      <sheetName val="A7.1.Muc tieu Công ty"/>
      <sheetName val="A7.2.Mục tiêu tổng hợp"/>
      <sheetName val="A7.2.Mục tiêu tổng hợp (SL)"/>
      <sheetName val="A7.3.Mục tiêu Phòng Năm"/>
      <sheetName val="A7.9.KPI Ban HCNS năm 2026"/>
      <sheetName val="A7.6.Mục tiêu NV Năm 2026"/>
      <sheetName val="A7.9.KPI Ban HCNS Quy 1.26"/>
      <sheetName val="A7.4.Mục tiêu Phòng Q1.26"/>
      <sheetName val="A7.5.Mục tiêu Phòng Tháng"/>
      <sheetName val="A7.7.Mục tiêu Nhân viên Q1.26"/>
      <sheetName val="A7.6.Mục tiêu NV Năm 2025 - mẫu"/>
      <sheetName val="A7.7.Mục tiêu NV Q4.25 - mẫu"/>
      <sheetName val="A7.8.KPI Cong ty Nam 2025"/>
      <sheetName val="Bảng đánh giá KPI (ĐK thêm)"/>
      <sheetName val="Bảng đánh giá KPI"/>
      <sheetName val="A7.10.NH KPI CÁ NHÂN"/>
      <sheetName val="1.KPI.Năm.PGĐ(HC-TS-ATNB)"/>
      <sheetName val="2.KPI nam.PGĐ(CSKH-LĐ TL)"/>
      <sheetName val="3.KPI nam.PGD(NS-PC)"/>
      <sheetName val="4.1.KPI nam.NV HCNS-Nhi"/>
      <sheetName val="4.2.KPI nam.NV HCNS-Nhu"/>
      <sheetName val="5.KPI nam.NV VTLT"/>
      <sheetName val="6.KPI nam.Lai xe (2)"/>
      <sheetName val="6.KPI nam.Lai xe (1)"/>
      <sheetName val="7.KPI nam.NV CSKH (4)"/>
      <sheetName val="7.KPI nam.NV CSKH (3)"/>
      <sheetName val="7.KPI nam.NV CSKH (2)"/>
      <sheetName val="7.KPI nam.NV CSKH"/>
      <sheetName val="A7.12.KPI Quản lý - Năm"/>
      <sheetName val="A7.13.KPI Quan ly.Q4"/>
      <sheetName val="1.KPI Q4.PGĐ Ban(HC-TS-ATNB)"/>
      <sheetName val="2.KPI Q4.PGĐ(CSKH-LĐ TL)"/>
      <sheetName val="3.KPI Q4.PGĐ(NS-PC)"/>
      <sheetName val="4.1.KPI Q4.Nv HCNS-Nhi"/>
      <sheetName val="4.2.KPI Q4.NV HCNS-Nhu"/>
      <sheetName val="5.KPI Q4.NV VTLT"/>
      <sheetName val="6.KPI Q4.NV Lai xe (Bốn)"/>
      <sheetName val="6.KPI Q4.NV Lai xe (Khiêm)"/>
      <sheetName val="7.KPI Q4.NV CSKH (1)"/>
      <sheetName val="7.KPI Q4.NV CSKH (2)"/>
      <sheetName val="7.KPI Q4.NV CSKH (3)"/>
      <sheetName val="7.KPI Q4.NV CSKH (4)"/>
      <sheetName val="A7.15.Tiêu chí thái độ hành vi"/>
      <sheetName val="A7.16.Tổng hợp KPI cá nhân -Quý"/>
      <sheetName val="A7.17.Tổng hợp KPI cá nhân -Năm"/>
      <sheetName val="A7.18.Tổng hợp KPI Phò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6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D26"/>
  <sheetViews>
    <sheetView showGridLines="0" zoomScale="150" workbookViewId="0">
      <selection activeCell="C13" sqref="C13"/>
    </sheetView>
  </sheetViews>
  <sheetFormatPr defaultColWidth="10.875" defaultRowHeight="12.75"/>
  <cols>
    <col min="1" max="1" width="2.375" style="64" customWidth="1"/>
    <col min="2" max="2" width="8" style="64" customWidth="1"/>
    <col min="3" max="3" width="18.125" style="107" customWidth="1"/>
    <col min="4" max="4" width="40" style="64" customWidth="1"/>
    <col min="5" max="5" width="22.5" style="64" customWidth="1"/>
    <col min="6" max="16384" width="10.875" style="64"/>
  </cols>
  <sheetData>
    <row r="2" spans="2:4" s="11" customFormat="1">
      <c r="B2" s="140" t="s">
        <v>253</v>
      </c>
      <c r="C2" s="140" t="s">
        <v>132</v>
      </c>
    </row>
    <row r="3" spans="2:4" s="11" customFormat="1">
      <c r="B3" s="209" t="s">
        <v>254</v>
      </c>
      <c r="C3" s="209" t="s">
        <v>255</v>
      </c>
    </row>
    <row r="4" spans="2:4" s="11" customFormat="1">
      <c r="B4" s="140" t="s">
        <v>256</v>
      </c>
      <c r="C4" s="140" t="s">
        <v>133</v>
      </c>
    </row>
    <row r="5" spans="2:4" ht="21" customHeight="1">
      <c r="B5" s="967" t="s">
        <v>131</v>
      </c>
      <c r="C5" s="968"/>
      <c r="D5" s="968"/>
    </row>
    <row r="6" spans="2:4" ht="18" customHeight="1">
      <c r="B6" s="967" t="s">
        <v>132</v>
      </c>
      <c r="C6" s="967"/>
      <c r="D6" s="967"/>
    </row>
    <row r="8" spans="2:4" ht="30.95" customHeight="1">
      <c r="B8" s="109" t="s">
        <v>1</v>
      </c>
      <c r="C8" s="187" t="s">
        <v>244</v>
      </c>
      <c r="D8" s="110" t="s">
        <v>130</v>
      </c>
    </row>
    <row r="9" spans="2:4" ht="20.100000000000001" customHeight="1">
      <c r="B9" s="65">
        <v>1</v>
      </c>
      <c r="C9" s="208" t="s">
        <v>10</v>
      </c>
      <c r="D9" s="66" t="s">
        <v>227</v>
      </c>
    </row>
    <row r="10" spans="2:4" ht="20.100000000000001" customHeight="1">
      <c r="B10" s="65">
        <v>2</v>
      </c>
      <c r="C10" s="208" t="s">
        <v>11</v>
      </c>
      <c r="D10" s="66" t="s">
        <v>228</v>
      </c>
    </row>
    <row r="11" spans="2:4" ht="20.100000000000001" customHeight="1">
      <c r="B11" s="65">
        <v>3</v>
      </c>
      <c r="C11" s="208" t="s">
        <v>12</v>
      </c>
      <c r="D11" s="66" t="s">
        <v>235</v>
      </c>
    </row>
    <row r="12" spans="2:4" ht="20.100000000000001" customHeight="1">
      <c r="B12" s="65">
        <v>4</v>
      </c>
      <c r="C12" s="208" t="s">
        <v>13</v>
      </c>
      <c r="D12" s="66" t="s">
        <v>236</v>
      </c>
    </row>
    <row r="13" spans="2:4" ht="20.100000000000001" customHeight="1">
      <c r="B13" s="65">
        <v>5</v>
      </c>
      <c r="C13" s="208" t="s">
        <v>14</v>
      </c>
      <c r="D13" s="66" t="s">
        <v>237</v>
      </c>
    </row>
    <row r="14" spans="2:4" ht="20.100000000000001" customHeight="1">
      <c r="B14" s="65">
        <v>6</v>
      </c>
      <c r="C14" s="208" t="s">
        <v>15</v>
      </c>
      <c r="D14" s="66" t="s">
        <v>238</v>
      </c>
    </row>
    <row r="15" spans="2:4" ht="20.100000000000001" customHeight="1">
      <c r="B15" s="65">
        <v>7</v>
      </c>
      <c r="C15" s="208" t="s">
        <v>30</v>
      </c>
      <c r="D15" s="66" t="s">
        <v>239</v>
      </c>
    </row>
    <row r="16" spans="2:4" ht="20.100000000000001" customHeight="1">
      <c r="B16" s="65">
        <v>8</v>
      </c>
      <c r="C16" s="208" t="s">
        <v>37</v>
      </c>
      <c r="D16" s="66" t="s">
        <v>229</v>
      </c>
    </row>
    <row r="17" spans="2:4" ht="20.100000000000001" customHeight="1">
      <c r="B17" s="65">
        <v>9</v>
      </c>
      <c r="C17" s="208" t="s">
        <v>38</v>
      </c>
      <c r="D17" s="66" t="s">
        <v>230</v>
      </c>
    </row>
    <row r="18" spans="2:4" ht="20.100000000000001" customHeight="1">
      <c r="B18" s="65">
        <v>10</v>
      </c>
      <c r="C18" s="208" t="s">
        <v>53</v>
      </c>
      <c r="D18" s="66" t="s">
        <v>129</v>
      </c>
    </row>
    <row r="19" spans="2:4" ht="20.100000000000001" customHeight="1">
      <c r="B19" s="65">
        <v>11</v>
      </c>
      <c r="C19" s="208" t="s">
        <v>61</v>
      </c>
      <c r="D19" s="66" t="s">
        <v>79</v>
      </c>
    </row>
    <row r="20" spans="2:4" ht="20.100000000000001" customHeight="1">
      <c r="B20" s="65">
        <v>12</v>
      </c>
      <c r="C20" s="208" t="s">
        <v>69</v>
      </c>
      <c r="D20" s="66" t="s">
        <v>240</v>
      </c>
    </row>
    <row r="21" spans="2:4" ht="20.100000000000001" customHeight="1">
      <c r="B21" s="65">
        <v>13</v>
      </c>
      <c r="C21" s="208" t="s">
        <v>80</v>
      </c>
      <c r="D21" s="66" t="s">
        <v>252</v>
      </c>
    </row>
    <row r="22" spans="2:4" ht="20.100000000000001" customHeight="1">
      <c r="B22" s="65">
        <v>14</v>
      </c>
      <c r="C22" s="208" t="s">
        <v>81</v>
      </c>
      <c r="D22" s="66" t="s">
        <v>78</v>
      </c>
    </row>
    <row r="23" spans="2:4" ht="18.95" customHeight="1">
      <c r="B23" s="65">
        <v>15</v>
      </c>
      <c r="C23" s="208" t="s">
        <v>89</v>
      </c>
      <c r="D23" s="66" t="s">
        <v>231</v>
      </c>
    </row>
    <row r="24" spans="2:4" ht="18.95" customHeight="1">
      <c r="B24" s="65">
        <v>16</v>
      </c>
      <c r="C24" s="208" t="s">
        <v>106</v>
      </c>
      <c r="D24" s="66" t="s">
        <v>107</v>
      </c>
    </row>
    <row r="25" spans="2:4" ht="18.95" customHeight="1">
      <c r="B25" s="65">
        <v>17</v>
      </c>
      <c r="C25" s="208" t="s">
        <v>117</v>
      </c>
      <c r="D25" s="66" t="s">
        <v>108</v>
      </c>
    </row>
    <row r="26" spans="2:4" ht="18.95" customHeight="1">
      <c r="B26" s="65">
        <v>18</v>
      </c>
      <c r="C26" s="208" t="s">
        <v>251</v>
      </c>
      <c r="D26" s="66" t="s">
        <v>232</v>
      </c>
    </row>
  </sheetData>
  <mergeCells count="2">
    <mergeCell ref="B5:D5"/>
    <mergeCell ref="B6:D6"/>
  </mergeCells>
  <phoneticPr fontId="6" type="noConversion"/>
  <hyperlinks>
    <hyperlink ref="C9" location="'A7.1.Muc tieu Công ty'!A1" display="A7.1" xr:uid="{00000000-0004-0000-0000-000000000000}"/>
    <hyperlink ref="C10" location="'A7.2.Mục tiêu tổng hợp'!A1" display="A7.2" xr:uid="{00000000-0004-0000-0000-000001000000}"/>
    <hyperlink ref="C11" location="'A7.3.Mục tiêu Phòng Năm'!A1" display="A7.3" xr:uid="{00000000-0004-0000-0000-000002000000}"/>
    <hyperlink ref="C12" location="'A7.4.Mục tiêu Phòng Quý'!A1" display="A7.4" xr:uid="{00000000-0004-0000-0000-000003000000}"/>
    <hyperlink ref="C13" location="'A7.5.Mục tiêu Phòng Tháng'!A1" display="A7.5" xr:uid="{00000000-0004-0000-0000-000004000000}"/>
    <hyperlink ref="C14" location="'A7.6.Mục tiêu NV Năm'!A1" display="A7.6" xr:uid="{00000000-0004-0000-0000-000005000000}"/>
    <hyperlink ref="C15" location="'A7.7.Mục tiêu Nhân viên Quý'!A1" display="A7.7" xr:uid="{00000000-0004-0000-0000-000006000000}"/>
    <hyperlink ref="C16" location="'A7.8.KPI Cong ty Nam'!A1" display="A7.8" xr:uid="{00000000-0004-0000-0000-000007000000}"/>
    <hyperlink ref="C17" location="'A7.9.KPI Phòng Năm'!A1" display="A7.9" xr:uid="{00000000-0004-0000-0000-000008000000}"/>
    <hyperlink ref="C18" location="'A7.10.NH KPI CÁ NHÂN'!A1" display="A7.10" xr:uid="{00000000-0004-0000-0000-000009000000}"/>
    <hyperlink ref="C19" location="'A7.11.KPI Cá nhân - Năm'!A1" display="A7.11" xr:uid="{00000000-0004-0000-0000-00000A000000}"/>
    <hyperlink ref="C20" location="'A7.12.KPI Quản lý - Năm'!A1" display="A7.12" xr:uid="{00000000-0004-0000-0000-00000B000000}"/>
    <hyperlink ref="C21" location="'A7.13.KPI TP Tháng. Quý '!A1" display="A7.13" xr:uid="{00000000-0004-0000-0000-00000C000000}"/>
    <hyperlink ref="C22" location="'A7.14.KPI Ca nhan Tháng.Quý'!A1" display="A7.14" xr:uid="{00000000-0004-0000-0000-00000D000000}"/>
    <hyperlink ref="C23" location="'A7.15.Tiêu chí thái độ hành vi'!A1" display="A7.15" xr:uid="{00000000-0004-0000-0000-00000E000000}"/>
    <hyperlink ref="C24" location="'A7.16.Tổng hợp KPI cá nhân -Quý'!A1" display="A7.16" xr:uid="{00000000-0004-0000-0000-00000F000000}"/>
    <hyperlink ref="C25" location="'A7.17.Tổng hợp KPI cá nhân -Năm'!A1" display="A7.17" xr:uid="{00000000-0004-0000-0000-000010000000}"/>
    <hyperlink ref="C26" location="'A7.18.Tổng hợp KPI Phòng'!A1" display="A7.18" xr:uid="{00000000-0004-0000-0000-000011000000}"/>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F45"/>
  <sheetViews>
    <sheetView showGridLines="0" topLeftCell="A9" zoomScale="188" zoomScaleNormal="120" workbookViewId="0">
      <selection activeCell="C22" sqref="C22"/>
    </sheetView>
  </sheetViews>
  <sheetFormatPr defaultColWidth="8.875" defaultRowHeight="12.75"/>
  <cols>
    <col min="1" max="1" width="1.125" style="11" customWidth="1"/>
    <col min="2" max="2" width="7.5" style="11" customWidth="1"/>
    <col min="3" max="3" width="71.5" style="11" customWidth="1"/>
    <col min="4" max="4" width="10" style="17" customWidth="1"/>
    <col min="5" max="5" width="8.875" style="11"/>
    <col min="6" max="6" width="8.625" style="11" customWidth="1"/>
    <col min="7" max="187" width="8.875" style="11"/>
    <col min="188" max="188" width="5" style="11" customWidth="1"/>
    <col min="189" max="189" width="33.375" style="11" customWidth="1"/>
    <col min="190" max="190" width="6.5" style="11" customWidth="1"/>
    <col min="191" max="191" width="29.5" style="11" customWidth="1"/>
    <col min="192" max="192" width="23.625" style="11" customWidth="1"/>
    <col min="193" max="193" width="8" style="11" customWidth="1"/>
    <col min="194" max="194" width="9.125" style="11" customWidth="1"/>
    <col min="195" max="195" width="13.875" style="11" customWidth="1"/>
    <col min="196" max="196" width="13.5" style="11" customWidth="1"/>
    <col min="197" max="443" width="8.875" style="11"/>
    <col min="444" max="444" width="5" style="11" customWidth="1"/>
    <col min="445" max="445" width="33.375" style="11" customWidth="1"/>
    <col min="446" max="446" width="6.5" style="11" customWidth="1"/>
    <col min="447" max="447" width="29.5" style="11" customWidth="1"/>
    <col min="448" max="448" width="23.625" style="11" customWidth="1"/>
    <col min="449" max="449" width="8" style="11" customWidth="1"/>
    <col min="450" max="450" width="9.125" style="11" customWidth="1"/>
    <col min="451" max="451" width="13.875" style="11" customWidth="1"/>
    <col min="452" max="452" width="13.5" style="11" customWidth="1"/>
    <col min="453" max="699" width="8.875" style="11"/>
    <col min="700" max="700" width="5" style="11" customWidth="1"/>
    <col min="701" max="701" width="33.375" style="11" customWidth="1"/>
    <col min="702" max="702" width="6.5" style="11" customWidth="1"/>
    <col min="703" max="703" width="29.5" style="11" customWidth="1"/>
    <col min="704" max="704" width="23.625" style="11" customWidth="1"/>
    <col min="705" max="705" width="8" style="11" customWidth="1"/>
    <col min="706" max="706" width="9.125" style="11" customWidth="1"/>
    <col min="707" max="707" width="13.875" style="11" customWidth="1"/>
    <col min="708" max="708" width="13.5" style="11" customWidth="1"/>
    <col min="709" max="955" width="8.875" style="11"/>
    <col min="956" max="956" width="5" style="11" customWidth="1"/>
    <col min="957" max="957" width="33.375" style="11" customWidth="1"/>
    <col min="958" max="958" width="6.5" style="11" customWidth="1"/>
    <col min="959" max="959" width="29.5" style="11" customWidth="1"/>
    <col min="960" max="960" width="23.625" style="11" customWidth="1"/>
    <col min="961" max="961" width="8" style="11" customWidth="1"/>
    <col min="962" max="962" width="9.125" style="11" customWidth="1"/>
    <col min="963" max="963" width="13.875" style="11" customWidth="1"/>
    <col min="964" max="964" width="13.5" style="11" customWidth="1"/>
    <col min="965" max="1211" width="8.875" style="11"/>
    <col min="1212" max="1212" width="5" style="11" customWidth="1"/>
    <col min="1213" max="1213" width="33.375" style="11" customWidth="1"/>
    <col min="1214" max="1214" width="6.5" style="11" customWidth="1"/>
    <col min="1215" max="1215" width="29.5" style="11" customWidth="1"/>
    <col min="1216" max="1216" width="23.625" style="11" customWidth="1"/>
    <col min="1217" max="1217" width="8" style="11" customWidth="1"/>
    <col min="1218" max="1218" width="9.125" style="11" customWidth="1"/>
    <col min="1219" max="1219" width="13.875" style="11" customWidth="1"/>
    <col min="1220" max="1220" width="13.5" style="11" customWidth="1"/>
    <col min="1221" max="1467" width="8.875" style="11"/>
    <col min="1468" max="1468" width="5" style="11" customWidth="1"/>
    <col min="1469" max="1469" width="33.375" style="11" customWidth="1"/>
    <col min="1470" max="1470" width="6.5" style="11" customWidth="1"/>
    <col min="1471" max="1471" width="29.5" style="11" customWidth="1"/>
    <col min="1472" max="1472" width="23.625" style="11" customWidth="1"/>
    <col min="1473" max="1473" width="8" style="11" customWidth="1"/>
    <col min="1474" max="1474" width="9.125" style="11" customWidth="1"/>
    <col min="1475" max="1475" width="13.875" style="11" customWidth="1"/>
    <col min="1476" max="1476" width="13.5" style="11" customWidth="1"/>
    <col min="1477" max="1723" width="8.875" style="11"/>
    <col min="1724" max="1724" width="5" style="11" customWidth="1"/>
    <col min="1725" max="1725" width="33.375" style="11" customWidth="1"/>
    <col min="1726" max="1726" width="6.5" style="11" customWidth="1"/>
    <col min="1727" max="1727" width="29.5" style="11" customWidth="1"/>
    <col min="1728" max="1728" width="23.625" style="11" customWidth="1"/>
    <col min="1729" max="1729" width="8" style="11" customWidth="1"/>
    <col min="1730" max="1730" width="9.125" style="11" customWidth="1"/>
    <col min="1731" max="1731" width="13.875" style="11" customWidth="1"/>
    <col min="1732" max="1732" width="13.5" style="11" customWidth="1"/>
    <col min="1733" max="1979" width="8.875" style="11"/>
    <col min="1980" max="1980" width="5" style="11" customWidth="1"/>
    <col min="1981" max="1981" width="33.375" style="11" customWidth="1"/>
    <col min="1982" max="1982" width="6.5" style="11" customWidth="1"/>
    <col min="1983" max="1983" width="29.5" style="11" customWidth="1"/>
    <col min="1984" max="1984" width="23.625" style="11" customWidth="1"/>
    <col min="1985" max="1985" width="8" style="11" customWidth="1"/>
    <col min="1986" max="1986" width="9.125" style="11" customWidth="1"/>
    <col min="1987" max="1987" width="13.875" style="11" customWidth="1"/>
    <col min="1988" max="1988" width="13.5" style="11" customWidth="1"/>
    <col min="1989" max="2235" width="8.875" style="11"/>
    <col min="2236" max="2236" width="5" style="11" customWidth="1"/>
    <col min="2237" max="2237" width="33.375" style="11" customWidth="1"/>
    <col min="2238" max="2238" width="6.5" style="11" customWidth="1"/>
    <col min="2239" max="2239" width="29.5" style="11" customWidth="1"/>
    <col min="2240" max="2240" width="23.625" style="11" customWidth="1"/>
    <col min="2241" max="2241" width="8" style="11" customWidth="1"/>
    <col min="2242" max="2242" width="9.125" style="11" customWidth="1"/>
    <col min="2243" max="2243" width="13.875" style="11" customWidth="1"/>
    <col min="2244" max="2244" width="13.5" style="11" customWidth="1"/>
    <col min="2245" max="2491" width="8.875" style="11"/>
    <col min="2492" max="2492" width="5" style="11" customWidth="1"/>
    <col min="2493" max="2493" width="33.375" style="11" customWidth="1"/>
    <col min="2494" max="2494" width="6.5" style="11" customWidth="1"/>
    <col min="2495" max="2495" width="29.5" style="11" customWidth="1"/>
    <col min="2496" max="2496" width="23.625" style="11" customWidth="1"/>
    <col min="2497" max="2497" width="8" style="11" customWidth="1"/>
    <col min="2498" max="2498" width="9.125" style="11" customWidth="1"/>
    <col min="2499" max="2499" width="13.875" style="11" customWidth="1"/>
    <col min="2500" max="2500" width="13.5" style="11" customWidth="1"/>
    <col min="2501" max="2747" width="8.875" style="11"/>
    <col min="2748" max="2748" width="5" style="11" customWidth="1"/>
    <col min="2749" max="2749" width="33.375" style="11" customWidth="1"/>
    <col min="2750" max="2750" width="6.5" style="11" customWidth="1"/>
    <col min="2751" max="2751" width="29.5" style="11" customWidth="1"/>
    <col min="2752" max="2752" width="23.625" style="11" customWidth="1"/>
    <col min="2753" max="2753" width="8" style="11" customWidth="1"/>
    <col min="2754" max="2754" width="9.125" style="11" customWidth="1"/>
    <col min="2755" max="2755" width="13.875" style="11" customWidth="1"/>
    <col min="2756" max="2756" width="13.5" style="11" customWidth="1"/>
    <col min="2757" max="3003" width="8.875" style="11"/>
    <col min="3004" max="3004" width="5" style="11" customWidth="1"/>
    <col min="3005" max="3005" width="33.375" style="11" customWidth="1"/>
    <col min="3006" max="3006" width="6.5" style="11" customWidth="1"/>
    <col min="3007" max="3007" width="29.5" style="11" customWidth="1"/>
    <col min="3008" max="3008" width="23.625" style="11" customWidth="1"/>
    <col min="3009" max="3009" width="8" style="11" customWidth="1"/>
    <col min="3010" max="3010" width="9.125" style="11" customWidth="1"/>
    <col min="3011" max="3011" width="13.875" style="11" customWidth="1"/>
    <col min="3012" max="3012" width="13.5" style="11" customWidth="1"/>
    <col min="3013" max="3259" width="8.875" style="11"/>
    <col min="3260" max="3260" width="5" style="11" customWidth="1"/>
    <col min="3261" max="3261" width="33.375" style="11" customWidth="1"/>
    <col min="3262" max="3262" width="6.5" style="11" customWidth="1"/>
    <col min="3263" max="3263" width="29.5" style="11" customWidth="1"/>
    <col min="3264" max="3264" width="23.625" style="11" customWidth="1"/>
    <col min="3265" max="3265" width="8" style="11" customWidth="1"/>
    <col min="3266" max="3266" width="9.125" style="11" customWidth="1"/>
    <col min="3267" max="3267" width="13.875" style="11" customWidth="1"/>
    <col min="3268" max="3268" width="13.5" style="11" customWidth="1"/>
    <col min="3269" max="3515" width="8.875" style="11"/>
    <col min="3516" max="3516" width="5" style="11" customWidth="1"/>
    <col min="3517" max="3517" width="33.375" style="11" customWidth="1"/>
    <col min="3518" max="3518" width="6.5" style="11" customWidth="1"/>
    <col min="3519" max="3519" width="29.5" style="11" customWidth="1"/>
    <col min="3520" max="3520" width="23.625" style="11" customWidth="1"/>
    <col min="3521" max="3521" width="8" style="11" customWidth="1"/>
    <col min="3522" max="3522" width="9.125" style="11" customWidth="1"/>
    <col min="3523" max="3523" width="13.875" style="11" customWidth="1"/>
    <col min="3524" max="3524" width="13.5" style="11" customWidth="1"/>
    <col min="3525" max="3771" width="8.875" style="11"/>
    <col min="3772" max="3772" width="5" style="11" customWidth="1"/>
    <col min="3773" max="3773" width="33.375" style="11" customWidth="1"/>
    <col min="3774" max="3774" width="6.5" style="11" customWidth="1"/>
    <col min="3775" max="3775" width="29.5" style="11" customWidth="1"/>
    <col min="3776" max="3776" width="23.625" style="11" customWidth="1"/>
    <col min="3777" max="3777" width="8" style="11" customWidth="1"/>
    <col min="3778" max="3778" width="9.125" style="11" customWidth="1"/>
    <col min="3779" max="3779" width="13.875" style="11" customWidth="1"/>
    <col min="3780" max="3780" width="13.5" style="11" customWidth="1"/>
    <col min="3781" max="4027" width="8.875" style="11"/>
    <col min="4028" max="4028" width="5" style="11" customWidth="1"/>
    <col min="4029" max="4029" width="33.375" style="11" customWidth="1"/>
    <col min="4030" max="4030" width="6.5" style="11" customWidth="1"/>
    <col min="4031" max="4031" width="29.5" style="11" customWidth="1"/>
    <col min="4032" max="4032" width="23.625" style="11" customWidth="1"/>
    <col min="4033" max="4033" width="8" style="11" customWidth="1"/>
    <col min="4034" max="4034" width="9.125" style="11" customWidth="1"/>
    <col min="4035" max="4035" width="13.875" style="11" customWidth="1"/>
    <col min="4036" max="4036" width="13.5" style="11" customWidth="1"/>
    <col min="4037" max="4283" width="8.875" style="11"/>
    <col min="4284" max="4284" width="5" style="11" customWidth="1"/>
    <col min="4285" max="4285" width="33.375" style="11" customWidth="1"/>
    <col min="4286" max="4286" width="6.5" style="11" customWidth="1"/>
    <col min="4287" max="4287" width="29.5" style="11" customWidth="1"/>
    <col min="4288" max="4288" width="23.625" style="11" customWidth="1"/>
    <col min="4289" max="4289" width="8" style="11" customWidth="1"/>
    <col min="4290" max="4290" width="9.125" style="11" customWidth="1"/>
    <col min="4291" max="4291" width="13.875" style="11" customWidth="1"/>
    <col min="4292" max="4292" width="13.5" style="11" customWidth="1"/>
    <col min="4293" max="4539" width="8.875" style="11"/>
    <col min="4540" max="4540" width="5" style="11" customWidth="1"/>
    <col min="4541" max="4541" width="33.375" style="11" customWidth="1"/>
    <col min="4542" max="4542" width="6.5" style="11" customWidth="1"/>
    <col min="4543" max="4543" width="29.5" style="11" customWidth="1"/>
    <col min="4544" max="4544" width="23.625" style="11" customWidth="1"/>
    <col min="4545" max="4545" width="8" style="11" customWidth="1"/>
    <col min="4546" max="4546" width="9.125" style="11" customWidth="1"/>
    <col min="4547" max="4547" width="13.875" style="11" customWidth="1"/>
    <col min="4548" max="4548" width="13.5" style="11" customWidth="1"/>
    <col min="4549" max="4795" width="8.875" style="11"/>
    <col min="4796" max="4796" width="5" style="11" customWidth="1"/>
    <col min="4797" max="4797" width="33.375" style="11" customWidth="1"/>
    <col min="4798" max="4798" width="6.5" style="11" customWidth="1"/>
    <col min="4799" max="4799" width="29.5" style="11" customWidth="1"/>
    <col min="4800" max="4800" width="23.625" style="11" customWidth="1"/>
    <col min="4801" max="4801" width="8" style="11" customWidth="1"/>
    <col min="4802" max="4802" width="9.125" style="11" customWidth="1"/>
    <col min="4803" max="4803" width="13.875" style="11" customWidth="1"/>
    <col min="4804" max="4804" width="13.5" style="11" customWidth="1"/>
    <col min="4805" max="5051" width="8.875" style="11"/>
    <col min="5052" max="5052" width="5" style="11" customWidth="1"/>
    <col min="5053" max="5053" width="33.375" style="11" customWidth="1"/>
    <col min="5054" max="5054" width="6.5" style="11" customWidth="1"/>
    <col min="5055" max="5055" width="29.5" style="11" customWidth="1"/>
    <col min="5056" max="5056" width="23.625" style="11" customWidth="1"/>
    <col min="5057" max="5057" width="8" style="11" customWidth="1"/>
    <col min="5058" max="5058" width="9.125" style="11" customWidth="1"/>
    <col min="5059" max="5059" width="13.875" style="11" customWidth="1"/>
    <col min="5060" max="5060" width="13.5" style="11" customWidth="1"/>
    <col min="5061" max="5307" width="8.875" style="11"/>
    <col min="5308" max="5308" width="5" style="11" customWidth="1"/>
    <col min="5309" max="5309" width="33.375" style="11" customWidth="1"/>
    <col min="5310" max="5310" width="6.5" style="11" customWidth="1"/>
    <col min="5311" max="5311" width="29.5" style="11" customWidth="1"/>
    <col min="5312" max="5312" width="23.625" style="11" customWidth="1"/>
    <col min="5313" max="5313" width="8" style="11" customWidth="1"/>
    <col min="5314" max="5314" width="9.125" style="11" customWidth="1"/>
    <col min="5315" max="5315" width="13.875" style="11" customWidth="1"/>
    <col min="5316" max="5316" width="13.5" style="11" customWidth="1"/>
    <col min="5317" max="5563" width="8.875" style="11"/>
    <col min="5564" max="5564" width="5" style="11" customWidth="1"/>
    <col min="5565" max="5565" width="33.375" style="11" customWidth="1"/>
    <col min="5566" max="5566" width="6.5" style="11" customWidth="1"/>
    <col min="5567" max="5567" width="29.5" style="11" customWidth="1"/>
    <col min="5568" max="5568" width="23.625" style="11" customWidth="1"/>
    <col min="5569" max="5569" width="8" style="11" customWidth="1"/>
    <col min="5570" max="5570" width="9.125" style="11" customWidth="1"/>
    <col min="5571" max="5571" width="13.875" style="11" customWidth="1"/>
    <col min="5572" max="5572" width="13.5" style="11" customWidth="1"/>
    <col min="5573" max="5819" width="8.875" style="11"/>
    <col min="5820" max="5820" width="5" style="11" customWidth="1"/>
    <col min="5821" max="5821" width="33.375" style="11" customWidth="1"/>
    <col min="5822" max="5822" width="6.5" style="11" customWidth="1"/>
    <col min="5823" max="5823" width="29.5" style="11" customWidth="1"/>
    <col min="5824" max="5824" width="23.625" style="11" customWidth="1"/>
    <col min="5825" max="5825" width="8" style="11" customWidth="1"/>
    <col min="5826" max="5826" width="9.125" style="11" customWidth="1"/>
    <col min="5827" max="5827" width="13.875" style="11" customWidth="1"/>
    <col min="5828" max="5828" width="13.5" style="11" customWidth="1"/>
    <col min="5829" max="6075" width="8.875" style="11"/>
    <col min="6076" max="6076" width="5" style="11" customWidth="1"/>
    <col min="6077" max="6077" width="33.375" style="11" customWidth="1"/>
    <col min="6078" max="6078" width="6.5" style="11" customWidth="1"/>
    <col min="6079" max="6079" width="29.5" style="11" customWidth="1"/>
    <col min="6080" max="6080" width="23.625" style="11" customWidth="1"/>
    <col min="6081" max="6081" width="8" style="11" customWidth="1"/>
    <col min="6082" max="6082" width="9.125" style="11" customWidth="1"/>
    <col min="6083" max="6083" width="13.875" style="11" customWidth="1"/>
    <col min="6084" max="6084" width="13.5" style="11" customWidth="1"/>
    <col min="6085" max="6331" width="8.875" style="11"/>
    <col min="6332" max="6332" width="5" style="11" customWidth="1"/>
    <col min="6333" max="6333" width="33.375" style="11" customWidth="1"/>
    <col min="6334" max="6334" width="6.5" style="11" customWidth="1"/>
    <col min="6335" max="6335" width="29.5" style="11" customWidth="1"/>
    <col min="6336" max="6336" width="23.625" style="11" customWidth="1"/>
    <col min="6337" max="6337" width="8" style="11" customWidth="1"/>
    <col min="6338" max="6338" width="9.125" style="11" customWidth="1"/>
    <col min="6339" max="6339" width="13.875" style="11" customWidth="1"/>
    <col min="6340" max="6340" width="13.5" style="11" customWidth="1"/>
    <col min="6341" max="6587" width="8.875" style="11"/>
    <col min="6588" max="6588" width="5" style="11" customWidth="1"/>
    <col min="6589" max="6589" width="33.375" style="11" customWidth="1"/>
    <col min="6590" max="6590" width="6.5" style="11" customWidth="1"/>
    <col min="6591" max="6591" width="29.5" style="11" customWidth="1"/>
    <col min="6592" max="6592" width="23.625" style="11" customWidth="1"/>
    <col min="6593" max="6593" width="8" style="11" customWidth="1"/>
    <col min="6594" max="6594" width="9.125" style="11" customWidth="1"/>
    <col min="6595" max="6595" width="13.875" style="11" customWidth="1"/>
    <col min="6596" max="6596" width="13.5" style="11" customWidth="1"/>
    <col min="6597" max="6843" width="8.875" style="11"/>
    <col min="6844" max="6844" width="5" style="11" customWidth="1"/>
    <col min="6845" max="6845" width="33.375" style="11" customWidth="1"/>
    <col min="6846" max="6846" width="6.5" style="11" customWidth="1"/>
    <col min="6847" max="6847" width="29.5" style="11" customWidth="1"/>
    <col min="6848" max="6848" width="23.625" style="11" customWidth="1"/>
    <col min="6849" max="6849" width="8" style="11" customWidth="1"/>
    <col min="6850" max="6850" width="9.125" style="11" customWidth="1"/>
    <col min="6851" max="6851" width="13.875" style="11" customWidth="1"/>
    <col min="6852" max="6852" width="13.5" style="11" customWidth="1"/>
    <col min="6853" max="7099" width="8.875" style="11"/>
    <col min="7100" max="7100" width="5" style="11" customWidth="1"/>
    <col min="7101" max="7101" width="33.375" style="11" customWidth="1"/>
    <col min="7102" max="7102" width="6.5" style="11" customWidth="1"/>
    <col min="7103" max="7103" width="29.5" style="11" customWidth="1"/>
    <col min="7104" max="7104" width="23.625" style="11" customWidth="1"/>
    <col min="7105" max="7105" width="8" style="11" customWidth="1"/>
    <col min="7106" max="7106" width="9.125" style="11" customWidth="1"/>
    <col min="7107" max="7107" width="13.875" style="11" customWidth="1"/>
    <col min="7108" max="7108" width="13.5" style="11" customWidth="1"/>
    <col min="7109" max="7355" width="8.875" style="11"/>
    <col min="7356" max="7356" width="5" style="11" customWidth="1"/>
    <col min="7357" max="7357" width="33.375" style="11" customWidth="1"/>
    <col min="7358" max="7358" width="6.5" style="11" customWidth="1"/>
    <col min="7359" max="7359" width="29.5" style="11" customWidth="1"/>
    <col min="7360" max="7360" width="23.625" style="11" customWidth="1"/>
    <col min="7361" max="7361" width="8" style="11" customWidth="1"/>
    <col min="7362" max="7362" width="9.125" style="11" customWidth="1"/>
    <col min="7363" max="7363" width="13.875" style="11" customWidth="1"/>
    <col min="7364" max="7364" width="13.5" style="11" customWidth="1"/>
    <col min="7365" max="7611" width="8.875" style="11"/>
    <col min="7612" max="7612" width="5" style="11" customWidth="1"/>
    <col min="7613" max="7613" width="33.375" style="11" customWidth="1"/>
    <col min="7614" max="7614" width="6.5" style="11" customWidth="1"/>
    <col min="7615" max="7615" width="29.5" style="11" customWidth="1"/>
    <col min="7616" max="7616" width="23.625" style="11" customWidth="1"/>
    <col min="7617" max="7617" width="8" style="11" customWidth="1"/>
    <col min="7618" max="7618" width="9.125" style="11" customWidth="1"/>
    <col min="7619" max="7619" width="13.875" style="11" customWidth="1"/>
    <col min="7620" max="7620" width="13.5" style="11" customWidth="1"/>
    <col min="7621" max="7867" width="8.875" style="11"/>
    <col min="7868" max="7868" width="5" style="11" customWidth="1"/>
    <col min="7869" max="7869" width="33.375" style="11" customWidth="1"/>
    <col min="7870" max="7870" width="6.5" style="11" customWidth="1"/>
    <col min="7871" max="7871" width="29.5" style="11" customWidth="1"/>
    <col min="7872" max="7872" width="23.625" style="11" customWidth="1"/>
    <col min="7873" max="7873" width="8" style="11" customWidth="1"/>
    <col min="7874" max="7874" width="9.125" style="11" customWidth="1"/>
    <col min="7875" max="7875" width="13.875" style="11" customWidth="1"/>
    <col min="7876" max="7876" width="13.5" style="11" customWidth="1"/>
    <col min="7877" max="8123" width="8.875" style="11"/>
    <col min="8124" max="8124" width="5" style="11" customWidth="1"/>
    <col min="8125" max="8125" width="33.375" style="11" customWidth="1"/>
    <col min="8126" max="8126" width="6.5" style="11" customWidth="1"/>
    <col min="8127" max="8127" width="29.5" style="11" customWidth="1"/>
    <col min="8128" max="8128" width="23.625" style="11" customWidth="1"/>
    <col min="8129" max="8129" width="8" style="11" customWidth="1"/>
    <col min="8130" max="8130" width="9.125" style="11" customWidth="1"/>
    <col min="8131" max="8131" width="13.875" style="11" customWidth="1"/>
    <col min="8132" max="8132" width="13.5" style="11" customWidth="1"/>
    <col min="8133" max="8379" width="8.875" style="11"/>
    <col min="8380" max="8380" width="5" style="11" customWidth="1"/>
    <col min="8381" max="8381" width="33.375" style="11" customWidth="1"/>
    <col min="8382" max="8382" width="6.5" style="11" customWidth="1"/>
    <col min="8383" max="8383" width="29.5" style="11" customWidth="1"/>
    <col min="8384" max="8384" width="23.625" style="11" customWidth="1"/>
    <col min="8385" max="8385" width="8" style="11" customWidth="1"/>
    <col min="8386" max="8386" width="9.125" style="11" customWidth="1"/>
    <col min="8387" max="8387" width="13.875" style="11" customWidth="1"/>
    <col min="8388" max="8388" width="13.5" style="11" customWidth="1"/>
    <col min="8389" max="8635" width="8.875" style="11"/>
    <col min="8636" max="8636" width="5" style="11" customWidth="1"/>
    <col min="8637" max="8637" width="33.375" style="11" customWidth="1"/>
    <col min="8638" max="8638" width="6.5" style="11" customWidth="1"/>
    <col min="8639" max="8639" width="29.5" style="11" customWidth="1"/>
    <col min="8640" max="8640" width="23.625" style="11" customWidth="1"/>
    <col min="8641" max="8641" width="8" style="11" customWidth="1"/>
    <col min="8642" max="8642" width="9.125" style="11" customWidth="1"/>
    <col min="8643" max="8643" width="13.875" style="11" customWidth="1"/>
    <col min="8644" max="8644" width="13.5" style="11" customWidth="1"/>
    <col min="8645" max="8891" width="8.875" style="11"/>
    <col min="8892" max="8892" width="5" style="11" customWidth="1"/>
    <col min="8893" max="8893" width="33.375" style="11" customWidth="1"/>
    <col min="8894" max="8894" width="6.5" style="11" customWidth="1"/>
    <col min="8895" max="8895" width="29.5" style="11" customWidth="1"/>
    <col min="8896" max="8896" width="23.625" style="11" customWidth="1"/>
    <col min="8897" max="8897" width="8" style="11" customWidth="1"/>
    <col min="8898" max="8898" width="9.125" style="11" customWidth="1"/>
    <col min="8899" max="8899" width="13.875" style="11" customWidth="1"/>
    <col min="8900" max="8900" width="13.5" style="11" customWidth="1"/>
    <col min="8901" max="9147" width="8.875" style="11"/>
    <col min="9148" max="9148" width="5" style="11" customWidth="1"/>
    <col min="9149" max="9149" width="33.375" style="11" customWidth="1"/>
    <col min="9150" max="9150" width="6.5" style="11" customWidth="1"/>
    <col min="9151" max="9151" width="29.5" style="11" customWidth="1"/>
    <col min="9152" max="9152" width="23.625" style="11" customWidth="1"/>
    <col min="9153" max="9153" width="8" style="11" customWidth="1"/>
    <col min="9154" max="9154" width="9.125" style="11" customWidth="1"/>
    <col min="9155" max="9155" width="13.875" style="11" customWidth="1"/>
    <col min="9156" max="9156" width="13.5" style="11" customWidth="1"/>
    <col min="9157" max="9403" width="8.875" style="11"/>
    <col min="9404" max="9404" width="5" style="11" customWidth="1"/>
    <col min="9405" max="9405" width="33.375" style="11" customWidth="1"/>
    <col min="9406" max="9406" width="6.5" style="11" customWidth="1"/>
    <col min="9407" max="9407" width="29.5" style="11" customWidth="1"/>
    <col min="9408" max="9408" width="23.625" style="11" customWidth="1"/>
    <col min="9409" max="9409" width="8" style="11" customWidth="1"/>
    <col min="9410" max="9410" width="9.125" style="11" customWidth="1"/>
    <col min="9411" max="9411" width="13.875" style="11" customWidth="1"/>
    <col min="9412" max="9412" width="13.5" style="11" customWidth="1"/>
    <col min="9413" max="9659" width="8.875" style="11"/>
    <col min="9660" max="9660" width="5" style="11" customWidth="1"/>
    <col min="9661" max="9661" width="33.375" style="11" customWidth="1"/>
    <col min="9662" max="9662" width="6.5" style="11" customWidth="1"/>
    <col min="9663" max="9663" width="29.5" style="11" customWidth="1"/>
    <col min="9664" max="9664" width="23.625" style="11" customWidth="1"/>
    <col min="9665" max="9665" width="8" style="11" customWidth="1"/>
    <col min="9666" max="9666" width="9.125" style="11" customWidth="1"/>
    <col min="9667" max="9667" width="13.875" style="11" customWidth="1"/>
    <col min="9668" max="9668" width="13.5" style="11" customWidth="1"/>
    <col min="9669" max="9915" width="8.875" style="11"/>
    <col min="9916" max="9916" width="5" style="11" customWidth="1"/>
    <col min="9917" max="9917" width="33.375" style="11" customWidth="1"/>
    <col min="9918" max="9918" width="6.5" style="11" customWidth="1"/>
    <col min="9919" max="9919" width="29.5" style="11" customWidth="1"/>
    <col min="9920" max="9920" width="23.625" style="11" customWidth="1"/>
    <col min="9921" max="9921" width="8" style="11" customWidth="1"/>
    <col min="9922" max="9922" width="9.125" style="11" customWidth="1"/>
    <col min="9923" max="9923" width="13.875" style="11" customWidth="1"/>
    <col min="9924" max="9924" width="13.5" style="11" customWidth="1"/>
    <col min="9925" max="10171" width="8.875" style="11"/>
    <col min="10172" max="10172" width="5" style="11" customWidth="1"/>
    <col min="10173" max="10173" width="33.375" style="11" customWidth="1"/>
    <col min="10174" max="10174" width="6.5" style="11" customWidth="1"/>
    <col min="10175" max="10175" width="29.5" style="11" customWidth="1"/>
    <col min="10176" max="10176" width="23.625" style="11" customWidth="1"/>
    <col min="10177" max="10177" width="8" style="11" customWidth="1"/>
    <col min="10178" max="10178" width="9.125" style="11" customWidth="1"/>
    <col min="10179" max="10179" width="13.875" style="11" customWidth="1"/>
    <col min="10180" max="10180" width="13.5" style="11" customWidth="1"/>
    <col min="10181" max="10427" width="8.875" style="11"/>
    <col min="10428" max="10428" width="5" style="11" customWidth="1"/>
    <col min="10429" max="10429" width="33.375" style="11" customWidth="1"/>
    <col min="10430" max="10430" width="6.5" style="11" customWidth="1"/>
    <col min="10431" max="10431" width="29.5" style="11" customWidth="1"/>
    <col min="10432" max="10432" width="23.625" style="11" customWidth="1"/>
    <col min="10433" max="10433" width="8" style="11" customWidth="1"/>
    <col min="10434" max="10434" width="9.125" style="11" customWidth="1"/>
    <col min="10435" max="10435" width="13.875" style="11" customWidth="1"/>
    <col min="10436" max="10436" width="13.5" style="11" customWidth="1"/>
    <col min="10437" max="10683" width="8.875" style="11"/>
    <col min="10684" max="10684" width="5" style="11" customWidth="1"/>
    <col min="10685" max="10685" width="33.375" style="11" customWidth="1"/>
    <col min="10686" max="10686" width="6.5" style="11" customWidth="1"/>
    <col min="10687" max="10687" width="29.5" style="11" customWidth="1"/>
    <col min="10688" max="10688" width="23.625" style="11" customWidth="1"/>
    <col min="10689" max="10689" width="8" style="11" customWidth="1"/>
    <col min="10690" max="10690" width="9.125" style="11" customWidth="1"/>
    <col min="10691" max="10691" width="13.875" style="11" customWidth="1"/>
    <col min="10692" max="10692" width="13.5" style="11" customWidth="1"/>
    <col min="10693" max="10939" width="8.875" style="11"/>
    <col min="10940" max="10940" width="5" style="11" customWidth="1"/>
    <col min="10941" max="10941" width="33.375" style="11" customWidth="1"/>
    <col min="10942" max="10942" width="6.5" style="11" customWidth="1"/>
    <col min="10943" max="10943" width="29.5" style="11" customWidth="1"/>
    <col min="10944" max="10944" width="23.625" style="11" customWidth="1"/>
    <col min="10945" max="10945" width="8" style="11" customWidth="1"/>
    <col min="10946" max="10946" width="9.125" style="11" customWidth="1"/>
    <col min="10947" max="10947" width="13.875" style="11" customWidth="1"/>
    <col min="10948" max="10948" width="13.5" style="11" customWidth="1"/>
    <col min="10949" max="11195" width="8.875" style="11"/>
    <col min="11196" max="11196" width="5" style="11" customWidth="1"/>
    <col min="11197" max="11197" width="33.375" style="11" customWidth="1"/>
    <col min="11198" max="11198" width="6.5" style="11" customWidth="1"/>
    <col min="11199" max="11199" width="29.5" style="11" customWidth="1"/>
    <col min="11200" max="11200" width="23.625" style="11" customWidth="1"/>
    <col min="11201" max="11201" width="8" style="11" customWidth="1"/>
    <col min="11202" max="11202" width="9.125" style="11" customWidth="1"/>
    <col min="11203" max="11203" width="13.875" style="11" customWidth="1"/>
    <col min="11204" max="11204" width="13.5" style="11" customWidth="1"/>
    <col min="11205" max="11451" width="8.875" style="11"/>
    <col min="11452" max="11452" width="5" style="11" customWidth="1"/>
    <col min="11453" max="11453" width="33.375" style="11" customWidth="1"/>
    <col min="11454" max="11454" width="6.5" style="11" customWidth="1"/>
    <col min="11455" max="11455" width="29.5" style="11" customWidth="1"/>
    <col min="11456" max="11456" width="23.625" style="11" customWidth="1"/>
    <col min="11457" max="11457" width="8" style="11" customWidth="1"/>
    <col min="11458" max="11458" width="9.125" style="11" customWidth="1"/>
    <col min="11459" max="11459" width="13.875" style="11" customWidth="1"/>
    <col min="11460" max="11460" width="13.5" style="11" customWidth="1"/>
    <col min="11461" max="11707" width="8.875" style="11"/>
    <col min="11708" max="11708" width="5" style="11" customWidth="1"/>
    <col min="11709" max="11709" width="33.375" style="11" customWidth="1"/>
    <col min="11710" max="11710" width="6.5" style="11" customWidth="1"/>
    <col min="11711" max="11711" width="29.5" style="11" customWidth="1"/>
    <col min="11712" max="11712" width="23.625" style="11" customWidth="1"/>
    <col min="11713" max="11713" width="8" style="11" customWidth="1"/>
    <col min="11714" max="11714" width="9.125" style="11" customWidth="1"/>
    <col min="11715" max="11715" width="13.875" style="11" customWidth="1"/>
    <col min="11716" max="11716" width="13.5" style="11" customWidth="1"/>
    <col min="11717" max="11963" width="8.875" style="11"/>
    <col min="11964" max="11964" width="5" style="11" customWidth="1"/>
    <col min="11965" max="11965" width="33.375" style="11" customWidth="1"/>
    <col min="11966" max="11966" width="6.5" style="11" customWidth="1"/>
    <col min="11967" max="11967" width="29.5" style="11" customWidth="1"/>
    <col min="11968" max="11968" width="23.625" style="11" customWidth="1"/>
    <col min="11969" max="11969" width="8" style="11" customWidth="1"/>
    <col min="11970" max="11970" width="9.125" style="11" customWidth="1"/>
    <col min="11971" max="11971" width="13.875" style="11" customWidth="1"/>
    <col min="11972" max="11972" width="13.5" style="11" customWidth="1"/>
    <col min="11973" max="12219" width="8.875" style="11"/>
    <col min="12220" max="12220" width="5" style="11" customWidth="1"/>
    <col min="12221" max="12221" width="33.375" style="11" customWidth="1"/>
    <col min="12222" max="12222" width="6.5" style="11" customWidth="1"/>
    <col min="12223" max="12223" width="29.5" style="11" customWidth="1"/>
    <col min="12224" max="12224" width="23.625" style="11" customWidth="1"/>
    <col min="12225" max="12225" width="8" style="11" customWidth="1"/>
    <col min="12226" max="12226" width="9.125" style="11" customWidth="1"/>
    <col min="12227" max="12227" width="13.875" style="11" customWidth="1"/>
    <col min="12228" max="12228" width="13.5" style="11" customWidth="1"/>
    <col min="12229" max="12475" width="8.875" style="11"/>
    <col min="12476" max="12476" width="5" style="11" customWidth="1"/>
    <col min="12477" max="12477" width="33.375" style="11" customWidth="1"/>
    <col min="12478" max="12478" width="6.5" style="11" customWidth="1"/>
    <col min="12479" max="12479" width="29.5" style="11" customWidth="1"/>
    <col min="12480" max="12480" width="23.625" style="11" customWidth="1"/>
    <col min="12481" max="12481" width="8" style="11" customWidth="1"/>
    <col min="12482" max="12482" width="9.125" style="11" customWidth="1"/>
    <col min="12483" max="12483" width="13.875" style="11" customWidth="1"/>
    <col min="12484" max="12484" width="13.5" style="11" customWidth="1"/>
    <col min="12485" max="12731" width="8.875" style="11"/>
    <col min="12732" max="12732" width="5" style="11" customWidth="1"/>
    <col min="12733" max="12733" width="33.375" style="11" customWidth="1"/>
    <col min="12734" max="12734" width="6.5" style="11" customWidth="1"/>
    <col min="12735" max="12735" width="29.5" style="11" customWidth="1"/>
    <col min="12736" max="12736" width="23.625" style="11" customWidth="1"/>
    <col min="12737" max="12737" width="8" style="11" customWidth="1"/>
    <col min="12738" max="12738" width="9.125" style="11" customWidth="1"/>
    <col min="12739" max="12739" width="13.875" style="11" customWidth="1"/>
    <col min="12740" max="12740" width="13.5" style="11" customWidth="1"/>
    <col min="12741" max="12987" width="8.875" style="11"/>
    <col min="12988" max="12988" width="5" style="11" customWidth="1"/>
    <col min="12989" max="12989" width="33.375" style="11" customWidth="1"/>
    <col min="12990" max="12990" width="6.5" style="11" customWidth="1"/>
    <col min="12991" max="12991" width="29.5" style="11" customWidth="1"/>
    <col min="12992" max="12992" width="23.625" style="11" customWidth="1"/>
    <col min="12993" max="12993" width="8" style="11" customWidth="1"/>
    <col min="12994" max="12994" width="9.125" style="11" customWidth="1"/>
    <col min="12995" max="12995" width="13.875" style="11" customWidth="1"/>
    <col min="12996" max="12996" width="13.5" style="11" customWidth="1"/>
    <col min="12997" max="13243" width="8.875" style="11"/>
    <col min="13244" max="13244" width="5" style="11" customWidth="1"/>
    <col min="13245" max="13245" width="33.375" style="11" customWidth="1"/>
    <col min="13246" max="13246" width="6.5" style="11" customWidth="1"/>
    <col min="13247" max="13247" width="29.5" style="11" customWidth="1"/>
    <col min="13248" max="13248" width="23.625" style="11" customWidth="1"/>
    <col min="13249" max="13249" width="8" style="11" customWidth="1"/>
    <col min="13250" max="13250" width="9.125" style="11" customWidth="1"/>
    <col min="13251" max="13251" width="13.875" style="11" customWidth="1"/>
    <col min="13252" max="13252" width="13.5" style="11" customWidth="1"/>
    <col min="13253" max="13499" width="8.875" style="11"/>
    <col min="13500" max="13500" width="5" style="11" customWidth="1"/>
    <col min="13501" max="13501" width="33.375" style="11" customWidth="1"/>
    <col min="13502" max="13502" width="6.5" style="11" customWidth="1"/>
    <col min="13503" max="13503" width="29.5" style="11" customWidth="1"/>
    <col min="13504" max="13504" width="23.625" style="11" customWidth="1"/>
    <col min="13505" max="13505" width="8" style="11" customWidth="1"/>
    <col min="13506" max="13506" width="9.125" style="11" customWidth="1"/>
    <col min="13507" max="13507" width="13.875" style="11" customWidth="1"/>
    <col min="13508" max="13508" width="13.5" style="11" customWidth="1"/>
    <col min="13509" max="13755" width="8.875" style="11"/>
    <col min="13756" max="13756" width="5" style="11" customWidth="1"/>
    <col min="13757" max="13757" width="33.375" style="11" customWidth="1"/>
    <col min="13758" max="13758" width="6.5" style="11" customWidth="1"/>
    <col min="13759" max="13759" width="29.5" style="11" customWidth="1"/>
    <col min="13760" max="13760" width="23.625" style="11" customWidth="1"/>
    <col min="13761" max="13761" width="8" style="11" customWidth="1"/>
    <col min="13762" max="13762" width="9.125" style="11" customWidth="1"/>
    <col min="13763" max="13763" width="13.875" style="11" customWidth="1"/>
    <col min="13764" max="13764" width="13.5" style="11" customWidth="1"/>
    <col min="13765" max="14011" width="8.875" style="11"/>
    <col min="14012" max="14012" width="5" style="11" customWidth="1"/>
    <col min="14013" max="14013" width="33.375" style="11" customWidth="1"/>
    <col min="14014" max="14014" width="6.5" style="11" customWidth="1"/>
    <col min="14015" max="14015" width="29.5" style="11" customWidth="1"/>
    <col min="14016" max="14016" width="23.625" style="11" customWidth="1"/>
    <col min="14017" max="14017" width="8" style="11" customWidth="1"/>
    <col min="14018" max="14018" width="9.125" style="11" customWidth="1"/>
    <col min="14019" max="14019" width="13.875" style="11" customWidth="1"/>
    <col min="14020" max="14020" width="13.5" style="11" customWidth="1"/>
    <col min="14021" max="14267" width="8.875" style="11"/>
    <col min="14268" max="14268" width="5" style="11" customWidth="1"/>
    <col min="14269" max="14269" width="33.375" style="11" customWidth="1"/>
    <col min="14270" max="14270" width="6.5" style="11" customWidth="1"/>
    <col min="14271" max="14271" width="29.5" style="11" customWidth="1"/>
    <col min="14272" max="14272" width="23.625" style="11" customWidth="1"/>
    <col min="14273" max="14273" width="8" style="11" customWidth="1"/>
    <col min="14274" max="14274" width="9.125" style="11" customWidth="1"/>
    <col min="14275" max="14275" width="13.875" style="11" customWidth="1"/>
    <col min="14276" max="14276" width="13.5" style="11" customWidth="1"/>
    <col min="14277" max="14523" width="8.875" style="11"/>
    <col min="14524" max="14524" width="5" style="11" customWidth="1"/>
    <col min="14525" max="14525" width="33.375" style="11" customWidth="1"/>
    <col min="14526" max="14526" width="6.5" style="11" customWidth="1"/>
    <col min="14527" max="14527" width="29.5" style="11" customWidth="1"/>
    <col min="14528" max="14528" width="23.625" style="11" customWidth="1"/>
    <col min="14529" max="14529" width="8" style="11" customWidth="1"/>
    <col min="14530" max="14530" width="9.125" style="11" customWidth="1"/>
    <col min="14531" max="14531" width="13.875" style="11" customWidth="1"/>
    <col min="14532" max="14532" width="13.5" style="11" customWidth="1"/>
    <col min="14533" max="14779" width="8.875" style="11"/>
    <col min="14780" max="14780" width="5" style="11" customWidth="1"/>
    <col min="14781" max="14781" width="33.375" style="11" customWidth="1"/>
    <col min="14782" max="14782" width="6.5" style="11" customWidth="1"/>
    <col min="14783" max="14783" width="29.5" style="11" customWidth="1"/>
    <col min="14784" max="14784" width="23.625" style="11" customWidth="1"/>
    <col min="14785" max="14785" width="8" style="11" customWidth="1"/>
    <col min="14786" max="14786" width="9.125" style="11" customWidth="1"/>
    <col min="14787" max="14787" width="13.875" style="11" customWidth="1"/>
    <col min="14788" max="14788" width="13.5" style="11" customWidth="1"/>
    <col min="14789" max="15035" width="8.875" style="11"/>
    <col min="15036" max="15036" width="5" style="11" customWidth="1"/>
    <col min="15037" max="15037" width="33.375" style="11" customWidth="1"/>
    <col min="15038" max="15038" width="6.5" style="11" customWidth="1"/>
    <col min="15039" max="15039" width="29.5" style="11" customWidth="1"/>
    <col min="15040" max="15040" width="23.625" style="11" customWidth="1"/>
    <col min="15041" max="15041" width="8" style="11" customWidth="1"/>
    <col min="15042" max="15042" width="9.125" style="11" customWidth="1"/>
    <col min="15043" max="15043" width="13.875" style="11" customWidth="1"/>
    <col min="15044" max="15044" width="13.5" style="11" customWidth="1"/>
    <col min="15045" max="15291" width="8.875" style="11"/>
    <col min="15292" max="15292" width="5" style="11" customWidth="1"/>
    <col min="15293" max="15293" width="33.375" style="11" customWidth="1"/>
    <col min="15294" max="15294" width="6.5" style="11" customWidth="1"/>
    <col min="15295" max="15295" width="29.5" style="11" customWidth="1"/>
    <col min="15296" max="15296" width="23.625" style="11" customWidth="1"/>
    <col min="15297" max="15297" width="8" style="11" customWidth="1"/>
    <col min="15298" max="15298" width="9.125" style="11" customWidth="1"/>
    <col min="15299" max="15299" width="13.875" style="11" customWidth="1"/>
    <col min="15300" max="15300" width="13.5" style="11" customWidth="1"/>
    <col min="15301" max="15547" width="8.875" style="11"/>
    <col min="15548" max="15548" width="5" style="11" customWidth="1"/>
    <col min="15549" max="15549" width="33.375" style="11" customWidth="1"/>
    <col min="15550" max="15550" width="6.5" style="11" customWidth="1"/>
    <col min="15551" max="15551" width="29.5" style="11" customWidth="1"/>
    <col min="15552" max="15552" width="23.625" style="11" customWidth="1"/>
    <col min="15553" max="15553" width="8" style="11" customWidth="1"/>
    <col min="15554" max="15554" width="9.125" style="11" customWidth="1"/>
    <col min="15555" max="15555" width="13.875" style="11" customWidth="1"/>
    <col min="15556" max="15556" width="13.5" style="11" customWidth="1"/>
    <col min="15557" max="15803" width="8.875" style="11"/>
    <col min="15804" max="15804" width="5" style="11" customWidth="1"/>
    <col min="15805" max="15805" width="33.375" style="11" customWidth="1"/>
    <col min="15806" max="15806" width="6.5" style="11" customWidth="1"/>
    <col min="15807" max="15807" width="29.5" style="11" customWidth="1"/>
    <col min="15808" max="15808" width="23.625" style="11" customWidth="1"/>
    <col min="15809" max="15809" width="8" style="11" customWidth="1"/>
    <col min="15810" max="15810" width="9.125" style="11" customWidth="1"/>
    <col min="15811" max="15811" width="13.875" style="11" customWidth="1"/>
    <col min="15812" max="15812" width="13.5" style="11" customWidth="1"/>
    <col min="15813" max="16384" width="8.875" style="11"/>
  </cols>
  <sheetData>
    <row r="1" spans="2:6">
      <c r="D1" s="11"/>
    </row>
    <row r="2" spans="2:6">
      <c r="B2" s="140" t="s">
        <v>253</v>
      </c>
      <c r="C2" s="140" t="s">
        <v>132</v>
      </c>
      <c r="D2" s="11"/>
    </row>
    <row r="3" spans="2:6">
      <c r="B3" s="209" t="s">
        <v>254</v>
      </c>
      <c r="C3" s="209" t="s">
        <v>255</v>
      </c>
      <c r="D3" s="11"/>
    </row>
    <row r="4" spans="2:6">
      <c r="B4" s="140" t="s">
        <v>256</v>
      </c>
      <c r="C4" s="140" t="s">
        <v>133</v>
      </c>
      <c r="D4" s="11"/>
    </row>
    <row r="5" spans="2:6" ht="9" customHeight="1">
      <c r="D5" s="11"/>
    </row>
    <row r="6" spans="2:6" s="43" customFormat="1" ht="18">
      <c r="B6" s="92" t="s">
        <v>10</v>
      </c>
      <c r="C6" s="83" t="s">
        <v>283</v>
      </c>
      <c r="D6" s="83"/>
    </row>
    <row r="7" spans="2:6" s="43" customFormat="1" ht="9" customHeight="1">
      <c r="B7" s="970"/>
      <c r="C7" s="970"/>
      <c r="D7" s="83"/>
    </row>
    <row r="8" spans="2:6" s="8" customFormat="1" ht="3" customHeight="1">
      <c r="C8" s="969"/>
      <c r="D8" s="969"/>
    </row>
    <row r="9" spans="2:6" s="9" customFormat="1" ht="25.5">
      <c r="B9" s="147" t="s">
        <v>0</v>
      </c>
      <c r="C9" s="148" t="s">
        <v>182</v>
      </c>
      <c r="D9" s="165" t="s">
        <v>241</v>
      </c>
    </row>
    <row r="10" spans="2:6" s="10" customFormat="1">
      <c r="B10" s="214"/>
      <c r="C10" s="214" t="s">
        <v>6</v>
      </c>
      <c r="D10" s="215">
        <v>0.4</v>
      </c>
    </row>
    <row r="11" spans="2:6">
      <c r="B11" s="151">
        <v>1</v>
      </c>
      <c r="C11" s="253" t="s">
        <v>284</v>
      </c>
      <c r="D11" s="217">
        <v>0.15</v>
      </c>
    </row>
    <row r="12" spans="2:6">
      <c r="B12" s="151">
        <v>2</v>
      </c>
      <c r="C12" s="254" t="s">
        <v>285</v>
      </c>
      <c r="D12" s="12">
        <v>0.3</v>
      </c>
    </row>
    <row r="13" spans="2:6">
      <c r="B13" s="151">
        <v>3</v>
      </c>
      <c r="C13" s="254" t="s">
        <v>302</v>
      </c>
      <c r="D13" s="12">
        <v>0.3</v>
      </c>
    </row>
    <row r="14" spans="2:6">
      <c r="B14" s="151">
        <v>4</v>
      </c>
      <c r="C14" s="254" t="s">
        <v>286</v>
      </c>
      <c r="D14" s="12">
        <v>0.15</v>
      </c>
    </row>
    <row r="15" spans="2:6">
      <c r="B15" s="151">
        <v>5</v>
      </c>
      <c r="C15" s="255" t="s">
        <v>287</v>
      </c>
      <c r="D15" s="12">
        <v>0.1</v>
      </c>
    </row>
    <row r="16" spans="2:6" s="10" customFormat="1">
      <c r="B16" s="214"/>
      <c r="C16" s="214" t="s">
        <v>5</v>
      </c>
      <c r="D16" s="215">
        <v>0.35</v>
      </c>
      <c r="F16" s="1"/>
    </row>
    <row r="17" spans="2:4">
      <c r="B17" s="151">
        <v>1</v>
      </c>
      <c r="C17" s="253" t="s">
        <v>288</v>
      </c>
      <c r="D17" s="12">
        <v>0.15</v>
      </c>
    </row>
    <row r="18" spans="2:4">
      <c r="B18" s="151">
        <v>2</v>
      </c>
      <c r="C18" s="254" t="s">
        <v>289</v>
      </c>
      <c r="D18" s="12">
        <v>0.1</v>
      </c>
    </row>
    <row r="19" spans="2:4">
      <c r="B19" s="151">
        <v>3</v>
      </c>
      <c r="C19" s="254" t="s">
        <v>290</v>
      </c>
      <c r="D19" s="12">
        <v>0.3</v>
      </c>
    </row>
    <row r="20" spans="2:4">
      <c r="B20" s="151">
        <v>4</v>
      </c>
      <c r="C20" s="254" t="s">
        <v>291</v>
      </c>
      <c r="D20" s="12">
        <v>0.15</v>
      </c>
    </row>
    <row r="21" spans="2:4">
      <c r="B21" s="151">
        <v>5</v>
      </c>
      <c r="C21" s="255" t="s">
        <v>292</v>
      </c>
      <c r="D21" s="218">
        <v>0.1</v>
      </c>
    </row>
    <row r="22" spans="2:4" ht="17.100000000000001" customHeight="1">
      <c r="B22" s="151">
        <v>6</v>
      </c>
      <c r="C22" s="253" t="s">
        <v>310</v>
      </c>
      <c r="D22" s="12">
        <v>0.2</v>
      </c>
    </row>
    <row r="23" spans="2:4" s="10" customFormat="1">
      <c r="B23" s="214"/>
      <c r="C23" s="214" t="s">
        <v>7</v>
      </c>
      <c r="D23" s="215">
        <v>0.1</v>
      </c>
    </row>
    <row r="24" spans="2:4">
      <c r="B24" s="151">
        <v>1</v>
      </c>
      <c r="C24" s="253" t="s">
        <v>334</v>
      </c>
      <c r="D24" s="12">
        <v>0.2</v>
      </c>
    </row>
    <row r="25" spans="2:4">
      <c r="B25" s="151">
        <v>2</v>
      </c>
      <c r="C25" s="254" t="s">
        <v>335</v>
      </c>
      <c r="D25" s="218">
        <v>0.15</v>
      </c>
    </row>
    <row r="26" spans="2:4" ht="25.5">
      <c r="B26" s="151">
        <v>3</v>
      </c>
      <c r="C26" s="254" t="s">
        <v>295</v>
      </c>
      <c r="D26" s="218">
        <v>0.15</v>
      </c>
    </row>
    <row r="27" spans="2:4">
      <c r="B27" s="151">
        <v>4</v>
      </c>
      <c r="C27" s="254" t="s">
        <v>336</v>
      </c>
      <c r="D27" s="12">
        <v>0.15</v>
      </c>
    </row>
    <row r="28" spans="2:4" ht="25.5">
      <c r="B28" s="151">
        <v>5</v>
      </c>
      <c r="C28" s="255" t="s">
        <v>373</v>
      </c>
      <c r="D28" s="12">
        <v>0.2</v>
      </c>
    </row>
    <row r="29" spans="2:4" ht="17.100000000000001" customHeight="1">
      <c r="B29" s="151">
        <v>6</v>
      </c>
      <c r="C29" s="253" t="s">
        <v>337</v>
      </c>
      <c r="D29" s="218">
        <v>0.15</v>
      </c>
    </row>
    <row r="30" spans="2:4" s="10" customFormat="1">
      <c r="B30" s="214"/>
      <c r="C30" s="214" t="s">
        <v>282</v>
      </c>
      <c r="D30" s="215">
        <v>0.15</v>
      </c>
    </row>
    <row r="31" spans="2:4">
      <c r="B31" s="151">
        <v>1</v>
      </c>
      <c r="C31" s="253" t="s">
        <v>298</v>
      </c>
      <c r="D31" s="218">
        <v>0.4</v>
      </c>
    </row>
    <row r="32" spans="2:4">
      <c r="B32" s="151">
        <v>2</v>
      </c>
      <c r="C32" s="253" t="s">
        <v>395</v>
      </c>
      <c r="D32" s="12">
        <v>0.2</v>
      </c>
    </row>
    <row r="33" spans="2:4">
      <c r="B33" s="151">
        <v>3</v>
      </c>
      <c r="C33" s="253" t="s">
        <v>338</v>
      </c>
      <c r="D33" s="218">
        <v>0.2</v>
      </c>
    </row>
    <row r="34" spans="2:4" ht="13.5" thickBot="1">
      <c r="B34" s="151">
        <v>4</v>
      </c>
      <c r="C34" s="253" t="s">
        <v>301</v>
      </c>
      <c r="D34" s="12">
        <v>0.2</v>
      </c>
    </row>
    <row r="35" spans="2:4" s="13" customFormat="1" ht="13.5" thickTop="1">
      <c r="B35" s="23"/>
      <c r="C35" s="188" t="s">
        <v>3</v>
      </c>
      <c r="D35" s="27">
        <f>D30+D23+D16+D10</f>
        <v>1</v>
      </c>
    </row>
    <row r="36" spans="2:4">
      <c r="B36" s="14"/>
      <c r="C36" s="14"/>
      <c r="D36" s="15"/>
    </row>
    <row r="37" spans="2:4">
      <c r="B37" s="38" t="s">
        <v>247</v>
      </c>
      <c r="C37" s="38"/>
      <c r="D37" s="37"/>
    </row>
    <row r="38" spans="2:4">
      <c r="B38" s="58"/>
      <c r="C38" s="62"/>
      <c r="D38" s="62"/>
    </row>
    <row r="39" spans="2:4">
      <c r="B39" s="47"/>
      <c r="C39" s="47"/>
      <c r="D39" s="61"/>
    </row>
    <row r="40" spans="2:4">
      <c r="B40" s="58"/>
      <c r="C40" s="58"/>
      <c r="D40" s="11"/>
    </row>
    <row r="41" spans="2:4">
      <c r="B41" s="58"/>
      <c r="C41" s="58"/>
      <c r="D41" s="11"/>
    </row>
    <row r="42" spans="2:4">
      <c r="B42" s="58"/>
      <c r="C42" s="58"/>
      <c r="D42" s="11"/>
    </row>
    <row r="43" spans="2:4">
      <c r="B43" s="57"/>
      <c r="C43" s="57"/>
      <c r="D43" s="11"/>
    </row>
    <row r="44" spans="2:4">
      <c r="B44" s="5" t="s">
        <v>159</v>
      </c>
      <c r="C44" s="5"/>
    </row>
    <row r="45" spans="2:4">
      <c r="B45" s="14"/>
      <c r="C45" s="14"/>
      <c r="D45" s="14"/>
    </row>
  </sheetData>
  <mergeCells count="2">
    <mergeCell ref="C8:D8"/>
    <mergeCell ref="B7:C7"/>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B1:Z45"/>
  <sheetViews>
    <sheetView showGridLines="0" zoomScale="136" workbookViewId="0">
      <pane xSplit="4" ySplit="9" topLeftCell="P10" activePane="bottomRight" state="frozen"/>
      <selection activeCell="A6" sqref="A6"/>
      <selection pane="topRight" activeCell="E6" sqref="E6"/>
      <selection pane="bottomLeft" activeCell="A10" sqref="A10"/>
      <selection pane="bottomRight" activeCell="Q31" sqref="Q31"/>
    </sheetView>
  </sheetViews>
  <sheetFormatPr defaultColWidth="8.875" defaultRowHeight="12.75"/>
  <cols>
    <col min="1" max="1" width="1.125" style="11" customWidth="1"/>
    <col min="2" max="2" width="6" style="11" customWidth="1"/>
    <col min="3" max="3" width="31.5" style="11" customWidth="1"/>
    <col min="4" max="4" width="8.625" style="17" customWidth="1"/>
    <col min="5" max="5" width="30.125" style="11" customWidth="1"/>
    <col min="6" max="6" width="8.625" style="17" customWidth="1"/>
    <col min="7" max="7" width="30.125" style="11" customWidth="1"/>
    <col min="8" max="8" width="8.625" style="17" customWidth="1"/>
    <col min="9" max="9" width="30.125" style="11" customWidth="1"/>
    <col min="10" max="10" width="8.625" style="17" customWidth="1"/>
    <col min="11" max="11" width="30.125" style="11" customWidth="1"/>
    <col min="12" max="12" width="8.625" style="17" customWidth="1"/>
    <col min="13" max="13" width="30" style="11" customWidth="1"/>
    <col min="14" max="14" width="8.625" style="17" customWidth="1"/>
    <col min="15" max="15" width="32" style="11" customWidth="1"/>
    <col min="16" max="16" width="8.625" style="17" customWidth="1"/>
    <col min="17" max="17" width="27.5" style="11" customWidth="1"/>
    <col min="18" max="18" width="8.625" style="17" customWidth="1"/>
    <col min="19" max="19" width="30.625" style="11" customWidth="1"/>
    <col min="20" max="20" width="8.625" style="17" customWidth="1"/>
    <col min="21" max="21" width="30.125" style="11" customWidth="1"/>
    <col min="22" max="22" width="8.625" style="17" customWidth="1"/>
    <col min="23" max="23" width="29" style="11" customWidth="1"/>
    <col min="24" max="24" width="8.625" style="17" customWidth="1"/>
    <col min="25" max="25" width="29.5" style="11" customWidth="1"/>
    <col min="26" max="26" width="8.625" style="17" customWidth="1"/>
    <col min="27" max="219" width="8.875" style="11"/>
    <col min="220" max="220" width="5" style="11" customWidth="1"/>
    <col min="221" max="221" width="33.375" style="11" customWidth="1"/>
    <col min="222" max="222" width="6.5" style="11" customWidth="1"/>
    <col min="223" max="223" width="29.5" style="11" customWidth="1"/>
    <col min="224" max="224" width="23.625" style="11" customWidth="1"/>
    <col min="225" max="225" width="8" style="11" customWidth="1"/>
    <col min="226" max="226" width="9.125" style="11" customWidth="1"/>
    <col min="227" max="227" width="13.875" style="11" customWidth="1"/>
    <col min="228" max="228" width="13.5" style="11" customWidth="1"/>
    <col min="229" max="475" width="8.875" style="11"/>
    <col min="476" max="476" width="5" style="11" customWidth="1"/>
    <col min="477" max="477" width="33.375" style="11" customWidth="1"/>
    <col min="478" max="478" width="6.5" style="11" customWidth="1"/>
    <col min="479" max="479" width="29.5" style="11" customWidth="1"/>
    <col min="480" max="480" width="23.625" style="11" customWidth="1"/>
    <col min="481" max="481" width="8" style="11" customWidth="1"/>
    <col min="482" max="482" width="9.125" style="11" customWidth="1"/>
    <col min="483" max="483" width="13.875" style="11" customWidth="1"/>
    <col min="484" max="484" width="13.5" style="11" customWidth="1"/>
    <col min="485" max="731" width="8.875" style="11"/>
    <col min="732" max="732" width="5" style="11" customWidth="1"/>
    <col min="733" max="733" width="33.375" style="11" customWidth="1"/>
    <col min="734" max="734" width="6.5" style="11" customWidth="1"/>
    <col min="735" max="735" width="29.5" style="11" customWidth="1"/>
    <col min="736" max="736" width="23.625" style="11" customWidth="1"/>
    <col min="737" max="737" width="8" style="11" customWidth="1"/>
    <col min="738" max="738" width="9.125" style="11" customWidth="1"/>
    <col min="739" max="739" width="13.875" style="11" customWidth="1"/>
    <col min="740" max="740" width="13.5" style="11" customWidth="1"/>
    <col min="741" max="987" width="8.875" style="11"/>
    <col min="988" max="988" width="5" style="11" customWidth="1"/>
    <col min="989" max="989" width="33.375" style="11" customWidth="1"/>
    <col min="990" max="990" width="6.5" style="11" customWidth="1"/>
    <col min="991" max="991" width="29.5" style="11" customWidth="1"/>
    <col min="992" max="992" width="23.625" style="11" customWidth="1"/>
    <col min="993" max="993" width="8" style="11" customWidth="1"/>
    <col min="994" max="994" width="9.125" style="11" customWidth="1"/>
    <col min="995" max="995" width="13.875" style="11" customWidth="1"/>
    <col min="996" max="996" width="13.5" style="11" customWidth="1"/>
    <col min="997" max="1243" width="8.875" style="11"/>
    <col min="1244" max="1244" width="5" style="11" customWidth="1"/>
    <col min="1245" max="1245" width="33.375" style="11" customWidth="1"/>
    <col min="1246" max="1246" width="6.5" style="11" customWidth="1"/>
    <col min="1247" max="1247" width="29.5" style="11" customWidth="1"/>
    <col min="1248" max="1248" width="23.625" style="11" customWidth="1"/>
    <col min="1249" max="1249" width="8" style="11" customWidth="1"/>
    <col min="1250" max="1250" width="9.125" style="11" customWidth="1"/>
    <col min="1251" max="1251" width="13.875" style="11" customWidth="1"/>
    <col min="1252" max="1252" width="13.5" style="11" customWidth="1"/>
    <col min="1253" max="1499" width="8.875" style="11"/>
    <col min="1500" max="1500" width="5" style="11" customWidth="1"/>
    <col min="1501" max="1501" width="33.375" style="11" customWidth="1"/>
    <col min="1502" max="1502" width="6.5" style="11" customWidth="1"/>
    <col min="1503" max="1503" width="29.5" style="11" customWidth="1"/>
    <col min="1504" max="1504" width="23.625" style="11" customWidth="1"/>
    <col min="1505" max="1505" width="8" style="11" customWidth="1"/>
    <col min="1506" max="1506" width="9.125" style="11" customWidth="1"/>
    <col min="1507" max="1507" width="13.875" style="11" customWidth="1"/>
    <col min="1508" max="1508" width="13.5" style="11" customWidth="1"/>
    <col min="1509" max="1755" width="8.875" style="11"/>
    <col min="1756" max="1756" width="5" style="11" customWidth="1"/>
    <col min="1757" max="1757" width="33.375" style="11" customWidth="1"/>
    <col min="1758" max="1758" width="6.5" style="11" customWidth="1"/>
    <col min="1759" max="1759" width="29.5" style="11" customWidth="1"/>
    <col min="1760" max="1760" width="23.625" style="11" customWidth="1"/>
    <col min="1761" max="1761" width="8" style="11" customWidth="1"/>
    <col min="1762" max="1762" width="9.125" style="11" customWidth="1"/>
    <col min="1763" max="1763" width="13.875" style="11" customWidth="1"/>
    <col min="1764" max="1764" width="13.5" style="11" customWidth="1"/>
    <col min="1765" max="2011" width="8.875" style="11"/>
    <col min="2012" max="2012" width="5" style="11" customWidth="1"/>
    <col min="2013" max="2013" width="33.375" style="11" customWidth="1"/>
    <col min="2014" max="2014" width="6.5" style="11" customWidth="1"/>
    <col min="2015" max="2015" width="29.5" style="11" customWidth="1"/>
    <col min="2016" max="2016" width="23.625" style="11" customWidth="1"/>
    <col min="2017" max="2017" width="8" style="11" customWidth="1"/>
    <col min="2018" max="2018" width="9.125" style="11" customWidth="1"/>
    <col min="2019" max="2019" width="13.875" style="11" customWidth="1"/>
    <col min="2020" max="2020" width="13.5" style="11" customWidth="1"/>
    <col min="2021" max="2267" width="8.875" style="11"/>
    <col min="2268" max="2268" width="5" style="11" customWidth="1"/>
    <col min="2269" max="2269" width="33.375" style="11" customWidth="1"/>
    <col min="2270" max="2270" width="6.5" style="11" customWidth="1"/>
    <col min="2271" max="2271" width="29.5" style="11" customWidth="1"/>
    <col min="2272" max="2272" width="23.625" style="11" customWidth="1"/>
    <col min="2273" max="2273" width="8" style="11" customWidth="1"/>
    <col min="2274" max="2274" width="9.125" style="11" customWidth="1"/>
    <col min="2275" max="2275" width="13.875" style="11" customWidth="1"/>
    <col min="2276" max="2276" width="13.5" style="11" customWidth="1"/>
    <col min="2277" max="2523" width="8.875" style="11"/>
    <col min="2524" max="2524" width="5" style="11" customWidth="1"/>
    <col min="2525" max="2525" width="33.375" style="11" customWidth="1"/>
    <col min="2526" max="2526" width="6.5" style="11" customWidth="1"/>
    <col min="2527" max="2527" width="29.5" style="11" customWidth="1"/>
    <col min="2528" max="2528" width="23.625" style="11" customWidth="1"/>
    <col min="2529" max="2529" width="8" style="11" customWidth="1"/>
    <col min="2530" max="2530" width="9.125" style="11" customWidth="1"/>
    <col min="2531" max="2531" width="13.875" style="11" customWidth="1"/>
    <col min="2532" max="2532" width="13.5" style="11" customWidth="1"/>
    <col min="2533" max="2779" width="8.875" style="11"/>
    <col min="2780" max="2780" width="5" style="11" customWidth="1"/>
    <col min="2781" max="2781" width="33.375" style="11" customWidth="1"/>
    <col min="2782" max="2782" width="6.5" style="11" customWidth="1"/>
    <col min="2783" max="2783" width="29.5" style="11" customWidth="1"/>
    <col min="2784" max="2784" width="23.625" style="11" customWidth="1"/>
    <col min="2785" max="2785" width="8" style="11" customWidth="1"/>
    <col min="2786" max="2786" width="9.125" style="11" customWidth="1"/>
    <col min="2787" max="2787" width="13.875" style="11" customWidth="1"/>
    <col min="2788" max="2788" width="13.5" style="11" customWidth="1"/>
    <col min="2789" max="3035" width="8.875" style="11"/>
    <col min="3036" max="3036" width="5" style="11" customWidth="1"/>
    <col min="3037" max="3037" width="33.375" style="11" customWidth="1"/>
    <col min="3038" max="3038" width="6.5" style="11" customWidth="1"/>
    <col min="3039" max="3039" width="29.5" style="11" customWidth="1"/>
    <col min="3040" max="3040" width="23.625" style="11" customWidth="1"/>
    <col min="3041" max="3041" width="8" style="11" customWidth="1"/>
    <col min="3042" max="3042" width="9.125" style="11" customWidth="1"/>
    <col min="3043" max="3043" width="13.875" style="11" customWidth="1"/>
    <col min="3044" max="3044" width="13.5" style="11" customWidth="1"/>
    <col min="3045" max="3291" width="8.875" style="11"/>
    <col min="3292" max="3292" width="5" style="11" customWidth="1"/>
    <col min="3293" max="3293" width="33.375" style="11" customWidth="1"/>
    <col min="3294" max="3294" width="6.5" style="11" customWidth="1"/>
    <col min="3295" max="3295" width="29.5" style="11" customWidth="1"/>
    <col min="3296" max="3296" width="23.625" style="11" customWidth="1"/>
    <col min="3297" max="3297" width="8" style="11" customWidth="1"/>
    <col min="3298" max="3298" width="9.125" style="11" customWidth="1"/>
    <col min="3299" max="3299" width="13.875" style="11" customWidth="1"/>
    <col min="3300" max="3300" width="13.5" style="11" customWidth="1"/>
    <col min="3301" max="3547" width="8.875" style="11"/>
    <col min="3548" max="3548" width="5" style="11" customWidth="1"/>
    <col min="3549" max="3549" width="33.375" style="11" customWidth="1"/>
    <col min="3550" max="3550" width="6.5" style="11" customWidth="1"/>
    <col min="3551" max="3551" width="29.5" style="11" customWidth="1"/>
    <col min="3552" max="3552" width="23.625" style="11" customWidth="1"/>
    <col min="3553" max="3553" width="8" style="11" customWidth="1"/>
    <col min="3554" max="3554" width="9.125" style="11" customWidth="1"/>
    <col min="3555" max="3555" width="13.875" style="11" customWidth="1"/>
    <col min="3556" max="3556" width="13.5" style="11" customWidth="1"/>
    <col min="3557" max="3803" width="8.875" style="11"/>
    <col min="3804" max="3804" width="5" style="11" customWidth="1"/>
    <col min="3805" max="3805" width="33.375" style="11" customWidth="1"/>
    <col min="3806" max="3806" width="6.5" style="11" customWidth="1"/>
    <col min="3807" max="3807" width="29.5" style="11" customWidth="1"/>
    <col min="3808" max="3808" width="23.625" style="11" customWidth="1"/>
    <col min="3809" max="3809" width="8" style="11" customWidth="1"/>
    <col min="3810" max="3810" width="9.125" style="11" customWidth="1"/>
    <col min="3811" max="3811" width="13.875" style="11" customWidth="1"/>
    <col min="3812" max="3812" width="13.5" style="11" customWidth="1"/>
    <col min="3813" max="4059" width="8.875" style="11"/>
    <col min="4060" max="4060" width="5" style="11" customWidth="1"/>
    <col min="4061" max="4061" width="33.375" style="11" customWidth="1"/>
    <col min="4062" max="4062" width="6.5" style="11" customWidth="1"/>
    <col min="4063" max="4063" width="29.5" style="11" customWidth="1"/>
    <col min="4064" max="4064" width="23.625" style="11" customWidth="1"/>
    <col min="4065" max="4065" width="8" style="11" customWidth="1"/>
    <col min="4066" max="4066" width="9.125" style="11" customWidth="1"/>
    <col min="4067" max="4067" width="13.875" style="11" customWidth="1"/>
    <col min="4068" max="4068" width="13.5" style="11" customWidth="1"/>
    <col min="4069" max="4315" width="8.875" style="11"/>
    <col min="4316" max="4316" width="5" style="11" customWidth="1"/>
    <col min="4317" max="4317" width="33.375" style="11" customWidth="1"/>
    <col min="4318" max="4318" width="6.5" style="11" customWidth="1"/>
    <col min="4319" max="4319" width="29.5" style="11" customWidth="1"/>
    <col min="4320" max="4320" width="23.625" style="11" customWidth="1"/>
    <col min="4321" max="4321" width="8" style="11" customWidth="1"/>
    <col min="4322" max="4322" width="9.125" style="11" customWidth="1"/>
    <col min="4323" max="4323" width="13.875" style="11" customWidth="1"/>
    <col min="4324" max="4324" width="13.5" style="11" customWidth="1"/>
    <col min="4325" max="4571" width="8.875" style="11"/>
    <col min="4572" max="4572" width="5" style="11" customWidth="1"/>
    <col min="4573" max="4573" width="33.375" style="11" customWidth="1"/>
    <col min="4574" max="4574" width="6.5" style="11" customWidth="1"/>
    <col min="4575" max="4575" width="29.5" style="11" customWidth="1"/>
    <col min="4576" max="4576" width="23.625" style="11" customWidth="1"/>
    <col min="4577" max="4577" width="8" style="11" customWidth="1"/>
    <col min="4578" max="4578" width="9.125" style="11" customWidth="1"/>
    <col min="4579" max="4579" width="13.875" style="11" customWidth="1"/>
    <col min="4580" max="4580" width="13.5" style="11" customWidth="1"/>
    <col min="4581" max="4827" width="8.875" style="11"/>
    <col min="4828" max="4828" width="5" style="11" customWidth="1"/>
    <col min="4829" max="4829" width="33.375" style="11" customWidth="1"/>
    <col min="4830" max="4830" width="6.5" style="11" customWidth="1"/>
    <col min="4831" max="4831" width="29.5" style="11" customWidth="1"/>
    <col min="4832" max="4832" width="23.625" style="11" customWidth="1"/>
    <col min="4833" max="4833" width="8" style="11" customWidth="1"/>
    <col min="4834" max="4834" width="9.125" style="11" customWidth="1"/>
    <col min="4835" max="4835" width="13.875" style="11" customWidth="1"/>
    <col min="4836" max="4836" width="13.5" style="11" customWidth="1"/>
    <col min="4837" max="5083" width="8.875" style="11"/>
    <col min="5084" max="5084" width="5" style="11" customWidth="1"/>
    <col min="5085" max="5085" width="33.375" style="11" customWidth="1"/>
    <col min="5086" max="5086" width="6.5" style="11" customWidth="1"/>
    <col min="5087" max="5087" width="29.5" style="11" customWidth="1"/>
    <col min="5088" max="5088" width="23.625" style="11" customWidth="1"/>
    <col min="5089" max="5089" width="8" style="11" customWidth="1"/>
    <col min="5090" max="5090" width="9.125" style="11" customWidth="1"/>
    <col min="5091" max="5091" width="13.875" style="11" customWidth="1"/>
    <col min="5092" max="5092" width="13.5" style="11" customWidth="1"/>
    <col min="5093" max="5339" width="8.875" style="11"/>
    <col min="5340" max="5340" width="5" style="11" customWidth="1"/>
    <col min="5341" max="5341" width="33.375" style="11" customWidth="1"/>
    <col min="5342" max="5342" width="6.5" style="11" customWidth="1"/>
    <col min="5343" max="5343" width="29.5" style="11" customWidth="1"/>
    <col min="5344" max="5344" width="23.625" style="11" customWidth="1"/>
    <col min="5345" max="5345" width="8" style="11" customWidth="1"/>
    <col min="5346" max="5346" width="9.125" style="11" customWidth="1"/>
    <col min="5347" max="5347" width="13.875" style="11" customWidth="1"/>
    <col min="5348" max="5348" width="13.5" style="11" customWidth="1"/>
    <col min="5349" max="5595" width="8.875" style="11"/>
    <col min="5596" max="5596" width="5" style="11" customWidth="1"/>
    <col min="5597" max="5597" width="33.375" style="11" customWidth="1"/>
    <col min="5598" max="5598" width="6.5" style="11" customWidth="1"/>
    <col min="5599" max="5599" width="29.5" style="11" customWidth="1"/>
    <col min="5600" max="5600" width="23.625" style="11" customWidth="1"/>
    <col min="5601" max="5601" width="8" style="11" customWidth="1"/>
    <col min="5602" max="5602" width="9.125" style="11" customWidth="1"/>
    <col min="5603" max="5603" width="13.875" style="11" customWidth="1"/>
    <col min="5604" max="5604" width="13.5" style="11" customWidth="1"/>
    <col min="5605" max="5851" width="8.875" style="11"/>
    <col min="5852" max="5852" width="5" style="11" customWidth="1"/>
    <col min="5853" max="5853" width="33.375" style="11" customWidth="1"/>
    <col min="5854" max="5854" width="6.5" style="11" customWidth="1"/>
    <col min="5855" max="5855" width="29.5" style="11" customWidth="1"/>
    <col min="5856" max="5856" width="23.625" style="11" customWidth="1"/>
    <col min="5857" max="5857" width="8" style="11" customWidth="1"/>
    <col min="5858" max="5858" width="9.125" style="11" customWidth="1"/>
    <col min="5859" max="5859" width="13.875" style="11" customWidth="1"/>
    <col min="5860" max="5860" width="13.5" style="11" customWidth="1"/>
    <col min="5861" max="6107" width="8.875" style="11"/>
    <col min="6108" max="6108" width="5" style="11" customWidth="1"/>
    <col min="6109" max="6109" width="33.375" style="11" customWidth="1"/>
    <col min="6110" max="6110" width="6.5" style="11" customWidth="1"/>
    <col min="6111" max="6111" width="29.5" style="11" customWidth="1"/>
    <col min="6112" max="6112" width="23.625" style="11" customWidth="1"/>
    <col min="6113" max="6113" width="8" style="11" customWidth="1"/>
    <col min="6114" max="6114" width="9.125" style="11" customWidth="1"/>
    <col min="6115" max="6115" width="13.875" style="11" customWidth="1"/>
    <col min="6116" max="6116" width="13.5" style="11" customWidth="1"/>
    <col min="6117" max="6363" width="8.875" style="11"/>
    <col min="6364" max="6364" width="5" style="11" customWidth="1"/>
    <col min="6365" max="6365" width="33.375" style="11" customWidth="1"/>
    <col min="6366" max="6366" width="6.5" style="11" customWidth="1"/>
    <col min="6367" max="6367" width="29.5" style="11" customWidth="1"/>
    <col min="6368" max="6368" width="23.625" style="11" customWidth="1"/>
    <col min="6369" max="6369" width="8" style="11" customWidth="1"/>
    <col min="6370" max="6370" width="9.125" style="11" customWidth="1"/>
    <col min="6371" max="6371" width="13.875" style="11" customWidth="1"/>
    <col min="6372" max="6372" width="13.5" style="11" customWidth="1"/>
    <col min="6373" max="6619" width="8.875" style="11"/>
    <col min="6620" max="6620" width="5" style="11" customWidth="1"/>
    <col min="6621" max="6621" width="33.375" style="11" customWidth="1"/>
    <col min="6622" max="6622" width="6.5" style="11" customWidth="1"/>
    <col min="6623" max="6623" width="29.5" style="11" customWidth="1"/>
    <col min="6624" max="6624" width="23.625" style="11" customWidth="1"/>
    <col min="6625" max="6625" width="8" style="11" customWidth="1"/>
    <col min="6626" max="6626" width="9.125" style="11" customWidth="1"/>
    <col min="6627" max="6627" width="13.875" style="11" customWidth="1"/>
    <col min="6628" max="6628" width="13.5" style="11" customWidth="1"/>
    <col min="6629" max="6875" width="8.875" style="11"/>
    <col min="6876" max="6876" width="5" style="11" customWidth="1"/>
    <col min="6877" max="6877" width="33.375" style="11" customWidth="1"/>
    <col min="6878" max="6878" width="6.5" style="11" customWidth="1"/>
    <col min="6879" max="6879" width="29.5" style="11" customWidth="1"/>
    <col min="6880" max="6880" width="23.625" style="11" customWidth="1"/>
    <col min="6881" max="6881" width="8" style="11" customWidth="1"/>
    <col min="6882" max="6882" width="9.125" style="11" customWidth="1"/>
    <col min="6883" max="6883" width="13.875" style="11" customWidth="1"/>
    <col min="6884" max="6884" width="13.5" style="11" customWidth="1"/>
    <col min="6885" max="7131" width="8.875" style="11"/>
    <col min="7132" max="7132" width="5" style="11" customWidth="1"/>
    <col min="7133" max="7133" width="33.375" style="11" customWidth="1"/>
    <col min="7134" max="7134" width="6.5" style="11" customWidth="1"/>
    <col min="7135" max="7135" width="29.5" style="11" customWidth="1"/>
    <col min="7136" max="7136" width="23.625" style="11" customWidth="1"/>
    <col min="7137" max="7137" width="8" style="11" customWidth="1"/>
    <col min="7138" max="7138" width="9.125" style="11" customWidth="1"/>
    <col min="7139" max="7139" width="13.875" style="11" customWidth="1"/>
    <col min="7140" max="7140" width="13.5" style="11" customWidth="1"/>
    <col min="7141" max="7387" width="8.875" style="11"/>
    <col min="7388" max="7388" width="5" style="11" customWidth="1"/>
    <col min="7389" max="7389" width="33.375" style="11" customWidth="1"/>
    <col min="7390" max="7390" width="6.5" style="11" customWidth="1"/>
    <col min="7391" max="7391" width="29.5" style="11" customWidth="1"/>
    <col min="7392" max="7392" width="23.625" style="11" customWidth="1"/>
    <col min="7393" max="7393" width="8" style="11" customWidth="1"/>
    <col min="7394" max="7394" width="9.125" style="11" customWidth="1"/>
    <col min="7395" max="7395" width="13.875" style="11" customWidth="1"/>
    <col min="7396" max="7396" width="13.5" style="11" customWidth="1"/>
    <col min="7397" max="7643" width="8.875" style="11"/>
    <col min="7644" max="7644" width="5" style="11" customWidth="1"/>
    <col min="7645" max="7645" width="33.375" style="11" customWidth="1"/>
    <col min="7646" max="7646" width="6.5" style="11" customWidth="1"/>
    <col min="7647" max="7647" width="29.5" style="11" customWidth="1"/>
    <col min="7648" max="7648" width="23.625" style="11" customWidth="1"/>
    <col min="7649" max="7649" width="8" style="11" customWidth="1"/>
    <col min="7650" max="7650" width="9.125" style="11" customWidth="1"/>
    <col min="7651" max="7651" width="13.875" style="11" customWidth="1"/>
    <col min="7652" max="7652" width="13.5" style="11" customWidth="1"/>
    <col min="7653" max="7899" width="8.875" style="11"/>
    <col min="7900" max="7900" width="5" style="11" customWidth="1"/>
    <col min="7901" max="7901" width="33.375" style="11" customWidth="1"/>
    <col min="7902" max="7902" width="6.5" style="11" customWidth="1"/>
    <col min="7903" max="7903" width="29.5" style="11" customWidth="1"/>
    <col min="7904" max="7904" width="23.625" style="11" customWidth="1"/>
    <col min="7905" max="7905" width="8" style="11" customWidth="1"/>
    <col min="7906" max="7906" width="9.125" style="11" customWidth="1"/>
    <col min="7907" max="7907" width="13.875" style="11" customWidth="1"/>
    <col min="7908" max="7908" width="13.5" style="11" customWidth="1"/>
    <col min="7909" max="8155" width="8.875" style="11"/>
    <col min="8156" max="8156" width="5" style="11" customWidth="1"/>
    <col min="8157" max="8157" width="33.375" style="11" customWidth="1"/>
    <col min="8158" max="8158" width="6.5" style="11" customWidth="1"/>
    <col min="8159" max="8159" width="29.5" style="11" customWidth="1"/>
    <col min="8160" max="8160" width="23.625" style="11" customWidth="1"/>
    <col min="8161" max="8161" width="8" style="11" customWidth="1"/>
    <col min="8162" max="8162" width="9.125" style="11" customWidth="1"/>
    <col min="8163" max="8163" width="13.875" style="11" customWidth="1"/>
    <col min="8164" max="8164" width="13.5" style="11" customWidth="1"/>
    <col min="8165" max="8411" width="8.875" style="11"/>
    <col min="8412" max="8412" width="5" style="11" customWidth="1"/>
    <col min="8413" max="8413" width="33.375" style="11" customWidth="1"/>
    <col min="8414" max="8414" width="6.5" style="11" customWidth="1"/>
    <col min="8415" max="8415" width="29.5" style="11" customWidth="1"/>
    <col min="8416" max="8416" width="23.625" style="11" customWidth="1"/>
    <col min="8417" max="8417" width="8" style="11" customWidth="1"/>
    <col min="8418" max="8418" width="9.125" style="11" customWidth="1"/>
    <col min="8419" max="8419" width="13.875" style="11" customWidth="1"/>
    <col min="8420" max="8420" width="13.5" style="11" customWidth="1"/>
    <col min="8421" max="8667" width="8.875" style="11"/>
    <col min="8668" max="8668" width="5" style="11" customWidth="1"/>
    <col min="8669" max="8669" width="33.375" style="11" customWidth="1"/>
    <col min="8670" max="8670" width="6.5" style="11" customWidth="1"/>
    <col min="8671" max="8671" width="29.5" style="11" customWidth="1"/>
    <col min="8672" max="8672" width="23.625" style="11" customWidth="1"/>
    <col min="8673" max="8673" width="8" style="11" customWidth="1"/>
    <col min="8674" max="8674" width="9.125" style="11" customWidth="1"/>
    <col min="8675" max="8675" width="13.875" style="11" customWidth="1"/>
    <col min="8676" max="8676" width="13.5" style="11" customWidth="1"/>
    <col min="8677" max="8923" width="8.875" style="11"/>
    <col min="8924" max="8924" width="5" style="11" customWidth="1"/>
    <col min="8925" max="8925" width="33.375" style="11" customWidth="1"/>
    <col min="8926" max="8926" width="6.5" style="11" customWidth="1"/>
    <col min="8927" max="8927" width="29.5" style="11" customWidth="1"/>
    <col min="8928" max="8928" width="23.625" style="11" customWidth="1"/>
    <col min="8929" max="8929" width="8" style="11" customWidth="1"/>
    <col min="8930" max="8930" width="9.125" style="11" customWidth="1"/>
    <col min="8931" max="8931" width="13.875" style="11" customWidth="1"/>
    <col min="8932" max="8932" width="13.5" style="11" customWidth="1"/>
    <col min="8933" max="9179" width="8.875" style="11"/>
    <col min="9180" max="9180" width="5" style="11" customWidth="1"/>
    <col min="9181" max="9181" width="33.375" style="11" customWidth="1"/>
    <col min="9182" max="9182" width="6.5" style="11" customWidth="1"/>
    <col min="9183" max="9183" width="29.5" style="11" customWidth="1"/>
    <col min="9184" max="9184" width="23.625" style="11" customWidth="1"/>
    <col min="9185" max="9185" width="8" style="11" customWidth="1"/>
    <col min="9186" max="9186" width="9.125" style="11" customWidth="1"/>
    <col min="9187" max="9187" width="13.875" style="11" customWidth="1"/>
    <col min="9188" max="9188" width="13.5" style="11" customWidth="1"/>
    <col min="9189" max="9435" width="8.875" style="11"/>
    <col min="9436" max="9436" width="5" style="11" customWidth="1"/>
    <col min="9437" max="9437" width="33.375" style="11" customWidth="1"/>
    <col min="9438" max="9438" width="6.5" style="11" customWidth="1"/>
    <col min="9439" max="9439" width="29.5" style="11" customWidth="1"/>
    <col min="9440" max="9440" width="23.625" style="11" customWidth="1"/>
    <col min="9441" max="9441" width="8" style="11" customWidth="1"/>
    <col min="9442" max="9442" width="9.125" style="11" customWidth="1"/>
    <col min="9443" max="9443" width="13.875" style="11" customWidth="1"/>
    <col min="9444" max="9444" width="13.5" style="11" customWidth="1"/>
    <col min="9445" max="9691" width="8.875" style="11"/>
    <col min="9692" max="9692" width="5" style="11" customWidth="1"/>
    <col min="9693" max="9693" width="33.375" style="11" customWidth="1"/>
    <col min="9694" max="9694" width="6.5" style="11" customWidth="1"/>
    <col min="9695" max="9695" width="29.5" style="11" customWidth="1"/>
    <col min="9696" max="9696" width="23.625" style="11" customWidth="1"/>
    <col min="9697" max="9697" width="8" style="11" customWidth="1"/>
    <col min="9698" max="9698" width="9.125" style="11" customWidth="1"/>
    <col min="9699" max="9699" width="13.875" style="11" customWidth="1"/>
    <col min="9700" max="9700" width="13.5" style="11" customWidth="1"/>
    <col min="9701" max="9947" width="8.875" style="11"/>
    <col min="9948" max="9948" width="5" style="11" customWidth="1"/>
    <col min="9949" max="9949" width="33.375" style="11" customWidth="1"/>
    <col min="9950" max="9950" width="6.5" style="11" customWidth="1"/>
    <col min="9951" max="9951" width="29.5" style="11" customWidth="1"/>
    <col min="9952" max="9952" width="23.625" style="11" customWidth="1"/>
    <col min="9953" max="9953" width="8" style="11" customWidth="1"/>
    <col min="9954" max="9954" width="9.125" style="11" customWidth="1"/>
    <col min="9955" max="9955" width="13.875" style="11" customWidth="1"/>
    <col min="9956" max="9956" width="13.5" style="11" customWidth="1"/>
    <col min="9957" max="10203" width="8.875" style="11"/>
    <col min="10204" max="10204" width="5" style="11" customWidth="1"/>
    <col min="10205" max="10205" width="33.375" style="11" customWidth="1"/>
    <col min="10206" max="10206" width="6.5" style="11" customWidth="1"/>
    <col min="10207" max="10207" width="29.5" style="11" customWidth="1"/>
    <col min="10208" max="10208" width="23.625" style="11" customWidth="1"/>
    <col min="10209" max="10209" width="8" style="11" customWidth="1"/>
    <col min="10210" max="10210" width="9.125" style="11" customWidth="1"/>
    <col min="10211" max="10211" width="13.875" style="11" customWidth="1"/>
    <col min="10212" max="10212" width="13.5" style="11" customWidth="1"/>
    <col min="10213" max="10459" width="8.875" style="11"/>
    <col min="10460" max="10460" width="5" style="11" customWidth="1"/>
    <col min="10461" max="10461" width="33.375" style="11" customWidth="1"/>
    <col min="10462" max="10462" width="6.5" style="11" customWidth="1"/>
    <col min="10463" max="10463" width="29.5" style="11" customWidth="1"/>
    <col min="10464" max="10464" width="23.625" style="11" customWidth="1"/>
    <col min="10465" max="10465" width="8" style="11" customWidth="1"/>
    <col min="10466" max="10466" width="9.125" style="11" customWidth="1"/>
    <col min="10467" max="10467" width="13.875" style="11" customWidth="1"/>
    <col min="10468" max="10468" width="13.5" style="11" customWidth="1"/>
    <col min="10469" max="10715" width="8.875" style="11"/>
    <col min="10716" max="10716" width="5" style="11" customWidth="1"/>
    <col min="10717" max="10717" width="33.375" style="11" customWidth="1"/>
    <col min="10718" max="10718" width="6.5" style="11" customWidth="1"/>
    <col min="10719" max="10719" width="29.5" style="11" customWidth="1"/>
    <col min="10720" max="10720" width="23.625" style="11" customWidth="1"/>
    <col min="10721" max="10721" width="8" style="11" customWidth="1"/>
    <col min="10722" max="10722" width="9.125" style="11" customWidth="1"/>
    <col min="10723" max="10723" width="13.875" style="11" customWidth="1"/>
    <col min="10724" max="10724" width="13.5" style="11" customWidth="1"/>
    <col min="10725" max="10971" width="8.875" style="11"/>
    <col min="10972" max="10972" width="5" style="11" customWidth="1"/>
    <col min="10973" max="10973" width="33.375" style="11" customWidth="1"/>
    <col min="10974" max="10974" width="6.5" style="11" customWidth="1"/>
    <col min="10975" max="10975" width="29.5" style="11" customWidth="1"/>
    <col min="10976" max="10976" width="23.625" style="11" customWidth="1"/>
    <col min="10977" max="10977" width="8" style="11" customWidth="1"/>
    <col min="10978" max="10978" width="9.125" style="11" customWidth="1"/>
    <col min="10979" max="10979" width="13.875" style="11" customWidth="1"/>
    <col min="10980" max="10980" width="13.5" style="11" customWidth="1"/>
    <col min="10981" max="11227" width="8.875" style="11"/>
    <col min="11228" max="11228" width="5" style="11" customWidth="1"/>
    <col min="11229" max="11229" width="33.375" style="11" customWidth="1"/>
    <col min="11230" max="11230" width="6.5" style="11" customWidth="1"/>
    <col min="11231" max="11231" width="29.5" style="11" customWidth="1"/>
    <col min="11232" max="11232" width="23.625" style="11" customWidth="1"/>
    <col min="11233" max="11233" width="8" style="11" customWidth="1"/>
    <col min="11234" max="11234" width="9.125" style="11" customWidth="1"/>
    <col min="11235" max="11235" width="13.875" style="11" customWidth="1"/>
    <col min="11236" max="11236" width="13.5" style="11" customWidth="1"/>
    <col min="11237" max="11483" width="8.875" style="11"/>
    <col min="11484" max="11484" width="5" style="11" customWidth="1"/>
    <col min="11485" max="11485" width="33.375" style="11" customWidth="1"/>
    <col min="11486" max="11486" width="6.5" style="11" customWidth="1"/>
    <col min="11487" max="11487" width="29.5" style="11" customWidth="1"/>
    <col min="11488" max="11488" width="23.625" style="11" customWidth="1"/>
    <col min="11489" max="11489" width="8" style="11" customWidth="1"/>
    <col min="11490" max="11490" width="9.125" style="11" customWidth="1"/>
    <col min="11491" max="11491" width="13.875" style="11" customWidth="1"/>
    <col min="11492" max="11492" width="13.5" style="11" customWidth="1"/>
    <col min="11493" max="11739" width="8.875" style="11"/>
    <col min="11740" max="11740" width="5" style="11" customWidth="1"/>
    <col min="11741" max="11741" width="33.375" style="11" customWidth="1"/>
    <col min="11742" max="11742" width="6.5" style="11" customWidth="1"/>
    <col min="11743" max="11743" width="29.5" style="11" customWidth="1"/>
    <col min="11744" max="11744" width="23.625" style="11" customWidth="1"/>
    <col min="11745" max="11745" width="8" style="11" customWidth="1"/>
    <col min="11746" max="11746" width="9.125" style="11" customWidth="1"/>
    <col min="11747" max="11747" width="13.875" style="11" customWidth="1"/>
    <col min="11748" max="11748" width="13.5" style="11" customWidth="1"/>
    <col min="11749" max="11995" width="8.875" style="11"/>
    <col min="11996" max="11996" width="5" style="11" customWidth="1"/>
    <col min="11997" max="11997" width="33.375" style="11" customWidth="1"/>
    <col min="11998" max="11998" width="6.5" style="11" customWidth="1"/>
    <col min="11999" max="11999" width="29.5" style="11" customWidth="1"/>
    <col min="12000" max="12000" width="23.625" style="11" customWidth="1"/>
    <col min="12001" max="12001" width="8" style="11" customWidth="1"/>
    <col min="12002" max="12002" width="9.125" style="11" customWidth="1"/>
    <col min="12003" max="12003" width="13.875" style="11" customWidth="1"/>
    <col min="12004" max="12004" width="13.5" style="11" customWidth="1"/>
    <col min="12005" max="12251" width="8.875" style="11"/>
    <col min="12252" max="12252" width="5" style="11" customWidth="1"/>
    <col min="12253" max="12253" width="33.375" style="11" customWidth="1"/>
    <col min="12254" max="12254" width="6.5" style="11" customWidth="1"/>
    <col min="12255" max="12255" width="29.5" style="11" customWidth="1"/>
    <col min="12256" max="12256" width="23.625" style="11" customWidth="1"/>
    <col min="12257" max="12257" width="8" style="11" customWidth="1"/>
    <col min="12258" max="12258" width="9.125" style="11" customWidth="1"/>
    <col min="12259" max="12259" width="13.875" style="11" customWidth="1"/>
    <col min="12260" max="12260" width="13.5" style="11" customWidth="1"/>
    <col min="12261" max="12507" width="8.875" style="11"/>
    <col min="12508" max="12508" width="5" style="11" customWidth="1"/>
    <col min="12509" max="12509" width="33.375" style="11" customWidth="1"/>
    <col min="12510" max="12510" width="6.5" style="11" customWidth="1"/>
    <col min="12511" max="12511" width="29.5" style="11" customWidth="1"/>
    <col min="12512" max="12512" width="23.625" style="11" customWidth="1"/>
    <col min="12513" max="12513" width="8" style="11" customWidth="1"/>
    <col min="12514" max="12514" width="9.125" style="11" customWidth="1"/>
    <col min="12515" max="12515" width="13.875" style="11" customWidth="1"/>
    <col min="12516" max="12516" width="13.5" style="11" customWidth="1"/>
    <col min="12517" max="12763" width="8.875" style="11"/>
    <col min="12764" max="12764" width="5" style="11" customWidth="1"/>
    <col min="12765" max="12765" width="33.375" style="11" customWidth="1"/>
    <col min="12766" max="12766" width="6.5" style="11" customWidth="1"/>
    <col min="12767" max="12767" width="29.5" style="11" customWidth="1"/>
    <col min="12768" max="12768" width="23.625" style="11" customWidth="1"/>
    <col min="12769" max="12769" width="8" style="11" customWidth="1"/>
    <col min="12770" max="12770" width="9.125" style="11" customWidth="1"/>
    <col min="12771" max="12771" width="13.875" style="11" customWidth="1"/>
    <col min="12772" max="12772" width="13.5" style="11" customWidth="1"/>
    <col min="12773" max="13019" width="8.875" style="11"/>
    <col min="13020" max="13020" width="5" style="11" customWidth="1"/>
    <col min="13021" max="13021" width="33.375" style="11" customWidth="1"/>
    <col min="13022" max="13022" width="6.5" style="11" customWidth="1"/>
    <col min="13023" max="13023" width="29.5" style="11" customWidth="1"/>
    <col min="13024" max="13024" width="23.625" style="11" customWidth="1"/>
    <col min="13025" max="13025" width="8" style="11" customWidth="1"/>
    <col min="13026" max="13026" width="9.125" style="11" customWidth="1"/>
    <col min="13027" max="13027" width="13.875" style="11" customWidth="1"/>
    <col min="13028" max="13028" width="13.5" style="11" customWidth="1"/>
    <col min="13029" max="13275" width="8.875" style="11"/>
    <col min="13276" max="13276" width="5" style="11" customWidth="1"/>
    <col min="13277" max="13277" width="33.375" style="11" customWidth="1"/>
    <col min="13278" max="13278" width="6.5" style="11" customWidth="1"/>
    <col min="13279" max="13279" width="29.5" style="11" customWidth="1"/>
    <col min="13280" max="13280" width="23.625" style="11" customWidth="1"/>
    <col min="13281" max="13281" width="8" style="11" customWidth="1"/>
    <col min="13282" max="13282" width="9.125" style="11" customWidth="1"/>
    <col min="13283" max="13283" width="13.875" style="11" customWidth="1"/>
    <col min="13284" max="13284" width="13.5" style="11" customWidth="1"/>
    <col min="13285" max="13531" width="8.875" style="11"/>
    <col min="13532" max="13532" width="5" style="11" customWidth="1"/>
    <col min="13533" max="13533" width="33.375" style="11" customWidth="1"/>
    <col min="13534" max="13534" width="6.5" style="11" customWidth="1"/>
    <col min="13535" max="13535" width="29.5" style="11" customWidth="1"/>
    <col min="13536" max="13536" width="23.625" style="11" customWidth="1"/>
    <col min="13537" max="13537" width="8" style="11" customWidth="1"/>
    <col min="13538" max="13538" width="9.125" style="11" customWidth="1"/>
    <col min="13539" max="13539" width="13.875" style="11" customWidth="1"/>
    <col min="13540" max="13540" width="13.5" style="11" customWidth="1"/>
    <col min="13541" max="13787" width="8.875" style="11"/>
    <col min="13788" max="13788" width="5" style="11" customWidth="1"/>
    <col min="13789" max="13789" width="33.375" style="11" customWidth="1"/>
    <col min="13790" max="13790" width="6.5" style="11" customWidth="1"/>
    <col min="13791" max="13791" width="29.5" style="11" customWidth="1"/>
    <col min="13792" max="13792" width="23.625" style="11" customWidth="1"/>
    <col min="13793" max="13793" width="8" style="11" customWidth="1"/>
    <col min="13794" max="13794" width="9.125" style="11" customWidth="1"/>
    <col min="13795" max="13795" width="13.875" style="11" customWidth="1"/>
    <col min="13796" max="13796" width="13.5" style="11" customWidth="1"/>
    <col min="13797" max="14043" width="8.875" style="11"/>
    <col min="14044" max="14044" width="5" style="11" customWidth="1"/>
    <col min="14045" max="14045" width="33.375" style="11" customWidth="1"/>
    <col min="14046" max="14046" width="6.5" style="11" customWidth="1"/>
    <col min="14047" max="14047" width="29.5" style="11" customWidth="1"/>
    <col min="14048" max="14048" width="23.625" style="11" customWidth="1"/>
    <col min="14049" max="14049" width="8" style="11" customWidth="1"/>
    <col min="14050" max="14050" width="9.125" style="11" customWidth="1"/>
    <col min="14051" max="14051" width="13.875" style="11" customWidth="1"/>
    <col min="14052" max="14052" width="13.5" style="11" customWidth="1"/>
    <col min="14053" max="14299" width="8.875" style="11"/>
    <col min="14300" max="14300" width="5" style="11" customWidth="1"/>
    <col min="14301" max="14301" width="33.375" style="11" customWidth="1"/>
    <col min="14302" max="14302" width="6.5" style="11" customWidth="1"/>
    <col min="14303" max="14303" width="29.5" style="11" customWidth="1"/>
    <col min="14304" max="14304" width="23.625" style="11" customWidth="1"/>
    <col min="14305" max="14305" width="8" style="11" customWidth="1"/>
    <col min="14306" max="14306" width="9.125" style="11" customWidth="1"/>
    <col min="14307" max="14307" width="13.875" style="11" customWidth="1"/>
    <col min="14308" max="14308" width="13.5" style="11" customWidth="1"/>
    <col min="14309" max="14555" width="8.875" style="11"/>
    <col min="14556" max="14556" width="5" style="11" customWidth="1"/>
    <col min="14557" max="14557" width="33.375" style="11" customWidth="1"/>
    <col min="14558" max="14558" width="6.5" style="11" customWidth="1"/>
    <col min="14559" max="14559" width="29.5" style="11" customWidth="1"/>
    <col min="14560" max="14560" width="23.625" style="11" customWidth="1"/>
    <col min="14561" max="14561" width="8" style="11" customWidth="1"/>
    <col min="14562" max="14562" width="9.125" style="11" customWidth="1"/>
    <col min="14563" max="14563" width="13.875" style="11" customWidth="1"/>
    <col min="14564" max="14564" width="13.5" style="11" customWidth="1"/>
    <col min="14565" max="14811" width="8.875" style="11"/>
    <col min="14812" max="14812" width="5" style="11" customWidth="1"/>
    <col min="14813" max="14813" width="33.375" style="11" customWidth="1"/>
    <col min="14814" max="14814" width="6.5" style="11" customWidth="1"/>
    <col min="14815" max="14815" width="29.5" style="11" customWidth="1"/>
    <col min="14816" max="14816" width="23.625" style="11" customWidth="1"/>
    <col min="14817" max="14817" width="8" style="11" customWidth="1"/>
    <col min="14818" max="14818" width="9.125" style="11" customWidth="1"/>
    <col min="14819" max="14819" width="13.875" style="11" customWidth="1"/>
    <col min="14820" max="14820" width="13.5" style="11" customWidth="1"/>
    <col min="14821" max="15067" width="8.875" style="11"/>
    <col min="15068" max="15068" width="5" style="11" customWidth="1"/>
    <col min="15069" max="15069" width="33.375" style="11" customWidth="1"/>
    <col min="15070" max="15070" width="6.5" style="11" customWidth="1"/>
    <col min="15071" max="15071" width="29.5" style="11" customWidth="1"/>
    <col min="15072" max="15072" width="23.625" style="11" customWidth="1"/>
    <col min="15073" max="15073" width="8" style="11" customWidth="1"/>
    <col min="15074" max="15074" width="9.125" style="11" customWidth="1"/>
    <col min="15075" max="15075" width="13.875" style="11" customWidth="1"/>
    <col min="15076" max="15076" width="13.5" style="11" customWidth="1"/>
    <col min="15077" max="15323" width="8.875" style="11"/>
    <col min="15324" max="15324" width="5" style="11" customWidth="1"/>
    <col min="15325" max="15325" width="33.375" style="11" customWidth="1"/>
    <col min="15326" max="15326" width="6.5" style="11" customWidth="1"/>
    <col min="15327" max="15327" width="29.5" style="11" customWidth="1"/>
    <col min="15328" max="15328" width="23.625" style="11" customWidth="1"/>
    <col min="15329" max="15329" width="8" style="11" customWidth="1"/>
    <col min="15330" max="15330" width="9.125" style="11" customWidth="1"/>
    <col min="15331" max="15331" width="13.875" style="11" customWidth="1"/>
    <col min="15332" max="15332" width="13.5" style="11" customWidth="1"/>
    <col min="15333" max="15579" width="8.875" style="11"/>
    <col min="15580" max="15580" width="5" style="11" customWidth="1"/>
    <col min="15581" max="15581" width="33.375" style="11" customWidth="1"/>
    <col min="15582" max="15582" width="6.5" style="11" customWidth="1"/>
    <col min="15583" max="15583" width="29.5" style="11" customWidth="1"/>
    <col min="15584" max="15584" width="23.625" style="11" customWidth="1"/>
    <col min="15585" max="15585" width="8" style="11" customWidth="1"/>
    <col min="15586" max="15586" width="9.125" style="11" customWidth="1"/>
    <col min="15587" max="15587" width="13.875" style="11" customWidth="1"/>
    <col min="15588" max="15588" width="13.5" style="11" customWidth="1"/>
    <col min="15589" max="15835" width="8.875" style="11"/>
    <col min="15836" max="15836" width="5" style="11" customWidth="1"/>
    <col min="15837" max="15837" width="33.375" style="11" customWidth="1"/>
    <col min="15838" max="15838" width="6.5" style="11" customWidth="1"/>
    <col min="15839" max="15839" width="29.5" style="11" customWidth="1"/>
    <col min="15840" max="15840" width="23.625" style="11" customWidth="1"/>
    <col min="15841" max="15841" width="8" style="11" customWidth="1"/>
    <col min="15842" max="15842" width="9.125" style="11" customWidth="1"/>
    <col min="15843" max="15843" width="13.875" style="11" customWidth="1"/>
    <col min="15844" max="15844" width="13.5" style="11" customWidth="1"/>
    <col min="15845" max="16384" width="8.875" style="11"/>
  </cols>
  <sheetData>
    <row r="1" spans="2:26" ht="20.25">
      <c r="D1" s="11"/>
      <c r="F1" s="210" t="s">
        <v>242</v>
      </c>
      <c r="H1" s="43"/>
      <c r="I1" s="83"/>
      <c r="J1" s="43"/>
      <c r="L1" s="11"/>
      <c r="N1" s="11"/>
      <c r="P1" s="11"/>
      <c r="R1" s="11"/>
      <c r="T1" s="11"/>
      <c r="U1" s="18"/>
      <c r="V1" s="11"/>
      <c r="X1" s="11"/>
      <c r="Z1" s="11"/>
    </row>
    <row r="2" spans="2:26" ht="12.95" customHeight="1">
      <c r="B2" s="140" t="s">
        <v>253</v>
      </c>
      <c r="C2" s="140" t="s">
        <v>132</v>
      </c>
      <c r="D2" s="11"/>
      <c r="F2" s="971" t="s">
        <v>400</v>
      </c>
      <c r="G2" s="971"/>
      <c r="H2" s="971"/>
      <c r="I2" s="971"/>
      <c r="J2" s="971"/>
      <c r="L2" s="11"/>
      <c r="N2" s="11"/>
      <c r="P2" s="11"/>
      <c r="R2" s="11"/>
      <c r="T2" s="11"/>
      <c r="V2" s="11"/>
      <c r="X2" s="11"/>
      <c r="Z2" s="11"/>
    </row>
    <row r="3" spans="2:26">
      <c r="B3" s="209" t="s">
        <v>254</v>
      </c>
      <c r="C3" s="209" t="s">
        <v>255</v>
      </c>
      <c r="D3" s="11"/>
      <c r="F3" s="971"/>
      <c r="G3" s="971"/>
      <c r="H3" s="971"/>
      <c r="I3" s="971"/>
      <c r="J3" s="971"/>
      <c r="L3" s="11"/>
      <c r="N3" s="11"/>
      <c r="P3" s="11"/>
      <c r="R3" s="11"/>
      <c r="T3" s="11"/>
      <c r="V3" s="11"/>
      <c r="X3" s="11"/>
      <c r="Z3" s="11"/>
    </row>
    <row r="4" spans="2:26">
      <c r="B4" s="140" t="s">
        <v>256</v>
      </c>
      <c r="C4" s="140" t="s">
        <v>133</v>
      </c>
      <c r="D4" s="11"/>
      <c r="F4" s="971"/>
      <c r="G4" s="971"/>
      <c r="H4" s="971"/>
      <c r="I4" s="971"/>
      <c r="J4" s="971"/>
      <c r="L4" s="11"/>
      <c r="N4" s="11"/>
      <c r="P4" s="11"/>
      <c r="R4" s="11"/>
      <c r="T4" s="11"/>
      <c r="V4" s="11"/>
      <c r="X4" s="11"/>
      <c r="Z4" s="11"/>
    </row>
    <row r="5" spans="2:26">
      <c r="D5" s="11"/>
      <c r="F5" s="971"/>
      <c r="G5" s="971"/>
      <c r="H5" s="971"/>
      <c r="I5" s="971"/>
      <c r="J5" s="971"/>
      <c r="L5" s="11"/>
      <c r="N5" s="11"/>
      <c r="P5" s="11"/>
      <c r="R5" s="11"/>
      <c r="T5" s="11"/>
      <c r="V5" s="11"/>
      <c r="X5" s="11"/>
      <c r="Z5" s="11"/>
    </row>
    <row r="6" spans="2:26" s="43" customFormat="1" ht="20.25">
      <c r="B6" s="92" t="s">
        <v>11</v>
      </c>
      <c r="C6" s="95" t="s">
        <v>352</v>
      </c>
      <c r="D6" s="83"/>
      <c r="F6" s="971"/>
      <c r="G6" s="971"/>
      <c r="H6" s="971"/>
      <c r="I6" s="971"/>
      <c r="J6" s="971"/>
      <c r="L6" s="83"/>
      <c r="N6" s="83"/>
      <c r="P6" s="83"/>
      <c r="T6" s="83"/>
      <c r="U6" s="83"/>
      <c r="V6" s="83"/>
      <c r="X6" s="83"/>
      <c r="Z6" s="83"/>
    </row>
    <row r="7" spans="2:26" s="68" customFormat="1" ht="18">
      <c r="C7" s="100"/>
      <c r="D7" s="84"/>
      <c r="F7" s="971"/>
      <c r="G7" s="971"/>
      <c r="H7" s="971"/>
      <c r="I7" s="971"/>
      <c r="J7" s="971"/>
      <c r="L7" s="84"/>
      <c r="N7" s="84"/>
      <c r="P7" s="84"/>
      <c r="R7" s="84"/>
      <c r="T7" s="84"/>
      <c r="U7" s="83"/>
      <c r="V7" s="84"/>
      <c r="X7" s="84"/>
      <c r="Z7" s="84"/>
    </row>
    <row r="8" spans="2:26">
      <c r="B8" s="108"/>
      <c r="C8" s="108"/>
      <c r="D8" s="11"/>
      <c r="E8" s="17"/>
      <c r="G8" s="17"/>
      <c r="I8" s="17"/>
      <c r="K8" s="17"/>
      <c r="M8" s="17"/>
      <c r="O8" s="17"/>
      <c r="Q8" s="17"/>
      <c r="S8" s="17"/>
      <c r="U8" s="17"/>
      <c r="W8" s="17"/>
      <c r="Y8" s="17"/>
    </row>
    <row r="9" spans="2:26" s="9" customFormat="1" ht="38.25">
      <c r="B9" s="147" t="s">
        <v>0</v>
      </c>
      <c r="C9" s="148" t="s">
        <v>182</v>
      </c>
      <c r="D9" s="149" t="s">
        <v>134</v>
      </c>
      <c r="E9" s="148" t="s">
        <v>348</v>
      </c>
      <c r="F9" s="149" t="s">
        <v>134</v>
      </c>
      <c r="G9" s="148" t="s">
        <v>349</v>
      </c>
      <c r="H9" s="149" t="s">
        <v>134</v>
      </c>
      <c r="I9" s="148" t="s">
        <v>350</v>
      </c>
      <c r="J9" s="149" t="s">
        <v>134</v>
      </c>
      <c r="K9" s="148" t="s">
        <v>351</v>
      </c>
      <c r="L9" s="149" t="s">
        <v>134</v>
      </c>
      <c r="M9" s="148" t="s">
        <v>262</v>
      </c>
      <c r="N9" s="149" t="s">
        <v>134</v>
      </c>
      <c r="O9" s="148" t="s">
        <v>261</v>
      </c>
      <c r="P9" s="149" t="s">
        <v>134</v>
      </c>
      <c r="Q9" s="148" t="s">
        <v>258</v>
      </c>
      <c r="R9" s="149" t="s">
        <v>134</v>
      </c>
      <c r="S9" s="148" t="s">
        <v>260</v>
      </c>
      <c r="T9" s="149" t="s">
        <v>134</v>
      </c>
      <c r="U9" s="148" t="s">
        <v>257</v>
      </c>
      <c r="V9" s="149" t="s">
        <v>134</v>
      </c>
      <c r="W9" s="148" t="s">
        <v>259</v>
      </c>
      <c r="X9" s="149" t="s">
        <v>134</v>
      </c>
      <c r="Y9" s="148" t="s">
        <v>263</v>
      </c>
      <c r="Z9" s="149" t="s">
        <v>134</v>
      </c>
    </row>
    <row r="10" spans="2:26" s="10" customFormat="1">
      <c r="B10" s="214"/>
      <c r="C10" s="214" t="s">
        <v>6</v>
      </c>
      <c r="D10" s="215">
        <v>0.4</v>
      </c>
      <c r="E10" s="219"/>
      <c r="F10" s="215">
        <v>0.4</v>
      </c>
      <c r="G10" s="219"/>
      <c r="H10" s="215"/>
      <c r="I10" s="219"/>
      <c r="J10" s="215"/>
      <c r="K10" s="219"/>
      <c r="L10" s="215"/>
      <c r="M10" s="219"/>
      <c r="N10" s="215"/>
      <c r="O10" s="219"/>
      <c r="P10" s="215"/>
      <c r="Q10" s="219"/>
      <c r="R10" s="215"/>
      <c r="S10" s="219"/>
      <c r="T10" s="215"/>
      <c r="U10" s="219"/>
      <c r="V10" s="215"/>
      <c r="W10" s="219"/>
      <c r="X10" s="215"/>
      <c r="Y10" s="219"/>
      <c r="Z10" s="215"/>
    </row>
    <row r="11" spans="2:26" ht="38.25">
      <c r="B11" s="151">
        <v>1</v>
      </c>
      <c r="C11" s="216" t="s">
        <v>284</v>
      </c>
      <c r="D11" s="220">
        <v>0.15</v>
      </c>
      <c r="E11" s="264" t="s">
        <v>370</v>
      </c>
      <c r="F11" s="222">
        <v>0.15</v>
      </c>
      <c r="G11" s="216" t="s">
        <v>355</v>
      </c>
      <c r="H11" s="222"/>
      <c r="I11" s="216" t="s">
        <v>355</v>
      </c>
      <c r="J11" s="222"/>
      <c r="K11" s="216" t="s">
        <v>355</v>
      </c>
      <c r="L11" s="222"/>
      <c r="M11" s="269" t="s">
        <v>356</v>
      </c>
      <c r="N11" s="222"/>
      <c r="O11" s="216" t="s">
        <v>355</v>
      </c>
      <c r="P11" s="222"/>
      <c r="Q11" s="216" t="s">
        <v>284</v>
      </c>
      <c r="R11" s="224"/>
      <c r="S11" s="221" t="s">
        <v>356</v>
      </c>
      <c r="T11" s="222"/>
      <c r="U11" s="221" t="s">
        <v>356</v>
      </c>
      <c r="V11" s="224"/>
      <c r="W11" s="221" t="s">
        <v>356</v>
      </c>
      <c r="X11" s="222"/>
      <c r="Y11" s="223" t="s">
        <v>356</v>
      </c>
      <c r="Z11" s="222"/>
    </row>
    <row r="12" spans="2:26" ht="38.25">
      <c r="B12" s="151">
        <v>2</v>
      </c>
      <c r="C12" s="216" t="s">
        <v>285</v>
      </c>
      <c r="D12" s="218">
        <v>0.3</v>
      </c>
      <c r="E12" s="216" t="s">
        <v>357</v>
      </c>
      <c r="F12" s="226">
        <v>0.35</v>
      </c>
      <c r="G12" s="216" t="s">
        <v>357</v>
      </c>
      <c r="H12" s="226"/>
      <c r="I12" s="216" t="s">
        <v>357</v>
      </c>
      <c r="J12" s="226"/>
      <c r="K12" s="216" t="s">
        <v>357</v>
      </c>
      <c r="L12" s="226"/>
      <c r="M12" s="227"/>
      <c r="N12" s="226"/>
      <c r="O12" s="225"/>
      <c r="P12" s="226"/>
      <c r="Q12" s="216" t="s">
        <v>285</v>
      </c>
      <c r="R12" s="228"/>
      <c r="S12" s="225"/>
      <c r="T12" s="226"/>
      <c r="U12" s="225"/>
      <c r="V12" s="228"/>
      <c r="W12" s="227"/>
      <c r="X12" s="226"/>
      <c r="Y12" s="225"/>
      <c r="Z12" s="226"/>
    </row>
    <row r="13" spans="2:26" ht="25.5">
      <c r="B13" s="151">
        <v>3</v>
      </c>
      <c r="C13" s="216" t="s">
        <v>302</v>
      </c>
      <c r="D13" s="218">
        <v>0.3</v>
      </c>
      <c r="E13" s="216" t="s">
        <v>358</v>
      </c>
      <c r="F13" s="226">
        <v>0.25</v>
      </c>
      <c r="G13" s="216" t="s">
        <v>358</v>
      </c>
      <c r="H13" s="226"/>
      <c r="I13" s="216" t="s">
        <v>358</v>
      </c>
      <c r="J13" s="226"/>
      <c r="K13" s="216" t="s">
        <v>358</v>
      </c>
      <c r="L13" s="226"/>
      <c r="M13" s="216" t="s">
        <v>302</v>
      </c>
      <c r="N13" s="226"/>
      <c r="O13" s="216" t="s">
        <v>358</v>
      </c>
      <c r="P13" s="226"/>
      <c r="Q13" s="216" t="s">
        <v>302</v>
      </c>
      <c r="R13" s="228"/>
      <c r="S13" s="216" t="s">
        <v>302</v>
      </c>
      <c r="T13" s="226"/>
      <c r="U13" s="225"/>
      <c r="V13" s="228"/>
      <c r="W13" s="225"/>
      <c r="X13" s="226"/>
      <c r="Y13" s="225"/>
      <c r="Z13" s="226"/>
    </row>
    <row r="14" spans="2:26" ht="25.5">
      <c r="B14" s="151">
        <v>4</v>
      </c>
      <c r="C14" s="216" t="s">
        <v>286</v>
      </c>
      <c r="D14" s="218">
        <v>0.15</v>
      </c>
      <c r="E14" s="216" t="s">
        <v>359</v>
      </c>
      <c r="F14" s="226">
        <v>0.15</v>
      </c>
      <c r="G14" s="216" t="s">
        <v>359</v>
      </c>
      <c r="H14" s="226"/>
      <c r="I14" s="216" t="s">
        <v>359</v>
      </c>
      <c r="J14" s="226"/>
      <c r="K14" s="216" t="s">
        <v>359</v>
      </c>
      <c r="L14" s="226"/>
      <c r="M14" s="225"/>
      <c r="N14" s="226"/>
      <c r="O14" s="225"/>
      <c r="P14" s="226"/>
      <c r="Q14" s="216" t="s">
        <v>286</v>
      </c>
      <c r="R14" s="228"/>
      <c r="S14" s="225"/>
      <c r="T14" s="226"/>
      <c r="U14" s="225"/>
      <c r="V14" s="228"/>
      <c r="W14" s="225" t="s">
        <v>356</v>
      </c>
      <c r="X14" s="226"/>
      <c r="Y14" s="225"/>
      <c r="Z14" s="226"/>
    </row>
    <row r="15" spans="2:26" ht="38.25">
      <c r="B15" s="151">
        <v>5</v>
      </c>
      <c r="C15" s="216" t="s">
        <v>287</v>
      </c>
      <c r="D15" s="218">
        <v>0.1</v>
      </c>
      <c r="E15" s="216" t="s">
        <v>287</v>
      </c>
      <c r="F15" s="230">
        <v>0.1</v>
      </c>
      <c r="G15" s="216" t="s">
        <v>287</v>
      </c>
      <c r="H15" s="230"/>
      <c r="I15" s="216" t="s">
        <v>287</v>
      </c>
      <c r="J15" s="230"/>
      <c r="K15" s="216" t="s">
        <v>287</v>
      </c>
      <c r="L15" s="230"/>
      <c r="M15" s="229"/>
      <c r="N15" s="230"/>
      <c r="O15" s="216" t="s">
        <v>287</v>
      </c>
      <c r="P15" s="230"/>
      <c r="Q15" s="229"/>
      <c r="R15" s="231"/>
      <c r="S15" s="216" t="s">
        <v>287</v>
      </c>
      <c r="T15" s="230"/>
      <c r="U15" s="229"/>
      <c r="V15" s="231"/>
      <c r="W15" s="229"/>
      <c r="X15" s="230"/>
      <c r="Y15" s="229"/>
      <c r="Z15" s="230"/>
    </row>
    <row r="16" spans="2:26" s="10" customFormat="1">
      <c r="B16" s="214"/>
      <c r="C16" s="214" t="s">
        <v>5</v>
      </c>
      <c r="D16" s="215">
        <v>0.35</v>
      </c>
      <c r="E16" s="219"/>
      <c r="F16" s="215"/>
      <c r="G16" s="219"/>
      <c r="H16" s="215"/>
      <c r="I16" s="219"/>
      <c r="J16" s="215"/>
      <c r="K16" s="219"/>
      <c r="L16" s="215"/>
      <c r="M16" s="219"/>
      <c r="N16" s="215"/>
      <c r="O16" s="219"/>
      <c r="P16" s="215"/>
      <c r="Q16" s="219"/>
      <c r="R16" s="215"/>
      <c r="S16" s="219"/>
      <c r="T16" s="215"/>
      <c r="U16" s="219"/>
      <c r="V16" s="215"/>
      <c r="W16" s="219"/>
      <c r="X16" s="215"/>
      <c r="Y16" s="219"/>
      <c r="Z16" s="215"/>
    </row>
    <row r="17" spans="2:26" ht="25.5">
      <c r="B17" s="151">
        <v>1</v>
      </c>
      <c r="C17" s="216" t="s">
        <v>288</v>
      </c>
      <c r="D17" s="218">
        <v>0.15</v>
      </c>
      <c r="E17" s="216" t="s">
        <v>360</v>
      </c>
      <c r="F17" s="222"/>
      <c r="G17" s="216" t="s">
        <v>360</v>
      </c>
      <c r="H17" s="222"/>
      <c r="I17" s="216" t="s">
        <v>360</v>
      </c>
      <c r="J17" s="222"/>
      <c r="K17" s="216" t="s">
        <v>360</v>
      </c>
      <c r="L17" s="222"/>
      <c r="M17" s="223"/>
      <c r="N17" s="222"/>
      <c r="O17" s="223"/>
      <c r="P17" s="222"/>
      <c r="Q17" s="223"/>
      <c r="R17" s="232"/>
      <c r="S17" s="223"/>
      <c r="T17" s="222"/>
      <c r="U17" s="223"/>
      <c r="V17" s="232"/>
      <c r="W17" s="216" t="s">
        <v>288</v>
      </c>
      <c r="X17" s="222"/>
      <c r="Y17" s="223"/>
      <c r="Z17" s="222"/>
    </row>
    <row r="18" spans="2:26">
      <c r="B18" s="151">
        <v>2</v>
      </c>
      <c r="C18" s="216" t="s">
        <v>289</v>
      </c>
      <c r="D18" s="218">
        <v>0.1</v>
      </c>
      <c r="E18" s="216" t="s">
        <v>361</v>
      </c>
      <c r="F18" s="233"/>
      <c r="G18" s="216" t="s">
        <v>361</v>
      </c>
      <c r="H18" s="233"/>
      <c r="I18" s="216" t="s">
        <v>361</v>
      </c>
      <c r="J18" s="233"/>
      <c r="K18" s="216" t="s">
        <v>361</v>
      </c>
      <c r="L18" s="233"/>
      <c r="M18" s="216" t="s">
        <v>361</v>
      </c>
      <c r="N18" s="233"/>
      <c r="O18" s="216"/>
      <c r="P18" s="233"/>
      <c r="Q18" s="225"/>
      <c r="R18" s="234"/>
      <c r="S18" s="225"/>
      <c r="T18" s="233"/>
      <c r="U18" s="225"/>
      <c r="V18" s="234"/>
      <c r="W18" s="216" t="s">
        <v>289</v>
      </c>
      <c r="X18" s="233"/>
      <c r="Y18" s="225"/>
      <c r="Z18" s="233"/>
    </row>
    <row r="19" spans="2:26" ht="25.5">
      <c r="B19" s="151">
        <v>3</v>
      </c>
      <c r="C19" s="216" t="s">
        <v>290</v>
      </c>
      <c r="D19" s="218">
        <v>0.3</v>
      </c>
      <c r="E19" s="216" t="s">
        <v>362</v>
      </c>
      <c r="F19" s="233"/>
      <c r="G19" s="216" t="s">
        <v>362</v>
      </c>
      <c r="H19" s="233"/>
      <c r="I19" s="216" t="s">
        <v>362</v>
      </c>
      <c r="J19" s="233"/>
      <c r="K19" s="216" t="s">
        <v>362</v>
      </c>
      <c r="L19" s="233"/>
      <c r="M19" s="225"/>
      <c r="N19" s="233"/>
      <c r="O19" s="225"/>
      <c r="P19" s="233"/>
      <c r="Q19" s="225"/>
      <c r="R19" s="234"/>
      <c r="S19" s="225"/>
      <c r="T19" s="233"/>
      <c r="U19" s="225"/>
      <c r="V19" s="234"/>
      <c r="W19" s="216" t="s">
        <v>290</v>
      </c>
      <c r="X19" s="233"/>
      <c r="Y19" s="225"/>
      <c r="Z19" s="233"/>
    </row>
    <row r="20" spans="2:26" ht="25.5">
      <c r="B20" s="151">
        <v>4</v>
      </c>
      <c r="C20" s="216" t="s">
        <v>291</v>
      </c>
      <c r="D20" s="218">
        <v>0.15</v>
      </c>
      <c r="E20" s="216"/>
      <c r="F20" s="233"/>
      <c r="G20" s="216"/>
      <c r="H20" s="233"/>
      <c r="I20" s="216"/>
      <c r="J20" s="233"/>
      <c r="K20" s="216"/>
      <c r="L20" s="233"/>
      <c r="M20" s="216"/>
      <c r="N20" s="233"/>
      <c r="O20" s="225"/>
      <c r="P20" s="233"/>
      <c r="Q20" s="225"/>
      <c r="R20" s="234"/>
      <c r="S20" s="225"/>
      <c r="T20" s="233"/>
      <c r="U20" s="225"/>
      <c r="V20" s="234"/>
      <c r="W20" s="216" t="s">
        <v>291</v>
      </c>
      <c r="X20" s="233"/>
      <c r="Y20" s="225"/>
      <c r="Z20" s="233"/>
    </row>
    <row r="21" spans="2:26" ht="25.5">
      <c r="B21" s="151">
        <v>5</v>
      </c>
      <c r="C21" s="216" t="s">
        <v>292</v>
      </c>
      <c r="D21" s="218">
        <v>0.1</v>
      </c>
      <c r="E21" s="216" t="s">
        <v>363</v>
      </c>
      <c r="F21" s="236"/>
      <c r="G21" s="216" t="s">
        <v>363</v>
      </c>
      <c r="H21" s="236"/>
      <c r="I21" s="216" t="s">
        <v>363</v>
      </c>
      <c r="J21" s="236"/>
      <c r="K21" s="216" t="s">
        <v>363</v>
      </c>
      <c r="L21" s="236"/>
      <c r="M21" s="235"/>
      <c r="N21" s="236"/>
      <c r="O21" s="235"/>
      <c r="P21" s="236"/>
      <c r="Q21" s="235"/>
      <c r="R21" s="237"/>
      <c r="S21" s="235"/>
      <c r="T21" s="236"/>
      <c r="U21" s="235"/>
      <c r="V21" s="237"/>
      <c r="W21" s="216" t="s">
        <v>292</v>
      </c>
      <c r="X21" s="236"/>
      <c r="Y21" s="235"/>
      <c r="Z21" s="236"/>
    </row>
    <row r="22" spans="2:26" ht="38.25">
      <c r="B22" s="151">
        <v>6</v>
      </c>
      <c r="C22" s="216" t="s">
        <v>310</v>
      </c>
      <c r="D22" s="218">
        <v>0.2</v>
      </c>
      <c r="E22" s="229"/>
      <c r="F22" s="230"/>
      <c r="G22" s="216" t="s">
        <v>364</v>
      </c>
      <c r="H22" s="230"/>
      <c r="I22" s="216" t="s">
        <v>364</v>
      </c>
      <c r="J22" s="230"/>
      <c r="K22" s="216" t="s">
        <v>364</v>
      </c>
      <c r="L22" s="230"/>
      <c r="M22" s="229"/>
      <c r="N22" s="230"/>
      <c r="O22" s="216" t="s">
        <v>364</v>
      </c>
      <c r="P22" s="230"/>
      <c r="Q22" s="229"/>
      <c r="R22" s="231"/>
      <c r="S22" s="229"/>
      <c r="T22" s="230"/>
      <c r="U22" s="229"/>
      <c r="V22" s="231"/>
      <c r="W22" s="216" t="s">
        <v>310</v>
      </c>
      <c r="X22" s="230"/>
      <c r="Y22" s="229"/>
      <c r="Z22" s="230"/>
    </row>
    <row r="23" spans="2:26" s="10" customFormat="1">
      <c r="B23" s="214"/>
      <c r="C23" s="214" t="s">
        <v>7</v>
      </c>
      <c r="D23" s="215">
        <v>0.1</v>
      </c>
      <c r="E23" s="219"/>
      <c r="F23" s="215"/>
      <c r="G23" s="219"/>
      <c r="H23" s="215"/>
      <c r="I23" s="219"/>
      <c r="J23" s="215"/>
      <c r="K23" s="219"/>
      <c r="L23" s="215"/>
      <c r="M23" s="219"/>
      <c r="N23" s="215"/>
      <c r="O23" s="219"/>
      <c r="P23" s="215"/>
      <c r="Q23" s="219"/>
      <c r="R23" s="215"/>
      <c r="S23" s="219"/>
      <c r="T23" s="215"/>
      <c r="U23" s="219"/>
      <c r="V23" s="215"/>
      <c r="W23" s="219"/>
      <c r="X23" s="215"/>
      <c r="Y23" s="219"/>
      <c r="Z23" s="215"/>
    </row>
    <row r="24" spans="2:26" ht="25.5">
      <c r="B24" s="151">
        <v>1</v>
      </c>
      <c r="C24" s="216" t="s">
        <v>293</v>
      </c>
      <c r="D24" s="218">
        <v>0.2</v>
      </c>
      <c r="E24" s="216" t="s">
        <v>365</v>
      </c>
      <c r="F24" s="222"/>
      <c r="G24" s="216" t="s">
        <v>365</v>
      </c>
      <c r="H24" s="222"/>
      <c r="I24" s="216" t="s">
        <v>365</v>
      </c>
      <c r="J24" s="222"/>
      <c r="K24" s="216" t="s">
        <v>365</v>
      </c>
      <c r="L24" s="222"/>
      <c r="M24" s="238"/>
      <c r="N24" s="222"/>
      <c r="O24" s="238"/>
      <c r="P24" s="222"/>
      <c r="Q24" s="238"/>
      <c r="R24" s="232"/>
      <c r="S24" s="238"/>
      <c r="T24" s="222"/>
      <c r="U24" s="238"/>
      <c r="V24" s="232"/>
      <c r="W24" s="238"/>
      <c r="X24" s="222"/>
      <c r="Y24" s="238"/>
      <c r="Z24" s="222"/>
    </row>
    <row r="25" spans="2:26" ht="25.5">
      <c r="B25" s="151">
        <v>2</v>
      </c>
      <c r="C25" s="216" t="s">
        <v>294</v>
      </c>
      <c r="D25" s="218">
        <v>0.15</v>
      </c>
      <c r="E25" s="216" t="s">
        <v>294</v>
      </c>
      <c r="F25" s="226"/>
      <c r="G25" s="216" t="s">
        <v>294</v>
      </c>
      <c r="H25" s="226"/>
      <c r="I25" s="216" t="s">
        <v>294</v>
      </c>
      <c r="J25" s="226"/>
      <c r="K25" s="216" t="s">
        <v>294</v>
      </c>
      <c r="L25" s="226"/>
      <c r="M25" s="216"/>
      <c r="N25" s="226"/>
      <c r="O25" s="225"/>
      <c r="P25" s="226"/>
      <c r="Q25" s="225"/>
      <c r="R25" s="240"/>
      <c r="S25" s="225"/>
      <c r="T25" s="226"/>
      <c r="U25" s="216" t="s">
        <v>294</v>
      </c>
      <c r="V25" s="240"/>
      <c r="W25" s="225"/>
      <c r="X25" s="226"/>
      <c r="Y25" s="239"/>
      <c r="Z25" s="226"/>
    </row>
    <row r="26" spans="2:26" ht="51">
      <c r="B26" s="151">
        <v>3</v>
      </c>
      <c r="C26" s="216" t="s">
        <v>295</v>
      </c>
      <c r="D26" s="218">
        <v>0.15</v>
      </c>
      <c r="E26" s="263" t="s">
        <v>366</v>
      </c>
      <c r="F26" s="226"/>
      <c r="G26" s="263" t="s">
        <v>366</v>
      </c>
      <c r="H26" s="226"/>
      <c r="I26" s="263" t="s">
        <v>366</v>
      </c>
      <c r="J26" s="226"/>
      <c r="K26" s="263" t="s">
        <v>366</v>
      </c>
      <c r="L26" s="226"/>
      <c r="M26" s="225"/>
      <c r="N26" s="226"/>
      <c r="O26" s="216" t="s">
        <v>295</v>
      </c>
      <c r="P26" s="226"/>
      <c r="Q26" s="216" t="s">
        <v>295</v>
      </c>
      <c r="R26" s="240"/>
      <c r="S26" s="216" t="s">
        <v>295</v>
      </c>
      <c r="T26" s="226"/>
      <c r="U26" s="216" t="s">
        <v>295</v>
      </c>
      <c r="V26" s="240"/>
      <c r="W26" s="216" t="s">
        <v>295</v>
      </c>
      <c r="X26" s="226"/>
      <c r="Y26" s="216" t="s">
        <v>295</v>
      </c>
      <c r="Z26" s="226"/>
    </row>
    <row r="27" spans="2:26" ht="38.25">
      <c r="B27" s="151">
        <v>4</v>
      </c>
      <c r="C27" s="216" t="s">
        <v>296</v>
      </c>
      <c r="D27" s="218">
        <v>0.15</v>
      </c>
      <c r="E27" s="216" t="s">
        <v>296</v>
      </c>
      <c r="F27" s="226"/>
      <c r="G27" s="216" t="s">
        <v>296</v>
      </c>
      <c r="H27" s="226"/>
      <c r="I27" s="216" t="s">
        <v>296</v>
      </c>
      <c r="J27" s="226"/>
      <c r="K27" s="216" t="s">
        <v>296</v>
      </c>
      <c r="L27" s="226"/>
      <c r="M27" s="216"/>
      <c r="N27" s="226"/>
      <c r="O27" s="216" t="s">
        <v>296</v>
      </c>
      <c r="P27" s="226"/>
      <c r="Q27" s="225"/>
      <c r="R27" s="240"/>
      <c r="S27" s="216" t="s">
        <v>296</v>
      </c>
      <c r="T27" s="226"/>
      <c r="U27" s="216" t="s">
        <v>296</v>
      </c>
      <c r="V27" s="240"/>
      <c r="W27" s="225"/>
      <c r="X27" s="226"/>
      <c r="Y27" s="225"/>
      <c r="Z27" s="226"/>
    </row>
    <row r="28" spans="2:26" ht="51">
      <c r="B28" s="151">
        <v>5</v>
      </c>
      <c r="C28" s="216" t="s">
        <v>367</v>
      </c>
      <c r="D28" s="218">
        <v>0.2</v>
      </c>
      <c r="E28" s="216" t="s">
        <v>367</v>
      </c>
      <c r="F28" s="236"/>
      <c r="G28" s="216" t="s">
        <v>367</v>
      </c>
      <c r="H28" s="236"/>
      <c r="I28" s="216" t="s">
        <v>367</v>
      </c>
      <c r="J28" s="236"/>
      <c r="K28" s="216" t="s">
        <v>367</v>
      </c>
      <c r="L28" s="236"/>
      <c r="M28" s="235"/>
      <c r="N28" s="236"/>
      <c r="O28" s="235"/>
      <c r="P28" s="236"/>
      <c r="Q28" s="235"/>
      <c r="R28" s="241"/>
      <c r="S28" s="235"/>
      <c r="T28" s="236"/>
      <c r="U28" s="235"/>
      <c r="V28" s="241"/>
      <c r="W28" s="235"/>
      <c r="X28" s="236"/>
      <c r="Y28" s="216" t="s">
        <v>356</v>
      </c>
      <c r="Z28" s="236"/>
    </row>
    <row r="29" spans="2:26" ht="38.25">
      <c r="B29" s="151">
        <v>6</v>
      </c>
      <c r="C29" s="216" t="s">
        <v>297</v>
      </c>
      <c r="D29" s="218">
        <v>0.15</v>
      </c>
      <c r="E29" s="216" t="s">
        <v>368</v>
      </c>
      <c r="F29" s="242"/>
      <c r="G29" s="216" t="s">
        <v>368</v>
      </c>
      <c r="H29" s="242"/>
      <c r="I29" s="216" t="s">
        <v>368</v>
      </c>
      <c r="J29" s="242"/>
      <c r="K29" s="216" t="s">
        <v>368</v>
      </c>
      <c r="L29" s="242"/>
      <c r="M29" s="229"/>
      <c r="N29" s="242"/>
      <c r="O29" s="229"/>
      <c r="P29" s="242"/>
      <c r="Q29" s="229"/>
      <c r="R29" s="243"/>
      <c r="S29" s="229"/>
      <c r="T29" s="242"/>
      <c r="U29" s="216"/>
      <c r="V29" s="243"/>
      <c r="W29" s="229"/>
      <c r="X29" s="242"/>
      <c r="Y29" s="216" t="s">
        <v>297</v>
      </c>
      <c r="Z29" s="242"/>
    </row>
    <row r="30" spans="2:26" s="10" customFormat="1">
      <c r="B30" s="214"/>
      <c r="C30" s="214" t="s">
        <v>282</v>
      </c>
      <c r="D30" s="215">
        <v>0.15</v>
      </c>
      <c r="E30" s="219"/>
      <c r="F30" s="215">
        <v>0.2</v>
      </c>
      <c r="G30" s="219"/>
      <c r="H30" s="215"/>
      <c r="I30" s="219"/>
      <c r="J30" s="215"/>
      <c r="K30" s="219"/>
      <c r="L30" s="215"/>
      <c r="M30" s="219"/>
      <c r="N30" s="215"/>
      <c r="O30" s="219"/>
      <c r="P30" s="215"/>
      <c r="Q30" s="219"/>
      <c r="R30" s="215"/>
      <c r="S30" s="219"/>
      <c r="T30" s="215"/>
      <c r="U30" s="219"/>
      <c r="V30" s="215"/>
      <c r="W30" s="219"/>
      <c r="X30" s="215"/>
      <c r="Y30" s="219"/>
      <c r="Z30" s="215"/>
    </row>
    <row r="31" spans="2:26" ht="25.5">
      <c r="B31" s="151">
        <v>1</v>
      </c>
      <c r="C31" s="216" t="s">
        <v>298</v>
      </c>
      <c r="D31" s="218">
        <v>0.4</v>
      </c>
      <c r="E31" s="216" t="s">
        <v>369</v>
      </c>
      <c r="F31" s="222">
        <v>0.4</v>
      </c>
      <c r="G31" s="216" t="s">
        <v>369</v>
      </c>
      <c r="H31" s="222"/>
      <c r="I31" s="216" t="s">
        <v>369</v>
      </c>
      <c r="J31" s="222"/>
      <c r="K31" s="216" t="s">
        <v>369</v>
      </c>
      <c r="L31" s="222"/>
      <c r="M31" s="216" t="s">
        <v>369</v>
      </c>
      <c r="N31" s="222"/>
      <c r="O31" s="216" t="s">
        <v>369</v>
      </c>
      <c r="P31" s="222"/>
      <c r="Q31" s="216" t="s">
        <v>369</v>
      </c>
      <c r="R31" s="232"/>
      <c r="S31" s="216" t="s">
        <v>369</v>
      </c>
      <c r="T31" s="222"/>
      <c r="U31" s="216" t="s">
        <v>369</v>
      </c>
      <c r="V31" s="222"/>
      <c r="W31" s="216" t="s">
        <v>369</v>
      </c>
      <c r="X31" s="222"/>
      <c r="Y31" s="216" t="s">
        <v>369</v>
      </c>
      <c r="Z31" s="222"/>
    </row>
    <row r="32" spans="2:26" ht="25.5">
      <c r="B32" s="151">
        <v>2</v>
      </c>
      <c r="C32" s="216" t="s">
        <v>299</v>
      </c>
      <c r="D32" s="218">
        <v>0.2</v>
      </c>
      <c r="E32" s="265" t="s">
        <v>372</v>
      </c>
      <c r="F32" s="226">
        <v>0.3</v>
      </c>
      <c r="G32" s="227"/>
      <c r="H32" s="226"/>
      <c r="I32" s="227"/>
      <c r="J32" s="226"/>
      <c r="K32" s="227"/>
      <c r="L32" s="226"/>
      <c r="M32" s="227"/>
      <c r="N32" s="226"/>
      <c r="O32" s="227"/>
      <c r="P32" s="226"/>
      <c r="Q32" s="227"/>
      <c r="R32" s="240"/>
      <c r="S32" s="216" t="s">
        <v>299</v>
      </c>
      <c r="T32" s="226"/>
      <c r="U32" s="227"/>
      <c r="V32" s="240"/>
      <c r="W32" s="227"/>
      <c r="X32" s="226"/>
      <c r="Y32" s="227"/>
      <c r="Z32" s="226"/>
    </row>
    <row r="33" spans="2:26" ht="38.25">
      <c r="B33" s="151">
        <v>3</v>
      </c>
      <c r="C33" s="216" t="s">
        <v>300</v>
      </c>
      <c r="D33" s="218">
        <v>0.2</v>
      </c>
      <c r="E33" s="266" t="s">
        <v>371</v>
      </c>
      <c r="F33" s="226">
        <v>0.3</v>
      </c>
      <c r="G33" s="225"/>
      <c r="H33" s="226"/>
      <c r="I33" s="225"/>
      <c r="J33" s="226"/>
      <c r="K33" s="225"/>
      <c r="L33" s="226"/>
      <c r="M33" s="225"/>
      <c r="N33" s="226"/>
      <c r="O33" s="225"/>
      <c r="P33" s="226"/>
      <c r="Q33" s="225"/>
      <c r="R33" s="240"/>
      <c r="S33" s="225"/>
      <c r="T33" s="226"/>
      <c r="U33" s="216" t="s">
        <v>300</v>
      </c>
      <c r="V33" s="240"/>
      <c r="W33" s="225"/>
      <c r="X33" s="226"/>
      <c r="Y33" s="225"/>
      <c r="Z33" s="226"/>
    </row>
    <row r="34" spans="2:26" ht="26.25" thickBot="1">
      <c r="B34" s="151">
        <v>4</v>
      </c>
      <c r="C34" s="216" t="s">
        <v>301</v>
      </c>
      <c r="D34" s="218">
        <v>0.2</v>
      </c>
      <c r="E34" s="225"/>
      <c r="F34" s="226"/>
      <c r="G34" s="225"/>
      <c r="H34" s="226"/>
      <c r="I34" s="225"/>
      <c r="J34" s="226"/>
      <c r="K34" s="225"/>
      <c r="L34" s="226"/>
      <c r="M34" s="225"/>
      <c r="N34" s="226"/>
      <c r="O34" s="225"/>
      <c r="P34" s="226"/>
      <c r="Q34" s="225"/>
      <c r="R34" s="240"/>
      <c r="S34" s="225"/>
      <c r="T34" s="226"/>
      <c r="U34" s="225"/>
      <c r="V34" s="240"/>
      <c r="W34" s="225"/>
      <c r="X34" s="226"/>
      <c r="Y34" s="216" t="s">
        <v>301</v>
      </c>
      <c r="Z34" s="226"/>
    </row>
    <row r="35" spans="2:26" s="13" customFormat="1" ht="13.5" thickTop="1">
      <c r="B35" s="23"/>
      <c r="C35" s="24" t="s">
        <v>3</v>
      </c>
      <c r="D35" s="25">
        <f>D30+D23+D16+D10</f>
        <v>1</v>
      </c>
      <c r="E35" s="26"/>
      <c r="F35" s="25">
        <f>F30+F23+F16+F10</f>
        <v>0.60000000000000009</v>
      </c>
      <c r="G35" s="26"/>
      <c r="H35" s="25">
        <f>H30+H23+H16+H10</f>
        <v>0</v>
      </c>
      <c r="I35" s="26"/>
      <c r="J35" s="25">
        <f>J30+J23+J16+J10</f>
        <v>0</v>
      </c>
      <c r="K35" s="26"/>
      <c r="L35" s="25">
        <f>L30+L23+L16+L10</f>
        <v>0</v>
      </c>
      <c r="M35" s="26"/>
      <c r="N35" s="25">
        <f>N30+N23+N16+N10</f>
        <v>0</v>
      </c>
      <c r="O35" s="26"/>
      <c r="P35" s="25">
        <f>P30+P23+P16+P10</f>
        <v>0</v>
      </c>
      <c r="Q35" s="26"/>
      <c r="R35" s="25">
        <f>R30+R23+R16+R10</f>
        <v>0</v>
      </c>
      <c r="S35" s="26"/>
      <c r="T35" s="25">
        <f>T30+T23+T16+T10</f>
        <v>0</v>
      </c>
      <c r="U35" s="26"/>
      <c r="V35" s="25">
        <f>V30+V23+V16+V10</f>
        <v>0</v>
      </c>
      <c r="W35" s="26"/>
      <c r="X35" s="25">
        <f>X30+X23+X16+X10</f>
        <v>0</v>
      </c>
      <c r="Y35" s="26"/>
      <c r="Z35" s="25">
        <f>Z30+Z23+Z16+Z10</f>
        <v>0</v>
      </c>
    </row>
    <row r="36" spans="2:26">
      <c r="B36" s="14"/>
      <c r="C36" s="14"/>
      <c r="D36" s="15"/>
      <c r="E36" s="14"/>
      <c r="F36" s="15"/>
      <c r="G36" s="14"/>
      <c r="H36" s="15"/>
      <c r="I36" s="14"/>
      <c r="J36" s="15"/>
      <c r="K36" s="14"/>
      <c r="L36" s="15"/>
      <c r="M36" s="14"/>
      <c r="N36" s="15"/>
      <c r="O36" s="14"/>
      <c r="P36" s="15"/>
      <c r="Q36" s="14"/>
      <c r="R36" s="15"/>
      <c r="S36" s="14"/>
      <c r="T36" s="15"/>
      <c r="U36" s="14"/>
      <c r="V36" s="15"/>
      <c r="W36" s="14"/>
      <c r="X36" s="15"/>
      <c r="Y36" s="14"/>
      <c r="Z36" s="15"/>
    </row>
    <row r="37" spans="2:26">
      <c r="B37" s="38" t="s">
        <v>248</v>
      </c>
      <c r="C37" s="38"/>
      <c r="D37" s="37"/>
      <c r="F37" s="11"/>
      <c r="H37" s="11"/>
      <c r="J37" s="11"/>
      <c r="L37" s="11"/>
      <c r="N37" s="11"/>
      <c r="P37" s="11"/>
      <c r="R37" s="11"/>
      <c r="T37" s="11"/>
      <c r="V37" s="11"/>
      <c r="X37" s="11"/>
      <c r="Z37" s="11"/>
    </row>
    <row r="38" spans="2:26">
      <c r="B38" s="58"/>
      <c r="C38" s="62"/>
      <c r="D38" s="62"/>
      <c r="F38" s="11"/>
      <c r="H38" s="11"/>
      <c r="J38" s="11"/>
      <c r="L38" s="11"/>
      <c r="N38" s="11"/>
      <c r="P38" s="11"/>
      <c r="R38" s="11"/>
      <c r="T38" s="11"/>
      <c r="V38" s="11"/>
      <c r="X38" s="11"/>
      <c r="Z38" s="11"/>
    </row>
    <row r="39" spans="2:26">
      <c r="B39" s="47"/>
      <c r="C39" s="47"/>
      <c r="D39" s="61"/>
      <c r="F39" s="11"/>
      <c r="H39" s="11"/>
      <c r="J39" s="11"/>
      <c r="L39" s="11"/>
      <c r="N39" s="11"/>
      <c r="P39" s="11"/>
      <c r="R39" s="11"/>
      <c r="T39" s="11"/>
      <c r="V39" s="11"/>
      <c r="X39" s="11"/>
      <c r="Z39" s="11"/>
    </row>
    <row r="40" spans="2:26">
      <c r="B40" s="58"/>
      <c r="C40" s="58"/>
      <c r="D40" s="11"/>
      <c r="F40" s="11"/>
      <c r="H40" s="11"/>
      <c r="J40" s="11"/>
      <c r="L40" s="11"/>
      <c r="N40" s="11"/>
      <c r="P40" s="11"/>
      <c r="R40" s="11"/>
      <c r="T40" s="11"/>
      <c r="V40" s="11"/>
      <c r="X40" s="11"/>
      <c r="Z40" s="11"/>
    </row>
    <row r="41" spans="2:26">
      <c r="B41" s="58"/>
      <c r="C41" s="58"/>
      <c r="D41" s="11"/>
      <c r="F41" s="11"/>
      <c r="H41" s="11"/>
      <c r="J41" s="11"/>
      <c r="L41" s="11"/>
      <c r="N41" s="11"/>
      <c r="P41" s="11"/>
      <c r="R41" s="11"/>
      <c r="T41" s="11"/>
      <c r="V41" s="11"/>
      <c r="X41" s="11"/>
      <c r="Z41" s="11"/>
    </row>
    <row r="42" spans="2:26">
      <c r="B42" s="58"/>
      <c r="C42" s="58"/>
      <c r="D42" s="11"/>
      <c r="F42" s="11"/>
      <c r="H42" s="11"/>
      <c r="J42" s="11"/>
      <c r="L42" s="11"/>
      <c r="N42" s="11"/>
      <c r="P42" s="11"/>
      <c r="R42" s="11"/>
      <c r="T42" s="11"/>
      <c r="V42" s="11"/>
      <c r="X42" s="11"/>
      <c r="Z42" s="11"/>
    </row>
    <row r="43" spans="2:26">
      <c r="B43" s="57"/>
      <c r="C43" s="57"/>
      <c r="D43" s="11"/>
      <c r="F43" s="11"/>
      <c r="H43" s="11"/>
      <c r="J43" s="11"/>
      <c r="L43" s="11"/>
      <c r="N43" s="11"/>
      <c r="P43" s="11"/>
      <c r="R43" s="11"/>
      <c r="T43" s="11"/>
      <c r="V43" s="11"/>
      <c r="X43" s="11"/>
      <c r="Z43" s="11"/>
    </row>
    <row r="44" spans="2:26">
      <c r="B44" s="5" t="s">
        <v>160</v>
      </c>
      <c r="C44" s="5"/>
      <c r="F44" s="11"/>
      <c r="H44" s="11"/>
      <c r="J44" s="11"/>
      <c r="L44" s="11"/>
      <c r="N44" s="11"/>
      <c r="P44" s="11"/>
      <c r="R44" s="11"/>
      <c r="T44" s="11"/>
      <c r="V44" s="11"/>
      <c r="X44" s="11"/>
      <c r="Z44" s="11"/>
    </row>
    <row r="45" spans="2:26">
      <c r="B45" s="14"/>
      <c r="C45" s="14"/>
      <c r="D45" s="14"/>
      <c r="F45" s="11"/>
      <c r="H45" s="11"/>
      <c r="J45" s="11"/>
      <c r="L45" s="11"/>
      <c r="N45" s="11"/>
      <c r="P45" s="11"/>
      <c r="R45" s="11"/>
      <c r="T45" s="11"/>
      <c r="V45" s="11"/>
      <c r="X45" s="11"/>
      <c r="Z45" s="11"/>
    </row>
  </sheetData>
  <mergeCells count="1">
    <mergeCell ref="F2:J7"/>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Z45"/>
  <sheetViews>
    <sheetView showGridLines="0" zoomScale="133" workbookViewId="0">
      <pane xSplit="4" ySplit="10" topLeftCell="E11" activePane="bottomRight" state="frozen"/>
      <selection pane="topRight" activeCell="E1" sqref="E1"/>
      <selection pane="bottomLeft" activeCell="A13" sqref="A13"/>
      <selection pane="bottomRight" activeCell="O11" sqref="G11:O11"/>
    </sheetView>
  </sheetViews>
  <sheetFormatPr defaultColWidth="8.875" defaultRowHeight="12.75"/>
  <cols>
    <col min="1" max="1" width="1.125" style="11" customWidth="1"/>
    <col min="2" max="2" width="6" style="11" customWidth="1"/>
    <col min="3" max="3" width="31.5" style="11" customWidth="1"/>
    <col min="4" max="4" width="8.625" style="17" customWidth="1"/>
    <col min="5" max="5" width="30.125" style="11" customWidth="1"/>
    <col min="6" max="6" width="8.625" style="17" customWidth="1"/>
    <col min="7" max="7" width="30.125" style="11" customWidth="1"/>
    <col min="8" max="8" width="8.625" style="17" customWidth="1"/>
    <col min="9" max="9" width="30.125" style="11" customWidth="1"/>
    <col min="10" max="10" width="8.625" style="17" customWidth="1"/>
    <col min="11" max="11" width="30.125" style="11" customWidth="1"/>
    <col min="12" max="12" width="8.625" style="17" customWidth="1"/>
    <col min="13" max="13" width="30" style="11" customWidth="1"/>
    <col min="14" max="14" width="8.625" style="17" customWidth="1"/>
    <col min="15" max="15" width="32" style="11" customWidth="1"/>
    <col min="16" max="16" width="8.625" style="17" customWidth="1"/>
    <col min="17" max="17" width="27.5" style="11" customWidth="1"/>
    <col min="18" max="18" width="8.625" style="17" customWidth="1"/>
    <col min="19" max="19" width="30.625" style="11" customWidth="1"/>
    <col min="20" max="20" width="8.625" style="17" customWidth="1"/>
    <col min="21" max="21" width="30.125" style="11" customWidth="1"/>
    <col min="22" max="22" width="8.625" style="17" customWidth="1"/>
    <col min="23" max="23" width="29" style="11" customWidth="1"/>
    <col min="24" max="24" width="8.625" style="17" customWidth="1"/>
    <col min="25" max="25" width="29.5" style="11" customWidth="1"/>
    <col min="26" max="26" width="8.625" style="17" customWidth="1"/>
    <col min="27" max="219" width="8.875" style="11"/>
    <col min="220" max="220" width="5" style="11" customWidth="1"/>
    <col min="221" max="221" width="33.375" style="11" customWidth="1"/>
    <col min="222" max="222" width="6.5" style="11" customWidth="1"/>
    <col min="223" max="223" width="29.5" style="11" customWidth="1"/>
    <col min="224" max="224" width="23.625" style="11" customWidth="1"/>
    <col min="225" max="225" width="8" style="11" customWidth="1"/>
    <col min="226" max="226" width="9.125" style="11" customWidth="1"/>
    <col min="227" max="227" width="13.875" style="11" customWidth="1"/>
    <col min="228" max="228" width="13.5" style="11" customWidth="1"/>
    <col min="229" max="475" width="8.875" style="11"/>
    <col min="476" max="476" width="5" style="11" customWidth="1"/>
    <col min="477" max="477" width="33.375" style="11" customWidth="1"/>
    <col min="478" max="478" width="6.5" style="11" customWidth="1"/>
    <col min="479" max="479" width="29.5" style="11" customWidth="1"/>
    <col min="480" max="480" width="23.625" style="11" customWidth="1"/>
    <col min="481" max="481" width="8" style="11" customWidth="1"/>
    <col min="482" max="482" width="9.125" style="11" customWidth="1"/>
    <col min="483" max="483" width="13.875" style="11" customWidth="1"/>
    <col min="484" max="484" width="13.5" style="11" customWidth="1"/>
    <col min="485" max="731" width="8.875" style="11"/>
    <col min="732" max="732" width="5" style="11" customWidth="1"/>
    <col min="733" max="733" width="33.375" style="11" customWidth="1"/>
    <col min="734" max="734" width="6.5" style="11" customWidth="1"/>
    <col min="735" max="735" width="29.5" style="11" customWidth="1"/>
    <col min="736" max="736" width="23.625" style="11" customWidth="1"/>
    <col min="737" max="737" width="8" style="11" customWidth="1"/>
    <col min="738" max="738" width="9.125" style="11" customWidth="1"/>
    <col min="739" max="739" width="13.875" style="11" customWidth="1"/>
    <col min="740" max="740" width="13.5" style="11" customWidth="1"/>
    <col min="741" max="987" width="8.875" style="11"/>
    <col min="988" max="988" width="5" style="11" customWidth="1"/>
    <col min="989" max="989" width="33.375" style="11" customWidth="1"/>
    <col min="990" max="990" width="6.5" style="11" customWidth="1"/>
    <col min="991" max="991" width="29.5" style="11" customWidth="1"/>
    <col min="992" max="992" width="23.625" style="11" customWidth="1"/>
    <col min="993" max="993" width="8" style="11" customWidth="1"/>
    <col min="994" max="994" width="9.125" style="11" customWidth="1"/>
    <col min="995" max="995" width="13.875" style="11" customWidth="1"/>
    <col min="996" max="996" width="13.5" style="11" customWidth="1"/>
    <col min="997" max="1243" width="8.875" style="11"/>
    <col min="1244" max="1244" width="5" style="11" customWidth="1"/>
    <col min="1245" max="1245" width="33.375" style="11" customWidth="1"/>
    <col min="1246" max="1246" width="6.5" style="11" customWidth="1"/>
    <col min="1247" max="1247" width="29.5" style="11" customWidth="1"/>
    <col min="1248" max="1248" width="23.625" style="11" customWidth="1"/>
    <col min="1249" max="1249" width="8" style="11" customWidth="1"/>
    <col min="1250" max="1250" width="9.125" style="11" customWidth="1"/>
    <col min="1251" max="1251" width="13.875" style="11" customWidth="1"/>
    <col min="1252" max="1252" width="13.5" style="11" customWidth="1"/>
    <col min="1253" max="1499" width="8.875" style="11"/>
    <col min="1500" max="1500" width="5" style="11" customWidth="1"/>
    <col min="1501" max="1501" width="33.375" style="11" customWidth="1"/>
    <col min="1502" max="1502" width="6.5" style="11" customWidth="1"/>
    <col min="1503" max="1503" width="29.5" style="11" customWidth="1"/>
    <col min="1504" max="1504" width="23.625" style="11" customWidth="1"/>
    <col min="1505" max="1505" width="8" style="11" customWidth="1"/>
    <col min="1506" max="1506" width="9.125" style="11" customWidth="1"/>
    <col min="1507" max="1507" width="13.875" style="11" customWidth="1"/>
    <col min="1508" max="1508" width="13.5" style="11" customWidth="1"/>
    <col min="1509" max="1755" width="8.875" style="11"/>
    <col min="1756" max="1756" width="5" style="11" customWidth="1"/>
    <col min="1757" max="1757" width="33.375" style="11" customWidth="1"/>
    <col min="1758" max="1758" width="6.5" style="11" customWidth="1"/>
    <col min="1759" max="1759" width="29.5" style="11" customWidth="1"/>
    <col min="1760" max="1760" width="23.625" style="11" customWidth="1"/>
    <col min="1761" max="1761" width="8" style="11" customWidth="1"/>
    <col min="1762" max="1762" width="9.125" style="11" customWidth="1"/>
    <col min="1763" max="1763" width="13.875" style="11" customWidth="1"/>
    <col min="1764" max="1764" width="13.5" style="11" customWidth="1"/>
    <col min="1765" max="2011" width="8.875" style="11"/>
    <col min="2012" max="2012" width="5" style="11" customWidth="1"/>
    <col min="2013" max="2013" width="33.375" style="11" customWidth="1"/>
    <col min="2014" max="2014" width="6.5" style="11" customWidth="1"/>
    <col min="2015" max="2015" width="29.5" style="11" customWidth="1"/>
    <col min="2016" max="2016" width="23.625" style="11" customWidth="1"/>
    <col min="2017" max="2017" width="8" style="11" customWidth="1"/>
    <col min="2018" max="2018" width="9.125" style="11" customWidth="1"/>
    <col min="2019" max="2019" width="13.875" style="11" customWidth="1"/>
    <col min="2020" max="2020" width="13.5" style="11" customWidth="1"/>
    <col min="2021" max="2267" width="8.875" style="11"/>
    <col min="2268" max="2268" width="5" style="11" customWidth="1"/>
    <col min="2269" max="2269" width="33.375" style="11" customWidth="1"/>
    <col min="2270" max="2270" width="6.5" style="11" customWidth="1"/>
    <col min="2271" max="2271" width="29.5" style="11" customWidth="1"/>
    <col min="2272" max="2272" width="23.625" style="11" customWidth="1"/>
    <col min="2273" max="2273" width="8" style="11" customWidth="1"/>
    <col min="2274" max="2274" width="9.125" style="11" customWidth="1"/>
    <col min="2275" max="2275" width="13.875" style="11" customWidth="1"/>
    <col min="2276" max="2276" width="13.5" style="11" customWidth="1"/>
    <col min="2277" max="2523" width="8.875" style="11"/>
    <col min="2524" max="2524" width="5" style="11" customWidth="1"/>
    <col min="2525" max="2525" width="33.375" style="11" customWidth="1"/>
    <col min="2526" max="2526" width="6.5" style="11" customWidth="1"/>
    <col min="2527" max="2527" width="29.5" style="11" customWidth="1"/>
    <col min="2528" max="2528" width="23.625" style="11" customWidth="1"/>
    <col min="2529" max="2529" width="8" style="11" customWidth="1"/>
    <col min="2530" max="2530" width="9.125" style="11" customWidth="1"/>
    <col min="2531" max="2531" width="13.875" style="11" customWidth="1"/>
    <col min="2532" max="2532" width="13.5" style="11" customWidth="1"/>
    <col min="2533" max="2779" width="8.875" style="11"/>
    <col min="2780" max="2780" width="5" style="11" customWidth="1"/>
    <col min="2781" max="2781" width="33.375" style="11" customWidth="1"/>
    <col min="2782" max="2782" width="6.5" style="11" customWidth="1"/>
    <col min="2783" max="2783" width="29.5" style="11" customWidth="1"/>
    <col min="2784" max="2784" width="23.625" style="11" customWidth="1"/>
    <col min="2785" max="2785" width="8" style="11" customWidth="1"/>
    <col min="2786" max="2786" width="9.125" style="11" customWidth="1"/>
    <col min="2787" max="2787" width="13.875" style="11" customWidth="1"/>
    <col min="2788" max="2788" width="13.5" style="11" customWidth="1"/>
    <col min="2789" max="3035" width="8.875" style="11"/>
    <col min="3036" max="3036" width="5" style="11" customWidth="1"/>
    <col min="3037" max="3037" width="33.375" style="11" customWidth="1"/>
    <col min="3038" max="3038" width="6.5" style="11" customWidth="1"/>
    <col min="3039" max="3039" width="29.5" style="11" customWidth="1"/>
    <col min="3040" max="3040" width="23.625" style="11" customWidth="1"/>
    <col min="3041" max="3041" width="8" style="11" customWidth="1"/>
    <col min="3042" max="3042" width="9.125" style="11" customWidth="1"/>
    <col min="3043" max="3043" width="13.875" style="11" customWidth="1"/>
    <col min="3044" max="3044" width="13.5" style="11" customWidth="1"/>
    <col min="3045" max="3291" width="8.875" style="11"/>
    <col min="3292" max="3292" width="5" style="11" customWidth="1"/>
    <col min="3293" max="3293" width="33.375" style="11" customWidth="1"/>
    <col min="3294" max="3294" width="6.5" style="11" customWidth="1"/>
    <col min="3295" max="3295" width="29.5" style="11" customWidth="1"/>
    <col min="3296" max="3296" width="23.625" style="11" customWidth="1"/>
    <col min="3297" max="3297" width="8" style="11" customWidth="1"/>
    <col min="3298" max="3298" width="9.125" style="11" customWidth="1"/>
    <col min="3299" max="3299" width="13.875" style="11" customWidth="1"/>
    <col min="3300" max="3300" width="13.5" style="11" customWidth="1"/>
    <col min="3301" max="3547" width="8.875" style="11"/>
    <col min="3548" max="3548" width="5" style="11" customWidth="1"/>
    <col min="3549" max="3549" width="33.375" style="11" customWidth="1"/>
    <col min="3550" max="3550" width="6.5" style="11" customWidth="1"/>
    <col min="3551" max="3551" width="29.5" style="11" customWidth="1"/>
    <col min="3552" max="3552" width="23.625" style="11" customWidth="1"/>
    <col min="3553" max="3553" width="8" style="11" customWidth="1"/>
    <col min="3554" max="3554" width="9.125" style="11" customWidth="1"/>
    <col min="3555" max="3555" width="13.875" style="11" customWidth="1"/>
    <col min="3556" max="3556" width="13.5" style="11" customWidth="1"/>
    <col min="3557" max="3803" width="8.875" style="11"/>
    <col min="3804" max="3804" width="5" style="11" customWidth="1"/>
    <col min="3805" max="3805" width="33.375" style="11" customWidth="1"/>
    <col min="3806" max="3806" width="6.5" style="11" customWidth="1"/>
    <col min="3807" max="3807" width="29.5" style="11" customWidth="1"/>
    <col min="3808" max="3808" width="23.625" style="11" customWidth="1"/>
    <col min="3809" max="3809" width="8" style="11" customWidth="1"/>
    <col min="3810" max="3810" width="9.125" style="11" customWidth="1"/>
    <col min="3811" max="3811" width="13.875" style="11" customWidth="1"/>
    <col min="3812" max="3812" width="13.5" style="11" customWidth="1"/>
    <col min="3813" max="4059" width="8.875" style="11"/>
    <col min="4060" max="4060" width="5" style="11" customWidth="1"/>
    <col min="4061" max="4061" width="33.375" style="11" customWidth="1"/>
    <col min="4062" max="4062" width="6.5" style="11" customWidth="1"/>
    <col min="4063" max="4063" width="29.5" style="11" customWidth="1"/>
    <col min="4064" max="4064" width="23.625" style="11" customWidth="1"/>
    <col min="4065" max="4065" width="8" style="11" customWidth="1"/>
    <col min="4066" max="4066" width="9.125" style="11" customWidth="1"/>
    <col min="4067" max="4067" width="13.875" style="11" customWidth="1"/>
    <col min="4068" max="4068" width="13.5" style="11" customWidth="1"/>
    <col min="4069" max="4315" width="8.875" style="11"/>
    <col min="4316" max="4316" width="5" style="11" customWidth="1"/>
    <col min="4317" max="4317" width="33.375" style="11" customWidth="1"/>
    <col min="4318" max="4318" width="6.5" style="11" customWidth="1"/>
    <col min="4319" max="4319" width="29.5" style="11" customWidth="1"/>
    <col min="4320" max="4320" width="23.625" style="11" customWidth="1"/>
    <col min="4321" max="4321" width="8" style="11" customWidth="1"/>
    <col min="4322" max="4322" width="9.125" style="11" customWidth="1"/>
    <col min="4323" max="4323" width="13.875" style="11" customWidth="1"/>
    <col min="4324" max="4324" width="13.5" style="11" customWidth="1"/>
    <col min="4325" max="4571" width="8.875" style="11"/>
    <col min="4572" max="4572" width="5" style="11" customWidth="1"/>
    <col min="4573" max="4573" width="33.375" style="11" customWidth="1"/>
    <col min="4574" max="4574" width="6.5" style="11" customWidth="1"/>
    <col min="4575" max="4575" width="29.5" style="11" customWidth="1"/>
    <col min="4576" max="4576" width="23.625" style="11" customWidth="1"/>
    <col min="4577" max="4577" width="8" style="11" customWidth="1"/>
    <col min="4578" max="4578" width="9.125" style="11" customWidth="1"/>
    <col min="4579" max="4579" width="13.875" style="11" customWidth="1"/>
    <col min="4580" max="4580" width="13.5" style="11" customWidth="1"/>
    <col min="4581" max="4827" width="8.875" style="11"/>
    <col min="4828" max="4828" width="5" style="11" customWidth="1"/>
    <col min="4829" max="4829" width="33.375" style="11" customWidth="1"/>
    <col min="4830" max="4830" width="6.5" style="11" customWidth="1"/>
    <col min="4831" max="4831" width="29.5" style="11" customWidth="1"/>
    <col min="4832" max="4832" width="23.625" style="11" customWidth="1"/>
    <col min="4833" max="4833" width="8" style="11" customWidth="1"/>
    <col min="4834" max="4834" width="9.125" style="11" customWidth="1"/>
    <col min="4835" max="4835" width="13.875" style="11" customWidth="1"/>
    <col min="4836" max="4836" width="13.5" style="11" customWidth="1"/>
    <col min="4837" max="5083" width="8.875" style="11"/>
    <col min="5084" max="5084" width="5" style="11" customWidth="1"/>
    <col min="5085" max="5085" width="33.375" style="11" customWidth="1"/>
    <col min="5086" max="5086" width="6.5" style="11" customWidth="1"/>
    <col min="5087" max="5087" width="29.5" style="11" customWidth="1"/>
    <col min="5088" max="5088" width="23.625" style="11" customWidth="1"/>
    <col min="5089" max="5089" width="8" style="11" customWidth="1"/>
    <col min="5090" max="5090" width="9.125" style="11" customWidth="1"/>
    <col min="5091" max="5091" width="13.875" style="11" customWidth="1"/>
    <col min="5092" max="5092" width="13.5" style="11" customWidth="1"/>
    <col min="5093" max="5339" width="8.875" style="11"/>
    <col min="5340" max="5340" width="5" style="11" customWidth="1"/>
    <col min="5341" max="5341" width="33.375" style="11" customWidth="1"/>
    <col min="5342" max="5342" width="6.5" style="11" customWidth="1"/>
    <col min="5343" max="5343" width="29.5" style="11" customWidth="1"/>
    <col min="5344" max="5344" width="23.625" style="11" customWidth="1"/>
    <col min="5345" max="5345" width="8" style="11" customWidth="1"/>
    <col min="5346" max="5346" width="9.125" style="11" customWidth="1"/>
    <col min="5347" max="5347" width="13.875" style="11" customWidth="1"/>
    <col min="5348" max="5348" width="13.5" style="11" customWidth="1"/>
    <col min="5349" max="5595" width="8.875" style="11"/>
    <col min="5596" max="5596" width="5" style="11" customWidth="1"/>
    <col min="5597" max="5597" width="33.375" style="11" customWidth="1"/>
    <col min="5598" max="5598" width="6.5" style="11" customWidth="1"/>
    <col min="5599" max="5599" width="29.5" style="11" customWidth="1"/>
    <col min="5600" max="5600" width="23.625" style="11" customWidth="1"/>
    <col min="5601" max="5601" width="8" style="11" customWidth="1"/>
    <col min="5602" max="5602" width="9.125" style="11" customWidth="1"/>
    <col min="5603" max="5603" width="13.875" style="11" customWidth="1"/>
    <col min="5604" max="5604" width="13.5" style="11" customWidth="1"/>
    <col min="5605" max="5851" width="8.875" style="11"/>
    <col min="5852" max="5852" width="5" style="11" customWidth="1"/>
    <col min="5853" max="5853" width="33.375" style="11" customWidth="1"/>
    <col min="5854" max="5854" width="6.5" style="11" customWidth="1"/>
    <col min="5855" max="5855" width="29.5" style="11" customWidth="1"/>
    <col min="5856" max="5856" width="23.625" style="11" customWidth="1"/>
    <col min="5857" max="5857" width="8" style="11" customWidth="1"/>
    <col min="5858" max="5858" width="9.125" style="11" customWidth="1"/>
    <col min="5859" max="5859" width="13.875" style="11" customWidth="1"/>
    <col min="5860" max="5860" width="13.5" style="11" customWidth="1"/>
    <col min="5861" max="6107" width="8.875" style="11"/>
    <col min="6108" max="6108" width="5" style="11" customWidth="1"/>
    <col min="6109" max="6109" width="33.375" style="11" customWidth="1"/>
    <col min="6110" max="6110" width="6.5" style="11" customWidth="1"/>
    <col min="6111" max="6111" width="29.5" style="11" customWidth="1"/>
    <col min="6112" max="6112" width="23.625" style="11" customWidth="1"/>
    <col min="6113" max="6113" width="8" style="11" customWidth="1"/>
    <col min="6114" max="6114" width="9.125" style="11" customWidth="1"/>
    <col min="6115" max="6115" width="13.875" style="11" customWidth="1"/>
    <col min="6116" max="6116" width="13.5" style="11" customWidth="1"/>
    <col min="6117" max="6363" width="8.875" style="11"/>
    <col min="6364" max="6364" width="5" style="11" customWidth="1"/>
    <col min="6365" max="6365" width="33.375" style="11" customWidth="1"/>
    <col min="6366" max="6366" width="6.5" style="11" customWidth="1"/>
    <col min="6367" max="6367" width="29.5" style="11" customWidth="1"/>
    <col min="6368" max="6368" width="23.625" style="11" customWidth="1"/>
    <col min="6369" max="6369" width="8" style="11" customWidth="1"/>
    <col min="6370" max="6370" width="9.125" style="11" customWidth="1"/>
    <col min="6371" max="6371" width="13.875" style="11" customWidth="1"/>
    <col min="6372" max="6372" width="13.5" style="11" customWidth="1"/>
    <col min="6373" max="6619" width="8.875" style="11"/>
    <col min="6620" max="6620" width="5" style="11" customWidth="1"/>
    <col min="6621" max="6621" width="33.375" style="11" customWidth="1"/>
    <col min="6622" max="6622" width="6.5" style="11" customWidth="1"/>
    <col min="6623" max="6623" width="29.5" style="11" customWidth="1"/>
    <col min="6624" max="6624" width="23.625" style="11" customWidth="1"/>
    <col min="6625" max="6625" width="8" style="11" customWidth="1"/>
    <col min="6626" max="6626" width="9.125" style="11" customWidth="1"/>
    <col min="6627" max="6627" width="13.875" style="11" customWidth="1"/>
    <col min="6628" max="6628" width="13.5" style="11" customWidth="1"/>
    <col min="6629" max="6875" width="8.875" style="11"/>
    <col min="6876" max="6876" width="5" style="11" customWidth="1"/>
    <col min="6877" max="6877" width="33.375" style="11" customWidth="1"/>
    <col min="6878" max="6878" width="6.5" style="11" customWidth="1"/>
    <col min="6879" max="6879" width="29.5" style="11" customWidth="1"/>
    <col min="6880" max="6880" width="23.625" style="11" customWidth="1"/>
    <col min="6881" max="6881" width="8" style="11" customWidth="1"/>
    <col min="6882" max="6882" width="9.125" style="11" customWidth="1"/>
    <col min="6883" max="6883" width="13.875" style="11" customWidth="1"/>
    <col min="6884" max="6884" width="13.5" style="11" customWidth="1"/>
    <col min="6885" max="7131" width="8.875" style="11"/>
    <col min="7132" max="7132" width="5" style="11" customWidth="1"/>
    <col min="7133" max="7133" width="33.375" style="11" customWidth="1"/>
    <col min="7134" max="7134" width="6.5" style="11" customWidth="1"/>
    <col min="7135" max="7135" width="29.5" style="11" customWidth="1"/>
    <col min="7136" max="7136" width="23.625" style="11" customWidth="1"/>
    <col min="7137" max="7137" width="8" style="11" customWidth="1"/>
    <col min="7138" max="7138" width="9.125" style="11" customWidth="1"/>
    <col min="7139" max="7139" width="13.875" style="11" customWidth="1"/>
    <col min="7140" max="7140" width="13.5" style="11" customWidth="1"/>
    <col min="7141" max="7387" width="8.875" style="11"/>
    <col min="7388" max="7388" width="5" style="11" customWidth="1"/>
    <col min="7389" max="7389" width="33.375" style="11" customWidth="1"/>
    <col min="7390" max="7390" width="6.5" style="11" customWidth="1"/>
    <col min="7391" max="7391" width="29.5" style="11" customWidth="1"/>
    <col min="7392" max="7392" width="23.625" style="11" customWidth="1"/>
    <col min="7393" max="7393" width="8" style="11" customWidth="1"/>
    <col min="7394" max="7394" width="9.125" style="11" customWidth="1"/>
    <col min="7395" max="7395" width="13.875" style="11" customWidth="1"/>
    <col min="7396" max="7396" width="13.5" style="11" customWidth="1"/>
    <col min="7397" max="7643" width="8.875" style="11"/>
    <col min="7644" max="7644" width="5" style="11" customWidth="1"/>
    <col min="7645" max="7645" width="33.375" style="11" customWidth="1"/>
    <col min="7646" max="7646" width="6.5" style="11" customWidth="1"/>
    <col min="7647" max="7647" width="29.5" style="11" customWidth="1"/>
    <col min="7648" max="7648" width="23.625" style="11" customWidth="1"/>
    <col min="7649" max="7649" width="8" style="11" customWidth="1"/>
    <col min="7650" max="7650" width="9.125" style="11" customWidth="1"/>
    <col min="7651" max="7651" width="13.875" style="11" customWidth="1"/>
    <col min="7652" max="7652" width="13.5" style="11" customWidth="1"/>
    <col min="7653" max="7899" width="8.875" style="11"/>
    <col min="7900" max="7900" width="5" style="11" customWidth="1"/>
    <col min="7901" max="7901" width="33.375" style="11" customWidth="1"/>
    <col min="7902" max="7902" width="6.5" style="11" customWidth="1"/>
    <col min="7903" max="7903" width="29.5" style="11" customWidth="1"/>
    <col min="7904" max="7904" width="23.625" style="11" customWidth="1"/>
    <col min="7905" max="7905" width="8" style="11" customWidth="1"/>
    <col min="7906" max="7906" width="9.125" style="11" customWidth="1"/>
    <col min="7907" max="7907" width="13.875" style="11" customWidth="1"/>
    <col min="7908" max="7908" width="13.5" style="11" customWidth="1"/>
    <col min="7909" max="8155" width="8.875" style="11"/>
    <col min="8156" max="8156" width="5" style="11" customWidth="1"/>
    <col min="8157" max="8157" width="33.375" style="11" customWidth="1"/>
    <col min="8158" max="8158" width="6.5" style="11" customWidth="1"/>
    <col min="8159" max="8159" width="29.5" style="11" customWidth="1"/>
    <col min="8160" max="8160" width="23.625" style="11" customWidth="1"/>
    <col min="8161" max="8161" width="8" style="11" customWidth="1"/>
    <col min="8162" max="8162" width="9.125" style="11" customWidth="1"/>
    <col min="8163" max="8163" width="13.875" style="11" customWidth="1"/>
    <col min="8164" max="8164" width="13.5" style="11" customWidth="1"/>
    <col min="8165" max="8411" width="8.875" style="11"/>
    <col min="8412" max="8412" width="5" style="11" customWidth="1"/>
    <col min="8413" max="8413" width="33.375" style="11" customWidth="1"/>
    <col min="8414" max="8414" width="6.5" style="11" customWidth="1"/>
    <col min="8415" max="8415" width="29.5" style="11" customWidth="1"/>
    <col min="8416" max="8416" width="23.625" style="11" customWidth="1"/>
    <col min="8417" max="8417" width="8" style="11" customWidth="1"/>
    <col min="8418" max="8418" width="9.125" style="11" customWidth="1"/>
    <col min="8419" max="8419" width="13.875" style="11" customWidth="1"/>
    <col min="8420" max="8420" width="13.5" style="11" customWidth="1"/>
    <col min="8421" max="8667" width="8.875" style="11"/>
    <col min="8668" max="8668" width="5" style="11" customWidth="1"/>
    <col min="8669" max="8669" width="33.375" style="11" customWidth="1"/>
    <col min="8670" max="8670" width="6.5" style="11" customWidth="1"/>
    <col min="8671" max="8671" width="29.5" style="11" customWidth="1"/>
    <col min="8672" max="8672" width="23.625" style="11" customWidth="1"/>
    <col min="8673" max="8673" width="8" style="11" customWidth="1"/>
    <col min="8674" max="8674" width="9.125" style="11" customWidth="1"/>
    <col min="8675" max="8675" width="13.875" style="11" customWidth="1"/>
    <col min="8676" max="8676" width="13.5" style="11" customWidth="1"/>
    <col min="8677" max="8923" width="8.875" style="11"/>
    <col min="8924" max="8924" width="5" style="11" customWidth="1"/>
    <col min="8925" max="8925" width="33.375" style="11" customWidth="1"/>
    <col min="8926" max="8926" width="6.5" style="11" customWidth="1"/>
    <col min="8927" max="8927" width="29.5" style="11" customWidth="1"/>
    <col min="8928" max="8928" width="23.625" style="11" customWidth="1"/>
    <col min="8929" max="8929" width="8" style="11" customWidth="1"/>
    <col min="8930" max="8930" width="9.125" style="11" customWidth="1"/>
    <col min="8931" max="8931" width="13.875" style="11" customWidth="1"/>
    <col min="8932" max="8932" width="13.5" style="11" customWidth="1"/>
    <col min="8933" max="9179" width="8.875" style="11"/>
    <col min="9180" max="9180" width="5" style="11" customWidth="1"/>
    <col min="9181" max="9181" width="33.375" style="11" customWidth="1"/>
    <col min="9182" max="9182" width="6.5" style="11" customWidth="1"/>
    <col min="9183" max="9183" width="29.5" style="11" customWidth="1"/>
    <col min="9184" max="9184" width="23.625" style="11" customWidth="1"/>
    <col min="9185" max="9185" width="8" style="11" customWidth="1"/>
    <col min="9186" max="9186" width="9.125" style="11" customWidth="1"/>
    <col min="9187" max="9187" width="13.875" style="11" customWidth="1"/>
    <col min="9188" max="9188" width="13.5" style="11" customWidth="1"/>
    <col min="9189" max="9435" width="8.875" style="11"/>
    <col min="9436" max="9436" width="5" style="11" customWidth="1"/>
    <col min="9437" max="9437" width="33.375" style="11" customWidth="1"/>
    <col min="9438" max="9438" width="6.5" style="11" customWidth="1"/>
    <col min="9439" max="9439" width="29.5" style="11" customWidth="1"/>
    <col min="9440" max="9440" width="23.625" style="11" customWidth="1"/>
    <col min="9441" max="9441" width="8" style="11" customWidth="1"/>
    <col min="9442" max="9442" width="9.125" style="11" customWidth="1"/>
    <col min="9443" max="9443" width="13.875" style="11" customWidth="1"/>
    <col min="9444" max="9444" width="13.5" style="11" customWidth="1"/>
    <col min="9445" max="9691" width="8.875" style="11"/>
    <col min="9692" max="9692" width="5" style="11" customWidth="1"/>
    <col min="9693" max="9693" width="33.375" style="11" customWidth="1"/>
    <col min="9694" max="9694" width="6.5" style="11" customWidth="1"/>
    <col min="9695" max="9695" width="29.5" style="11" customWidth="1"/>
    <col min="9696" max="9696" width="23.625" style="11" customWidth="1"/>
    <col min="9697" max="9697" width="8" style="11" customWidth="1"/>
    <col min="9698" max="9698" width="9.125" style="11" customWidth="1"/>
    <col min="9699" max="9699" width="13.875" style="11" customWidth="1"/>
    <col min="9700" max="9700" width="13.5" style="11" customWidth="1"/>
    <col min="9701" max="9947" width="8.875" style="11"/>
    <col min="9948" max="9948" width="5" style="11" customWidth="1"/>
    <col min="9949" max="9949" width="33.375" style="11" customWidth="1"/>
    <col min="9950" max="9950" width="6.5" style="11" customWidth="1"/>
    <col min="9951" max="9951" width="29.5" style="11" customWidth="1"/>
    <col min="9952" max="9952" width="23.625" style="11" customWidth="1"/>
    <col min="9953" max="9953" width="8" style="11" customWidth="1"/>
    <col min="9954" max="9954" width="9.125" style="11" customWidth="1"/>
    <col min="9955" max="9955" width="13.875" style="11" customWidth="1"/>
    <col min="9956" max="9956" width="13.5" style="11" customWidth="1"/>
    <col min="9957" max="10203" width="8.875" style="11"/>
    <col min="10204" max="10204" width="5" style="11" customWidth="1"/>
    <col min="10205" max="10205" width="33.375" style="11" customWidth="1"/>
    <col min="10206" max="10206" width="6.5" style="11" customWidth="1"/>
    <col min="10207" max="10207" width="29.5" style="11" customWidth="1"/>
    <col min="10208" max="10208" width="23.625" style="11" customWidth="1"/>
    <col min="10209" max="10209" width="8" style="11" customWidth="1"/>
    <col min="10210" max="10210" width="9.125" style="11" customWidth="1"/>
    <col min="10211" max="10211" width="13.875" style="11" customWidth="1"/>
    <col min="10212" max="10212" width="13.5" style="11" customWidth="1"/>
    <col min="10213" max="10459" width="8.875" style="11"/>
    <col min="10460" max="10460" width="5" style="11" customWidth="1"/>
    <col min="10461" max="10461" width="33.375" style="11" customWidth="1"/>
    <col min="10462" max="10462" width="6.5" style="11" customWidth="1"/>
    <col min="10463" max="10463" width="29.5" style="11" customWidth="1"/>
    <col min="10464" max="10464" width="23.625" style="11" customWidth="1"/>
    <col min="10465" max="10465" width="8" style="11" customWidth="1"/>
    <col min="10466" max="10466" width="9.125" style="11" customWidth="1"/>
    <col min="10467" max="10467" width="13.875" style="11" customWidth="1"/>
    <col min="10468" max="10468" width="13.5" style="11" customWidth="1"/>
    <col min="10469" max="10715" width="8.875" style="11"/>
    <col min="10716" max="10716" width="5" style="11" customWidth="1"/>
    <col min="10717" max="10717" width="33.375" style="11" customWidth="1"/>
    <col min="10718" max="10718" width="6.5" style="11" customWidth="1"/>
    <col min="10719" max="10719" width="29.5" style="11" customWidth="1"/>
    <col min="10720" max="10720" width="23.625" style="11" customWidth="1"/>
    <col min="10721" max="10721" width="8" style="11" customWidth="1"/>
    <col min="10722" max="10722" width="9.125" style="11" customWidth="1"/>
    <col min="10723" max="10723" width="13.875" style="11" customWidth="1"/>
    <col min="10724" max="10724" width="13.5" style="11" customWidth="1"/>
    <col min="10725" max="10971" width="8.875" style="11"/>
    <col min="10972" max="10972" width="5" style="11" customWidth="1"/>
    <col min="10973" max="10973" width="33.375" style="11" customWidth="1"/>
    <col min="10974" max="10974" width="6.5" style="11" customWidth="1"/>
    <col min="10975" max="10975" width="29.5" style="11" customWidth="1"/>
    <col min="10976" max="10976" width="23.625" style="11" customWidth="1"/>
    <col min="10977" max="10977" width="8" style="11" customWidth="1"/>
    <col min="10978" max="10978" width="9.125" style="11" customWidth="1"/>
    <col min="10979" max="10979" width="13.875" style="11" customWidth="1"/>
    <col min="10980" max="10980" width="13.5" style="11" customWidth="1"/>
    <col min="10981" max="11227" width="8.875" style="11"/>
    <col min="11228" max="11228" width="5" style="11" customWidth="1"/>
    <col min="11229" max="11229" width="33.375" style="11" customWidth="1"/>
    <col min="11230" max="11230" width="6.5" style="11" customWidth="1"/>
    <col min="11231" max="11231" width="29.5" style="11" customWidth="1"/>
    <col min="11232" max="11232" width="23.625" style="11" customWidth="1"/>
    <col min="11233" max="11233" width="8" style="11" customWidth="1"/>
    <col min="11234" max="11234" width="9.125" style="11" customWidth="1"/>
    <col min="11235" max="11235" width="13.875" style="11" customWidth="1"/>
    <col min="11236" max="11236" width="13.5" style="11" customWidth="1"/>
    <col min="11237" max="11483" width="8.875" style="11"/>
    <col min="11484" max="11484" width="5" style="11" customWidth="1"/>
    <col min="11485" max="11485" width="33.375" style="11" customWidth="1"/>
    <col min="11486" max="11486" width="6.5" style="11" customWidth="1"/>
    <col min="11487" max="11487" width="29.5" style="11" customWidth="1"/>
    <col min="11488" max="11488" width="23.625" style="11" customWidth="1"/>
    <col min="11489" max="11489" width="8" style="11" customWidth="1"/>
    <col min="11490" max="11490" width="9.125" style="11" customWidth="1"/>
    <col min="11491" max="11491" width="13.875" style="11" customWidth="1"/>
    <col min="11492" max="11492" width="13.5" style="11" customWidth="1"/>
    <col min="11493" max="11739" width="8.875" style="11"/>
    <col min="11740" max="11740" width="5" style="11" customWidth="1"/>
    <col min="11741" max="11741" width="33.375" style="11" customWidth="1"/>
    <col min="11742" max="11742" width="6.5" style="11" customWidth="1"/>
    <col min="11743" max="11743" width="29.5" style="11" customWidth="1"/>
    <col min="11744" max="11744" width="23.625" style="11" customWidth="1"/>
    <col min="11745" max="11745" width="8" style="11" customWidth="1"/>
    <col min="11746" max="11746" width="9.125" style="11" customWidth="1"/>
    <col min="11747" max="11747" width="13.875" style="11" customWidth="1"/>
    <col min="11748" max="11748" width="13.5" style="11" customWidth="1"/>
    <col min="11749" max="11995" width="8.875" style="11"/>
    <col min="11996" max="11996" width="5" style="11" customWidth="1"/>
    <col min="11997" max="11997" width="33.375" style="11" customWidth="1"/>
    <col min="11998" max="11998" width="6.5" style="11" customWidth="1"/>
    <col min="11999" max="11999" width="29.5" style="11" customWidth="1"/>
    <col min="12000" max="12000" width="23.625" style="11" customWidth="1"/>
    <col min="12001" max="12001" width="8" style="11" customWidth="1"/>
    <col min="12002" max="12002" width="9.125" style="11" customWidth="1"/>
    <col min="12003" max="12003" width="13.875" style="11" customWidth="1"/>
    <col min="12004" max="12004" width="13.5" style="11" customWidth="1"/>
    <col min="12005" max="12251" width="8.875" style="11"/>
    <col min="12252" max="12252" width="5" style="11" customWidth="1"/>
    <col min="12253" max="12253" width="33.375" style="11" customWidth="1"/>
    <col min="12254" max="12254" width="6.5" style="11" customWidth="1"/>
    <col min="12255" max="12255" width="29.5" style="11" customWidth="1"/>
    <col min="12256" max="12256" width="23.625" style="11" customWidth="1"/>
    <col min="12257" max="12257" width="8" style="11" customWidth="1"/>
    <col min="12258" max="12258" width="9.125" style="11" customWidth="1"/>
    <col min="12259" max="12259" width="13.875" style="11" customWidth="1"/>
    <col min="12260" max="12260" width="13.5" style="11" customWidth="1"/>
    <col min="12261" max="12507" width="8.875" style="11"/>
    <col min="12508" max="12508" width="5" style="11" customWidth="1"/>
    <col min="12509" max="12509" width="33.375" style="11" customWidth="1"/>
    <col min="12510" max="12510" width="6.5" style="11" customWidth="1"/>
    <col min="12511" max="12511" width="29.5" style="11" customWidth="1"/>
    <col min="12512" max="12512" width="23.625" style="11" customWidth="1"/>
    <col min="12513" max="12513" width="8" style="11" customWidth="1"/>
    <col min="12514" max="12514" width="9.125" style="11" customWidth="1"/>
    <col min="12515" max="12515" width="13.875" style="11" customWidth="1"/>
    <col min="12516" max="12516" width="13.5" style="11" customWidth="1"/>
    <col min="12517" max="12763" width="8.875" style="11"/>
    <col min="12764" max="12764" width="5" style="11" customWidth="1"/>
    <col min="12765" max="12765" width="33.375" style="11" customWidth="1"/>
    <col min="12766" max="12766" width="6.5" style="11" customWidth="1"/>
    <col min="12767" max="12767" width="29.5" style="11" customWidth="1"/>
    <col min="12768" max="12768" width="23.625" style="11" customWidth="1"/>
    <col min="12769" max="12769" width="8" style="11" customWidth="1"/>
    <col min="12770" max="12770" width="9.125" style="11" customWidth="1"/>
    <col min="12771" max="12771" width="13.875" style="11" customWidth="1"/>
    <col min="12772" max="12772" width="13.5" style="11" customWidth="1"/>
    <col min="12773" max="13019" width="8.875" style="11"/>
    <col min="13020" max="13020" width="5" style="11" customWidth="1"/>
    <col min="13021" max="13021" width="33.375" style="11" customWidth="1"/>
    <col min="13022" max="13022" width="6.5" style="11" customWidth="1"/>
    <col min="13023" max="13023" width="29.5" style="11" customWidth="1"/>
    <col min="13024" max="13024" width="23.625" style="11" customWidth="1"/>
    <col min="13025" max="13025" width="8" style="11" customWidth="1"/>
    <col min="13026" max="13026" width="9.125" style="11" customWidth="1"/>
    <col min="13027" max="13027" width="13.875" style="11" customWidth="1"/>
    <col min="13028" max="13028" width="13.5" style="11" customWidth="1"/>
    <col min="13029" max="13275" width="8.875" style="11"/>
    <col min="13276" max="13276" width="5" style="11" customWidth="1"/>
    <col min="13277" max="13277" width="33.375" style="11" customWidth="1"/>
    <col min="13278" max="13278" width="6.5" style="11" customWidth="1"/>
    <col min="13279" max="13279" width="29.5" style="11" customWidth="1"/>
    <col min="13280" max="13280" width="23.625" style="11" customWidth="1"/>
    <col min="13281" max="13281" width="8" style="11" customWidth="1"/>
    <col min="13282" max="13282" width="9.125" style="11" customWidth="1"/>
    <col min="13283" max="13283" width="13.875" style="11" customWidth="1"/>
    <col min="13284" max="13284" width="13.5" style="11" customWidth="1"/>
    <col min="13285" max="13531" width="8.875" style="11"/>
    <col min="13532" max="13532" width="5" style="11" customWidth="1"/>
    <col min="13533" max="13533" width="33.375" style="11" customWidth="1"/>
    <col min="13534" max="13534" width="6.5" style="11" customWidth="1"/>
    <col min="13535" max="13535" width="29.5" style="11" customWidth="1"/>
    <col min="13536" max="13536" width="23.625" style="11" customWidth="1"/>
    <col min="13537" max="13537" width="8" style="11" customWidth="1"/>
    <col min="13538" max="13538" width="9.125" style="11" customWidth="1"/>
    <col min="13539" max="13539" width="13.875" style="11" customWidth="1"/>
    <col min="13540" max="13540" width="13.5" style="11" customWidth="1"/>
    <col min="13541" max="13787" width="8.875" style="11"/>
    <col min="13788" max="13788" width="5" style="11" customWidth="1"/>
    <col min="13789" max="13789" width="33.375" style="11" customWidth="1"/>
    <col min="13790" max="13790" width="6.5" style="11" customWidth="1"/>
    <col min="13791" max="13791" width="29.5" style="11" customWidth="1"/>
    <col min="13792" max="13792" width="23.625" style="11" customWidth="1"/>
    <col min="13793" max="13793" width="8" style="11" customWidth="1"/>
    <col min="13794" max="13794" width="9.125" style="11" customWidth="1"/>
    <col min="13795" max="13795" width="13.875" style="11" customWidth="1"/>
    <col min="13796" max="13796" width="13.5" style="11" customWidth="1"/>
    <col min="13797" max="14043" width="8.875" style="11"/>
    <col min="14044" max="14044" width="5" style="11" customWidth="1"/>
    <col min="14045" max="14045" width="33.375" style="11" customWidth="1"/>
    <col min="14046" max="14046" width="6.5" style="11" customWidth="1"/>
    <col min="14047" max="14047" width="29.5" style="11" customWidth="1"/>
    <col min="14048" max="14048" width="23.625" style="11" customWidth="1"/>
    <col min="14049" max="14049" width="8" style="11" customWidth="1"/>
    <col min="14050" max="14050" width="9.125" style="11" customWidth="1"/>
    <col min="14051" max="14051" width="13.875" style="11" customWidth="1"/>
    <col min="14052" max="14052" width="13.5" style="11" customWidth="1"/>
    <col min="14053" max="14299" width="8.875" style="11"/>
    <col min="14300" max="14300" width="5" style="11" customWidth="1"/>
    <col min="14301" max="14301" width="33.375" style="11" customWidth="1"/>
    <col min="14302" max="14302" width="6.5" style="11" customWidth="1"/>
    <col min="14303" max="14303" width="29.5" style="11" customWidth="1"/>
    <col min="14304" max="14304" width="23.625" style="11" customWidth="1"/>
    <col min="14305" max="14305" width="8" style="11" customWidth="1"/>
    <col min="14306" max="14306" width="9.125" style="11" customWidth="1"/>
    <col min="14307" max="14307" width="13.875" style="11" customWidth="1"/>
    <col min="14308" max="14308" width="13.5" style="11" customWidth="1"/>
    <col min="14309" max="14555" width="8.875" style="11"/>
    <col min="14556" max="14556" width="5" style="11" customWidth="1"/>
    <col min="14557" max="14557" width="33.375" style="11" customWidth="1"/>
    <col min="14558" max="14558" width="6.5" style="11" customWidth="1"/>
    <col min="14559" max="14559" width="29.5" style="11" customWidth="1"/>
    <col min="14560" max="14560" width="23.625" style="11" customWidth="1"/>
    <col min="14561" max="14561" width="8" style="11" customWidth="1"/>
    <col min="14562" max="14562" width="9.125" style="11" customWidth="1"/>
    <col min="14563" max="14563" width="13.875" style="11" customWidth="1"/>
    <col min="14564" max="14564" width="13.5" style="11" customWidth="1"/>
    <col min="14565" max="14811" width="8.875" style="11"/>
    <col min="14812" max="14812" width="5" style="11" customWidth="1"/>
    <col min="14813" max="14813" width="33.375" style="11" customWidth="1"/>
    <col min="14814" max="14814" width="6.5" style="11" customWidth="1"/>
    <col min="14815" max="14815" width="29.5" style="11" customWidth="1"/>
    <col min="14816" max="14816" width="23.625" style="11" customWidth="1"/>
    <col min="14817" max="14817" width="8" style="11" customWidth="1"/>
    <col min="14818" max="14818" width="9.125" style="11" customWidth="1"/>
    <col min="14819" max="14819" width="13.875" style="11" customWidth="1"/>
    <col min="14820" max="14820" width="13.5" style="11" customWidth="1"/>
    <col min="14821" max="15067" width="8.875" style="11"/>
    <col min="15068" max="15068" width="5" style="11" customWidth="1"/>
    <col min="15069" max="15069" width="33.375" style="11" customWidth="1"/>
    <col min="15070" max="15070" width="6.5" style="11" customWidth="1"/>
    <col min="15071" max="15071" width="29.5" style="11" customWidth="1"/>
    <col min="15072" max="15072" width="23.625" style="11" customWidth="1"/>
    <col min="15073" max="15073" width="8" style="11" customWidth="1"/>
    <col min="15074" max="15074" width="9.125" style="11" customWidth="1"/>
    <col min="15075" max="15075" width="13.875" style="11" customWidth="1"/>
    <col min="15076" max="15076" width="13.5" style="11" customWidth="1"/>
    <col min="15077" max="15323" width="8.875" style="11"/>
    <col min="15324" max="15324" width="5" style="11" customWidth="1"/>
    <col min="15325" max="15325" width="33.375" style="11" customWidth="1"/>
    <col min="15326" max="15326" width="6.5" style="11" customWidth="1"/>
    <col min="15327" max="15327" width="29.5" style="11" customWidth="1"/>
    <col min="15328" max="15328" width="23.625" style="11" customWidth="1"/>
    <col min="15329" max="15329" width="8" style="11" customWidth="1"/>
    <col min="15330" max="15330" width="9.125" style="11" customWidth="1"/>
    <col min="15331" max="15331" width="13.875" style="11" customWidth="1"/>
    <col min="15332" max="15332" width="13.5" style="11" customWidth="1"/>
    <col min="15333" max="15579" width="8.875" style="11"/>
    <col min="15580" max="15580" width="5" style="11" customWidth="1"/>
    <col min="15581" max="15581" width="33.375" style="11" customWidth="1"/>
    <col min="15582" max="15582" width="6.5" style="11" customWidth="1"/>
    <col min="15583" max="15583" width="29.5" style="11" customWidth="1"/>
    <col min="15584" max="15584" width="23.625" style="11" customWidth="1"/>
    <col min="15585" max="15585" width="8" style="11" customWidth="1"/>
    <col min="15586" max="15586" width="9.125" style="11" customWidth="1"/>
    <col min="15587" max="15587" width="13.875" style="11" customWidth="1"/>
    <col min="15588" max="15588" width="13.5" style="11" customWidth="1"/>
    <col min="15589" max="15835" width="8.875" style="11"/>
    <col min="15836" max="15836" width="5" style="11" customWidth="1"/>
    <col min="15837" max="15837" width="33.375" style="11" customWidth="1"/>
    <col min="15838" max="15838" width="6.5" style="11" customWidth="1"/>
    <col min="15839" max="15839" width="29.5" style="11" customWidth="1"/>
    <col min="15840" max="15840" width="23.625" style="11" customWidth="1"/>
    <col min="15841" max="15841" width="8" style="11" customWidth="1"/>
    <col min="15842" max="15842" width="9.125" style="11" customWidth="1"/>
    <col min="15843" max="15843" width="13.875" style="11" customWidth="1"/>
    <col min="15844" max="15844" width="13.5" style="11" customWidth="1"/>
    <col min="15845" max="16384" width="8.875" style="11"/>
  </cols>
  <sheetData>
    <row r="1" spans="2:26" ht="9" customHeight="1">
      <c r="D1" s="11"/>
      <c r="F1" s="11"/>
      <c r="H1" s="11"/>
      <c r="J1" s="11"/>
      <c r="L1" s="11"/>
      <c r="N1" s="11"/>
      <c r="P1" s="11"/>
      <c r="R1" s="11"/>
      <c r="T1" s="11"/>
      <c r="U1" s="18"/>
      <c r="V1" s="11"/>
      <c r="X1" s="11"/>
      <c r="Z1" s="11"/>
    </row>
    <row r="2" spans="2:26">
      <c r="B2" s="140" t="s">
        <v>253</v>
      </c>
      <c r="C2" s="140" t="s">
        <v>132</v>
      </c>
      <c r="D2" s="11"/>
      <c r="F2" s="11"/>
      <c r="H2" s="11"/>
      <c r="J2" s="11"/>
      <c r="L2" s="11"/>
      <c r="N2" s="11"/>
      <c r="P2" s="11"/>
      <c r="R2" s="11"/>
      <c r="T2" s="11"/>
      <c r="V2" s="11"/>
      <c r="X2" s="11"/>
      <c r="Z2" s="11"/>
    </row>
    <row r="3" spans="2:26">
      <c r="B3" s="209" t="s">
        <v>254</v>
      </c>
      <c r="C3" s="209" t="s">
        <v>255</v>
      </c>
      <c r="D3" s="11"/>
      <c r="F3" s="11"/>
      <c r="H3" s="11"/>
      <c r="J3" s="11"/>
      <c r="L3" s="11"/>
      <c r="N3" s="11"/>
      <c r="P3" s="11"/>
      <c r="R3" s="11"/>
      <c r="T3" s="11"/>
      <c r="V3" s="11"/>
      <c r="X3" s="11"/>
      <c r="Z3" s="11"/>
    </row>
    <row r="4" spans="2:26">
      <c r="B4" s="140" t="s">
        <v>256</v>
      </c>
      <c r="C4" s="140" t="s">
        <v>133</v>
      </c>
      <c r="D4" s="11"/>
      <c r="F4" s="11"/>
      <c r="H4" s="11"/>
      <c r="J4" s="11"/>
      <c r="L4" s="11"/>
      <c r="N4" s="11"/>
      <c r="P4" s="11"/>
      <c r="R4" s="11"/>
      <c r="T4" s="11"/>
      <c r="V4" s="11"/>
      <c r="X4" s="11"/>
      <c r="Z4" s="11"/>
    </row>
    <row r="5" spans="2:26" ht="8.1" customHeight="1">
      <c r="D5" s="11"/>
      <c r="F5" s="11"/>
      <c r="H5" s="11"/>
      <c r="J5" s="11"/>
      <c r="L5" s="11"/>
      <c r="N5" s="11"/>
      <c r="P5" s="11"/>
      <c r="R5" s="11"/>
      <c r="T5" s="11"/>
      <c r="V5" s="11"/>
      <c r="X5" s="11"/>
      <c r="Z5" s="11"/>
    </row>
    <row r="6" spans="2:26" s="43" customFormat="1" ht="20.25">
      <c r="B6" s="92" t="s">
        <v>11</v>
      </c>
      <c r="C6" s="95" t="s">
        <v>183</v>
      </c>
      <c r="D6" s="83"/>
      <c r="F6" s="83"/>
      <c r="H6" s="83"/>
      <c r="J6" s="83"/>
      <c r="L6" s="83"/>
      <c r="N6" s="83"/>
      <c r="P6" s="83"/>
      <c r="R6" s="210" t="s">
        <v>242</v>
      </c>
      <c r="T6" s="83"/>
      <c r="U6" s="83"/>
      <c r="V6" s="83"/>
      <c r="X6" s="83"/>
      <c r="Z6" s="83"/>
    </row>
    <row r="7" spans="2:26" s="68" customFormat="1" ht="5.0999999999999996" customHeight="1">
      <c r="C7" s="100"/>
      <c r="D7" s="84"/>
      <c r="F7" s="84"/>
      <c r="H7" s="84"/>
      <c r="J7" s="84"/>
      <c r="L7" s="84"/>
      <c r="N7" s="84"/>
      <c r="P7" s="84"/>
      <c r="R7" s="84"/>
      <c r="T7" s="84"/>
      <c r="U7" s="83"/>
      <c r="V7" s="84"/>
      <c r="X7" s="84"/>
      <c r="Z7" s="84"/>
    </row>
    <row r="8" spans="2:26">
      <c r="B8" s="108"/>
      <c r="C8" s="108"/>
      <c r="D8" s="11"/>
      <c r="E8" s="17">
        <v>1</v>
      </c>
      <c r="G8" s="17">
        <v>2</v>
      </c>
      <c r="I8" s="17">
        <v>3</v>
      </c>
      <c r="K8" s="17">
        <v>4</v>
      </c>
      <c r="M8" s="17">
        <v>5</v>
      </c>
      <c r="O8" s="17">
        <v>6</v>
      </c>
      <c r="Q8" s="17">
        <v>7</v>
      </c>
      <c r="S8" s="17">
        <v>8</v>
      </c>
      <c r="U8" s="17">
        <v>9</v>
      </c>
      <c r="W8" s="17">
        <v>10</v>
      </c>
      <c r="Y8" s="17">
        <v>11</v>
      </c>
    </row>
    <row r="9" spans="2:26" s="9" customFormat="1" ht="38.25">
      <c r="B9" s="147" t="s">
        <v>0</v>
      </c>
      <c r="C9" s="148" t="s">
        <v>182</v>
      </c>
      <c r="D9" s="149" t="s">
        <v>134</v>
      </c>
      <c r="E9" s="148" t="s">
        <v>348</v>
      </c>
      <c r="F9" s="149" t="s">
        <v>134</v>
      </c>
      <c r="G9" s="148" t="s">
        <v>349</v>
      </c>
      <c r="H9" s="149" t="s">
        <v>134</v>
      </c>
      <c r="I9" s="148" t="s">
        <v>350</v>
      </c>
      <c r="J9" s="149" t="s">
        <v>134</v>
      </c>
      <c r="K9" s="148" t="s">
        <v>351</v>
      </c>
      <c r="L9" s="149" t="s">
        <v>134</v>
      </c>
      <c r="M9" s="148" t="s">
        <v>262</v>
      </c>
      <c r="N9" s="149" t="s">
        <v>134</v>
      </c>
      <c r="O9" s="148" t="s">
        <v>261</v>
      </c>
      <c r="P9" s="149" t="s">
        <v>134</v>
      </c>
      <c r="Q9" s="148" t="s">
        <v>258</v>
      </c>
      <c r="R9" s="149" t="s">
        <v>134</v>
      </c>
      <c r="S9" s="148" t="s">
        <v>260</v>
      </c>
      <c r="T9" s="149" t="s">
        <v>134</v>
      </c>
      <c r="U9" s="148" t="s">
        <v>257</v>
      </c>
      <c r="V9" s="149" t="s">
        <v>134</v>
      </c>
      <c r="W9" s="148" t="s">
        <v>259</v>
      </c>
      <c r="X9" s="149" t="s">
        <v>134</v>
      </c>
      <c r="Y9" s="148" t="s">
        <v>263</v>
      </c>
      <c r="Z9" s="149" t="s">
        <v>134</v>
      </c>
    </row>
    <row r="10" spans="2:26" s="10" customFormat="1">
      <c r="B10" s="214"/>
      <c r="C10" s="214" t="s">
        <v>6</v>
      </c>
      <c r="D10" s="215">
        <v>0.4</v>
      </c>
      <c r="E10" s="219"/>
      <c r="F10" s="215"/>
      <c r="G10" s="219"/>
      <c r="H10" s="215"/>
      <c r="I10" s="219"/>
      <c r="J10" s="215"/>
      <c r="K10" s="219"/>
      <c r="L10" s="215"/>
      <c r="M10" s="219"/>
      <c r="N10" s="215"/>
      <c r="O10" s="219"/>
      <c r="P10" s="215"/>
      <c r="Q10" s="219"/>
      <c r="R10" s="215"/>
      <c r="S10" s="219"/>
      <c r="T10" s="215"/>
      <c r="U10" s="219"/>
      <c r="V10" s="215"/>
      <c r="W10" s="219"/>
      <c r="X10" s="215"/>
      <c r="Y10" s="219"/>
      <c r="Z10" s="215"/>
    </row>
    <row r="11" spans="2:26" ht="38.25">
      <c r="B11" s="151">
        <v>1</v>
      </c>
      <c r="C11" s="216" t="s">
        <v>284</v>
      </c>
      <c r="D11" s="220">
        <v>0.15</v>
      </c>
      <c r="E11" s="221"/>
      <c r="F11" s="222"/>
      <c r="G11" s="223">
        <v>894816</v>
      </c>
      <c r="H11" s="222"/>
      <c r="I11" s="223">
        <v>1000000</v>
      </c>
      <c r="J11" s="222"/>
      <c r="K11" s="223">
        <v>913294</v>
      </c>
      <c r="L11" s="222"/>
      <c r="M11" s="221"/>
      <c r="N11" s="222"/>
      <c r="O11" s="223">
        <v>92658479</v>
      </c>
      <c r="P11" s="222"/>
      <c r="Q11" s="223"/>
      <c r="R11" s="224"/>
      <c r="S11" s="221"/>
      <c r="T11" s="222"/>
      <c r="U11" s="221"/>
      <c r="V11" s="224"/>
      <c r="W11" s="221"/>
      <c r="X11" s="222"/>
      <c r="Y11" s="223"/>
      <c r="Z11" s="222"/>
    </row>
    <row r="12" spans="2:26" ht="25.5">
      <c r="B12" s="151">
        <v>2</v>
      </c>
      <c r="C12" s="216" t="s">
        <v>285</v>
      </c>
      <c r="D12" s="218">
        <v>0.3</v>
      </c>
      <c r="E12" s="225"/>
      <c r="F12" s="226"/>
      <c r="G12" s="225"/>
      <c r="H12" s="226"/>
      <c r="I12" s="225"/>
      <c r="J12" s="226"/>
      <c r="K12" s="225"/>
      <c r="L12" s="226"/>
      <c r="M12" s="227"/>
      <c r="N12" s="226"/>
      <c r="O12" s="225"/>
      <c r="P12" s="226"/>
      <c r="Q12" s="227"/>
      <c r="R12" s="228"/>
      <c r="S12" s="225"/>
      <c r="T12" s="226"/>
      <c r="U12" s="225"/>
      <c r="V12" s="228"/>
      <c r="W12" s="227"/>
      <c r="X12" s="226"/>
      <c r="Y12" s="225"/>
      <c r="Z12" s="226"/>
    </row>
    <row r="13" spans="2:26" ht="25.5">
      <c r="B13" s="151">
        <v>3</v>
      </c>
      <c r="C13" s="216" t="s">
        <v>302</v>
      </c>
      <c r="D13" s="218">
        <v>0.3</v>
      </c>
      <c r="E13" s="225"/>
      <c r="F13" s="226"/>
      <c r="G13" s="225"/>
      <c r="H13" s="226"/>
      <c r="I13" s="225"/>
      <c r="J13" s="226"/>
      <c r="K13" s="225"/>
      <c r="L13" s="226"/>
      <c r="M13" s="225"/>
      <c r="N13" s="226"/>
      <c r="O13" s="225"/>
      <c r="P13" s="226"/>
      <c r="Q13" s="225"/>
      <c r="R13" s="228"/>
      <c r="S13" s="225"/>
      <c r="T13" s="226"/>
      <c r="U13" s="225"/>
      <c r="V13" s="228"/>
      <c r="W13" s="225"/>
      <c r="X13" s="226"/>
      <c r="Y13" s="225"/>
      <c r="Z13" s="226"/>
    </row>
    <row r="14" spans="2:26" ht="25.5">
      <c r="B14" s="151">
        <v>4</v>
      </c>
      <c r="C14" s="216" t="s">
        <v>286</v>
      </c>
      <c r="D14" s="218">
        <v>0.15</v>
      </c>
      <c r="E14" s="225"/>
      <c r="F14" s="226"/>
      <c r="G14" s="225"/>
      <c r="H14" s="226"/>
      <c r="I14" s="225"/>
      <c r="J14" s="226"/>
      <c r="K14" s="225"/>
      <c r="L14" s="226"/>
      <c r="M14" s="225"/>
      <c r="N14" s="226"/>
      <c r="O14" s="225"/>
      <c r="P14" s="226"/>
      <c r="Q14" s="225"/>
      <c r="R14" s="228"/>
      <c r="S14" s="225"/>
      <c r="T14" s="226"/>
      <c r="U14" s="225"/>
      <c r="V14" s="228"/>
      <c r="W14" s="225"/>
      <c r="X14" s="226"/>
      <c r="Y14" s="225"/>
      <c r="Z14" s="226"/>
    </row>
    <row r="15" spans="2:26" ht="25.5">
      <c r="B15" s="151">
        <v>5</v>
      </c>
      <c r="C15" s="216" t="s">
        <v>287</v>
      </c>
      <c r="D15" s="218">
        <v>0.1</v>
      </c>
      <c r="E15" s="229"/>
      <c r="F15" s="230"/>
      <c r="G15" s="229"/>
      <c r="H15" s="230"/>
      <c r="I15" s="229"/>
      <c r="J15" s="230"/>
      <c r="K15" s="229"/>
      <c r="L15" s="230"/>
      <c r="M15" s="229"/>
      <c r="N15" s="230"/>
      <c r="O15" s="229"/>
      <c r="P15" s="230"/>
      <c r="Q15" s="229"/>
      <c r="R15" s="231"/>
      <c r="S15" s="229"/>
      <c r="T15" s="230"/>
      <c r="U15" s="229"/>
      <c r="V15" s="231"/>
      <c r="W15" s="229"/>
      <c r="X15" s="230"/>
      <c r="Y15" s="229"/>
      <c r="Z15" s="230"/>
    </row>
    <row r="16" spans="2:26" s="10" customFormat="1">
      <c r="B16" s="214"/>
      <c r="C16" s="214" t="s">
        <v>5</v>
      </c>
      <c r="D16" s="215">
        <v>0.35</v>
      </c>
      <c r="E16" s="219"/>
      <c r="F16" s="215"/>
      <c r="G16" s="219"/>
      <c r="H16" s="215"/>
      <c r="I16" s="219"/>
      <c r="J16" s="215"/>
      <c r="K16" s="219"/>
      <c r="L16" s="215"/>
      <c r="M16" s="219"/>
      <c r="N16" s="215"/>
      <c r="O16" s="219"/>
      <c r="P16" s="215"/>
      <c r="Q16" s="219"/>
      <c r="R16" s="215"/>
      <c r="S16" s="219"/>
      <c r="T16" s="215"/>
      <c r="U16" s="219"/>
      <c r="V16" s="215"/>
      <c r="W16" s="219"/>
      <c r="X16" s="215"/>
      <c r="Y16" s="219"/>
      <c r="Z16" s="215"/>
    </row>
    <row r="17" spans="2:26" ht="25.5">
      <c r="B17" s="151">
        <v>1</v>
      </c>
      <c r="C17" s="216" t="s">
        <v>288</v>
      </c>
      <c r="D17" s="218">
        <v>0.15</v>
      </c>
      <c r="E17" s="223"/>
      <c r="F17" s="222"/>
      <c r="G17" s="223"/>
      <c r="H17" s="222"/>
      <c r="I17" s="223"/>
      <c r="J17" s="222"/>
      <c r="K17" s="223"/>
      <c r="L17" s="222"/>
      <c r="M17" s="223"/>
      <c r="N17" s="222"/>
      <c r="O17" s="223"/>
      <c r="P17" s="222"/>
      <c r="Q17" s="223"/>
      <c r="R17" s="232"/>
      <c r="S17" s="223"/>
      <c r="T17" s="222"/>
      <c r="U17" s="223"/>
      <c r="V17" s="232"/>
      <c r="W17" s="223"/>
      <c r="X17" s="222"/>
      <c r="Y17" s="223"/>
      <c r="Z17" s="222"/>
    </row>
    <row r="18" spans="2:26">
      <c r="B18" s="151">
        <v>2</v>
      </c>
      <c r="C18" s="216" t="s">
        <v>289</v>
      </c>
      <c r="D18" s="218">
        <v>0.1</v>
      </c>
      <c r="E18" s="225"/>
      <c r="F18" s="233"/>
      <c r="G18" s="225"/>
      <c r="H18" s="233"/>
      <c r="I18" s="225"/>
      <c r="J18" s="233"/>
      <c r="K18" s="225"/>
      <c r="L18" s="233"/>
      <c r="M18" s="225"/>
      <c r="N18" s="233"/>
      <c r="O18" s="225"/>
      <c r="P18" s="233"/>
      <c r="Q18" s="225"/>
      <c r="R18" s="234"/>
      <c r="S18" s="225"/>
      <c r="T18" s="233"/>
      <c r="U18" s="225"/>
      <c r="V18" s="234"/>
      <c r="W18" s="225"/>
      <c r="X18" s="233"/>
      <c r="Y18" s="225"/>
      <c r="Z18" s="233"/>
    </row>
    <row r="19" spans="2:26" ht="25.5">
      <c r="B19" s="151">
        <v>3</v>
      </c>
      <c r="C19" s="216" t="s">
        <v>290</v>
      </c>
      <c r="D19" s="218">
        <v>0.3</v>
      </c>
      <c r="E19" s="225"/>
      <c r="F19" s="233"/>
      <c r="G19" s="225"/>
      <c r="H19" s="233"/>
      <c r="I19" s="225"/>
      <c r="J19" s="233"/>
      <c r="K19" s="225"/>
      <c r="L19" s="233"/>
      <c r="M19" s="225"/>
      <c r="N19" s="233"/>
      <c r="O19" s="225"/>
      <c r="P19" s="233"/>
      <c r="Q19" s="225"/>
      <c r="R19" s="234"/>
      <c r="S19" s="225"/>
      <c r="T19" s="233"/>
      <c r="U19" s="225"/>
      <c r="V19" s="234"/>
      <c r="W19" s="225"/>
      <c r="X19" s="233"/>
      <c r="Y19" s="225"/>
      <c r="Z19" s="233"/>
    </row>
    <row r="20" spans="2:26" ht="25.5">
      <c r="B20" s="151">
        <v>4</v>
      </c>
      <c r="C20" s="216" t="s">
        <v>291</v>
      </c>
      <c r="D20" s="218">
        <v>0.15</v>
      </c>
      <c r="E20" s="225"/>
      <c r="F20" s="233"/>
      <c r="G20" s="225"/>
      <c r="H20" s="233"/>
      <c r="I20" s="225"/>
      <c r="J20" s="233"/>
      <c r="K20" s="225"/>
      <c r="L20" s="233"/>
      <c r="M20" s="225"/>
      <c r="N20" s="233"/>
      <c r="O20" s="225"/>
      <c r="P20" s="233"/>
      <c r="Q20" s="225"/>
      <c r="R20" s="234"/>
      <c r="S20" s="225"/>
      <c r="T20" s="233"/>
      <c r="U20" s="225"/>
      <c r="V20" s="234"/>
      <c r="W20" s="225"/>
      <c r="X20" s="233"/>
      <c r="Y20" s="225"/>
      <c r="Z20" s="233"/>
    </row>
    <row r="21" spans="2:26" ht="25.5">
      <c r="B21" s="151">
        <v>5</v>
      </c>
      <c r="C21" s="216" t="s">
        <v>292</v>
      </c>
      <c r="D21" s="218">
        <v>0.1</v>
      </c>
      <c r="E21" s="235"/>
      <c r="F21" s="236"/>
      <c r="G21" s="235"/>
      <c r="H21" s="236"/>
      <c r="I21" s="235"/>
      <c r="J21" s="236"/>
      <c r="K21" s="235"/>
      <c r="L21" s="236"/>
      <c r="M21" s="235"/>
      <c r="N21" s="236"/>
      <c r="O21" s="235"/>
      <c r="P21" s="236"/>
      <c r="Q21" s="235"/>
      <c r="R21" s="237"/>
      <c r="S21" s="235"/>
      <c r="T21" s="236"/>
      <c r="U21" s="235"/>
      <c r="V21" s="237"/>
      <c r="W21" s="235"/>
      <c r="X21" s="236"/>
      <c r="Y21" s="235"/>
      <c r="Z21" s="236"/>
    </row>
    <row r="22" spans="2:26" ht="38.25">
      <c r="B22" s="151">
        <v>6</v>
      </c>
      <c r="C22" s="216" t="s">
        <v>310</v>
      </c>
      <c r="D22" s="218">
        <v>0.2</v>
      </c>
      <c r="E22" s="229"/>
      <c r="F22" s="230"/>
      <c r="G22" s="229"/>
      <c r="H22" s="230"/>
      <c r="I22" s="229"/>
      <c r="J22" s="230"/>
      <c r="K22" s="229"/>
      <c r="L22" s="230"/>
      <c r="M22" s="229"/>
      <c r="N22" s="230"/>
      <c r="O22" s="229"/>
      <c r="P22" s="230"/>
      <c r="Q22" s="229"/>
      <c r="R22" s="231"/>
      <c r="S22" s="229"/>
      <c r="T22" s="230"/>
      <c r="U22" s="229"/>
      <c r="V22" s="231"/>
      <c r="W22" s="229"/>
      <c r="X22" s="230"/>
      <c r="Y22" s="229"/>
      <c r="Z22" s="230"/>
    </row>
    <row r="23" spans="2:26" s="10" customFormat="1">
      <c r="B23" s="214"/>
      <c r="C23" s="214" t="s">
        <v>7</v>
      </c>
      <c r="D23" s="215">
        <v>0.1</v>
      </c>
      <c r="E23" s="219"/>
      <c r="F23" s="215"/>
      <c r="G23" s="219"/>
      <c r="H23" s="215"/>
      <c r="I23" s="219"/>
      <c r="J23" s="215"/>
      <c r="K23" s="219"/>
      <c r="L23" s="215"/>
      <c r="M23" s="219"/>
      <c r="N23" s="215"/>
      <c r="O23" s="219"/>
      <c r="P23" s="215"/>
      <c r="Q23" s="219"/>
      <c r="R23" s="215"/>
      <c r="S23" s="219"/>
      <c r="T23" s="215"/>
      <c r="U23" s="219"/>
      <c r="V23" s="215"/>
      <c r="W23" s="219"/>
      <c r="X23" s="215"/>
      <c r="Y23" s="219"/>
      <c r="Z23" s="215"/>
    </row>
    <row r="24" spans="2:26" ht="25.5">
      <c r="B24" s="151">
        <v>1</v>
      </c>
      <c r="C24" s="216" t="s">
        <v>293</v>
      </c>
      <c r="D24" s="218">
        <v>0.2</v>
      </c>
      <c r="E24" s="238"/>
      <c r="F24" s="222"/>
      <c r="G24" s="238"/>
      <c r="H24" s="222"/>
      <c r="I24" s="238"/>
      <c r="J24" s="222"/>
      <c r="K24" s="238"/>
      <c r="L24" s="222"/>
      <c r="M24" s="238"/>
      <c r="N24" s="222"/>
      <c r="O24" s="238"/>
      <c r="P24" s="222"/>
      <c r="Q24" s="238"/>
      <c r="R24" s="232"/>
      <c r="S24" s="238"/>
      <c r="T24" s="222"/>
      <c r="U24" s="238"/>
      <c r="V24" s="232"/>
      <c r="W24" s="238"/>
      <c r="X24" s="222"/>
      <c r="Y24" s="238"/>
      <c r="Z24" s="222"/>
    </row>
    <row r="25" spans="2:26" ht="25.5">
      <c r="B25" s="151">
        <v>2</v>
      </c>
      <c r="C25" s="216" t="s">
        <v>294</v>
      </c>
      <c r="D25" s="218">
        <v>0.15</v>
      </c>
      <c r="E25" s="225"/>
      <c r="F25" s="226"/>
      <c r="G25" s="239"/>
      <c r="H25" s="226"/>
      <c r="I25" s="225"/>
      <c r="J25" s="226"/>
      <c r="K25" s="225"/>
      <c r="L25" s="226"/>
      <c r="M25" s="225"/>
      <c r="N25" s="226"/>
      <c r="O25" s="225"/>
      <c r="P25" s="226"/>
      <c r="Q25" s="225"/>
      <c r="R25" s="240"/>
      <c r="S25" s="225"/>
      <c r="T25" s="226"/>
      <c r="U25" s="239"/>
      <c r="V25" s="240"/>
      <c r="W25" s="225"/>
      <c r="X25" s="226"/>
      <c r="Y25" s="239"/>
      <c r="Z25" s="226"/>
    </row>
    <row r="26" spans="2:26" ht="51">
      <c r="B26" s="151">
        <v>3</v>
      </c>
      <c r="C26" s="216" t="s">
        <v>295</v>
      </c>
      <c r="D26" s="218">
        <v>0.15</v>
      </c>
      <c r="E26" s="225"/>
      <c r="F26" s="226"/>
      <c r="G26" s="225"/>
      <c r="H26" s="226"/>
      <c r="I26" s="225"/>
      <c r="J26" s="226"/>
      <c r="K26" s="225"/>
      <c r="L26" s="226"/>
      <c r="M26" s="225"/>
      <c r="N26" s="226"/>
      <c r="O26" s="225"/>
      <c r="P26" s="226"/>
      <c r="Q26" s="225"/>
      <c r="R26" s="240"/>
      <c r="S26" s="225"/>
      <c r="T26" s="226"/>
      <c r="U26" s="225"/>
      <c r="V26" s="240"/>
      <c r="W26" s="225"/>
      <c r="X26" s="226"/>
      <c r="Y26" s="225"/>
      <c r="Z26" s="226"/>
    </row>
    <row r="27" spans="2:26" ht="38.25">
      <c r="B27" s="151">
        <v>4</v>
      </c>
      <c r="C27" s="216" t="s">
        <v>296</v>
      </c>
      <c r="D27" s="218">
        <v>0.15</v>
      </c>
      <c r="E27" s="225"/>
      <c r="F27" s="226"/>
      <c r="G27" s="225"/>
      <c r="H27" s="226"/>
      <c r="I27" s="225"/>
      <c r="J27" s="226"/>
      <c r="K27" s="225"/>
      <c r="L27" s="226"/>
      <c r="M27" s="225"/>
      <c r="N27" s="226"/>
      <c r="O27" s="225"/>
      <c r="P27" s="226"/>
      <c r="Q27" s="225"/>
      <c r="R27" s="240"/>
      <c r="S27" s="225"/>
      <c r="T27" s="226"/>
      <c r="U27" s="225"/>
      <c r="V27" s="240"/>
      <c r="W27" s="225"/>
      <c r="X27" s="226"/>
      <c r="Y27" s="225"/>
      <c r="Z27" s="226"/>
    </row>
    <row r="28" spans="2:26" ht="25.5">
      <c r="B28" s="151">
        <v>5</v>
      </c>
      <c r="C28" s="216" t="s">
        <v>313</v>
      </c>
      <c r="D28" s="218">
        <v>0.2</v>
      </c>
      <c r="E28" s="235"/>
      <c r="F28" s="236"/>
      <c r="G28" s="235"/>
      <c r="H28" s="236"/>
      <c r="I28" s="235"/>
      <c r="J28" s="236"/>
      <c r="K28" s="235"/>
      <c r="L28" s="236"/>
      <c r="M28" s="235"/>
      <c r="N28" s="236"/>
      <c r="O28" s="235"/>
      <c r="P28" s="236"/>
      <c r="Q28" s="235"/>
      <c r="R28" s="241"/>
      <c r="S28" s="235"/>
      <c r="T28" s="236"/>
      <c r="U28" s="235"/>
      <c r="V28" s="241"/>
      <c r="W28" s="235"/>
      <c r="X28" s="236"/>
      <c r="Y28" s="235"/>
      <c r="Z28" s="236"/>
    </row>
    <row r="29" spans="2:26" ht="33.950000000000003" customHeight="1">
      <c r="B29" s="151">
        <v>6</v>
      </c>
      <c r="C29" s="216" t="s">
        <v>297</v>
      </c>
      <c r="D29" s="218">
        <v>0.15</v>
      </c>
      <c r="E29" s="229"/>
      <c r="F29" s="242"/>
      <c r="G29" s="229"/>
      <c r="H29" s="242"/>
      <c r="I29" s="229"/>
      <c r="J29" s="242"/>
      <c r="K29" s="229"/>
      <c r="L29" s="242"/>
      <c r="M29" s="229"/>
      <c r="N29" s="242"/>
      <c r="O29" s="229"/>
      <c r="P29" s="242"/>
      <c r="Q29" s="229"/>
      <c r="R29" s="243"/>
      <c r="S29" s="229"/>
      <c r="T29" s="242"/>
      <c r="U29" s="229"/>
      <c r="V29" s="243"/>
      <c r="W29" s="229"/>
      <c r="X29" s="242"/>
      <c r="Y29" s="229"/>
      <c r="Z29" s="242"/>
    </row>
    <row r="30" spans="2:26" s="10" customFormat="1">
      <c r="B30" s="214"/>
      <c r="C30" s="214" t="s">
        <v>282</v>
      </c>
      <c r="D30" s="215">
        <v>0.15</v>
      </c>
      <c r="E30" s="219"/>
      <c r="F30" s="215"/>
      <c r="G30" s="219"/>
      <c r="H30" s="215"/>
      <c r="I30" s="219"/>
      <c r="J30" s="215"/>
      <c r="K30" s="219"/>
      <c r="L30" s="215"/>
      <c r="M30" s="219"/>
      <c r="N30" s="215"/>
      <c r="O30" s="219"/>
      <c r="P30" s="215"/>
      <c r="Q30" s="219"/>
      <c r="R30" s="215"/>
      <c r="S30" s="219"/>
      <c r="T30" s="215"/>
      <c r="U30" s="219"/>
      <c r="V30" s="215"/>
      <c r="W30" s="219"/>
      <c r="X30" s="215"/>
      <c r="Y30" s="219"/>
      <c r="Z30" s="215"/>
    </row>
    <row r="31" spans="2:26" ht="25.5">
      <c r="B31" s="151">
        <v>1</v>
      </c>
      <c r="C31" s="216" t="s">
        <v>298</v>
      </c>
      <c r="D31" s="218">
        <v>0.4</v>
      </c>
      <c r="E31" s="221"/>
      <c r="F31" s="222"/>
      <c r="G31" s="221"/>
      <c r="H31" s="222"/>
      <c r="I31" s="221"/>
      <c r="J31" s="222"/>
      <c r="K31" s="221"/>
      <c r="L31" s="222"/>
      <c r="M31" s="221"/>
      <c r="N31" s="222"/>
      <c r="O31" s="221"/>
      <c r="P31" s="222"/>
      <c r="Q31" s="221"/>
      <c r="R31" s="232"/>
      <c r="S31" s="221"/>
      <c r="T31" s="222"/>
      <c r="U31" s="221"/>
      <c r="V31" s="232"/>
      <c r="W31" s="221"/>
      <c r="X31" s="222"/>
      <c r="Y31" s="221"/>
      <c r="Z31" s="222"/>
    </row>
    <row r="32" spans="2:26" ht="25.5">
      <c r="B32" s="151">
        <v>2</v>
      </c>
      <c r="C32" s="216" t="s">
        <v>299</v>
      </c>
      <c r="D32" s="218">
        <v>0.2</v>
      </c>
      <c r="E32" s="227"/>
      <c r="F32" s="226"/>
      <c r="G32" s="227"/>
      <c r="H32" s="226"/>
      <c r="I32" s="227"/>
      <c r="J32" s="226"/>
      <c r="K32" s="227"/>
      <c r="L32" s="226"/>
      <c r="M32" s="227"/>
      <c r="N32" s="226"/>
      <c r="O32" s="227"/>
      <c r="P32" s="226"/>
      <c r="Q32" s="227"/>
      <c r="R32" s="240"/>
      <c r="S32" s="227"/>
      <c r="T32" s="226"/>
      <c r="U32" s="227"/>
      <c r="V32" s="240"/>
      <c r="W32" s="227"/>
      <c r="X32" s="226"/>
      <c r="Y32" s="227"/>
      <c r="Z32" s="226"/>
    </row>
    <row r="33" spans="2:26" ht="24.95" customHeight="1">
      <c r="B33" s="151">
        <v>3</v>
      </c>
      <c r="C33" s="216" t="s">
        <v>300</v>
      </c>
      <c r="D33" s="218">
        <v>0.2</v>
      </c>
      <c r="E33" s="225"/>
      <c r="F33" s="226"/>
      <c r="G33" s="225"/>
      <c r="H33" s="226"/>
      <c r="I33" s="225"/>
      <c r="J33" s="226"/>
      <c r="K33" s="225"/>
      <c r="L33" s="226"/>
      <c r="M33" s="225"/>
      <c r="N33" s="226"/>
      <c r="O33" s="225"/>
      <c r="P33" s="226"/>
      <c r="Q33" s="225"/>
      <c r="R33" s="240"/>
      <c r="S33" s="225"/>
      <c r="T33" s="226"/>
      <c r="U33" s="225"/>
      <c r="V33" s="240"/>
      <c r="W33" s="225"/>
      <c r="X33" s="226"/>
      <c r="Y33" s="225"/>
      <c r="Z33" s="226"/>
    </row>
    <row r="34" spans="2:26" ht="26.25" thickBot="1">
      <c r="B34" s="151">
        <v>4</v>
      </c>
      <c r="C34" s="216" t="s">
        <v>301</v>
      </c>
      <c r="D34" s="218">
        <v>0.2</v>
      </c>
      <c r="E34" s="225"/>
      <c r="F34" s="226"/>
      <c r="G34" s="225"/>
      <c r="H34" s="226"/>
      <c r="I34" s="225"/>
      <c r="J34" s="226"/>
      <c r="K34" s="225"/>
      <c r="L34" s="226"/>
      <c r="M34" s="225"/>
      <c r="N34" s="226"/>
      <c r="O34" s="225"/>
      <c r="P34" s="226"/>
      <c r="Q34" s="225"/>
      <c r="R34" s="240"/>
      <c r="S34" s="225"/>
      <c r="T34" s="226"/>
      <c r="U34" s="225"/>
      <c r="V34" s="240"/>
      <c r="W34" s="225"/>
      <c r="X34" s="226"/>
      <c r="Y34" s="225"/>
      <c r="Z34" s="226"/>
    </row>
    <row r="35" spans="2:26" s="13" customFormat="1" ht="13.5" thickTop="1">
      <c r="B35" s="23"/>
      <c r="C35" s="24" t="s">
        <v>3</v>
      </c>
      <c r="D35" s="25">
        <f>D30+D23+D16+D10</f>
        <v>1</v>
      </c>
      <c r="E35" s="26"/>
      <c r="F35" s="25">
        <f>F30+F23+F16+F10</f>
        <v>0</v>
      </c>
      <c r="G35" s="26"/>
      <c r="H35" s="25">
        <f>H30+H23+H16+H10</f>
        <v>0</v>
      </c>
      <c r="I35" s="26"/>
      <c r="J35" s="25">
        <f>J30+J23+J16+J10</f>
        <v>0</v>
      </c>
      <c r="K35" s="26"/>
      <c r="L35" s="25">
        <f>L30+L23+L16+L10</f>
        <v>0</v>
      </c>
      <c r="M35" s="26"/>
      <c r="N35" s="25">
        <f>N30+N23+N16+N10</f>
        <v>0</v>
      </c>
      <c r="O35" s="26"/>
      <c r="P35" s="25">
        <f>P30+P23+P16+P10</f>
        <v>0</v>
      </c>
      <c r="Q35" s="26"/>
      <c r="R35" s="25">
        <f>R30+R23+R16+R10</f>
        <v>0</v>
      </c>
      <c r="S35" s="26"/>
      <c r="T35" s="25">
        <f>T30+T23+T16+T10</f>
        <v>0</v>
      </c>
      <c r="U35" s="26"/>
      <c r="V35" s="25">
        <f>V30+V23+V16+V10</f>
        <v>0</v>
      </c>
      <c r="W35" s="26"/>
      <c r="X35" s="25">
        <f>X30+X23+X16+X10</f>
        <v>0</v>
      </c>
      <c r="Y35" s="26"/>
      <c r="Z35" s="25">
        <f>Z30+Z23+Z16+Z10</f>
        <v>0</v>
      </c>
    </row>
    <row r="36" spans="2:26">
      <c r="B36" s="14"/>
      <c r="C36" s="14"/>
      <c r="D36" s="15"/>
      <c r="E36" s="14"/>
      <c r="F36" s="15"/>
      <c r="G36" s="14"/>
      <c r="H36" s="15"/>
      <c r="I36" s="14"/>
      <c r="J36" s="15"/>
      <c r="K36" s="14"/>
      <c r="L36" s="15"/>
      <c r="M36" s="14"/>
      <c r="N36" s="15"/>
      <c r="O36" s="14"/>
      <c r="P36" s="15"/>
      <c r="Q36" s="14"/>
      <c r="R36" s="15"/>
      <c r="S36" s="14"/>
      <c r="T36" s="15"/>
      <c r="U36" s="14"/>
      <c r="V36" s="15"/>
      <c r="W36" s="14"/>
      <c r="X36" s="15"/>
      <c r="Y36" s="14"/>
      <c r="Z36" s="15"/>
    </row>
    <row r="37" spans="2:26" ht="15.95" customHeight="1">
      <c r="B37" s="38" t="s">
        <v>248</v>
      </c>
      <c r="C37" s="38"/>
      <c r="D37" s="37"/>
      <c r="F37" s="11"/>
      <c r="H37" s="11"/>
      <c r="J37" s="11"/>
      <c r="L37" s="11"/>
      <c r="N37" s="11"/>
      <c r="P37" s="11"/>
      <c r="R37" s="11"/>
      <c r="T37" s="11"/>
      <c r="V37" s="11"/>
      <c r="X37" s="11"/>
      <c r="Z37" s="11"/>
    </row>
    <row r="38" spans="2:26">
      <c r="B38" s="58"/>
      <c r="C38" s="62"/>
      <c r="D38" s="62"/>
      <c r="F38" s="11"/>
      <c r="H38" s="11"/>
      <c r="J38" s="11"/>
      <c r="L38" s="11"/>
      <c r="N38" s="11"/>
      <c r="P38" s="11"/>
      <c r="R38" s="11"/>
      <c r="T38" s="11"/>
      <c r="V38" s="11"/>
      <c r="X38" s="11"/>
      <c r="Z38" s="11"/>
    </row>
    <row r="39" spans="2:26">
      <c r="B39" s="47"/>
      <c r="C39" s="47"/>
      <c r="D39" s="61"/>
      <c r="F39" s="11"/>
      <c r="H39" s="11"/>
      <c r="J39" s="11"/>
      <c r="L39" s="11"/>
      <c r="N39" s="11"/>
      <c r="P39" s="11"/>
      <c r="R39" s="11"/>
      <c r="T39" s="11"/>
      <c r="V39" s="11"/>
      <c r="X39" s="11"/>
      <c r="Z39" s="11"/>
    </row>
    <row r="40" spans="2:26">
      <c r="B40" s="58"/>
      <c r="C40" s="58"/>
      <c r="D40" s="11"/>
      <c r="F40" s="11"/>
      <c r="H40" s="11"/>
      <c r="J40" s="11"/>
      <c r="L40" s="11"/>
      <c r="N40" s="11"/>
      <c r="P40" s="11"/>
      <c r="R40" s="11"/>
      <c r="T40" s="11"/>
      <c r="V40" s="11"/>
      <c r="X40" s="11"/>
      <c r="Z40" s="11"/>
    </row>
    <row r="41" spans="2:26">
      <c r="B41" s="58"/>
      <c r="C41" s="58"/>
      <c r="D41" s="11"/>
      <c r="F41" s="11"/>
      <c r="H41" s="11"/>
      <c r="J41" s="11"/>
      <c r="L41" s="11"/>
      <c r="N41" s="11"/>
      <c r="P41" s="11"/>
      <c r="R41" s="11"/>
      <c r="T41" s="11"/>
      <c r="V41" s="11"/>
      <c r="X41" s="11"/>
      <c r="Z41" s="11"/>
    </row>
    <row r="42" spans="2:26">
      <c r="B42" s="58"/>
      <c r="C42" s="58"/>
      <c r="D42" s="11"/>
      <c r="F42" s="11"/>
      <c r="H42" s="11"/>
      <c r="J42" s="11"/>
      <c r="L42" s="11"/>
      <c r="N42" s="11"/>
      <c r="P42" s="11"/>
      <c r="R42" s="11"/>
      <c r="T42" s="11"/>
      <c r="V42" s="11"/>
      <c r="X42" s="11"/>
      <c r="Z42" s="11"/>
    </row>
    <row r="43" spans="2:26">
      <c r="B43" s="57"/>
      <c r="C43" s="57"/>
      <c r="D43" s="11"/>
      <c r="F43" s="11"/>
      <c r="H43" s="11"/>
      <c r="J43" s="11"/>
      <c r="L43" s="11"/>
      <c r="N43" s="11"/>
      <c r="P43" s="11"/>
      <c r="R43" s="11"/>
      <c r="T43" s="11"/>
      <c r="V43" s="11"/>
      <c r="X43" s="11"/>
      <c r="Z43" s="11"/>
    </row>
    <row r="44" spans="2:26">
      <c r="B44" s="5" t="s">
        <v>160</v>
      </c>
      <c r="C44" s="5"/>
      <c r="F44" s="11"/>
      <c r="H44" s="11"/>
      <c r="J44" s="11"/>
      <c r="L44" s="11"/>
      <c r="N44" s="11"/>
      <c r="P44" s="11"/>
      <c r="R44" s="11"/>
      <c r="T44" s="11"/>
      <c r="V44" s="11"/>
      <c r="X44" s="11"/>
      <c r="Z44" s="11"/>
    </row>
    <row r="45" spans="2:26">
      <c r="B45" s="14"/>
      <c r="C45" s="14"/>
      <c r="D45" s="14"/>
      <c r="F45" s="11"/>
      <c r="H45" s="11"/>
      <c r="J45" s="11"/>
      <c r="L45" s="11"/>
      <c r="N45" s="11"/>
      <c r="P45" s="11"/>
      <c r="R45" s="11"/>
      <c r="T45" s="11"/>
      <c r="V45" s="11"/>
      <c r="X45" s="11"/>
      <c r="Z45" s="11"/>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1:F47"/>
  <sheetViews>
    <sheetView showGridLines="0" zoomScale="120" zoomScaleNormal="120" workbookViewId="0">
      <selection activeCell="H18" sqref="H18"/>
    </sheetView>
  </sheetViews>
  <sheetFormatPr defaultColWidth="8.875" defaultRowHeight="12.75"/>
  <cols>
    <col min="1" max="1" width="1.125" style="11" customWidth="1"/>
    <col min="2" max="2" width="6" style="11" customWidth="1"/>
    <col min="3" max="3" width="41.625" style="11" customWidth="1"/>
    <col min="4" max="4" width="8.625" style="17" customWidth="1"/>
    <col min="5" max="5" width="39.375" style="11" customWidth="1"/>
    <col min="6" max="6" width="8.625" style="17" customWidth="1"/>
    <col min="7" max="210" width="8.875" style="11"/>
    <col min="211" max="211" width="5" style="11" customWidth="1"/>
    <col min="212" max="212" width="33.375" style="11" customWidth="1"/>
    <col min="213" max="213" width="6.5" style="11" customWidth="1"/>
    <col min="214" max="214" width="29.5" style="11" customWidth="1"/>
    <col min="215" max="215" width="23.625" style="11" customWidth="1"/>
    <col min="216" max="216" width="8" style="11" customWidth="1"/>
    <col min="217" max="217" width="9.125" style="11" customWidth="1"/>
    <col min="218" max="218" width="13.875" style="11" customWidth="1"/>
    <col min="219" max="219" width="13.5" style="11" customWidth="1"/>
    <col min="220" max="466" width="8.875" style="11"/>
    <col min="467" max="467" width="5" style="11" customWidth="1"/>
    <col min="468" max="468" width="33.375" style="11" customWidth="1"/>
    <col min="469" max="469" width="6.5" style="11" customWidth="1"/>
    <col min="470" max="470" width="29.5" style="11" customWidth="1"/>
    <col min="471" max="471" width="23.625" style="11" customWidth="1"/>
    <col min="472" max="472" width="8" style="11" customWidth="1"/>
    <col min="473" max="473" width="9.125" style="11" customWidth="1"/>
    <col min="474" max="474" width="13.875" style="11" customWidth="1"/>
    <col min="475" max="475" width="13.5" style="11" customWidth="1"/>
    <col min="476" max="722" width="8.875" style="11"/>
    <col min="723" max="723" width="5" style="11" customWidth="1"/>
    <col min="724" max="724" width="33.375" style="11" customWidth="1"/>
    <col min="725" max="725" width="6.5" style="11" customWidth="1"/>
    <col min="726" max="726" width="29.5" style="11" customWidth="1"/>
    <col min="727" max="727" width="23.625" style="11" customWidth="1"/>
    <col min="728" max="728" width="8" style="11" customWidth="1"/>
    <col min="729" max="729" width="9.125" style="11" customWidth="1"/>
    <col min="730" max="730" width="13.875" style="11" customWidth="1"/>
    <col min="731" max="731" width="13.5" style="11" customWidth="1"/>
    <col min="732" max="978" width="8.875" style="11"/>
    <col min="979" max="979" width="5" style="11" customWidth="1"/>
    <col min="980" max="980" width="33.375" style="11" customWidth="1"/>
    <col min="981" max="981" width="6.5" style="11" customWidth="1"/>
    <col min="982" max="982" width="29.5" style="11" customWidth="1"/>
    <col min="983" max="983" width="23.625" style="11" customWidth="1"/>
    <col min="984" max="984" width="8" style="11" customWidth="1"/>
    <col min="985" max="985" width="9.125" style="11" customWidth="1"/>
    <col min="986" max="986" width="13.875" style="11" customWidth="1"/>
    <col min="987" max="987" width="13.5" style="11" customWidth="1"/>
    <col min="988" max="1234" width="8.875" style="11"/>
    <col min="1235" max="1235" width="5" style="11" customWidth="1"/>
    <col min="1236" max="1236" width="33.375" style="11" customWidth="1"/>
    <col min="1237" max="1237" width="6.5" style="11" customWidth="1"/>
    <col min="1238" max="1238" width="29.5" style="11" customWidth="1"/>
    <col min="1239" max="1239" width="23.625" style="11" customWidth="1"/>
    <col min="1240" max="1240" width="8" style="11" customWidth="1"/>
    <col min="1241" max="1241" width="9.125" style="11" customWidth="1"/>
    <col min="1242" max="1242" width="13.875" style="11" customWidth="1"/>
    <col min="1243" max="1243" width="13.5" style="11" customWidth="1"/>
    <col min="1244" max="1490" width="8.875" style="11"/>
    <col min="1491" max="1491" width="5" style="11" customWidth="1"/>
    <col min="1492" max="1492" width="33.375" style="11" customWidth="1"/>
    <col min="1493" max="1493" width="6.5" style="11" customWidth="1"/>
    <col min="1494" max="1494" width="29.5" style="11" customWidth="1"/>
    <col min="1495" max="1495" width="23.625" style="11" customWidth="1"/>
    <col min="1496" max="1496" width="8" style="11" customWidth="1"/>
    <col min="1497" max="1497" width="9.125" style="11" customWidth="1"/>
    <col min="1498" max="1498" width="13.875" style="11" customWidth="1"/>
    <col min="1499" max="1499" width="13.5" style="11" customWidth="1"/>
    <col min="1500" max="1746" width="8.875" style="11"/>
    <col min="1747" max="1747" width="5" style="11" customWidth="1"/>
    <col min="1748" max="1748" width="33.375" style="11" customWidth="1"/>
    <col min="1749" max="1749" width="6.5" style="11" customWidth="1"/>
    <col min="1750" max="1750" width="29.5" style="11" customWidth="1"/>
    <col min="1751" max="1751" width="23.625" style="11" customWidth="1"/>
    <col min="1752" max="1752" width="8" style="11" customWidth="1"/>
    <col min="1753" max="1753" width="9.125" style="11" customWidth="1"/>
    <col min="1754" max="1754" width="13.875" style="11" customWidth="1"/>
    <col min="1755" max="1755" width="13.5" style="11" customWidth="1"/>
    <col min="1756" max="2002" width="8.875" style="11"/>
    <col min="2003" max="2003" width="5" style="11" customWidth="1"/>
    <col min="2004" max="2004" width="33.375" style="11" customWidth="1"/>
    <col min="2005" max="2005" width="6.5" style="11" customWidth="1"/>
    <col min="2006" max="2006" width="29.5" style="11" customWidth="1"/>
    <col min="2007" max="2007" width="23.625" style="11" customWidth="1"/>
    <col min="2008" max="2008" width="8" style="11" customWidth="1"/>
    <col min="2009" max="2009" width="9.125" style="11" customWidth="1"/>
    <col min="2010" max="2010" width="13.875" style="11" customWidth="1"/>
    <col min="2011" max="2011" width="13.5" style="11" customWidth="1"/>
    <col min="2012" max="2258" width="8.875" style="11"/>
    <col min="2259" max="2259" width="5" style="11" customWidth="1"/>
    <col min="2260" max="2260" width="33.375" style="11" customWidth="1"/>
    <col min="2261" max="2261" width="6.5" style="11" customWidth="1"/>
    <col min="2262" max="2262" width="29.5" style="11" customWidth="1"/>
    <col min="2263" max="2263" width="23.625" style="11" customWidth="1"/>
    <col min="2264" max="2264" width="8" style="11" customWidth="1"/>
    <col min="2265" max="2265" width="9.125" style="11" customWidth="1"/>
    <col min="2266" max="2266" width="13.875" style="11" customWidth="1"/>
    <col min="2267" max="2267" width="13.5" style="11" customWidth="1"/>
    <col min="2268" max="2514" width="8.875" style="11"/>
    <col min="2515" max="2515" width="5" style="11" customWidth="1"/>
    <col min="2516" max="2516" width="33.375" style="11" customWidth="1"/>
    <col min="2517" max="2517" width="6.5" style="11" customWidth="1"/>
    <col min="2518" max="2518" width="29.5" style="11" customWidth="1"/>
    <col min="2519" max="2519" width="23.625" style="11" customWidth="1"/>
    <col min="2520" max="2520" width="8" style="11" customWidth="1"/>
    <col min="2521" max="2521" width="9.125" style="11" customWidth="1"/>
    <col min="2522" max="2522" width="13.875" style="11" customWidth="1"/>
    <col min="2523" max="2523" width="13.5" style="11" customWidth="1"/>
    <col min="2524" max="2770" width="8.875" style="11"/>
    <col min="2771" max="2771" width="5" style="11" customWidth="1"/>
    <col min="2772" max="2772" width="33.375" style="11" customWidth="1"/>
    <col min="2773" max="2773" width="6.5" style="11" customWidth="1"/>
    <col min="2774" max="2774" width="29.5" style="11" customWidth="1"/>
    <col min="2775" max="2775" width="23.625" style="11" customWidth="1"/>
    <col min="2776" max="2776" width="8" style="11" customWidth="1"/>
    <col min="2777" max="2777" width="9.125" style="11" customWidth="1"/>
    <col min="2778" max="2778" width="13.875" style="11" customWidth="1"/>
    <col min="2779" max="2779" width="13.5" style="11" customWidth="1"/>
    <col min="2780" max="3026" width="8.875" style="11"/>
    <col min="3027" max="3027" width="5" style="11" customWidth="1"/>
    <col min="3028" max="3028" width="33.375" style="11" customWidth="1"/>
    <col min="3029" max="3029" width="6.5" style="11" customWidth="1"/>
    <col min="3030" max="3030" width="29.5" style="11" customWidth="1"/>
    <col min="3031" max="3031" width="23.625" style="11" customWidth="1"/>
    <col min="3032" max="3032" width="8" style="11" customWidth="1"/>
    <col min="3033" max="3033" width="9.125" style="11" customWidth="1"/>
    <col min="3034" max="3034" width="13.875" style="11" customWidth="1"/>
    <col min="3035" max="3035" width="13.5" style="11" customWidth="1"/>
    <col min="3036" max="3282" width="8.875" style="11"/>
    <col min="3283" max="3283" width="5" style="11" customWidth="1"/>
    <col min="3284" max="3284" width="33.375" style="11" customWidth="1"/>
    <col min="3285" max="3285" width="6.5" style="11" customWidth="1"/>
    <col min="3286" max="3286" width="29.5" style="11" customWidth="1"/>
    <col min="3287" max="3287" width="23.625" style="11" customWidth="1"/>
    <col min="3288" max="3288" width="8" style="11" customWidth="1"/>
    <col min="3289" max="3289" width="9.125" style="11" customWidth="1"/>
    <col min="3290" max="3290" width="13.875" style="11" customWidth="1"/>
    <col min="3291" max="3291" width="13.5" style="11" customWidth="1"/>
    <col min="3292" max="3538" width="8.875" style="11"/>
    <col min="3539" max="3539" width="5" style="11" customWidth="1"/>
    <col min="3540" max="3540" width="33.375" style="11" customWidth="1"/>
    <col min="3541" max="3541" width="6.5" style="11" customWidth="1"/>
    <col min="3542" max="3542" width="29.5" style="11" customWidth="1"/>
    <col min="3543" max="3543" width="23.625" style="11" customWidth="1"/>
    <col min="3544" max="3544" width="8" style="11" customWidth="1"/>
    <col min="3545" max="3545" width="9.125" style="11" customWidth="1"/>
    <col min="3546" max="3546" width="13.875" style="11" customWidth="1"/>
    <col min="3547" max="3547" width="13.5" style="11" customWidth="1"/>
    <col min="3548" max="3794" width="8.875" style="11"/>
    <col min="3795" max="3795" width="5" style="11" customWidth="1"/>
    <col min="3796" max="3796" width="33.375" style="11" customWidth="1"/>
    <col min="3797" max="3797" width="6.5" style="11" customWidth="1"/>
    <col min="3798" max="3798" width="29.5" style="11" customWidth="1"/>
    <col min="3799" max="3799" width="23.625" style="11" customWidth="1"/>
    <col min="3800" max="3800" width="8" style="11" customWidth="1"/>
    <col min="3801" max="3801" width="9.125" style="11" customWidth="1"/>
    <col min="3802" max="3802" width="13.875" style="11" customWidth="1"/>
    <col min="3803" max="3803" width="13.5" style="11" customWidth="1"/>
    <col min="3804" max="4050" width="8.875" style="11"/>
    <col min="4051" max="4051" width="5" style="11" customWidth="1"/>
    <col min="4052" max="4052" width="33.375" style="11" customWidth="1"/>
    <col min="4053" max="4053" width="6.5" style="11" customWidth="1"/>
    <col min="4054" max="4054" width="29.5" style="11" customWidth="1"/>
    <col min="4055" max="4055" width="23.625" style="11" customWidth="1"/>
    <col min="4056" max="4056" width="8" style="11" customWidth="1"/>
    <col min="4057" max="4057" width="9.125" style="11" customWidth="1"/>
    <col min="4058" max="4058" width="13.875" style="11" customWidth="1"/>
    <col min="4059" max="4059" width="13.5" style="11" customWidth="1"/>
    <col min="4060" max="4306" width="8.875" style="11"/>
    <col min="4307" max="4307" width="5" style="11" customWidth="1"/>
    <col min="4308" max="4308" width="33.375" style="11" customWidth="1"/>
    <col min="4309" max="4309" width="6.5" style="11" customWidth="1"/>
    <col min="4310" max="4310" width="29.5" style="11" customWidth="1"/>
    <col min="4311" max="4311" width="23.625" style="11" customWidth="1"/>
    <col min="4312" max="4312" width="8" style="11" customWidth="1"/>
    <col min="4313" max="4313" width="9.125" style="11" customWidth="1"/>
    <col min="4314" max="4314" width="13.875" style="11" customWidth="1"/>
    <col min="4315" max="4315" width="13.5" style="11" customWidth="1"/>
    <col min="4316" max="4562" width="8.875" style="11"/>
    <col min="4563" max="4563" width="5" style="11" customWidth="1"/>
    <col min="4564" max="4564" width="33.375" style="11" customWidth="1"/>
    <col min="4565" max="4565" width="6.5" style="11" customWidth="1"/>
    <col min="4566" max="4566" width="29.5" style="11" customWidth="1"/>
    <col min="4567" max="4567" width="23.625" style="11" customWidth="1"/>
    <col min="4568" max="4568" width="8" style="11" customWidth="1"/>
    <col min="4569" max="4569" width="9.125" style="11" customWidth="1"/>
    <col min="4570" max="4570" width="13.875" style="11" customWidth="1"/>
    <col min="4571" max="4571" width="13.5" style="11" customWidth="1"/>
    <col min="4572" max="4818" width="8.875" style="11"/>
    <col min="4819" max="4819" width="5" style="11" customWidth="1"/>
    <col min="4820" max="4820" width="33.375" style="11" customWidth="1"/>
    <col min="4821" max="4821" width="6.5" style="11" customWidth="1"/>
    <col min="4822" max="4822" width="29.5" style="11" customWidth="1"/>
    <col min="4823" max="4823" width="23.625" style="11" customWidth="1"/>
    <col min="4824" max="4824" width="8" style="11" customWidth="1"/>
    <col min="4825" max="4825" width="9.125" style="11" customWidth="1"/>
    <col min="4826" max="4826" width="13.875" style="11" customWidth="1"/>
    <col min="4827" max="4827" width="13.5" style="11" customWidth="1"/>
    <col min="4828" max="5074" width="8.875" style="11"/>
    <col min="5075" max="5075" width="5" style="11" customWidth="1"/>
    <col min="5076" max="5076" width="33.375" style="11" customWidth="1"/>
    <col min="5077" max="5077" width="6.5" style="11" customWidth="1"/>
    <col min="5078" max="5078" width="29.5" style="11" customWidth="1"/>
    <col min="5079" max="5079" width="23.625" style="11" customWidth="1"/>
    <col min="5080" max="5080" width="8" style="11" customWidth="1"/>
    <col min="5081" max="5081" width="9.125" style="11" customWidth="1"/>
    <col min="5082" max="5082" width="13.875" style="11" customWidth="1"/>
    <col min="5083" max="5083" width="13.5" style="11" customWidth="1"/>
    <col min="5084" max="5330" width="8.875" style="11"/>
    <col min="5331" max="5331" width="5" style="11" customWidth="1"/>
    <col min="5332" max="5332" width="33.375" style="11" customWidth="1"/>
    <col min="5333" max="5333" width="6.5" style="11" customWidth="1"/>
    <col min="5334" max="5334" width="29.5" style="11" customWidth="1"/>
    <col min="5335" max="5335" width="23.625" style="11" customWidth="1"/>
    <col min="5336" max="5336" width="8" style="11" customWidth="1"/>
    <col min="5337" max="5337" width="9.125" style="11" customWidth="1"/>
    <col min="5338" max="5338" width="13.875" style="11" customWidth="1"/>
    <col min="5339" max="5339" width="13.5" style="11" customWidth="1"/>
    <col min="5340" max="5586" width="8.875" style="11"/>
    <col min="5587" max="5587" width="5" style="11" customWidth="1"/>
    <col min="5588" max="5588" width="33.375" style="11" customWidth="1"/>
    <col min="5589" max="5589" width="6.5" style="11" customWidth="1"/>
    <col min="5590" max="5590" width="29.5" style="11" customWidth="1"/>
    <col min="5591" max="5591" width="23.625" style="11" customWidth="1"/>
    <col min="5592" max="5592" width="8" style="11" customWidth="1"/>
    <col min="5593" max="5593" width="9.125" style="11" customWidth="1"/>
    <col min="5594" max="5594" width="13.875" style="11" customWidth="1"/>
    <col min="5595" max="5595" width="13.5" style="11" customWidth="1"/>
    <col min="5596" max="5842" width="8.875" style="11"/>
    <col min="5843" max="5843" width="5" style="11" customWidth="1"/>
    <col min="5844" max="5844" width="33.375" style="11" customWidth="1"/>
    <col min="5845" max="5845" width="6.5" style="11" customWidth="1"/>
    <col min="5846" max="5846" width="29.5" style="11" customWidth="1"/>
    <col min="5847" max="5847" width="23.625" style="11" customWidth="1"/>
    <col min="5848" max="5848" width="8" style="11" customWidth="1"/>
    <col min="5849" max="5849" width="9.125" style="11" customWidth="1"/>
    <col min="5850" max="5850" width="13.875" style="11" customWidth="1"/>
    <col min="5851" max="5851" width="13.5" style="11" customWidth="1"/>
    <col min="5852" max="6098" width="8.875" style="11"/>
    <col min="6099" max="6099" width="5" style="11" customWidth="1"/>
    <col min="6100" max="6100" width="33.375" style="11" customWidth="1"/>
    <col min="6101" max="6101" width="6.5" style="11" customWidth="1"/>
    <col min="6102" max="6102" width="29.5" style="11" customWidth="1"/>
    <col min="6103" max="6103" width="23.625" style="11" customWidth="1"/>
    <col min="6104" max="6104" width="8" style="11" customWidth="1"/>
    <col min="6105" max="6105" width="9.125" style="11" customWidth="1"/>
    <col min="6106" max="6106" width="13.875" style="11" customWidth="1"/>
    <col min="6107" max="6107" width="13.5" style="11" customWidth="1"/>
    <col min="6108" max="6354" width="8.875" style="11"/>
    <col min="6355" max="6355" width="5" style="11" customWidth="1"/>
    <col min="6356" max="6356" width="33.375" style="11" customWidth="1"/>
    <col min="6357" max="6357" width="6.5" style="11" customWidth="1"/>
    <col min="6358" max="6358" width="29.5" style="11" customWidth="1"/>
    <col min="6359" max="6359" width="23.625" style="11" customWidth="1"/>
    <col min="6360" max="6360" width="8" style="11" customWidth="1"/>
    <col min="6361" max="6361" width="9.125" style="11" customWidth="1"/>
    <col min="6362" max="6362" width="13.875" style="11" customWidth="1"/>
    <col min="6363" max="6363" width="13.5" style="11" customWidth="1"/>
    <col min="6364" max="6610" width="8.875" style="11"/>
    <col min="6611" max="6611" width="5" style="11" customWidth="1"/>
    <col min="6612" max="6612" width="33.375" style="11" customWidth="1"/>
    <col min="6613" max="6613" width="6.5" style="11" customWidth="1"/>
    <col min="6614" max="6614" width="29.5" style="11" customWidth="1"/>
    <col min="6615" max="6615" width="23.625" style="11" customWidth="1"/>
    <col min="6616" max="6616" width="8" style="11" customWidth="1"/>
    <col min="6617" max="6617" width="9.125" style="11" customWidth="1"/>
    <col min="6618" max="6618" width="13.875" style="11" customWidth="1"/>
    <col min="6619" max="6619" width="13.5" style="11" customWidth="1"/>
    <col min="6620" max="6866" width="8.875" style="11"/>
    <col min="6867" max="6867" width="5" style="11" customWidth="1"/>
    <col min="6868" max="6868" width="33.375" style="11" customWidth="1"/>
    <col min="6869" max="6869" width="6.5" style="11" customWidth="1"/>
    <col min="6870" max="6870" width="29.5" style="11" customWidth="1"/>
    <col min="6871" max="6871" width="23.625" style="11" customWidth="1"/>
    <col min="6872" max="6872" width="8" style="11" customWidth="1"/>
    <col min="6873" max="6873" width="9.125" style="11" customWidth="1"/>
    <col min="6874" max="6874" width="13.875" style="11" customWidth="1"/>
    <col min="6875" max="6875" width="13.5" style="11" customWidth="1"/>
    <col min="6876" max="7122" width="8.875" style="11"/>
    <col min="7123" max="7123" width="5" style="11" customWidth="1"/>
    <col min="7124" max="7124" width="33.375" style="11" customWidth="1"/>
    <col min="7125" max="7125" width="6.5" style="11" customWidth="1"/>
    <col min="7126" max="7126" width="29.5" style="11" customWidth="1"/>
    <col min="7127" max="7127" width="23.625" style="11" customWidth="1"/>
    <col min="7128" max="7128" width="8" style="11" customWidth="1"/>
    <col min="7129" max="7129" width="9.125" style="11" customWidth="1"/>
    <col min="7130" max="7130" width="13.875" style="11" customWidth="1"/>
    <col min="7131" max="7131" width="13.5" style="11" customWidth="1"/>
    <col min="7132" max="7378" width="8.875" style="11"/>
    <col min="7379" max="7379" width="5" style="11" customWidth="1"/>
    <col min="7380" max="7380" width="33.375" style="11" customWidth="1"/>
    <col min="7381" max="7381" width="6.5" style="11" customWidth="1"/>
    <col min="7382" max="7382" width="29.5" style="11" customWidth="1"/>
    <col min="7383" max="7383" width="23.625" style="11" customWidth="1"/>
    <col min="7384" max="7384" width="8" style="11" customWidth="1"/>
    <col min="7385" max="7385" width="9.125" style="11" customWidth="1"/>
    <col min="7386" max="7386" width="13.875" style="11" customWidth="1"/>
    <col min="7387" max="7387" width="13.5" style="11" customWidth="1"/>
    <col min="7388" max="7634" width="8.875" style="11"/>
    <col min="7635" max="7635" width="5" style="11" customWidth="1"/>
    <col min="7636" max="7636" width="33.375" style="11" customWidth="1"/>
    <col min="7637" max="7637" width="6.5" style="11" customWidth="1"/>
    <col min="7638" max="7638" width="29.5" style="11" customWidth="1"/>
    <col min="7639" max="7639" width="23.625" style="11" customWidth="1"/>
    <col min="7640" max="7640" width="8" style="11" customWidth="1"/>
    <col min="7641" max="7641" width="9.125" style="11" customWidth="1"/>
    <col min="7642" max="7642" width="13.875" style="11" customWidth="1"/>
    <col min="7643" max="7643" width="13.5" style="11" customWidth="1"/>
    <col min="7644" max="7890" width="8.875" style="11"/>
    <col min="7891" max="7891" width="5" style="11" customWidth="1"/>
    <col min="7892" max="7892" width="33.375" style="11" customWidth="1"/>
    <col min="7893" max="7893" width="6.5" style="11" customWidth="1"/>
    <col min="7894" max="7894" width="29.5" style="11" customWidth="1"/>
    <col min="7895" max="7895" width="23.625" style="11" customWidth="1"/>
    <col min="7896" max="7896" width="8" style="11" customWidth="1"/>
    <col min="7897" max="7897" width="9.125" style="11" customWidth="1"/>
    <col min="7898" max="7898" width="13.875" style="11" customWidth="1"/>
    <col min="7899" max="7899" width="13.5" style="11" customWidth="1"/>
    <col min="7900" max="8146" width="8.875" style="11"/>
    <col min="8147" max="8147" width="5" style="11" customWidth="1"/>
    <col min="8148" max="8148" width="33.375" style="11" customWidth="1"/>
    <col min="8149" max="8149" width="6.5" style="11" customWidth="1"/>
    <col min="8150" max="8150" width="29.5" style="11" customWidth="1"/>
    <col min="8151" max="8151" width="23.625" style="11" customWidth="1"/>
    <col min="8152" max="8152" width="8" style="11" customWidth="1"/>
    <col min="8153" max="8153" width="9.125" style="11" customWidth="1"/>
    <col min="8154" max="8154" width="13.875" style="11" customWidth="1"/>
    <col min="8155" max="8155" width="13.5" style="11" customWidth="1"/>
    <col min="8156" max="8402" width="8.875" style="11"/>
    <col min="8403" max="8403" width="5" style="11" customWidth="1"/>
    <col min="8404" max="8404" width="33.375" style="11" customWidth="1"/>
    <col min="8405" max="8405" width="6.5" style="11" customWidth="1"/>
    <col min="8406" max="8406" width="29.5" style="11" customWidth="1"/>
    <col min="8407" max="8407" width="23.625" style="11" customWidth="1"/>
    <col min="8408" max="8408" width="8" style="11" customWidth="1"/>
    <col min="8409" max="8409" width="9.125" style="11" customWidth="1"/>
    <col min="8410" max="8410" width="13.875" style="11" customWidth="1"/>
    <col min="8411" max="8411" width="13.5" style="11" customWidth="1"/>
    <col min="8412" max="8658" width="8.875" style="11"/>
    <col min="8659" max="8659" width="5" style="11" customWidth="1"/>
    <col min="8660" max="8660" width="33.375" style="11" customWidth="1"/>
    <col min="8661" max="8661" width="6.5" style="11" customWidth="1"/>
    <col min="8662" max="8662" width="29.5" style="11" customWidth="1"/>
    <col min="8663" max="8663" width="23.625" style="11" customWidth="1"/>
    <col min="8664" max="8664" width="8" style="11" customWidth="1"/>
    <col min="8665" max="8665" width="9.125" style="11" customWidth="1"/>
    <col min="8666" max="8666" width="13.875" style="11" customWidth="1"/>
    <col min="8667" max="8667" width="13.5" style="11" customWidth="1"/>
    <col min="8668" max="8914" width="8.875" style="11"/>
    <col min="8915" max="8915" width="5" style="11" customWidth="1"/>
    <col min="8916" max="8916" width="33.375" style="11" customWidth="1"/>
    <col min="8917" max="8917" width="6.5" style="11" customWidth="1"/>
    <col min="8918" max="8918" width="29.5" style="11" customWidth="1"/>
    <col min="8919" max="8919" width="23.625" style="11" customWidth="1"/>
    <col min="8920" max="8920" width="8" style="11" customWidth="1"/>
    <col min="8921" max="8921" width="9.125" style="11" customWidth="1"/>
    <col min="8922" max="8922" width="13.875" style="11" customWidth="1"/>
    <col min="8923" max="8923" width="13.5" style="11" customWidth="1"/>
    <col min="8924" max="9170" width="8.875" style="11"/>
    <col min="9171" max="9171" width="5" style="11" customWidth="1"/>
    <col min="9172" max="9172" width="33.375" style="11" customWidth="1"/>
    <col min="9173" max="9173" width="6.5" style="11" customWidth="1"/>
    <col min="9174" max="9174" width="29.5" style="11" customWidth="1"/>
    <col min="9175" max="9175" width="23.625" style="11" customWidth="1"/>
    <col min="9176" max="9176" width="8" style="11" customWidth="1"/>
    <col min="9177" max="9177" width="9.125" style="11" customWidth="1"/>
    <col min="9178" max="9178" width="13.875" style="11" customWidth="1"/>
    <col min="9179" max="9179" width="13.5" style="11" customWidth="1"/>
    <col min="9180" max="9426" width="8.875" style="11"/>
    <col min="9427" max="9427" width="5" style="11" customWidth="1"/>
    <col min="9428" max="9428" width="33.375" style="11" customWidth="1"/>
    <col min="9429" max="9429" width="6.5" style="11" customWidth="1"/>
    <col min="9430" max="9430" width="29.5" style="11" customWidth="1"/>
    <col min="9431" max="9431" width="23.625" style="11" customWidth="1"/>
    <col min="9432" max="9432" width="8" style="11" customWidth="1"/>
    <col min="9433" max="9433" width="9.125" style="11" customWidth="1"/>
    <col min="9434" max="9434" width="13.875" style="11" customWidth="1"/>
    <col min="9435" max="9435" width="13.5" style="11" customWidth="1"/>
    <col min="9436" max="9682" width="8.875" style="11"/>
    <col min="9683" max="9683" width="5" style="11" customWidth="1"/>
    <col min="9684" max="9684" width="33.375" style="11" customWidth="1"/>
    <col min="9685" max="9685" width="6.5" style="11" customWidth="1"/>
    <col min="9686" max="9686" width="29.5" style="11" customWidth="1"/>
    <col min="9687" max="9687" width="23.625" style="11" customWidth="1"/>
    <col min="9688" max="9688" width="8" style="11" customWidth="1"/>
    <col min="9689" max="9689" width="9.125" style="11" customWidth="1"/>
    <col min="9690" max="9690" width="13.875" style="11" customWidth="1"/>
    <col min="9691" max="9691" width="13.5" style="11" customWidth="1"/>
    <col min="9692" max="9938" width="8.875" style="11"/>
    <col min="9939" max="9939" width="5" style="11" customWidth="1"/>
    <col min="9940" max="9940" width="33.375" style="11" customWidth="1"/>
    <col min="9941" max="9941" width="6.5" style="11" customWidth="1"/>
    <col min="9942" max="9942" width="29.5" style="11" customWidth="1"/>
    <col min="9943" max="9943" width="23.625" style="11" customWidth="1"/>
    <col min="9944" max="9944" width="8" style="11" customWidth="1"/>
    <col min="9945" max="9945" width="9.125" style="11" customWidth="1"/>
    <col min="9946" max="9946" width="13.875" style="11" customWidth="1"/>
    <col min="9947" max="9947" width="13.5" style="11" customWidth="1"/>
    <col min="9948" max="10194" width="8.875" style="11"/>
    <col min="10195" max="10195" width="5" style="11" customWidth="1"/>
    <col min="10196" max="10196" width="33.375" style="11" customWidth="1"/>
    <col min="10197" max="10197" width="6.5" style="11" customWidth="1"/>
    <col min="10198" max="10198" width="29.5" style="11" customWidth="1"/>
    <col min="10199" max="10199" width="23.625" style="11" customWidth="1"/>
    <col min="10200" max="10200" width="8" style="11" customWidth="1"/>
    <col min="10201" max="10201" width="9.125" style="11" customWidth="1"/>
    <col min="10202" max="10202" width="13.875" style="11" customWidth="1"/>
    <col min="10203" max="10203" width="13.5" style="11" customWidth="1"/>
    <col min="10204" max="10450" width="8.875" style="11"/>
    <col min="10451" max="10451" width="5" style="11" customWidth="1"/>
    <col min="10452" max="10452" width="33.375" style="11" customWidth="1"/>
    <col min="10453" max="10453" width="6.5" style="11" customWidth="1"/>
    <col min="10454" max="10454" width="29.5" style="11" customWidth="1"/>
    <col min="10455" max="10455" width="23.625" style="11" customWidth="1"/>
    <col min="10456" max="10456" width="8" style="11" customWidth="1"/>
    <col min="10457" max="10457" width="9.125" style="11" customWidth="1"/>
    <col min="10458" max="10458" width="13.875" style="11" customWidth="1"/>
    <col min="10459" max="10459" width="13.5" style="11" customWidth="1"/>
    <col min="10460" max="10706" width="8.875" style="11"/>
    <col min="10707" max="10707" width="5" style="11" customWidth="1"/>
    <col min="10708" max="10708" width="33.375" style="11" customWidth="1"/>
    <col min="10709" max="10709" width="6.5" style="11" customWidth="1"/>
    <col min="10710" max="10710" width="29.5" style="11" customWidth="1"/>
    <col min="10711" max="10711" width="23.625" style="11" customWidth="1"/>
    <col min="10712" max="10712" width="8" style="11" customWidth="1"/>
    <col min="10713" max="10713" width="9.125" style="11" customWidth="1"/>
    <col min="10714" max="10714" width="13.875" style="11" customWidth="1"/>
    <col min="10715" max="10715" width="13.5" style="11" customWidth="1"/>
    <col min="10716" max="10962" width="8.875" style="11"/>
    <col min="10963" max="10963" width="5" style="11" customWidth="1"/>
    <col min="10964" max="10964" width="33.375" style="11" customWidth="1"/>
    <col min="10965" max="10965" width="6.5" style="11" customWidth="1"/>
    <col min="10966" max="10966" width="29.5" style="11" customWidth="1"/>
    <col min="10967" max="10967" width="23.625" style="11" customWidth="1"/>
    <col min="10968" max="10968" width="8" style="11" customWidth="1"/>
    <col min="10969" max="10969" width="9.125" style="11" customWidth="1"/>
    <col min="10970" max="10970" width="13.875" style="11" customWidth="1"/>
    <col min="10971" max="10971" width="13.5" style="11" customWidth="1"/>
    <col min="10972" max="11218" width="8.875" style="11"/>
    <col min="11219" max="11219" width="5" style="11" customWidth="1"/>
    <col min="11220" max="11220" width="33.375" style="11" customWidth="1"/>
    <col min="11221" max="11221" width="6.5" style="11" customWidth="1"/>
    <col min="11222" max="11222" width="29.5" style="11" customWidth="1"/>
    <col min="11223" max="11223" width="23.625" style="11" customWidth="1"/>
    <col min="11224" max="11224" width="8" style="11" customWidth="1"/>
    <col min="11225" max="11225" width="9.125" style="11" customWidth="1"/>
    <col min="11226" max="11226" width="13.875" style="11" customWidth="1"/>
    <col min="11227" max="11227" width="13.5" style="11" customWidth="1"/>
    <col min="11228" max="11474" width="8.875" style="11"/>
    <col min="11475" max="11475" width="5" style="11" customWidth="1"/>
    <col min="11476" max="11476" width="33.375" style="11" customWidth="1"/>
    <col min="11477" max="11477" width="6.5" style="11" customWidth="1"/>
    <col min="11478" max="11478" width="29.5" style="11" customWidth="1"/>
    <col min="11479" max="11479" width="23.625" style="11" customWidth="1"/>
    <col min="11480" max="11480" width="8" style="11" customWidth="1"/>
    <col min="11481" max="11481" width="9.125" style="11" customWidth="1"/>
    <col min="11482" max="11482" width="13.875" style="11" customWidth="1"/>
    <col min="11483" max="11483" width="13.5" style="11" customWidth="1"/>
    <col min="11484" max="11730" width="8.875" style="11"/>
    <col min="11731" max="11731" width="5" style="11" customWidth="1"/>
    <col min="11732" max="11732" width="33.375" style="11" customWidth="1"/>
    <col min="11733" max="11733" width="6.5" style="11" customWidth="1"/>
    <col min="11734" max="11734" width="29.5" style="11" customWidth="1"/>
    <col min="11735" max="11735" width="23.625" style="11" customWidth="1"/>
    <col min="11736" max="11736" width="8" style="11" customWidth="1"/>
    <col min="11737" max="11737" width="9.125" style="11" customWidth="1"/>
    <col min="11738" max="11738" width="13.875" style="11" customWidth="1"/>
    <col min="11739" max="11739" width="13.5" style="11" customWidth="1"/>
    <col min="11740" max="11986" width="8.875" style="11"/>
    <col min="11987" max="11987" width="5" style="11" customWidth="1"/>
    <col min="11988" max="11988" width="33.375" style="11" customWidth="1"/>
    <col min="11989" max="11989" width="6.5" style="11" customWidth="1"/>
    <col min="11990" max="11990" width="29.5" style="11" customWidth="1"/>
    <col min="11991" max="11991" width="23.625" style="11" customWidth="1"/>
    <col min="11992" max="11992" width="8" style="11" customWidth="1"/>
    <col min="11993" max="11993" width="9.125" style="11" customWidth="1"/>
    <col min="11994" max="11994" width="13.875" style="11" customWidth="1"/>
    <col min="11995" max="11995" width="13.5" style="11" customWidth="1"/>
    <col min="11996" max="12242" width="8.875" style="11"/>
    <col min="12243" max="12243" width="5" style="11" customWidth="1"/>
    <col min="12244" max="12244" width="33.375" style="11" customWidth="1"/>
    <col min="12245" max="12245" width="6.5" style="11" customWidth="1"/>
    <col min="12246" max="12246" width="29.5" style="11" customWidth="1"/>
    <col min="12247" max="12247" width="23.625" style="11" customWidth="1"/>
    <col min="12248" max="12248" width="8" style="11" customWidth="1"/>
    <col min="12249" max="12249" width="9.125" style="11" customWidth="1"/>
    <col min="12250" max="12250" width="13.875" style="11" customWidth="1"/>
    <col min="12251" max="12251" width="13.5" style="11" customWidth="1"/>
    <col min="12252" max="12498" width="8.875" style="11"/>
    <col min="12499" max="12499" width="5" style="11" customWidth="1"/>
    <col min="12500" max="12500" width="33.375" style="11" customWidth="1"/>
    <col min="12501" max="12501" width="6.5" style="11" customWidth="1"/>
    <col min="12502" max="12502" width="29.5" style="11" customWidth="1"/>
    <col min="12503" max="12503" width="23.625" style="11" customWidth="1"/>
    <col min="12504" max="12504" width="8" style="11" customWidth="1"/>
    <col min="12505" max="12505" width="9.125" style="11" customWidth="1"/>
    <col min="12506" max="12506" width="13.875" style="11" customWidth="1"/>
    <col min="12507" max="12507" width="13.5" style="11" customWidth="1"/>
    <col min="12508" max="12754" width="8.875" style="11"/>
    <col min="12755" max="12755" width="5" style="11" customWidth="1"/>
    <col min="12756" max="12756" width="33.375" style="11" customWidth="1"/>
    <col min="12757" max="12757" width="6.5" style="11" customWidth="1"/>
    <col min="12758" max="12758" width="29.5" style="11" customWidth="1"/>
    <col min="12759" max="12759" width="23.625" style="11" customWidth="1"/>
    <col min="12760" max="12760" width="8" style="11" customWidth="1"/>
    <col min="12761" max="12761" width="9.125" style="11" customWidth="1"/>
    <col min="12762" max="12762" width="13.875" style="11" customWidth="1"/>
    <col min="12763" max="12763" width="13.5" style="11" customWidth="1"/>
    <col min="12764" max="13010" width="8.875" style="11"/>
    <col min="13011" max="13011" width="5" style="11" customWidth="1"/>
    <col min="13012" max="13012" width="33.375" style="11" customWidth="1"/>
    <col min="13013" max="13013" width="6.5" style="11" customWidth="1"/>
    <col min="13014" max="13014" width="29.5" style="11" customWidth="1"/>
    <col min="13015" max="13015" width="23.625" style="11" customWidth="1"/>
    <col min="13016" max="13016" width="8" style="11" customWidth="1"/>
    <col min="13017" max="13017" width="9.125" style="11" customWidth="1"/>
    <col min="13018" max="13018" width="13.875" style="11" customWidth="1"/>
    <col min="13019" max="13019" width="13.5" style="11" customWidth="1"/>
    <col min="13020" max="13266" width="8.875" style="11"/>
    <col min="13267" max="13267" width="5" style="11" customWidth="1"/>
    <col min="13268" max="13268" width="33.375" style="11" customWidth="1"/>
    <col min="13269" max="13269" width="6.5" style="11" customWidth="1"/>
    <col min="13270" max="13270" width="29.5" style="11" customWidth="1"/>
    <col min="13271" max="13271" width="23.625" style="11" customWidth="1"/>
    <col min="13272" max="13272" width="8" style="11" customWidth="1"/>
    <col min="13273" max="13273" width="9.125" style="11" customWidth="1"/>
    <col min="13274" max="13274" width="13.875" style="11" customWidth="1"/>
    <col min="13275" max="13275" width="13.5" style="11" customWidth="1"/>
    <col min="13276" max="13522" width="8.875" style="11"/>
    <col min="13523" max="13523" width="5" style="11" customWidth="1"/>
    <col min="13524" max="13524" width="33.375" style="11" customWidth="1"/>
    <col min="13525" max="13525" width="6.5" style="11" customWidth="1"/>
    <col min="13526" max="13526" width="29.5" style="11" customWidth="1"/>
    <col min="13527" max="13527" width="23.625" style="11" customWidth="1"/>
    <col min="13528" max="13528" width="8" style="11" customWidth="1"/>
    <col min="13529" max="13529" width="9.125" style="11" customWidth="1"/>
    <col min="13530" max="13530" width="13.875" style="11" customWidth="1"/>
    <col min="13531" max="13531" width="13.5" style="11" customWidth="1"/>
    <col min="13532" max="13778" width="8.875" style="11"/>
    <col min="13779" max="13779" width="5" style="11" customWidth="1"/>
    <col min="13780" max="13780" width="33.375" style="11" customWidth="1"/>
    <col min="13781" max="13781" width="6.5" style="11" customWidth="1"/>
    <col min="13782" max="13782" width="29.5" style="11" customWidth="1"/>
    <col min="13783" max="13783" width="23.625" style="11" customWidth="1"/>
    <col min="13784" max="13784" width="8" style="11" customWidth="1"/>
    <col min="13785" max="13785" width="9.125" style="11" customWidth="1"/>
    <col min="13786" max="13786" width="13.875" style="11" customWidth="1"/>
    <col min="13787" max="13787" width="13.5" style="11" customWidth="1"/>
    <col min="13788" max="14034" width="8.875" style="11"/>
    <col min="14035" max="14035" width="5" style="11" customWidth="1"/>
    <col min="14036" max="14036" width="33.375" style="11" customWidth="1"/>
    <col min="14037" max="14037" width="6.5" style="11" customWidth="1"/>
    <col min="14038" max="14038" width="29.5" style="11" customWidth="1"/>
    <col min="14039" max="14039" width="23.625" style="11" customWidth="1"/>
    <col min="14040" max="14040" width="8" style="11" customWidth="1"/>
    <col min="14041" max="14041" width="9.125" style="11" customWidth="1"/>
    <col min="14042" max="14042" width="13.875" style="11" customWidth="1"/>
    <col min="14043" max="14043" width="13.5" style="11" customWidth="1"/>
    <col min="14044" max="14290" width="8.875" style="11"/>
    <col min="14291" max="14291" width="5" style="11" customWidth="1"/>
    <col min="14292" max="14292" width="33.375" style="11" customWidth="1"/>
    <col min="14293" max="14293" width="6.5" style="11" customWidth="1"/>
    <col min="14294" max="14294" width="29.5" style="11" customWidth="1"/>
    <col min="14295" max="14295" width="23.625" style="11" customWidth="1"/>
    <col min="14296" max="14296" width="8" style="11" customWidth="1"/>
    <col min="14297" max="14297" width="9.125" style="11" customWidth="1"/>
    <col min="14298" max="14298" width="13.875" style="11" customWidth="1"/>
    <col min="14299" max="14299" width="13.5" style="11" customWidth="1"/>
    <col min="14300" max="14546" width="8.875" style="11"/>
    <col min="14547" max="14547" width="5" style="11" customWidth="1"/>
    <col min="14548" max="14548" width="33.375" style="11" customWidth="1"/>
    <col min="14549" max="14549" width="6.5" style="11" customWidth="1"/>
    <col min="14550" max="14550" width="29.5" style="11" customWidth="1"/>
    <col min="14551" max="14551" width="23.625" style="11" customWidth="1"/>
    <col min="14552" max="14552" width="8" style="11" customWidth="1"/>
    <col min="14553" max="14553" width="9.125" style="11" customWidth="1"/>
    <col min="14554" max="14554" width="13.875" style="11" customWidth="1"/>
    <col min="14555" max="14555" width="13.5" style="11" customWidth="1"/>
    <col min="14556" max="14802" width="8.875" style="11"/>
    <col min="14803" max="14803" width="5" style="11" customWidth="1"/>
    <col min="14804" max="14804" width="33.375" style="11" customWidth="1"/>
    <col min="14805" max="14805" width="6.5" style="11" customWidth="1"/>
    <col min="14806" max="14806" width="29.5" style="11" customWidth="1"/>
    <col min="14807" max="14807" width="23.625" style="11" customWidth="1"/>
    <col min="14808" max="14808" width="8" style="11" customWidth="1"/>
    <col min="14809" max="14809" width="9.125" style="11" customWidth="1"/>
    <col min="14810" max="14810" width="13.875" style="11" customWidth="1"/>
    <col min="14811" max="14811" width="13.5" style="11" customWidth="1"/>
    <col min="14812" max="15058" width="8.875" style="11"/>
    <col min="15059" max="15059" width="5" style="11" customWidth="1"/>
    <col min="15060" max="15060" width="33.375" style="11" customWidth="1"/>
    <col min="15061" max="15061" width="6.5" style="11" customWidth="1"/>
    <col min="15062" max="15062" width="29.5" style="11" customWidth="1"/>
    <col min="15063" max="15063" width="23.625" style="11" customWidth="1"/>
    <col min="15064" max="15064" width="8" style="11" customWidth="1"/>
    <col min="15065" max="15065" width="9.125" style="11" customWidth="1"/>
    <col min="15066" max="15066" width="13.875" style="11" customWidth="1"/>
    <col min="15067" max="15067" width="13.5" style="11" customWidth="1"/>
    <col min="15068" max="15314" width="8.875" style="11"/>
    <col min="15315" max="15315" width="5" style="11" customWidth="1"/>
    <col min="15316" max="15316" width="33.375" style="11" customWidth="1"/>
    <col min="15317" max="15317" width="6.5" style="11" customWidth="1"/>
    <col min="15318" max="15318" width="29.5" style="11" customWidth="1"/>
    <col min="15319" max="15319" width="23.625" style="11" customWidth="1"/>
    <col min="15320" max="15320" width="8" style="11" customWidth="1"/>
    <col min="15321" max="15321" width="9.125" style="11" customWidth="1"/>
    <col min="15322" max="15322" width="13.875" style="11" customWidth="1"/>
    <col min="15323" max="15323" width="13.5" style="11" customWidth="1"/>
    <col min="15324" max="15570" width="8.875" style="11"/>
    <col min="15571" max="15571" width="5" style="11" customWidth="1"/>
    <col min="15572" max="15572" width="33.375" style="11" customWidth="1"/>
    <col min="15573" max="15573" width="6.5" style="11" customWidth="1"/>
    <col min="15574" max="15574" width="29.5" style="11" customWidth="1"/>
    <col min="15575" max="15575" width="23.625" style="11" customWidth="1"/>
    <col min="15576" max="15576" width="8" style="11" customWidth="1"/>
    <col min="15577" max="15577" width="9.125" style="11" customWidth="1"/>
    <col min="15578" max="15578" width="13.875" style="11" customWidth="1"/>
    <col min="15579" max="15579" width="13.5" style="11" customWidth="1"/>
    <col min="15580" max="15826" width="8.875" style="11"/>
    <col min="15827" max="15827" width="5" style="11" customWidth="1"/>
    <col min="15828" max="15828" width="33.375" style="11" customWidth="1"/>
    <col min="15829" max="15829" width="6.5" style="11" customWidth="1"/>
    <col min="15830" max="15830" width="29.5" style="11" customWidth="1"/>
    <col min="15831" max="15831" width="23.625" style="11" customWidth="1"/>
    <col min="15832" max="15832" width="8" style="11" customWidth="1"/>
    <col min="15833" max="15833" width="9.125" style="11" customWidth="1"/>
    <col min="15834" max="15834" width="13.875" style="11" customWidth="1"/>
    <col min="15835" max="15835" width="13.5" style="11" customWidth="1"/>
    <col min="15836" max="16384" width="8.875" style="11"/>
  </cols>
  <sheetData>
    <row r="1" spans="2:6" ht="8.1" customHeight="1">
      <c r="D1" s="11"/>
      <c r="E1" s="18"/>
      <c r="F1" s="11"/>
    </row>
    <row r="2" spans="2:6">
      <c r="B2" s="140" t="s">
        <v>253</v>
      </c>
      <c r="C2" s="140" t="s">
        <v>132</v>
      </c>
      <c r="D2" s="11"/>
      <c r="F2" s="11"/>
    </row>
    <row r="3" spans="2:6">
      <c r="B3" s="209" t="s">
        <v>254</v>
      </c>
      <c r="C3" s="209" t="s">
        <v>255</v>
      </c>
      <c r="D3" s="11"/>
      <c r="F3" s="11"/>
    </row>
    <row r="4" spans="2:6">
      <c r="B4" s="140" t="s">
        <v>256</v>
      </c>
      <c r="C4" s="140" t="s">
        <v>133</v>
      </c>
      <c r="D4" s="11"/>
      <c r="F4" s="11"/>
    </row>
    <row r="5" spans="2:6" ht="6.95" customHeight="1">
      <c r="D5" s="11"/>
      <c r="E5" s="18"/>
      <c r="F5" s="11"/>
    </row>
    <row r="6" spans="2:6" s="68" customFormat="1" ht="18">
      <c r="B6" s="92" t="s">
        <v>12</v>
      </c>
      <c r="C6" s="83" t="s">
        <v>410</v>
      </c>
      <c r="D6" s="82"/>
      <c r="E6" s="83"/>
      <c r="F6" s="82"/>
    </row>
    <row r="7" spans="2:6" s="98" customFormat="1" ht="3.95" customHeight="1">
      <c r="C7" s="100"/>
      <c r="D7" s="105"/>
      <c r="E7" s="82"/>
      <c r="F7" s="105"/>
    </row>
    <row r="8" spans="2:6" s="98" customFormat="1" ht="8.1" customHeight="1">
      <c r="C8" s="106"/>
      <c r="D8" s="106"/>
      <c r="E8" s="106"/>
    </row>
    <row r="9" spans="2:6" s="9" customFormat="1" ht="38.25">
      <c r="B9" s="147" t="s">
        <v>0</v>
      </c>
      <c r="C9" s="148" t="s">
        <v>182</v>
      </c>
      <c r="D9" s="149" t="s">
        <v>134</v>
      </c>
      <c r="E9" s="148" t="s">
        <v>257</v>
      </c>
      <c r="F9" s="149" t="s">
        <v>134</v>
      </c>
    </row>
    <row r="10" spans="2:6" s="10" customFormat="1">
      <c r="B10" s="150"/>
      <c r="C10" s="214" t="s">
        <v>6</v>
      </c>
      <c r="D10" s="215">
        <v>0.4</v>
      </c>
      <c r="E10" s="219"/>
      <c r="F10" s="215">
        <v>0.4</v>
      </c>
    </row>
    <row r="11" spans="2:6" ht="25.5">
      <c r="B11" s="151">
        <v>1</v>
      </c>
      <c r="C11" s="270" t="s">
        <v>380</v>
      </c>
      <c r="D11" s="220">
        <v>0.15</v>
      </c>
      <c r="E11" s="221" t="s">
        <v>411</v>
      </c>
      <c r="F11" s="222">
        <v>0.2</v>
      </c>
    </row>
    <row r="12" spans="2:6" ht="38.25">
      <c r="B12" s="153">
        <v>2</v>
      </c>
      <c r="C12" s="271" t="s">
        <v>381</v>
      </c>
      <c r="D12" s="218">
        <v>0.3</v>
      </c>
      <c r="E12" s="227" t="s">
        <v>416</v>
      </c>
      <c r="F12" s="226">
        <v>0.2</v>
      </c>
    </row>
    <row r="13" spans="2:6" ht="25.5">
      <c r="B13" s="151">
        <v>3</v>
      </c>
      <c r="C13" s="271" t="s">
        <v>382</v>
      </c>
      <c r="D13" s="218">
        <v>0.3</v>
      </c>
      <c r="E13" s="225" t="s">
        <v>417</v>
      </c>
      <c r="F13" s="226">
        <v>0.2</v>
      </c>
    </row>
    <row r="14" spans="2:6" ht="38.25">
      <c r="B14" s="153">
        <v>4</v>
      </c>
      <c r="C14" s="271" t="s">
        <v>383</v>
      </c>
      <c r="D14" s="218">
        <v>0.15</v>
      </c>
      <c r="E14" s="225" t="s">
        <v>418</v>
      </c>
      <c r="F14" s="226">
        <v>0.15</v>
      </c>
    </row>
    <row r="15" spans="2:6" ht="38.25">
      <c r="B15" s="151">
        <v>5</v>
      </c>
      <c r="C15" s="272" t="s">
        <v>384</v>
      </c>
      <c r="D15" s="218">
        <v>0.1</v>
      </c>
      <c r="E15" s="229" t="s">
        <v>419</v>
      </c>
      <c r="F15" s="230">
        <v>0.25</v>
      </c>
    </row>
    <row r="16" spans="2:6">
      <c r="B16" s="151"/>
      <c r="C16" s="272"/>
      <c r="D16" s="218"/>
      <c r="E16" s="229"/>
      <c r="F16" s="230"/>
    </row>
    <row r="17" spans="2:6" s="10" customFormat="1">
      <c r="B17" s="150"/>
      <c r="C17" s="214" t="s">
        <v>5</v>
      </c>
      <c r="D17" s="215">
        <v>0.35</v>
      </c>
      <c r="E17" s="219"/>
      <c r="F17" s="215">
        <v>0.3</v>
      </c>
    </row>
    <row r="18" spans="2:6" ht="25.5">
      <c r="B18" s="151">
        <v>1</v>
      </c>
      <c r="C18" s="270" t="s">
        <v>385</v>
      </c>
      <c r="D18" s="218">
        <v>0.15</v>
      </c>
      <c r="E18" s="229" t="s">
        <v>420</v>
      </c>
      <c r="F18" s="230">
        <v>0.4</v>
      </c>
    </row>
    <row r="19" spans="2:6" ht="25.5">
      <c r="B19" s="153">
        <v>2</v>
      </c>
      <c r="C19" s="271" t="s">
        <v>386</v>
      </c>
      <c r="D19" s="218">
        <v>0.1</v>
      </c>
      <c r="E19" s="229" t="s">
        <v>421</v>
      </c>
      <c r="F19" s="230">
        <v>0.4</v>
      </c>
    </row>
    <row r="20" spans="2:6" ht="25.5">
      <c r="B20" s="153">
        <v>3</v>
      </c>
      <c r="C20" s="271" t="s">
        <v>387</v>
      </c>
      <c r="D20" s="218">
        <v>0.3</v>
      </c>
      <c r="E20" s="229" t="s">
        <v>422</v>
      </c>
      <c r="F20" s="230">
        <v>0.2</v>
      </c>
    </row>
    <row r="21" spans="2:6" ht="25.5">
      <c r="B21" s="153">
        <v>4</v>
      </c>
      <c r="C21" s="271" t="s">
        <v>388</v>
      </c>
      <c r="D21" s="218">
        <v>0.15</v>
      </c>
      <c r="E21" s="229"/>
      <c r="F21" s="230"/>
    </row>
    <row r="22" spans="2:6" ht="25.5">
      <c r="B22" s="155">
        <v>5</v>
      </c>
      <c r="C22" s="272" t="s">
        <v>401</v>
      </c>
      <c r="D22" s="218">
        <v>0.1</v>
      </c>
      <c r="E22" s="366"/>
      <c r="F22" s="230"/>
    </row>
    <row r="23" spans="2:6" s="10" customFormat="1" ht="25.5">
      <c r="B23" s="267">
        <v>6</v>
      </c>
      <c r="C23" s="270" t="s">
        <v>402</v>
      </c>
      <c r="D23" s="218">
        <v>0.2</v>
      </c>
      <c r="E23" s="229"/>
      <c r="F23" s="230"/>
    </row>
    <row r="24" spans="2:6">
      <c r="B24" s="151"/>
      <c r="C24" s="214" t="s">
        <v>7</v>
      </c>
      <c r="D24" s="215">
        <v>0.1</v>
      </c>
      <c r="E24" s="219"/>
      <c r="F24" s="215">
        <v>0.15</v>
      </c>
    </row>
    <row r="25" spans="2:6" ht="38.25">
      <c r="B25" s="153">
        <v>1</v>
      </c>
      <c r="C25" s="270" t="s">
        <v>389</v>
      </c>
      <c r="D25" s="218">
        <v>0.2</v>
      </c>
      <c r="E25" s="238" t="s">
        <v>423</v>
      </c>
      <c r="F25" s="152">
        <v>0.25</v>
      </c>
    </row>
    <row r="26" spans="2:6" ht="25.5">
      <c r="B26" s="153">
        <v>2</v>
      </c>
      <c r="C26" s="271" t="s">
        <v>390</v>
      </c>
      <c r="D26" s="218">
        <v>0.15</v>
      </c>
      <c r="E26" s="225" t="s">
        <v>424</v>
      </c>
      <c r="F26" s="154">
        <v>0.15</v>
      </c>
    </row>
    <row r="27" spans="2:6" ht="38.25">
      <c r="B27" s="153">
        <v>3</v>
      </c>
      <c r="C27" s="271" t="s">
        <v>391</v>
      </c>
      <c r="D27" s="218">
        <v>0.15</v>
      </c>
      <c r="E27" s="216" t="s">
        <v>391</v>
      </c>
      <c r="F27" s="154">
        <v>0.2</v>
      </c>
    </row>
    <row r="28" spans="2:6" ht="25.5">
      <c r="B28" s="153">
        <v>4</v>
      </c>
      <c r="C28" s="271" t="s">
        <v>392</v>
      </c>
      <c r="D28" s="218">
        <v>0.15</v>
      </c>
      <c r="E28" s="225" t="s">
        <v>392</v>
      </c>
      <c r="F28" s="154">
        <v>0.15</v>
      </c>
    </row>
    <row r="29" spans="2:6" s="10" customFormat="1" ht="38.25">
      <c r="B29" s="153">
        <v>5</v>
      </c>
      <c r="C29" s="272" t="s">
        <v>393</v>
      </c>
      <c r="D29" s="218">
        <v>0.2</v>
      </c>
      <c r="E29" s="235" t="s">
        <v>425</v>
      </c>
      <c r="F29" s="154">
        <v>0.25</v>
      </c>
    </row>
    <row r="30" spans="2:6" ht="25.5">
      <c r="B30" s="153">
        <v>6</v>
      </c>
      <c r="C30" s="270" t="s">
        <v>394</v>
      </c>
      <c r="D30" s="218">
        <v>0.15</v>
      </c>
      <c r="E30" s="229"/>
      <c r="F30" s="154"/>
    </row>
    <row r="31" spans="2:6">
      <c r="B31" s="153"/>
      <c r="C31" s="214" t="s">
        <v>407</v>
      </c>
      <c r="D31" s="215">
        <v>0.15</v>
      </c>
      <c r="E31" s="219"/>
      <c r="F31" s="215">
        <v>0.15</v>
      </c>
    </row>
    <row r="32" spans="2:6" ht="25.5">
      <c r="B32" s="153">
        <v>1</v>
      </c>
      <c r="C32" s="270" t="s">
        <v>396</v>
      </c>
      <c r="D32" s="218">
        <v>0.4</v>
      </c>
      <c r="E32" s="235" t="s">
        <v>396</v>
      </c>
      <c r="F32" s="154">
        <v>0.4</v>
      </c>
    </row>
    <row r="33" spans="2:6" ht="38.25">
      <c r="B33" s="153">
        <v>2</v>
      </c>
      <c r="C33" s="270" t="s">
        <v>397</v>
      </c>
      <c r="D33" s="218">
        <v>0.2</v>
      </c>
      <c r="E33" s="235" t="s">
        <v>426</v>
      </c>
      <c r="F33" s="154">
        <v>0.15</v>
      </c>
    </row>
    <row r="34" spans="2:6">
      <c r="B34" s="155">
        <v>3</v>
      </c>
      <c r="C34" s="270" t="s">
        <v>398</v>
      </c>
      <c r="D34" s="218">
        <v>0.2</v>
      </c>
      <c r="E34" s="235" t="s">
        <v>398</v>
      </c>
      <c r="F34" s="154">
        <v>0.2</v>
      </c>
    </row>
    <row r="35" spans="2:6" ht="25.5">
      <c r="B35" s="50">
        <v>4</v>
      </c>
      <c r="C35" s="270" t="s">
        <v>399</v>
      </c>
      <c r="D35" s="218">
        <v>0.2</v>
      </c>
      <c r="E35" s="235" t="s">
        <v>427</v>
      </c>
      <c r="F35" s="154">
        <v>0.25</v>
      </c>
    </row>
    <row r="36" spans="2:6" ht="13.5" thickBot="1">
      <c r="B36" s="50"/>
      <c r="C36" s="273"/>
      <c r="D36" s="268"/>
      <c r="E36" s="225"/>
      <c r="F36" s="154"/>
    </row>
    <row r="37" spans="2:6" s="13" customFormat="1" ht="13.5" thickTop="1">
      <c r="B37" s="23"/>
      <c r="C37" s="24" t="s">
        <v>3</v>
      </c>
      <c r="D37" s="25">
        <f>SUM(D10+D17+D24+D31)</f>
        <v>1</v>
      </c>
      <c r="E37" s="26"/>
      <c r="F37" s="25">
        <f>SUM(F10+F17+F24+F31)</f>
        <v>1</v>
      </c>
    </row>
    <row r="38" spans="2:6">
      <c r="B38" s="14"/>
      <c r="C38" s="14"/>
      <c r="D38" s="15"/>
      <c r="E38" s="14"/>
      <c r="F38" s="15"/>
    </row>
    <row r="39" spans="2:6" ht="15.95" customHeight="1">
      <c r="B39" s="38" t="s">
        <v>248</v>
      </c>
      <c r="C39" s="38"/>
      <c r="D39" s="37"/>
      <c r="F39" s="11"/>
    </row>
    <row r="40" spans="2:6">
      <c r="B40" s="58"/>
      <c r="C40" s="62"/>
      <c r="D40" s="62"/>
      <c r="F40" s="11"/>
    </row>
    <row r="41" spans="2:6">
      <c r="B41" s="47"/>
      <c r="C41" s="47"/>
      <c r="D41" s="61"/>
      <c r="F41" s="11"/>
    </row>
    <row r="42" spans="2:6">
      <c r="B42" s="58"/>
      <c r="C42" s="58"/>
      <c r="D42" s="11"/>
      <c r="F42" s="11"/>
    </row>
    <row r="43" spans="2:6">
      <c r="B43" s="58"/>
      <c r="C43" s="58"/>
      <c r="D43" s="11"/>
      <c r="F43" s="11"/>
    </row>
    <row r="44" spans="2:6">
      <c r="B44" s="58"/>
      <c r="C44" s="58"/>
      <c r="D44" s="11"/>
      <c r="F44" s="11"/>
    </row>
    <row r="45" spans="2:6">
      <c r="B45" s="57"/>
      <c r="C45" s="57"/>
      <c r="D45" s="11"/>
      <c r="F45" s="11"/>
    </row>
    <row r="46" spans="2:6">
      <c r="B46" s="5" t="s">
        <v>160</v>
      </c>
      <c r="C46" s="5"/>
      <c r="F46" s="11"/>
    </row>
    <row r="47" spans="2:6">
      <c r="B47" s="14"/>
      <c r="C47" s="14"/>
      <c r="D47" s="14"/>
      <c r="F47" s="11"/>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Q41"/>
  <sheetViews>
    <sheetView showGridLines="0" topLeftCell="B22" zoomScaleNormal="100" workbookViewId="0">
      <selection activeCell="N28" sqref="N28"/>
    </sheetView>
  </sheetViews>
  <sheetFormatPr defaultColWidth="8.875" defaultRowHeight="12.75"/>
  <cols>
    <col min="1" max="1" width="2" style="1" hidden="1" customWidth="1"/>
    <col min="2" max="2" width="6.625" style="1" customWidth="1"/>
    <col min="3" max="3" width="22.625" style="1" customWidth="1"/>
    <col min="4" max="4" width="7.625" style="1" customWidth="1"/>
    <col min="5" max="5" width="24.125" style="1" customWidth="1"/>
    <col min="6" max="6" width="25.125" style="2" customWidth="1"/>
    <col min="7" max="7" width="9.875" style="2" customWidth="1"/>
    <col min="8" max="8" width="15.625" style="1" customWidth="1"/>
    <col min="9" max="9" width="7.625" style="1" customWidth="1"/>
    <col min="10" max="11" width="9.625" style="1" customWidth="1"/>
    <col min="12" max="12" width="6.5" style="1" customWidth="1"/>
    <col min="13" max="13" width="8.125" style="2" customWidth="1"/>
    <col min="14" max="14" width="19.625" style="1" customWidth="1"/>
    <col min="15" max="15" width="17.5" style="1" customWidth="1"/>
    <col min="16" max="16" width="17.875" style="1" customWidth="1"/>
    <col min="17" max="17" width="15.25" style="1" customWidth="1"/>
    <col min="18" max="18" width="13.875" style="1" customWidth="1"/>
    <col min="19" max="214" width="8.875" style="1"/>
    <col min="215" max="215" width="5" style="1" customWidth="1"/>
    <col min="216" max="216" width="33.375" style="1" customWidth="1"/>
    <col min="217" max="217" width="6.5" style="1" customWidth="1"/>
    <col min="218" max="218" width="29.5" style="1" customWidth="1"/>
    <col min="219" max="219" width="23.625" style="1" customWidth="1"/>
    <col min="220" max="220" width="8" style="1" customWidth="1"/>
    <col min="221" max="221" width="9.125" style="1" customWidth="1"/>
    <col min="222" max="222" width="13.875" style="1" customWidth="1"/>
    <col min="223" max="223" width="13.5" style="1" customWidth="1"/>
    <col min="224" max="256" width="8.875" style="1"/>
    <col min="257" max="257" width="0" style="1" hidden="1" customWidth="1"/>
    <col min="258" max="258" width="6.625" style="1" customWidth="1"/>
    <col min="259" max="259" width="22.625" style="1" customWidth="1"/>
    <col min="260" max="260" width="7.625" style="1" customWidth="1"/>
    <col min="261" max="261" width="24.125" style="1" customWidth="1"/>
    <col min="262" max="262" width="25.125" style="1" customWidth="1"/>
    <col min="263" max="263" width="9.875" style="1" customWidth="1"/>
    <col min="264" max="264" width="15.625" style="1" customWidth="1"/>
    <col min="265" max="265" width="7.625" style="1" customWidth="1"/>
    <col min="266" max="267" width="9.625" style="1" customWidth="1"/>
    <col min="268" max="268" width="6.5" style="1" customWidth="1"/>
    <col min="269" max="269" width="8.125" style="1" customWidth="1"/>
    <col min="270" max="470" width="8.875" style="1"/>
    <col min="471" max="471" width="5" style="1" customWidth="1"/>
    <col min="472" max="472" width="33.375" style="1" customWidth="1"/>
    <col min="473" max="473" width="6.5" style="1" customWidth="1"/>
    <col min="474" max="474" width="29.5" style="1" customWidth="1"/>
    <col min="475" max="475" width="23.625" style="1" customWidth="1"/>
    <col min="476" max="476" width="8" style="1" customWidth="1"/>
    <col min="477" max="477" width="9.125" style="1" customWidth="1"/>
    <col min="478" max="478" width="13.875" style="1" customWidth="1"/>
    <col min="479" max="479" width="13.5" style="1" customWidth="1"/>
    <col min="480" max="512" width="8.875" style="1"/>
    <col min="513" max="513" width="0" style="1" hidden="1" customWidth="1"/>
    <col min="514" max="514" width="6.625" style="1" customWidth="1"/>
    <col min="515" max="515" width="22.625" style="1" customWidth="1"/>
    <col min="516" max="516" width="7.625" style="1" customWidth="1"/>
    <col min="517" max="517" width="24.125" style="1" customWidth="1"/>
    <col min="518" max="518" width="25.125" style="1" customWidth="1"/>
    <col min="519" max="519" width="9.875" style="1" customWidth="1"/>
    <col min="520" max="520" width="15.625" style="1" customWidth="1"/>
    <col min="521" max="521" width="7.625" style="1" customWidth="1"/>
    <col min="522" max="523" width="9.625" style="1" customWidth="1"/>
    <col min="524" max="524" width="6.5" style="1" customWidth="1"/>
    <col min="525" max="525" width="8.125" style="1" customWidth="1"/>
    <col min="526" max="726" width="8.875" style="1"/>
    <col min="727" max="727" width="5" style="1" customWidth="1"/>
    <col min="728" max="728" width="33.375" style="1" customWidth="1"/>
    <col min="729" max="729" width="6.5" style="1" customWidth="1"/>
    <col min="730" max="730" width="29.5" style="1" customWidth="1"/>
    <col min="731" max="731" width="23.625" style="1" customWidth="1"/>
    <col min="732" max="732" width="8" style="1" customWidth="1"/>
    <col min="733" max="733" width="9.125" style="1" customWidth="1"/>
    <col min="734" max="734" width="13.875" style="1" customWidth="1"/>
    <col min="735" max="735" width="13.5" style="1" customWidth="1"/>
    <col min="736" max="768" width="8.875" style="1"/>
    <col min="769" max="769" width="0" style="1" hidden="1" customWidth="1"/>
    <col min="770" max="770" width="6.625" style="1" customWidth="1"/>
    <col min="771" max="771" width="22.625" style="1" customWidth="1"/>
    <col min="772" max="772" width="7.625" style="1" customWidth="1"/>
    <col min="773" max="773" width="24.125" style="1" customWidth="1"/>
    <col min="774" max="774" width="25.125" style="1" customWidth="1"/>
    <col min="775" max="775" width="9.875" style="1" customWidth="1"/>
    <col min="776" max="776" width="15.625" style="1" customWidth="1"/>
    <col min="777" max="777" width="7.625" style="1" customWidth="1"/>
    <col min="778" max="779" width="9.625" style="1" customWidth="1"/>
    <col min="780" max="780" width="6.5" style="1" customWidth="1"/>
    <col min="781" max="781" width="8.125" style="1" customWidth="1"/>
    <col min="782" max="982" width="8.875" style="1"/>
    <col min="983" max="983" width="5" style="1" customWidth="1"/>
    <col min="984" max="984" width="33.375" style="1" customWidth="1"/>
    <col min="985" max="985" width="6.5" style="1" customWidth="1"/>
    <col min="986" max="986" width="29.5" style="1" customWidth="1"/>
    <col min="987" max="987" width="23.625" style="1" customWidth="1"/>
    <col min="988" max="988" width="8" style="1" customWidth="1"/>
    <col min="989" max="989" width="9.125" style="1" customWidth="1"/>
    <col min="990" max="990" width="13.875" style="1" customWidth="1"/>
    <col min="991" max="991" width="13.5" style="1" customWidth="1"/>
    <col min="992" max="1024" width="8.875" style="1"/>
    <col min="1025" max="1025" width="0" style="1" hidden="1" customWidth="1"/>
    <col min="1026" max="1026" width="6.625" style="1" customWidth="1"/>
    <col min="1027" max="1027" width="22.625" style="1" customWidth="1"/>
    <col min="1028" max="1028" width="7.625" style="1" customWidth="1"/>
    <col min="1029" max="1029" width="24.125" style="1" customWidth="1"/>
    <col min="1030" max="1030" width="25.125" style="1" customWidth="1"/>
    <col min="1031" max="1031" width="9.875" style="1" customWidth="1"/>
    <col min="1032" max="1032" width="15.625" style="1" customWidth="1"/>
    <col min="1033" max="1033" width="7.625" style="1" customWidth="1"/>
    <col min="1034" max="1035" width="9.625" style="1" customWidth="1"/>
    <col min="1036" max="1036" width="6.5" style="1" customWidth="1"/>
    <col min="1037" max="1037" width="8.125" style="1" customWidth="1"/>
    <col min="1038" max="1238" width="8.875" style="1"/>
    <col min="1239" max="1239" width="5" style="1" customWidth="1"/>
    <col min="1240" max="1240" width="33.375" style="1" customWidth="1"/>
    <col min="1241" max="1241" width="6.5" style="1" customWidth="1"/>
    <col min="1242" max="1242" width="29.5" style="1" customWidth="1"/>
    <col min="1243" max="1243" width="23.625" style="1" customWidth="1"/>
    <col min="1244" max="1244" width="8" style="1" customWidth="1"/>
    <col min="1245" max="1245" width="9.125" style="1" customWidth="1"/>
    <col min="1246" max="1246" width="13.875" style="1" customWidth="1"/>
    <col min="1247" max="1247" width="13.5" style="1" customWidth="1"/>
    <col min="1248" max="1280" width="8.875" style="1"/>
    <col min="1281" max="1281" width="0" style="1" hidden="1" customWidth="1"/>
    <col min="1282" max="1282" width="6.625" style="1" customWidth="1"/>
    <col min="1283" max="1283" width="22.625" style="1" customWidth="1"/>
    <col min="1284" max="1284" width="7.625" style="1" customWidth="1"/>
    <col min="1285" max="1285" width="24.125" style="1" customWidth="1"/>
    <col min="1286" max="1286" width="25.125" style="1" customWidth="1"/>
    <col min="1287" max="1287" width="9.875" style="1" customWidth="1"/>
    <col min="1288" max="1288" width="15.625" style="1" customWidth="1"/>
    <col min="1289" max="1289" width="7.625" style="1" customWidth="1"/>
    <col min="1290" max="1291" width="9.625" style="1" customWidth="1"/>
    <col min="1292" max="1292" width="6.5" style="1" customWidth="1"/>
    <col min="1293" max="1293" width="8.125" style="1" customWidth="1"/>
    <col min="1294" max="1494" width="8.875" style="1"/>
    <col min="1495" max="1495" width="5" style="1" customWidth="1"/>
    <col min="1496" max="1496" width="33.375" style="1" customWidth="1"/>
    <col min="1497" max="1497" width="6.5" style="1" customWidth="1"/>
    <col min="1498" max="1498" width="29.5" style="1" customWidth="1"/>
    <col min="1499" max="1499" width="23.625" style="1" customWidth="1"/>
    <col min="1500" max="1500" width="8" style="1" customWidth="1"/>
    <col min="1501" max="1501" width="9.125" style="1" customWidth="1"/>
    <col min="1502" max="1502" width="13.875" style="1" customWidth="1"/>
    <col min="1503" max="1503" width="13.5" style="1" customWidth="1"/>
    <col min="1504" max="1536" width="8.875" style="1"/>
    <col min="1537" max="1537" width="0" style="1" hidden="1" customWidth="1"/>
    <col min="1538" max="1538" width="6.625" style="1" customWidth="1"/>
    <col min="1539" max="1539" width="22.625" style="1" customWidth="1"/>
    <col min="1540" max="1540" width="7.625" style="1" customWidth="1"/>
    <col min="1541" max="1541" width="24.125" style="1" customWidth="1"/>
    <col min="1542" max="1542" width="25.125" style="1" customWidth="1"/>
    <col min="1543" max="1543" width="9.875" style="1" customWidth="1"/>
    <col min="1544" max="1544" width="15.625" style="1" customWidth="1"/>
    <col min="1545" max="1545" width="7.625" style="1" customWidth="1"/>
    <col min="1546" max="1547" width="9.625" style="1" customWidth="1"/>
    <col min="1548" max="1548" width="6.5" style="1" customWidth="1"/>
    <col min="1549" max="1549" width="8.125" style="1" customWidth="1"/>
    <col min="1550" max="1750" width="8.875" style="1"/>
    <col min="1751" max="1751" width="5" style="1" customWidth="1"/>
    <col min="1752" max="1752" width="33.375" style="1" customWidth="1"/>
    <col min="1753" max="1753" width="6.5" style="1" customWidth="1"/>
    <col min="1754" max="1754" width="29.5" style="1" customWidth="1"/>
    <col min="1755" max="1755" width="23.625" style="1" customWidth="1"/>
    <col min="1756" max="1756" width="8" style="1" customWidth="1"/>
    <col min="1757" max="1757" width="9.125" style="1" customWidth="1"/>
    <col min="1758" max="1758" width="13.875" style="1" customWidth="1"/>
    <col min="1759" max="1759" width="13.5" style="1" customWidth="1"/>
    <col min="1760" max="1792" width="8.875" style="1"/>
    <col min="1793" max="1793" width="0" style="1" hidden="1" customWidth="1"/>
    <col min="1794" max="1794" width="6.625" style="1" customWidth="1"/>
    <col min="1795" max="1795" width="22.625" style="1" customWidth="1"/>
    <col min="1796" max="1796" width="7.625" style="1" customWidth="1"/>
    <col min="1797" max="1797" width="24.125" style="1" customWidth="1"/>
    <col min="1798" max="1798" width="25.125" style="1" customWidth="1"/>
    <col min="1799" max="1799" width="9.875" style="1" customWidth="1"/>
    <col min="1800" max="1800" width="15.625" style="1" customWidth="1"/>
    <col min="1801" max="1801" width="7.625" style="1" customWidth="1"/>
    <col min="1802" max="1803" width="9.625" style="1" customWidth="1"/>
    <col min="1804" max="1804" width="6.5" style="1" customWidth="1"/>
    <col min="1805" max="1805" width="8.125" style="1" customWidth="1"/>
    <col min="1806" max="2006" width="8.875" style="1"/>
    <col min="2007" max="2007" width="5" style="1" customWidth="1"/>
    <col min="2008" max="2008" width="33.375" style="1" customWidth="1"/>
    <col min="2009" max="2009" width="6.5" style="1" customWidth="1"/>
    <col min="2010" max="2010" width="29.5" style="1" customWidth="1"/>
    <col min="2011" max="2011" width="23.625" style="1" customWidth="1"/>
    <col min="2012" max="2012" width="8" style="1" customWidth="1"/>
    <col min="2013" max="2013" width="9.125" style="1" customWidth="1"/>
    <col min="2014" max="2014" width="13.875" style="1" customWidth="1"/>
    <col min="2015" max="2015" width="13.5" style="1" customWidth="1"/>
    <col min="2016" max="2048" width="8.875" style="1"/>
    <col min="2049" max="2049" width="0" style="1" hidden="1" customWidth="1"/>
    <col min="2050" max="2050" width="6.625" style="1" customWidth="1"/>
    <col min="2051" max="2051" width="22.625" style="1" customWidth="1"/>
    <col min="2052" max="2052" width="7.625" style="1" customWidth="1"/>
    <col min="2053" max="2053" width="24.125" style="1" customWidth="1"/>
    <col min="2054" max="2054" width="25.125" style="1" customWidth="1"/>
    <col min="2055" max="2055" width="9.875" style="1" customWidth="1"/>
    <col min="2056" max="2056" width="15.625" style="1" customWidth="1"/>
    <col min="2057" max="2057" width="7.625" style="1" customWidth="1"/>
    <col min="2058" max="2059" width="9.625" style="1" customWidth="1"/>
    <col min="2060" max="2060" width="6.5" style="1" customWidth="1"/>
    <col min="2061" max="2061" width="8.125" style="1" customWidth="1"/>
    <col min="2062" max="2262" width="8.875" style="1"/>
    <col min="2263" max="2263" width="5" style="1" customWidth="1"/>
    <col min="2264" max="2264" width="33.375" style="1" customWidth="1"/>
    <col min="2265" max="2265" width="6.5" style="1" customWidth="1"/>
    <col min="2266" max="2266" width="29.5" style="1" customWidth="1"/>
    <col min="2267" max="2267" width="23.625" style="1" customWidth="1"/>
    <col min="2268" max="2268" width="8" style="1" customWidth="1"/>
    <col min="2269" max="2269" width="9.125" style="1" customWidth="1"/>
    <col min="2270" max="2270" width="13.875" style="1" customWidth="1"/>
    <col min="2271" max="2271" width="13.5" style="1" customWidth="1"/>
    <col min="2272" max="2304" width="8.875" style="1"/>
    <col min="2305" max="2305" width="0" style="1" hidden="1" customWidth="1"/>
    <col min="2306" max="2306" width="6.625" style="1" customWidth="1"/>
    <col min="2307" max="2307" width="22.625" style="1" customWidth="1"/>
    <col min="2308" max="2308" width="7.625" style="1" customWidth="1"/>
    <col min="2309" max="2309" width="24.125" style="1" customWidth="1"/>
    <col min="2310" max="2310" width="25.125" style="1" customWidth="1"/>
    <col min="2311" max="2311" width="9.875" style="1" customWidth="1"/>
    <col min="2312" max="2312" width="15.625" style="1" customWidth="1"/>
    <col min="2313" max="2313" width="7.625" style="1" customWidth="1"/>
    <col min="2314" max="2315" width="9.625" style="1" customWidth="1"/>
    <col min="2316" max="2316" width="6.5" style="1" customWidth="1"/>
    <col min="2317" max="2317" width="8.125" style="1" customWidth="1"/>
    <col min="2318" max="2518" width="8.875" style="1"/>
    <col min="2519" max="2519" width="5" style="1" customWidth="1"/>
    <col min="2520" max="2520" width="33.375" style="1" customWidth="1"/>
    <col min="2521" max="2521" width="6.5" style="1" customWidth="1"/>
    <col min="2522" max="2522" width="29.5" style="1" customWidth="1"/>
    <col min="2523" max="2523" width="23.625" style="1" customWidth="1"/>
    <col min="2524" max="2524" width="8" style="1" customWidth="1"/>
    <col min="2525" max="2525" width="9.125" style="1" customWidth="1"/>
    <col min="2526" max="2526" width="13.875" style="1" customWidth="1"/>
    <col min="2527" max="2527" width="13.5" style="1" customWidth="1"/>
    <col min="2528" max="2560" width="8.875" style="1"/>
    <col min="2561" max="2561" width="0" style="1" hidden="1" customWidth="1"/>
    <col min="2562" max="2562" width="6.625" style="1" customWidth="1"/>
    <col min="2563" max="2563" width="22.625" style="1" customWidth="1"/>
    <col min="2564" max="2564" width="7.625" style="1" customWidth="1"/>
    <col min="2565" max="2565" width="24.125" style="1" customWidth="1"/>
    <col min="2566" max="2566" width="25.125" style="1" customWidth="1"/>
    <col min="2567" max="2567" width="9.875" style="1" customWidth="1"/>
    <col min="2568" max="2568" width="15.625" style="1" customWidth="1"/>
    <col min="2569" max="2569" width="7.625" style="1" customWidth="1"/>
    <col min="2570" max="2571" width="9.625" style="1" customWidth="1"/>
    <col min="2572" max="2572" width="6.5" style="1" customWidth="1"/>
    <col min="2573" max="2573" width="8.125" style="1" customWidth="1"/>
    <col min="2574" max="2774" width="8.875" style="1"/>
    <col min="2775" max="2775" width="5" style="1" customWidth="1"/>
    <col min="2776" max="2776" width="33.375" style="1" customWidth="1"/>
    <col min="2777" max="2777" width="6.5" style="1" customWidth="1"/>
    <col min="2778" max="2778" width="29.5" style="1" customWidth="1"/>
    <col min="2779" max="2779" width="23.625" style="1" customWidth="1"/>
    <col min="2780" max="2780" width="8" style="1" customWidth="1"/>
    <col min="2781" max="2781" width="9.125" style="1" customWidth="1"/>
    <col min="2782" max="2782" width="13.875" style="1" customWidth="1"/>
    <col min="2783" max="2783" width="13.5" style="1" customWidth="1"/>
    <col min="2784" max="2816" width="8.875" style="1"/>
    <col min="2817" max="2817" width="0" style="1" hidden="1" customWidth="1"/>
    <col min="2818" max="2818" width="6.625" style="1" customWidth="1"/>
    <col min="2819" max="2819" width="22.625" style="1" customWidth="1"/>
    <col min="2820" max="2820" width="7.625" style="1" customWidth="1"/>
    <col min="2821" max="2821" width="24.125" style="1" customWidth="1"/>
    <col min="2822" max="2822" width="25.125" style="1" customWidth="1"/>
    <col min="2823" max="2823" width="9.875" style="1" customWidth="1"/>
    <col min="2824" max="2824" width="15.625" style="1" customWidth="1"/>
    <col min="2825" max="2825" width="7.625" style="1" customWidth="1"/>
    <col min="2826" max="2827" width="9.625" style="1" customWidth="1"/>
    <col min="2828" max="2828" width="6.5" style="1" customWidth="1"/>
    <col min="2829" max="2829" width="8.125" style="1" customWidth="1"/>
    <col min="2830" max="3030" width="8.875" style="1"/>
    <col min="3031" max="3031" width="5" style="1" customWidth="1"/>
    <col min="3032" max="3032" width="33.375" style="1" customWidth="1"/>
    <col min="3033" max="3033" width="6.5" style="1" customWidth="1"/>
    <col min="3034" max="3034" width="29.5" style="1" customWidth="1"/>
    <col min="3035" max="3035" width="23.625" style="1" customWidth="1"/>
    <col min="3036" max="3036" width="8" style="1" customWidth="1"/>
    <col min="3037" max="3037" width="9.125" style="1" customWidth="1"/>
    <col min="3038" max="3038" width="13.875" style="1" customWidth="1"/>
    <col min="3039" max="3039" width="13.5" style="1" customWidth="1"/>
    <col min="3040" max="3072" width="8.875" style="1"/>
    <col min="3073" max="3073" width="0" style="1" hidden="1" customWidth="1"/>
    <col min="3074" max="3074" width="6.625" style="1" customWidth="1"/>
    <col min="3075" max="3075" width="22.625" style="1" customWidth="1"/>
    <col min="3076" max="3076" width="7.625" style="1" customWidth="1"/>
    <col min="3077" max="3077" width="24.125" style="1" customWidth="1"/>
    <col min="3078" max="3078" width="25.125" style="1" customWidth="1"/>
    <col min="3079" max="3079" width="9.875" style="1" customWidth="1"/>
    <col min="3080" max="3080" width="15.625" style="1" customWidth="1"/>
    <col min="3081" max="3081" width="7.625" style="1" customWidth="1"/>
    <col min="3082" max="3083" width="9.625" style="1" customWidth="1"/>
    <col min="3084" max="3084" width="6.5" style="1" customWidth="1"/>
    <col min="3085" max="3085" width="8.125" style="1" customWidth="1"/>
    <col min="3086" max="3286" width="8.875" style="1"/>
    <col min="3287" max="3287" width="5" style="1" customWidth="1"/>
    <col min="3288" max="3288" width="33.375" style="1" customWidth="1"/>
    <col min="3289" max="3289" width="6.5" style="1" customWidth="1"/>
    <col min="3290" max="3290" width="29.5" style="1" customWidth="1"/>
    <col min="3291" max="3291" width="23.625" style="1" customWidth="1"/>
    <col min="3292" max="3292" width="8" style="1" customWidth="1"/>
    <col min="3293" max="3293" width="9.125" style="1" customWidth="1"/>
    <col min="3294" max="3294" width="13.875" style="1" customWidth="1"/>
    <col min="3295" max="3295" width="13.5" style="1" customWidth="1"/>
    <col min="3296" max="3328" width="8.875" style="1"/>
    <col min="3329" max="3329" width="0" style="1" hidden="1" customWidth="1"/>
    <col min="3330" max="3330" width="6.625" style="1" customWidth="1"/>
    <col min="3331" max="3331" width="22.625" style="1" customWidth="1"/>
    <col min="3332" max="3332" width="7.625" style="1" customWidth="1"/>
    <col min="3333" max="3333" width="24.125" style="1" customWidth="1"/>
    <col min="3334" max="3334" width="25.125" style="1" customWidth="1"/>
    <col min="3335" max="3335" width="9.875" style="1" customWidth="1"/>
    <col min="3336" max="3336" width="15.625" style="1" customWidth="1"/>
    <col min="3337" max="3337" width="7.625" style="1" customWidth="1"/>
    <col min="3338" max="3339" width="9.625" style="1" customWidth="1"/>
    <col min="3340" max="3340" width="6.5" style="1" customWidth="1"/>
    <col min="3341" max="3341" width="8.125" style="1" customWidth="1"/>
    <col min="3342" max="3542" width="8.875" style="1"/>
    <col min="3543" max="3543" width="5" style="1" customWidth="1"/>
    <col min="3544" max="3544" width="33.375" style="1" customWidth="1"/>
    <col min="3545" max="3545" width="6.5" style="1" customWidth="1"/>
    <col min="3546" max="3546" width="29.5" style="1" customWidth="1"/>
    <col min="3547" max="3547" width="23.625" style="1" customWidth="1"/>
    <col min="3548" max="3548" width="8" style="1" customWidth="1"/>
    <col min="3549" max="3549" width="9.125" style="1" customWidth="1"/>
    <col min="3550" max="3550" width="13.875" style="1" customWidth="1"/>
    <col min="3551" max="3551" width="13.5" style="1" customWidth="1"/>
    <col min="3552" max="3584" width="8.875" style="1"/>
    <col min="3585" max="3585" width="0" style="1" hidden="1" customWidth="1"/>
    <col min="3586" max="3586" width="6.625" style="1" customWidth="1"/>
    <col min="3587" max="3587" width="22.625" style="1" customWidth="1"/>
    <col min="3588" max="3588" width="7.625" style="1" customWidth="1"/>
    <col min="3589" max="3589" width="24.125" style="1" customWidth="1"/>
    <col min="3590" max="3590" width="25.125" style="1" customWidth="1"/>
    <col min="3591" max="3591" width="9.875" style="1" customWidth="1"/>
    <col min="3592" max="3592" width="15.625" style="1" customWidth="1"/>
    <col min="3593" max="3593" width="7.625" style="1" customWidth="1"/>
    <col min="3594" max="3595" width="9.625" style="1" customWidth="1"/>
    <col min="3596" max="3596" width="6.5" style="1" customWidth="1"/>
    <col min="3597" max="3597" width="8.125" style="1" customWidth="1"/>
    <col min="3598" max="3798" width="8.875" style="1"/>
    <col min="3799" max="3799" width="5" style="1" customWidth="1"/>
    <col min="3800" max="3800" width="33.375" style="1" customWidth="1"/>
    <col min="3801" max="3801" width="6.5" style="1" customWidth="1"/>
    <col min="3802" max="3802" width="29.5" style="1" customWidth="1"/>
    <col min="3803" max="3803" width="23.625" style="1" customWidth="1"/>
    <col min="3804" max="3804" width="8" style="1" customWidth="1"/>
    <col min="3805" max="3805" width="9.125" style="1" customWidth="1"/>
    <col min="3806" max="3806" width="13.875" style="1" customWidth="1"/>
    <col min="3807" max="3807" width="13.5" style="1" customWidth="1"/>
    <col min="3808" max="3840" width="8.875" style="1"/>
    <col min="3841" max="3841" width="0" style="1" hidden="1" customWidth="1"/>
    <col min="3842" max="3842" width="6.625" style="1" customWidth="1"/>
    <col min="3843" max="3843" width="22.625" style="1" customWidth="1"/>
    <col min="3844" max="3844" width="7.625" style="1" customWidth="1"/>
    <col min="3845" max="3845" width="24.125" style="1" customWidth="1"/>
    <col min="3846" max="3846" width="25.125" style="1" customWidth="1"/>
    <col min="3847" max="3847" width="9.875" style="1" customWidth="1"/>
    <col min="3848" max="3848" width="15.625" style="1" customWidth="1"/>
    <col min="3849" max="3849" width="7.625" style="1" customWidth="1"/>
    <col min="3850" max="3851" width="9.625" style="1" customWidth="1"/>
    <col min="3852" max="3852" width="6.5" style="1" customWidth="1"/>
    <col min="3853" max="3853" width="8.125" style="1" customWidth="1"/>
    <col min="3854" max="4054" width="8.875" style="1"/>
    <col min="4055" max="4055" width="5" style="1" customWidth="1"/>
    <col min="4056" max="4056" width="33.375" style="1" customWidth="1"/>
    <col min="4057" max="4057" width="6.5" style="1" customWidth="1"/>
    <col min="4058" max="4058" width="29.5" style="1" customWidth="1"/>
    <col min="4059" max="4059" width="23.625" style="1" customWidth="1"/>
    <col min="4060" max="4060" width="8" style="1" customWidth="1"/>
    <col min="4061" max="4061" width="9.125" style="1" customWidth="1"/>
    <col min="4062" max="4062" width="13.875" style="1" customWidth="1"/>
    <col min="4063" max="4063" width="13.5" style="1" customWidth="1"/>
    <col min="4064" max="4096" width="8.875" style="1"/>
    <col min="4097" max="4097" width="0" style="1" hidden="1" customWidth="1"/>
    <col min="4098" max="4098" width="6.625" style="1" customWidth="1"/>
    <col min="4099" max="4099" width="22.625" style="1" customWidth="1"/>
    <col min="4100" max="4100" width="7.625" style="1" customWidth="1"/>
    <col min="4101" max="4101" width="24.125" style="1" customWidth="1"/>
    <col min="4102" max="4102" width="25.125" style="1" customWidth="1"/>
    <col min="4103" max="4103" width="9.875" style="1" customWidth="1"/>
    <col min="4104" max="4104" width="15.625" style="1" customWidth="1"/>
    <col min="4105" max="4105" width="7.625" style="1" customWidth="1"/>
    <col min="4106" max="4107" width="9.625" style="1" customWidth="1"/>
    <col min="4108" max="4108" width="6.5" style="1" customWidth="1"/>
    <col min="4109" max="4109" width="8.125" style="1" customWidth="1"/>
    <col min="4110" max="4310" width="8.875" style="1"/>
    <col min="4311" max="4311" width="5" style="1" customWidth="1"/>
    <col min="4312" max="4312" width="33.375" style="1" customWidth="1"/>
    <col min="4313" max="4313" width="6.5" style="1" customWidth="1"/>
    <col min="4314" max="4314" width="29.5" style="1" customWidth="1"/>
    <col min="4315" max="4315" width="23.625" style="1" customWidth="1"/>
    <col min="4316" max="4316" width="8" style="1" customWidth="1"/>
    <col min="4317" max="4317" width="9.125" style="1" customWidth="1"/>
    <col min="4318" max="4318" width="13.875" style="1" customWidth="1"/>
    <col min="4319" max="4319" width="13.5" style="1" customWidth="1"/>
    <col min="4320" max="4352" width="8.875" style="1"/>
    <col min="4353" max="4353" width="0" style="1" hidden="1" customWidth="1"/>
    <col min="4354" max="4354" width="6.625" style="1" customWidth="1"/>
    <col min="4355" max="4355" width="22.625" style="1" customWidth="1"/>
    <col min="4356" max="4356" width="7.625" style="1" customWidth="1"/>
    <col min="4357" max="4357" width="24.125" style="1" customWidth="1"/>
    <col min="4358" max="4358" width="25.125" style="1" customWidth="1"/>
    <col min="4359" max="4359" width="9.875" style="1" customWidth="1"/>
    <col min="4360" max="4360" width="15.625" style="1" customWidth="1"/>
    <col min="4361" max="4361" width="7.625" style="1" customWidth="1"/>
    <col min="4362" max="4363" width="9.625" style="1" customWidth="1"/>
    <col min="4364" max="4364" width="6.5" style="1" customWidth="1"/>
    <col min="4365" max="4365" width="8.125" style="1" customWidth="1"/>
    <col min="4366" max="4566" width="8.875" style="1"/>
    <col min="4567" max="4567" width="5" style="1" customWidth="1"/>
    <col min="4568" max="4568" width="33.375" style="1" customWidth="1"/>
    <col min="4569" max="4569" width="6.5" style="1" customWidth="1"/>
    <col min="4570" max="4570" width="29.5" style="1" customWidth="1"/>
    <col min="4571" max="4571" width="23.625" style="1" customWidth="1"/>
    <col min="4572" max="4572" width="8" style="1" customWidth="1"/>
    <col min="4573" max="4573" width="9.125" style="1" customWidth="1"/>
    <col min="4574" max="4574" width="13.875" style="1" customWidth="1"/>
    <col min="4575" max="4575" width="13.5" style="1" customWidth="1"/>
    <col min="4576" max="4608" width="8.875" style="1"/>
    <col min="4609" max="4609" width="0" style="1" hidden="1" customWidth="1"/>
    <col min="4610" max="4610" width="6.625" style="1" customWidth="1"/>
    <col min="4611" max="4611" width="22.625" style="1" customWidth="1"/>
    <col min="4612" max="4612" width="7.625" style="1" customWidth="1"/>
    <col min="4613" max="4613" width="24.125" style="1" customWidth="1"/>
    <col min="4614" max="4614" width="25.125" style="1" customWidth="1"/>
    <col min="4615" max="4615" width="9.875" style="1" customWidth="1"/>
    <col min="4616" max="4616" width="15.625" style="1" customWidth="1"/>
    <col min="4617" max="4617" width="7.625" style="1" customWidth="1"/>
    <col min="4618" max="4619" width="9.625" style="1" customWidth="1"/>
    <col min="4620" max="4620" width="6.5" style="1" customWidth="1"/>
    <col min="4621" max="4621" width="8.125" style="1" customWidth="1"/>
    <col min="4622" max="4822" width="8.875" style="1"/>
    <col min="4823" max="4823" width="5" style="1" customWidth="1"/>
    <col min="4824" max="4824" width="33.375" style="1" customWidth="1"/>
    <col min="4825" max="4825" width="6.5" style="1" customWidth="1"/>
    <col min="4826" max="4826" width="29.5" style="1" customWidth="1"/>
    <col min="4827" max="4827" width="23.625" style="1" customWidth="1"/>
    <col min="4828" max="4828" width="8" style="1" customWidth="1"/>
    <col min="4829" max="4829" width="9.125" style="1" customWidth="1"/>
    <col min="4830" max="4830" width="13.875" style="1" customWidth="1"/>
    <col min="4831" max="4831" width="13.5" style="1" customWidth="1"/>
    <col min="4832" max="4864" width="8.875" style="1"/>
    <col min="4865" max="4865" width="0" style="1" hidden="1" customWidth="1"/>
    <col min="4866" max="4866" width="6.625" style="1" customWidth="1"/>
    <col min="4867" max="4867" width="22.625" style="1" customWidth="1"/>
    <col min="4868" max="4868" width="7.625" style="1" customWidth="1"/>
    <col min="4869" max="4869" width="24.125" style="1" customWidth="1"/>
    <col min="4870" max="4870" width="25.125" style="1" customWidth="1"/>
    <col min="4871" max="4871" width="9.875" style="1" customWidth="1"/>
    <col min="4872" max="4872" width="15.625" style="1" customWidth="1"/>
    <col min="4873" max="4873" width="7.625" style="1" customWidth="1"/>
    <col min="4874" max="4875" width="9.625" style="1" customWidth="1"/>
    <col min="4876" max="4876" width="6.5" style="1" customWidth="1"/>
    <col min="4877" max="4877" width="8.125" style="1" customWidth="1"/>
    <col min="4878" max="5078" width="8.875" style="1"/>
    <col min="5079" max="5079" width="5" style="1" customWidth="1"/>
    <col min="5080" max="5080" width="33.375" style="1" customWidth="1"/>
    <col min="5081" max="5081" width="6.5" style="1" customWidth="1"/>
    <col min="5082" max="5082" width="29.5" style="1" customWidth="1"/>
    <col min="5083" max="5083" width="23.625" style="1" customWidth="1"/>
    <col min="5084" max="5084" width="8" style="1" customWidth="1"/>
    <col min="5085" max="5085" width="9.125" style="1" customWidth="1"/>
    <col min="5086" max="5086" width="13.875" style="1" customWidth="1"/>
    <col min="5087" max="5087" width="13.5" style="1" customWidth="1"/>
    <col min="5088" max="5120" width="8.875" style="1"/>
    <col min="5121" max="5121" width="0" style="1" hidden="1" customWidth="1"/>
    <col min="5122" max="5122" width="6.625" style="1" customWidth="1"/>
    <col min="5123" max="5123" width="22.625" style="1" customWidth="1"/>
    <col min="5124" max="5124" width="7.625" style="1" customWidth="1"/>
    <col min="5125" max="5125" width="24.125" style="1" customWidth="1"/>
    <col min="5126" max="5126" width="25.125" style="1" customWidth="1"/>
    <col min="5127" max="5127" width="9.875" style="1" customWidth="1"/>
    <col min="5128" max="5128" width="15.625" style="1" customWidth="1"/>
    <col min="5129" max="5129" width="7.625" style="1" customWidth="1"/>
    <col min="5130" max="5131" width="9.625" style="1" customWidth="1"/>
    <col min="5132" max="5132" width="6.5" style="1" customWidth="1"/>
    <col min="5133" max="5133" width="8.125" style="1" customWidth="1"/>
    <col min="5134" max="5334" width="8.875" style="1"/>
    <col min="5335" max="5335" width="5" style="1" customWidth="1"/>
    <col min="5336" max="5336" width="33.375" style="1" customWidth="1"/>
    <col min="5337" max="5337" width="6.5" style="1" customWidth="1"/>
    <col min="5338" max="5338" width="29.5" style="1" customWidth="1"/>
    <col min="5339" max="5339" width="23.625" style="1" customWidth="1"/>
    <col min="5340" max="5340" width="8" style="1" customWidth="1"/>
    <col min="5341" max="5341" width="9.125" style="1" customWidth="1"/>
    <col min="5342" max="5342" width="13.875" style="1" customWidth="1"/>
    <col min="5343" max="5343" width="13.5" style="1" customWidth="1"/>
    <col min="5344" max="5376" width="8.875" style="1"/>
    <col min="5377" max="5377" width="0" style="1" hidden="1" customWidth="1"/>
    <col min="5378" max="5378" width="6.625" style="1" customWidth="1"/>
    <col min="5379" max="5379" width="22.625" style="1" customWidth="1"/>
    <col min="5380" max="5380" width="7.625" style="1" customWidth="1"/>
    <col min="5381" max="5381" width="24.125" style="1" customWidth="1"/>
    <col min="5382" max="5382" width="25.125" style="1" customWidth="1"/>
    <col min="5383" max="5383" width="9.875" style="1" customWidth="1"/>
    <col min="5384" max="5384" width="15.625" style="1" customWidth="1"/>
    <col min="5385" max="5385" width="7.625" style="1" customWidth="1"/>
    <col min="5386" max="5387" width="9.625" style="1" customWidth="1"/>
    <col min="5388" max="5388" width="6.5" style="1" customWidth="1"/>
    <col min="5389" max="5389" width="8.125" style="1" customWidth="1"/>
    <col min="5390" max="5590" width="8.875" style="1"/>
    <col min="5591" max="5591" width="5" style="1" customWidth="1"/>
    <col min="5592" max="5592" width="33.375" style="1" customWidth="1"/>
    <col min="5593" max="5593" width="6.5" style="1" customWidth="1"/>
    <col min="5594" max="5594" width="29.5" style="1" customWidth="1"/>
    <col min="5595" max="5595" width="23.625" style="1" customWidth="1"/>
    <col min="5596" max="5596" width="8" style="1" customWidth="1"/>
    <col min="5597" max="5597" width="9.125" style="1" customWidth="1"/>
    <col min="5598" max="5598" width="13.875" style="1" customWidth="1"/>
    <col min="5599" max="5599" width="13.5" style="1" customWidth="1"/>
    <col min="5600" max="5632" width="8.875" style="1"/>
    <col min="5633" max="5633" width="0" style="1" hidden="1" customWidth="1"/>
    <col min="5634" max="5634" width="6.625" style="1" customWidth="1"/>
    <col min="5635" max="5635" width="22.625" style="1" customWidth="1"/>
    <col min="5636" max="5636" width="7.625" style="1" customWidth="1"/>
    <col min="5637" max="5637" width="24.125" style="1" customWidth="1"/>
    <col min="5638" max="5638" width="25.125" style="1" customWidth="1"/>
    <col min="5639" max="5639" width="9.875" style="1" customWidth="1"/>
    <col min="5640" max="5640" width="15.625" style="1" customWidth="1"/>
    <col min="5641" max="5641" width="7.625" style="1" customWidth="1"/>
    <col min="5642" max="5643" width="9.625" style="1" customWidth="1"/>
    <col min="5644" max="5644" width="6.5" style="1" customWidth="1"/>
    <col min="5645" max="5645" width="8.125" style="1" customWidth="1"/>
    <col min="5646" max="5846" width="8.875" style="1"/>
    <col min="5847" max="5847" width="5" style="1" customWidth="1"/>
    <col min="5848" max="5848" width="33.375" style="1" customWidth="1"/>
    <col min="5849" max="5849" width="6.5" style="1" customWidth="1"/>
    <col min="5850" max="5850" width="29.5" style="1" customWidth="1"/>
    <col min="5851" max="5851" width="23.625" style="1" customWidth="1"/>
    <col min="5852" max="5852" width="8" style="1" customWidth="1"/>
    <col min="5853" max="5853" width="9.125" style="1" customWidth="1"/>
    <col min="5854" max="5854" width="13.875" style="1" customWidth="1"/>
    <col min="5855" max="5855" width="13.5" style="1" customWidth="1"/>
    <col min="5856" max="5888" width="8.875" style="1"/>
    <col min="5889" max="5889" width="0" style="1" hidden="1" customWidth="1"/>
    <col min="5890" max="5890" width="6.625" style="1" customWidth="1"/>
    <col min="5891" max="5891" width="22.625" style="1" customWidth="1"/>
    <col min="5892" max="5892" width="7.625" style="1" customWidth="1"/>
    <col min="5893" max="5893" width="24.125" style="1" customWidth="1"/>
    <col min="5894" max="5894" width="25.125" style="1" customWidth="1"/>
    <col min="5895" max="5895" width="9.875" style="1" customWidth="1"/>
    <col min="5896" max="5896" width="15.625" style="1" customWidth="1"/>
    <col min="5897" max="5897" width="7.625" style="1" customWidth="1"/>
    <col min="5898" max="5899" width="9.625" style="1" customWidth="1"/>
    <col min="5900" max="5900" width="6.5" style="1" customWidth="1"/>
    <col min="5901" max="5901" width="8.125" style="1" customWidth="1"/>
    <col min="5902" max="6102" width="8.875" style="1"/>
    <col min="6103" max="6103" width="5" style="1" customWidth="1"/>
    <col min="6104" max="6104" width="33.375" style="1" customWidth="1"/>
    <col min="6105" max="6105" width="6.5" style="1" customWidth="1"/>
    <col min="6106" max="6106" width="29.5" style="1" customWidth="1"/>
    <col min="6107" max="6107" width="23.625" style="1" customWidth="1"/>
    <col min="6108" max="6108" width="8" style="1" customWidth="1"/>
    <col min="6109" max="6109" width="9.125" style="1" customWidth="1"/>
    <col min="6110" max="6110" width="13.875" style="1" customWidth="1"/>
    <col min="6111" max="6111" width="13.5" style="1" customWidth="1"/>
    <col min="6112" max="6144" width="8.875" style="1"/>
    <col min="6145" max="6145" width="0" style="1" hidden="1" customWidth="1"/>
    <col min="6146" max="6146" width="6.625" style="1" customWidth="1"/>
    <col min="6147" max="6147" width="22.625" style="1" customWidth="1"/>
    <col min="6148" max="6148" width="7.625" style="1" customWidth="1"/>
    <col min="6149" max="6149" width="24.125" style="1" customWidth="1"/>
    <col min="6150" max="6150" width="25.125" style="1" customWidth="1"/>
    <col min="6151" max="6151" width="9.875" style="1" customWidth="1"/>
    <col min="6152" max="6152" width="15.625" style="1" customWidth="1"/>
    <col min="6153" max="6153" width="7.625" style="1" customWidth="1"/>
    <col min="6154" max="6155" width="9.625" style="1" customWidth="1"/>
    <col min="6156" max="6156" width="6.5" style="1" customWidth="1"/>
    <col min="6157" max="6157" width="8.125" style="1" customWidth="1"/>
    <col min="6158" max="6358" width="8.875" style="1"/>
    <col min="6359" max="6359" width="5" style="1" customWidth="1"/>
    <col min="6360" max="6360" width="33.375" style="1" customWidth="1"/>
    <col min="6361" max="6361" width="6.5" style="1" customWidth="1"/>
    <col min="6362" max="6362" width="29.5" style="1" customWidth="1"/>
    <col min="6363" max="6363" width="23.625" style="1" customWidth="1"/>
    <col min="6364" max="6364" width="8" style="1" customWidth="1"/>
    <col min="6365" max="6365" width="9.125" style="1" customWidth="1"/>
    <col min="6366" max="6366" width="13.875" style="1" customWidth="1"/>
    <col min="6367" max="6367" width="13.5" style="1" customWidth="1"/>
    <col min="6368" max="6400" width="8.875" style="1"/>
    <col min="6401" max="6401" width="0" style="1" hidden="1" customWidth="1"/>
    <col min="6402" max="6402" width="6.625" style="1" customWidth="1"/>
    <col min="6403" max="6403" width="22.625" style="1" customWidth="1"/>
    <col min="6404" max="6404" width="7.625" style="1" customWidth="1"/>
    <col min="6405" max="6405" width="24.125" style="1" customWidth="1"/>
    <col min="6406" max="6406" width="25.125" style="1" customWidth="1"/>
    <col min="6407" max="6407" width="9.875" style="1" customWidth="1"/>
    <col min="6408" max="6408" width="15.625" style="1" customWidth="1"/>
    <col min="6409" max="6409" width="7.625" style="1" customWidth="1"/>
    <col min="6410" max="6411" width="9.625" style="1" customWidth="1"/>
    <col min="6412" max="6412" width="6.5" style="1" customWidth="1"/>
    <col min="6413" max="6413" width="8.125" style="1" customWidth="1"/>
    <col min="6414" max="6614" width="8.875" style="1"/>
    <col min="6615" max="6615" width="5" style="1" customWidth="1"/>
    <col min="6616" max="6616" width="33.375" style="1" customWidth="1"/>
    <col min="6617" max="6617" width="6.5" style="1" customWidth="1"/>
    <col min="6618" max="6618" width="29.5" style="1" customWidth="1"/>
    <col min="6619" max="6619" width="23.625" style="1" customWidth="1"/>
    <col min="6620" max="6620" width="8" style="1" customWidth="1"/>
    <col min="6621" max="6621" width="9.125" style="1" customWidth="1"/>
    <col min="6622" max="6622" width="13.875" style="1" customWidth="1"/>
    <col min="6623" max="6623" width="13.5" style="1" customWidth="1"/>
    <col min="6624" max="6656" width="8.875" style="1"/>
    <col min="6657" max="6657" width="0" style="1" hidden="1" customWidth="1"/>
    <col min="6658" max="6658" width="6.625" style="1" customWidth="1"/>
    <col min="6659" max="6659" width="22.625" style="1" customWidth="1"/>
    <col min="6660" max="6660" width="7.625" style="1" customWidth="1"/>
    <col min="6661" max="6661" width="24.125" style="1" customWidth="1"/>
    <col min="6662" max="6662" width="25.125" style="1" customWidth="1"/>
    <col min="6663" max="6663" width="9.875" style="1" customWidth="1"/>
    <col min="6664" max="6664" width="15.625" style="1" customWidth="1"/>
    <col min="6665" max="6665" width="7.625" style="1" customWidth="1"/>
    <col min="6666" max="6667" width="9.625" style="1" customWidth="1"/>
    <col min="6668" max="6668" width="6.5" style="1" customWidth="1"/>
    <col min="6669" max="6669" width="8.125" style="1" customWidth="1"/>
    <col min="6670" max="6870" width="8.875" style="1"/>
    <col min="6871" max="6871" width="5" style="1" customWidth="1"/>
    <col min="6872" max="6872" width="33.375" style="1" customWidth="1"/>
    <col min="6873" max="6873" width="6.5" style="1" customWidth="1"/>
    <col min="6874" max="6874" width="29.5" style="1" customWidth="1"/>
    <col min="6875" max="6875" width="23.625" style="1" customWidth="1"/>
    <col min="6876" max="6876" width="8" style="1" customWidth="1"/>
    <col min="6877" max="6877" width="9.125" style="1" customWidth="1"/>
    <col min="6878" max="6878" width="13.875" style="1" customWidth="1"/>
    <col min="6879" max="6879" width="13.5" style="1" customWidth="1"/>
    <col min="6880" max="6912" width="8.875" style="1"/>
    <col min="6913" max="6913" width="0" style="1" hidden="1" customWidth="1"/>
    <col min="6914" max="6914" width="6.625" style="1" customWidth="1"/>
    <col min="6915" max="6915" width="22.625" style="1" customWidth="1"/>
    <col min="6916" max="6916" width="7.625" style="1" customWidth="1"/>
    <col min="6917" max="6917" width="24.125" style="1" customWidth="1"/>
    <col min="6918" max="6918" width="25.125" style="1" customWidth="1"/>
    <col min="6919" max="6919" width="9.875" style="1" customWidth="1"/>
    <col min="6920" max="6920" width="15.625" style="1" customWidth="1"/>
    <col min="6921" max="6921" width="7.625" style="1" customWidth="1"/>
    <col min="6922" max="6923" width="9.625" style="1" customWidth="1"/>
    <col min="6924" max="6924" width="6.5" style="1" customWidth="1"/>
    <col min="6925" max="6925" width="8.125" style="1" customWidth="1"/>
    <col min="6926" max="7126" width="8.875" style="1"/>
    <col min="7127" max="7127" width="5" style="1" customWidth="1"/>
    <col min="7128" max="7128" width="33.375" style="1" customWidth="1"/>
    <col min="7129" max="7129" width="6.5" style="1" customWidth="1"/>
    <col min="7130" max="7130" width="29.5" style="1" customWidth="1"/>
    <col min="7131" max="7131" width="23.625" style="1" customWidth="1"/>
    <col min="7132" max="7132" width="8" style="1" customWidth="1"/>
    <col min="7133" max="7133" width="9.125" style="1" customWidth="1"/>
    <col min="7134" max="7134" width="13.875" style="1" customWidth="1"/>
    <col min="7135" max="7135" width="13.5" style="1" customWidth="1"/>
    <col min="7136" max="7168" width="8.875" style="1"/>
    <col min="7169" max="7169" width="0" style="1" hidden="1" customWidth="1"/>
    <col min="7170" max="7170" width="6.625" style="1" customWidth="1"/>
    <col min="7171" max="7171" width="22.625" style="1" customWidth="1"/>
    <col min="7172" max="7172" width="7.625" style="1" customWidth="1"/>
    <col min="7173" max="7173" width="24.125" style="1" customWidth="1"/>
    <col min="7174" max="7174" width="25.125" style="1" customWidth="1"/>
    <col min="7175" max="7175" width="9.875" style="1" customWidth="1"/>
    <col min="7176" max="7176" width="15.625" style="1" customWidth="1"/>
    <col min="7177" max="7177" width="7.625" style="1" customWidth="1"/>
    <col min="7178" max="7179" width="9.625" style="1" customWidth="1"/>
    <col min="7180" max="7180" width="6.5" style="1" customWidth="1"/>
    <col min="7181" max="7181" width="8.125" style="1" customWidth="1"/>
    <col min="7182" max="7382" width="8.875" style="1"/>
    <col min="7383" max="7383" width="5" style="1" customWidth="1"/>
    <col min="7384" max="7384" width="33.375" style="1" customWidth="1"/>
    <col min="7385" max="7385" width="6.5" style="1" customWidth="1"/>
    <col min="7386" max="7386" width="29.5" style="1" customWidth="1"/>
    <col min="7387" max="7387" width="23.625" style="1" customWidth="1"/>
    <col min="7388" max="7388" width="8" style="1" customWidth="1"/>
    <col min="7389" max="7389" width="9.125" style="1" customWidth="1"/>
    <col min="7390" max="7390" width="13.875" style="1" customWidth="1"/>
    <col min="7391" max="7391" width="13.5" style="1" customWidth="1"/>
    <col min="7392" max="7424" width="8.875" style="1"/>
    <col min="7425" max="7425" width="0" style="1" hidden="1" customWidth="1"/>
    <col min="7426" max="7426" width="6.625" style="1" customWidth="1"/>
    <col min="7427" max="7427" width="22.625" style="1" customWidth="1"/>
    <col min="7428" max="7428" width="7.625" style="1" customWidth="1"/>
    <col min="7429" max="7429" width="24.125" style="1" customWidth="1"/>
    <col min="7430" max="7430" width="25.125" style="1" customWidth="1"/>
    <col min="7431" max="7431" width="9.875" style="1" customWidth="1"/>
    <col min="7432" max="7432" width="15.625" style="1" customWidth="1"/>
    <col min="7433" max="7433" width="7.625" style="1" customWidth="1"/>
    <col min="7434" max="7435" width="9.625" style="1" customWidth="1"/>
    <col min="7436" max="7436" width="6.5" style="1" customWidth="1"/>
    <col min="7437" max="7437" width="8.125" style="1" customWidth="1"/>
    <col min="7438" max="7638" width="8.875" style="1"/>
    <col min="7639" max="7639" width="5" style="1" customWidth="1"/>
    <col min="7640" max="7640" width="33.375" style="1" customWidth="1"/>
    <col min="7641" max="7641" width="6.5" style="1" customWidth="1"/>
    <col min="7642" max="7642" width="29.5" style="1" customWidth="1"/>
    <col min="7643" max="7643" width="23.625" style="1" customWidth="1"/>
    <col min="7644" max="7644" width="8" style="1" customWidth="1"/>
    <col min="7645" max="7645" width="9.125" style="1" customWidth="1"/>
    <col min="7646" max="7646" width="13.875" style="1" customWidth="1"/>
    <col min="7647" max="7647" width="13.5" style="1" customWidth="1"/>
    <col min="7648" max="7680" width="8.875" style="1"/>
    <col min="7681" max="7681" width="0" style="1" hidden="1" customWidth="1"/>
    <col min="7682" max="7682" width="6.625" style="1" customWidth="1"/>
    <col min="7683" max="7683" width="22.625" style="1" customWidth="1"/>
    <col min="7684" max="7684" width="7.625" style="1" customWidth="1"/>
    <col min="7685" max="7685" width="24.125" style="1" customWidth="1"/>
    <col min="7686" max="7686" width="25.125" style="1" customWidth="1"/>
    <col min="7687" max="7687" width="9.875" style="1" customWidth="1"/>
    <col min="7688" max="7688" width="15.625" style="1" customWidth="1"/>
    <col min="7689" max="7689" width="7.625" style="1" customWidth="1"/>
    <col min="7690" max="7691" width="9.625" style="1" customWidth="1"/>
    <col min="7692" max="7692" width="6.5" style="1" customWidth="1"/>
    <col min="7693" max="7693" width="8.125" style="1" customWidth="1"/>
    <col min="7694" max="7894" width="8.875" style="1"/>
    <col min="7895" max="7895" width="5" style="1" customWidth="1"/>
    <col min="7896" max="7896" width="33.375" style="1" customWidth="1"/>
    <col min="7897" max="7897" width="6.5" style="1" customWidth="1"/>
    <col min="7898" max="7898" width="29.5" style="1" customWidth="1"/>
    <col min="7899" max="7899" width="23.625" style="1" customWidth="1"/>
    <col min="7900" max="7900" width="8" style="1" customWidth="1"/>
    <col min="7901" max="7901" width="9.125" style="1" customWidth="1"/>
    <col min="7902" max="7902" width="13.875" style="1" customWidth="1"/>
    <col min="7903" max="7903" width="13.5" style="1" customWidth="1"/>
    <col min="7904" max="7936" width="8.875" style="1"/>
    <col min="7937" max="7937" width="0" style="1" hidden="1" customWidth="1"/>
    <col min="7938" max="7938" width="6.625" style="1" customWidth="1"/>
    <col min="7939" max="7939" width="22.625" style="1" customWidth="1"/>
    <col min="7940" max="7940" width="7.625" style="1" customWidth="1"/>
    <col min="7941" max="7941" width="24.125" style="1" customWidth="1"/>
    <col min="7942" max="7942" width="25.125" style="1" customWidth="1"/>
    <col min="7943" max="7943" width="9.875" style="1" customWidth="1"/>
    <col min="7944" max="7944" width="15.625" style="1" customWidth="1"/>
    <col min="7945" max="7945" width="7.625" style="1" customWidth="1"/>
    <col min="7946" max="7947" width="9.625" style="1" customWidth="1"/>
    <col min="7948" max="7948" width="6.5" style="1" customWidth="1"/>
    <col min="7949" max="7949" width="8.125" style="1" customWidth="1"/>
    <col min="7950" max="8150" width="8.875" style="1"/>
    <col min="8151" max="8151" width="5" style="1" customWidth="1"/>
    <col min="8152" max="8152" width="33.375" style="1" customWidth="1"/>
    <col min="8153" max="8153" width="6.5" style="1" customWidth="1"/>
    <col min="8154" max="8154" width="29.5" style="1" customWidth="1"/>
    <col min="8155" max="8155" width="23.625" style="1" customWidth="1"/>
    <col min="8156" max="8156" width="8" style="1" customWidth="1"/>
    <col min="8157" max="8157" width="9.125" style="1" customWidth="1"/>
    <col min="8158" max="8158" width="13.875" style="1" customWidth="1"/>
    <col min="8159" max="8159" width="13.5" style="1" customWidth="1"/>
    <col min="8160" max="8192" width="8.875" style="1"/>
    <col min="8193" max="8193" width="0" style="1" hidden="1" customWidth="1"/>
    <col min="8194" max="8194" width="6.625" style="1" customWidth="1"/>
    <col min="8195" max="8195" width="22.625" style="1" customWidth="1"/>
    <col min="8196" max="8196" width="7.625" style="1" customWidth="1"/>
    <col min="8197" max="8197" width="24.125" style="1" customWidth="1"/>
    <col min="8198" max="8198" width="25.125" style="1" customWidth="1"/>
    <col min="8199" max="8199" width="9.875" style="1" customWidth="1"/>
    <col min="8200" max="8200" width="15.625" style="1" customWidth="1"/>
    <col min="8201" max="8201" width="7.625" style="1" customWidth="1"/>
    <col min="8202" max="8203" width="9.625" style="1" customWidth="1"/>
    <col min="8204" max="8204" width="6.5" style="1" customWidth="1"/>
    <col min="8205" max="8205" width="8.125" style="1" customWidth="1"/>
    <col min="8206" max="8406" width="8.875" style="1"/>
    <col min="8407" max="8407" width="5" style="1" customWidth="1"/>
    <col min="8408" max="8408" width="33.375" style="1" customWidth="1"/>
    <col min="8409" max="8409" width="6.5" style="1" customWidth="1"/>
    <col min="8410" max="8410" width="29.5" style="1" customWidth="1"/>
    <col min="8411" max="8411" width="23.625" style="1" customWidth="1"/>
    <col min="8412" max="8412" width="8" style="1" customWidth="1"/>
    <col min="8413" max="8413" width="9.125" style="1" customWidth="1"/>
    <col min="8414" max="8414" width="13.875" style="1" customWidth="1"/>
    <col min="8415" max="8415" width="13.5" style="1" customWidth="1"/>
    <col min="8416" max="8448" width="8.875" style="1"/>
    <col min="8449" max="8449" width="0" style="1" hidden="1" customWidth="1"/>
    <col min="8450" max="8450" width="6.625" style="1" customWidth="1"/>
    <col min="8451" max="8451" width="22.625" style="1" customWidth="1"/>
    <col min="8452" max="8452" width="7.625" style="1" customWidth="1"/>
    <col min="8453" max="8453" width="24.125" style="1" customWidth="1"/>
    <col min="8454" max="8454" width="25.125" style="1" customWidth="1"/>
    <col min="8455" max="8455" width="9.875" style="1" customWidth="1"/>
    <col min="8456" max="8456" width="15.625" style="1" customWidth="1"/>
    <col min="8457" max="8457" width="7.625" style="1" customWidth="1"/>
    <col min="8458" max="8459" width="9.625" style="1" customWidth="1"/>
    <col min="8460" max="8460" width="6.5" style="1" customWidth="1"/>
    <col min="8461" max="8461" width="8.125" style="1" customWidth="1"/>
    <col min="8462" max="8662" width="8.875" style="1"/>
    <col min="8663" max="8663" width="5" style="1" customWidth="1"/>
    <col min="8664" max="8664" width="33.375" style="1" customWidth="1"/>
    <col min="8665" max="8665" width="6.5" style="1" customWidth="1"/>
    <col min="8666" max="8666" width="29.5" style="1" customWidth="1"/>
    <col min="8667" max="8667" width="23.625" style="1" customWidth="1"/>
    <col min="8668" max="8668" width="8" style="1" customWidth="1"/>
    <col min="8669" max="8669" width="9.125" style="1" customWidth="1"/>
    <col min="8670" max="8670" width="13.875" style="1" customWidth="1"/>
    <col min="8671" max="8671" width="13.5" style="1" customWidth="1"/>
    <col min="8672" max="8704" width="8.875" style="1"/>
    <col min="8705" max="8705" width="0" style="1" hidden="1" customWidth="1"/>
    <col min="8706" max="8706" width="6.625" style="1" customWidth="1"/>
    <col min="8707" max="8707" width="22.625" style="1" customWidth="1"/>
    <col min="8708" max="8708" width="7.625" style="1" customWidth="1"/>
    <col min="8709" max="8709" width="24.125" style="1" customWidth="1"/>
    <col min="8710" max="8710" width="25.125" style="1" customWidth="1"/>
    <col min="8711" max="8711" width="9.875" style="1" customWidth="1"/>
    <col min="8712" max="8712" width="15.625" style="1" customWidth="1"/>
    <col min="8713" max="8713" width="7.625" style="1" customWidth="1"/>
    <col min="8714" max="8715" width="9.625" style="1" customWidth="1"/>
    <col min="8716" max="8716" width="6.5" style="1" customWidth="1"/>
    <col min="8717" max="8717" width="8.125" style="1" customWidth="1"/>
    <col min="8718" max="8918" width="8.875" style="1"/>
    <col min="8919" max="8919" width="5" style="1" customWidth="1"/>
    <col min="8920" max="8920" width="33.375" style="1" customWidth="1"/>
    <col min="8921" max="8921" width="6.5" style="1" customWidth="1"/>
    <col min="8922" max="8922" width="29.5" style="1" customWidth="1"/>
    <col min="8923" max="8923" width="23.625" style="1" customWidth="1"/>
    <col min="8924" max="8924" width="8" style="1" customWidth="1"/>
    <col min="8925" max="8925" width="9.125" style="1" customWidth="1"/>
    <col min="8926" max="8926" width="13.875" style="1" customWidth="1"/>
    <col min="8927" max="8927" width="13.5" style="1" customWidth="1"/>
    <col min="8928" max="8960" width="8.875" style="1"/>
    <col min="8961" max="8961" width="0" style="1" hidden="1" customWidth="1"/>
    <col min="8962" max="8962" width="6.625" style="1" customWidth="1"/>
    <col min="8963" max="8963" width="22.625" style="1" customWidth="1"/>
    <col min="8964" max="8964" width="7.625" style="1" customWidth="1"/>
    <col min="8965" max="8965" width="24.125" style="1" customWidth="1"/>
    <col min="8966" max="8966" width="25.125" style="1" customWidth="1"/>
    <col min="8967" max="8967" width="9.875" style="1" customWidth="1"/>
    <col min="8968" max="8968" width="15.625" style="1" customWidth="1"/>
    <col min="8969" max="8969" width="7.625" style="1" customWidth="1"/>
    <col min="8970" max="8971" width="9.625" style="1" customWidth="1"/>
    <col min="8972" max="8972" width="6.5" style="1" customWidth="1"/>
    <col min="8973" max="8973" width="8.125" style="1" customWidth="1"/>
    <col min="8974" max="9174" width="8.875" style="1"/>
    <col min="9175" max="9175" width="5" style="1" customWidth="1"/>
    <col min="9176" max="9176" width="33.375" style="1" customWidth="1"/>
    <col min="9177" max="9177" width="6.5" style="1" customWidth="1"/>
    <col min="9178" max="9178" width="29.5" style="1" customWidth="1"/>
    <col min="9179" max="9179" width="23.625" style="1" customWidth="1"/>
    <col min="9180" max="9180" width="8" style="1" customWidth="1"/>
    <col min="9181" max="9181" width="9.125" style="1" customWidth="1"/>
    <col min="9182" max="9182" width="13.875" style="1" customWidth="1"/>
    <col min="9183" max="9183" width="13.5" style="1" customWidth="1"/>
    <col min="9184" max="9216" width="8.875" style="1"/>
    <col min="9217" max="9217" width="0" style="1" hidden="1" customWidth="1"/>
    <col min="9218" max="9218" width="6.625" style="1" customWidth="1"/>
    <col min="9219" max="9219" width="22.625" style="1" customWidth="1"/>
    <col min="9220" max="9220" width="7.625" style="1" customWidth="1"/>
    <col min="9221" max="9221" width="24.125" style="1" customWidth="1"/>
    <col min="9222" max="9222" width="25.125" style="1" customWidth="1"/>
    <col min="9223" max="9223" width="9.875" style="1" customWidth="1"/>
    <col min="9224" max="9224" width="15.625" style="1" customWidth="1"/>
    <col min="9225" max="9225" width="7.625" style="1" customWidth="1"/>
    <col min="9226" max="9227" width="9.625" style="1" customWidth="1"/>
    <col min="9228" max="9228" width="6.5" style="1" customWidth="1"/>
    <col min="9229" max="9229" width="8.125" style="1" customWidth="1"/>
    <col min="9230" max="9430" width="8.875" style="1"/>
    <col min="9431" max="9431" width="5" style="1" customWidth="1"/>
    <col min="9432" max="9432" width="33.375" style="1" customWidth="1"/>
    <col min="9433" max="9433" width="6.5" style="1" customWidth="1"/>
    <col min="9434" max="9434" width="29.5" style="1" customWidth="1"/>
    <col min="9435" max="9435" width="23.625" style="1" customWidth="1"/>
    <col min="9436" max="9436" width="8" style="1" customWidth="1"/>
    <col min="9437" max="9437" width="9.125" style="1" customWidth="1"/>
    <col min="9438" max="9438" width="13.875" style="1" customWidth="1"/>
    <col min="9439" max="9439" width="13.5" style="1" customWidth="1"/>
    <col min="9440" max="9472" width="8.875" style="1"/>
    <col min="9473" max="9473" width="0" style="1" hidden="1" customWidth="1"/>
    <col min="9474" max="9474" width="6.625" style="1" customWidth="1"/>
    <col min="9475" max="9475" width="22.625" style="1" customWidth="1"/>
    <col min="9476" max="9476" width="7.625" style="1" customWidth="1"/>
    <col min="9477" max="9477" width="24.125" style="1" customWidth="1"/>
    <col min="9478" max="9478" width="25.125" style="1" customWidth="1"/>
    <col min="9479" max="9479" width="9.875" style="1" customWidth="1"/>
    <col min="9480" max="9480" width="15.625" style="1" customWidth="1"/>
    <col min="9481" max="9481" width="7.625" style="1" customWidth="1"/>
    <col min="9482" max="9483" width="9.625" style="1" customWidth="1"/>
    <col min="9484" max="9484" width="6.5" style="1" customWidth="1"/>
    <col min="9485" max="9485" width="8.125" style="1" customWidth="1"/>
    <col min="9486" max="9686" width="8.875" style="1"/>
    <col min="9687" max="9687" width="5" style="1" customWidth="1"/>
    <col min="9688" max="9688" width="33.375" style="1" customWidth="1"/>
    <col min="9689" max="9689" width="6.5" style="1" customWidth="1"/>
    <col min="9690" max="9690" width="29.5" style="1" customWidth="1"/>
    <col min="9691" max="9691" width="23.625" style="1" customWidth="1"/>
    <col min="9692" max="9692" width="8" style="1" customWidth="1"/>
    <col min="9693" max="9693" width="9.125" style="1" customWidth="1"/>
    <col min="9694" max="9694" width="13.875" style="1" customWidth="1"/>
    <col min="9695" max="9695" width="13.5" style="1" customWidth="1"/>
    <col min="9696" max="9728" width="8.875" style="1"/>
    <col min="9729" max="9729" width="0" style="1" hidden="1" customWidth="1"/>
    <col min="9730" max="9730" width="6.625" style="1" customWidth="1"/>
    <col min="9731" max="9731" width="22.625" style="1" customWidth="1"/>
    <col min="9732" max="9732" width="7.625" style="1" customWidth="1"/>
    <col min="9733" max="9733" width="24.125" style="1" customWidth="1"/>
    <col min="9734" max="9734" width="25.125" style="1" customWidth="1"/>
    <col min="9735" max="9735" width="9.875" style="1" customWidth="1"/>
    <col min="9736" max="9736" width="15.625" style="1" customWidth="1"/>
    <col min="9737" max="9737" width="7.625" style="1" customWidth="1"/>
    <col min="9738" max="9739" width="9.625" style="1" customWidth="1"/>
    <col min="9740" max="9740" width="6.5" style="1" customWidth="1"/>
    <col min="9741" max="9741" width="8.125" style="1" customWidth="1"/>
    <col min="9742" max="9942" width="8.875" style="1"/>
    <col min="9943" max="9943" width="5" style="1" customWidth="1"/>
    <col min="9944" max="9944" width="33.375" style="1" customWidth="1"/>
    <col min="9945" max="9945" width="6.5" style="1" customWidth="1"/>
    <col min="9946" max="9946" width="29.5" style="1" customWidth="1"/>
    <col min="9947" max="9947" width="23.625" style="1" customWidth="1"/>
    <col min="9948" max="9948" width="8" style="1" customWidth="1"/>
    <col min="9949" max="9949" width="9.125" style="1" customWidth="1"/>
    <col min="9950" max="9950" width="13.875" style="1" customWidth="1"/>
    <col min="9951" max="9951" width="13.5" style="1" customWidth="1"/>
    <col min="9952" max="9984" width="8.875" style="1"/>
    <col min="9985" max="9985" width="0" style="1" hidden="1" customWidth="1"/>
    <col min="9986" max="9986" width="6.625" style="1" customWidth="1"/>
    <col min="9987" max="9987" width="22.625" style="1" customWidth="1"/>
    <col min="9988" max="9988" width="7.625" style="1" customWidth="1"/>
    <col min="9989" max="9989" width="24.125" style="1" customWidth="1"/>
    <col min="9990" max="9990" width="25.125" style="1" customWidth="1"/>
    <col min="9991" max="9991" width="9.875" style="1" customWidth="1"/>
    <col min="9992" max="9992" width="15.625" style="1" customWidth="1"/>
    <col min="9993" max="9993" width="7.625" style="1" customWidth="1"/>
    <col min="9994" max="9995" width="9.625" style="1" customWidth="1"/>
    <col min="9996" max="9996" width="6.5" style="1" customWidth="1"/>
    <col min="9997" max="9997" width="8.125" style="1" customWidth="1"/>
    <col min="9998" max="10198" width="8.875" style="1"/>
    <col min="10199" max="10199" width="5" style="1" customWidth="1"/>
    <col min="10200" max="10200" width="33.375" style="1" customWidth="1"/>
    <col min="10201" max="10201" width="6.5" style="1" customWidth="1"/>
    <col min="10202" max="10202" width="29.5" style="1" customWidth="1"/>
    <col min="10203" max="10203" width="23.625" style="1" customWidth="1"/>
    <col min="10204" max="10204" width="8" style="1" customWidth="1"/>
    <col min="10205" max="10205" width="9.125" style="1" customWidth="1"/>
    <col min="10206" max="10206" width="13.875" style="1" customWidth="1"/>
    <col min="10207" max="10207" width="13.5" style="1" customWidth="1"/>
    <col min="10208" max="10240" width="8.875" style="1"/>
    <col min="10241" max="10241" width="0" style="1" hidden="1" customWidth="1"/>
    <col min="10242" max="10242" width="6.625" style="1" customWidth="1"/>
    <col min="10243" max="10243" width="22.625" style="1" customWidth="1"/>
    <col min="10244" max="10244" width="7.625" style="1" customWidth="1"/>
    <col min="10245" max="10245" width="24.125" style="1" customWidth="1"/>
    <col min="10246" max="10246" width="25.125" style="1" customWidth="1"/>
    <col min="10247" max="10247" width="9.875" style="1" customWidth="1"/>
    <col min="10248" max="10248" width="15.625" style="1" customWidth="1"/>
    <col min="10249" max="10249" width="7.625" style="1" customWidth="1"/>
    <col min="10250" max="10251" width="9.625" style="1" customWidth="1"/>
    <col min="10252" max="10252" width="6.5" style="1" customWidth="1"/>
    <col min="10253" max="10253" width="8.125" style="1" customWidth="1"/>
    <col min="10254" max="10454" width="8.875" style="1"/>
    <col min="10455" max="10455" width="5" style="1" customWidth="1"/>
    <col min="10456" max="10456" width="33.375" style="1" customWidth="1"/>
    <col min="10457" max="10457" width="6.5" style="1" customWidth="1"/>
    <col min="10458" max="10458" width="29.5" style="1" customWidth="1"/>
    <col min="10459" max="10459" width="23.625" style="1" customWidth="1"/>
    <col min="10460" max="10460" width="8" style="1" customWidth="1"/>
    <col min="10461" max="10461" width="9.125" style="1" customWidth="1"/>
    <col min="10462" max="10462" width="13.875" style="1" customWidth="1"/>
    <col min="10463" max="10463" width="13.5" style="1" customWidth="1"/>
    <col min="10464" max="10496" width="8.875" style="1"/>
    <col min="10497" max="10497" width="0" style="1" hidden="1" customWidth="1"/>
    <col min="10498" max="10498" width="6.625" style="1" customWidth="1"/>
    <col min="10499" max="10499" width="22.625" style="1" customWidth="1"/>
    <col min="10500" max="10500" width="7.625" style="1" customWidth="1"/>
    <col min="10501" max="10501" width="24.125" style="1" customWidth="1"/>
    <col min="10502" max="10502" width="25.125" style="1" customWidth="1"/>
    <col min="10503" max="10503" width="9.875" style="1" customWidth="1"/>
    <col min="10504" max="10504" width="15.625" style="1" customWidth="1"/>
    <col min="10505" max="10505" width="7.625" style="1" customWidth="1"/>
    <col min="10506" max="10507" width="9.625" style="1" customWidth="1"/>
    <col min="10508" max="10508" width="6.5" style="1" customWidth="1"/>
    <col min="10509" max="10509" width="8.125" style="1" customWidth="1"/>
    <col min="10510" max="10710" width="8.875" style="1"/>
    <col min="10711" max="10711" width="5" style="1" customWidth="1"/>
    <col min="10712" max="10712" width="33.375" style="1" customWidth="1"/>
    <col min="10713" max="10713" width="6.5" style="1" customWidth="1"/>
    <col min="10714" max="10714" width="29.5" style="1" customWidth="1"/>
    <col min="10715" max="10715" width="23.625" style="1" customWidth="1"/>
    <col min="10716" max="10716" width="8" style="1" customWidth="1"/>
    <col min="10717" max="10717" width="9.125" style="1" customWidth="1"/>
    <col min="10718" max="10718" width="13.875" style="1" customWidth="1"/>
    <col min="10719" max="10719" width="13.5" style="1" customWidth="1"/>
    <col min="10720" max="10752" width="8.875" style="1"/>
    <col min="10753" max="10753" width="0" style="1" hidden="1" customWidth="1"/>
    <col min="10754" max="10754" width="6.625" style="1" customWidth="1"/>
    <col min="10755" max="10755" width="22.625" style="1" customWidth="1"/>
    <col min="10756" max="10756" width="7.625" style="1" customWidth="1"/>
    <col min="10757" max="10757" width="24.125" style="1" customWidth="1"/>
    <col min="10758" max="10758" width="25.125" style="1" customWidth="1"/>
    <col min="10759" max="10759" width="9.875" style="1" customWidth="1"/>
    <col min="10760" max="10760" width="15.625" style="1" customWidth="1"/>
    <col min="10761" max="10761" width="7.625" style="1" customWidth="1"/>
    <col min="10762" max="10763" width="9.625" style="1" customWidth="1"/>
    <col min="10764" max="10764" width="6.5" style="1" customWidth="1"/>
    <col min="10765" max="10765" width="8.125" style="1" customWidth="1"/>
    <col min="10766" max="10966" width="8.875" style="1"/>
    <col min="10967" max="10967" width="5" style="1" customWidth="1"/>
    <col min="10968" max="10968" width="33.375" style="1" customWidth="1"/>
    <col min="10969" max="10969" width="6.5" style="1" customWidth="1"/>
    <col min="10970" max="10970" width="29.5" style="1" customWidth="1"/>
    <col min="10971" max="10971" width="23.625" style="1" customWidth="1"/>
    <col min="10972" max="10972" width="8" style="1" customWidth="1"/>
    <col min="10973" max="10973" width="9.125" style="1" customWidth="1"/>
    <col min="10974" max="10974" width="13.875" style="1" customWidth="1"/>
    <col min="10975" max="10975" width="13.5" style="1" customWidth="1"/>
    <col min="10976" max="11008" width="8.875" style="1"/>
    <col min="11009" max="11009" width="0" style="1" hidden="1" customWidth="1"/>
    <col min="11010" max="11010" width="6.625" style="1" customWidth="1"/>
    <col min="11011" max="11011" width="22.625" style="1" customWidth="1"/>
    <col min="11012" max="11012" width="7.625" style="1" customWidth="1"/>
    <col min="11013" max="11013" width="24.125" style="1" customWidth="1"/>
    <col min="11014" max="11014" width="25.125" style="1" customWidth="1"/>
    <col min="11015" max="11015" width="9.875" style="1" customWidth="1"/>
    <col min="11016" max="11016" width="15.625" style="1" customWidth="1"/>
    <col min="11017" max="11017" width="7.625" style="1" customWidth="1"/>
    <col min="11018" max="11019" width="9.625" style="1" customWidth="1"/>
    <col min="11020" max="11020" width="6.5" style="1" customWidth="1"/>
    <col min="11021" max="11021" width="8.125" style="1" customWidth="1"/>
    <col min="11022" max="11222" width="8.875" style="1"/>
    <col min="11223" max="11223" width="5" style="1" customWidth="1"/>
    <col min="11224" max="11224" width="33.375" style="1" customWidth="1"/>
    <col min="11225" max="11225" width="6.5" style="1" customWidth="1"/>
    <col min="11226" max="11226" width="29.5" style="1" customWidth="1"/>
    <col min="11227" max="11227" width="23.625" style="1" customWidth="1"/>
    <col min="11228" max="11228" width="8" style="1" customWidth="1"/>
    <col min="11229" max="11229" width="9.125" style="1" customWidth="1"/>
    <col min="11230" max="11230" width="13.875" style="1" customWidth="1"/>
    <col min="11231" max="11231" width="13.5" style="1" customWidth="1"/>
    <col min="11232" max="11264" width="8.875" style="1"/>
    <col min="11265" max="11265" width="0" style="1" hidden="1" customWidth="1"/>
    <col min="11266" max="11266" width="6.625" style="1" customWidth="1"/>
    <col min="11267" max="11267" width="22.625" style="1" customWidth="1"/>
    <col min="11268" max="11268" width="7.625" style="1" customWidth="1"/>
    <col min="11269" max="11269" width="24.125" style="1" customWidth="1"/>
    <col min="11270" max="11270" width="25.125" style="1" customWidth="1"/>
    <col min="11271" max="11271" width="9.875" style="1" customWidth="1"/>
    <col min="11272" max="11272" width="15.625" style="1" customWidth="1"/>
    <col min="11273" max="11273" width="7.625" style="1" customWidth="1"/>
    <col min="11274" max="11275" width="9.625" style="1" customWidth="1"/>
    <col min="11276" max="11276" width="6.5" style="1" customWidth="1"/>
    <col min="11277" max="11277" width="8.125" style="1" customWidth="1"/>
    <col min="11278" max="11478" width="8.875" style="1"/>
    <col min="11479" max="11479" width="5" style="1" customWidth="1"/>
    <col min="11480" max="11480" width="33.375" style="1" customWidth="1"/>
    <col min="11481" max="11481" width="6.5" style="1" customWidth="1"/>
    <col min="11482" max="11482" width="29.5" style="1" customWidth="1"/>
    <col min="11483" max="11483" width="23.625" style="1" customWidth="1"/>
    <col min="11484" max="11484" width="8" style="1" customWidth="1"/>
    <col min="11485" max="11485" width="9.125" style="1" customWidth="1"/>
    <col min="11486" max="11486" width="13.875" style="1" customWidth="1"/>
    <col min="11487" max="11487" width="13.5" style="1" customWidth="1"/>
    <col min="11488" max="11520" width="8.875" style="1"/>
    <col min="11521" max="11521" width="0" style="1" hidden="1" customWidth="1"/>
    <col min="11522" max="11522" width="6.625" style="1" customWidth="1"/>
    <col min="11523" max="11523" width="22.625" style="1" customWidth="1"/>
    <col min="11524" max="11524" width="7.625" style="1" customWidth="1"/>
    <col min="11525" max="11525" width="24.125" style="1" customWidth="1"/>
    <col min="11526" max="11526" width="25.125" style="1" customWidth="1"/>
    <col min="11527" max="11527" width="9.875" style="1" customWidth="1"/>
    <col min="11528" max="11528" width="15.625" style="1" customWidth="1"/>
    <col min="11529" max="11529" width="7.625" style="1" customWidth="1"/>
    <col min="11530" max="11531" width="9.625" style="1" customWidth="1"/>
    <col min="11532" max="11532" width="6.5" style="1" customWidth="1"/>
    <col min="11533" max="11533" width="8.125" style="1" customWidth="1"/>
    <col min="11534" max="11734" width="8.875" style="1"/>
    <col min="11735" max="11735" width="5" style="1" customWidth="1"/>
    <col min="11736" max="11736" width="33.375" style="1" customWidth="1"/>
    <col min="11737" max="11737" width="6.5" style="1" customWidth="1"/>
    <col min="11738" max="11738" width="29.5" style="1" customWidth="1"/>
    <col min="11739" max="11739" width="23.625" style="1" customWidth="1"/>
    <col min="11740" max="11740" width="8" style="1" customWidth="1"/>
    <col min="11741" max="11741" width="9.125" style="1" customWidth="1"/>
    <col min="11742" max="11742" width="13.875" style="1" customWidth="1"/>
    <col min="11743" max="11743" width="13.5" style="1" customWidth="1"/>
    <col min="11744" max="11776" width="8.875" style="1"/>
    <col min="11777" max="11777" width="0" style="1" hidden="1" customWidth="1"/>
    <col min="11778" max="11778" width="6.625" style="1" customWidth="1"/>
    <col min="11779" max="11779" width="22.625" style="1" customWidth="1"/>
    <col min="11780" max="11780" width="7.625" style="1" customWidth="1"/>
    <col min="11781" max="11781" width="24.125" style="1" customWidth="1"/>
    <col min="11782" max="11782" width="25.125" style="1" customWidth="1"/>
    <col min="11783" max="11783" width="9.875" style="1" customWidth="1"/>
    <col min="11784" max="11784" width="15.625" style="1" customWidth="1"/>
    <col min="11785" max="11785" width="7.625" style="1" customWidth="1"/>
    <col min="11786" max="11787" width="9.625" style="1" customWidth="1"/>
    <col min="11788" max="11788" width="6.5" style="1" customWidth="1"/>
    <col min="11789" max="11789" width="8.125" style="1" customWidth="1"/>
    <col min="11790" max="11990" width="8.875" style="1"/>
    <col min="11991" max="11991" width="5" style="1" customWidth="1"/>
    <col min="11992" max="11992" width="33.375" style="1" customWidth="1"/>
    <col min="11993" max="11993" width="6.5" style="1" customWidth="1"/>
    <col min="11994" max="11994" width="29.5" style="1" customWidth="1"/>
    <col min="11995" max="11995" width="23.625" style="1" customWidth="1"/>
    <col min="11996" max="11996" width="8" style="1" customWidth="1"/>
    <col min="11997" max="11997" width="9.125" style="1" customWidth="1"/>
    <col min="11998" max="11998" width="13.875" style="1" customWidth="1"/>
    <col min="11999" max="11999" width="13.5" style="1" customWidth="1"/>
    <col min="12000" max="12032" width="8.875" style="1"/>
    <col min="12033" max="12033" width="0" style="1" hidden="1" customWidth="1"/>
    <col min="12034" max="12034" width="6.625" style="1" customWidth="1"/>
    <col min="12035" max="12035" width="22.625" style="1" customWidth="1"/>
    <col min="12036" max="12036" width="7.625" style="1" customWidth="1"/>
    <col min="12037" max="12037" width="24.125" style="1" customWidth="1"/>
    <col min="12038" max="12038" width="25.125" style="1" customWidth="1"/>
    <col min="12039" max="12039" width="9.875" style="1" customWidth="1"/>
    <col min="12040" max="12040" width="15.625" style="1" customWidth="1"/>
    <col min="12041" max="12041" width="7.625" style="1" customWidth="1"/>
    <col min="12042" max="12043" width="9.625" style="1" customWidth="1"/>
    <col min="12044" max="12044" width="6.5" style="1" customWidth="1"/>
    <col min="12045" max="12045" width="8.125" style="1" customWidth="1"/>
    <col min="12046" max="12246" width="8.875" style="1"/>
    <col min="12247" max="12247" width="5" style="1" customWidth="1"/>
    <col min="12248" max="12248" width="33.375" style="1" customWidth="1"/>
    <col min="12249" max="12249" width="6.5" style="1" customWidth="1"/>
    <col min="12250" max="12250" width="29.5" style="1" customWidth="1"/>
    <col min="12251" max="12251" width="23.625" style="1" customWidth="1"/>
    <col min="12252" max="12252" width="8" style="1" customWidth="1"/>
    <col min="12253" max="12253" width="9.125" style="1" customWidth="1"/>
    <col min="12254" max="12254" width="13.875" style="1" customWidth="1"/>
    <col min="12255" max="12255" width="13.5" style="1" customWidth="1"/>
    <col min="12256" max="12288" width="8.875" style="1"/>
    <col min="12289" max="12289" width="0" style="1" hidden="1" customWidth="1"/>
    <col min="12290" max="12290" width="6.625" style="1" customWidth="1"/>
    <col min="12291" max="12291" width="22.625" style="1" customWidth="1"/>
    <col min="12292" max="12292" width="7.625" style="1" customWidth="1"/>
    <col min="12293" max="12293" width="24.125" style="1" customWidth="1"/>
    <col min="12294" max="12294" width="25.125" style="1" customWidth="1"/>
    <col min="12295" max="12295" width="9.875" style="1" customWidth="1"/>
    <col min="12296" max="12296" width="15.625" style="1" customWidth="1"/>
    <col min="12297" max="12297" width="7.625" style="1" customWidth="1"/>
    <col min="12298" max="12299" width="9.625" style="1" customWidth="1"/>
    <col min="12300" max="12300" width="6.5" style="1" customWidth="1"/>
    <col min="12301" max="12301" width="8.125" style="1" customWidth="1"/>
    <col min="12302" max="12502" width="8.875" style="1"/>
    <col min="12503" max="12503" width="5" style="1" customWidth="1"/>
    <col min="12504" max="12504" width="33.375" style="1" customWidth="1"/>
    <col min="12505" max="12505" width="6.5" style="1" customWidth="1"/>
    <col min="12506" max="12506" width="29.5" style="1" customWidth="1"/>
    <col min="12507" max="12507" width="23.625" style="1" customWidth="1"/>
    <col min="12508" max="12508" width="8" style="1" customWidth="1"/>
    <col min="12509" max="12509" width="9.125" style="1" customWidth="1"/>
    <col min="12510" max="12510" width="13.875" style="1" customWidth="1"/>
    <col min="12511" max="12511" width="13.5" style="1" customWidth="1"/>
    <col min="12512" max="12544" width="8.875" style="1"/>
    <col min="12545" max="12545" width="0" style="1" hidden="1" customWidth="1"/>
    <col min="12546" max="12546" width="6.625" style="1" customWidth="1"/>
    <col min="12547" max="12547" width="22.625" style="1" customWidth="1"/>
    <col min="12548" max="12548" width="7.625" style="1" customWidth="1"/>
    <col min="12549" max="12549" width="24.125" style="1" customWidth="1"/>
    <col min="12550" max="12550" width="25.125" style="1" customWidth="1"/>
    <col min="12551" max="12551" width="9.875" style="1" customWidth="1"/>
    <col min="12552" max="12552" width="15.625" style="1" customWidth="1"/>
    <col min="12553" max="12553" width="7.625" style="1" customWidth="1"/>
    <col min="12554" max="12555" width="9.625" style="1" customWidth="1"/>
    <col min="12556" max="12556" width="6.5" style="1" customWidth="1"/>
    <col min="12557" max="12557" width="8.125" style="1" customWidth="1"/>
    <col min="12558" max="12758" width="8.875" style="1"/>
    <col min="12759" max="12759" width="5" style="1" customWidth="1"/>
    <col min="12760" max="12760" width="33.375" style="1" customWidth="1"/>
    <col min="12761" max="12761" width="6.5" style="1" customWidth="1"/>
    <col min="12762" max="12762" width="29.5" style="1" customWidth="1"/>
    <col min="12763" max="12763" width="23.625" style="1" customWidth="1"/>
    <col min="12764" max="12764" width="8" style="1" customWidth="1"/>
    <col min="12765" max="12765" width="9.125" style="1" customWidth="1"/>
    <col min="12766" max="12766" width="13.875" style="1" customWidth="1"/>
    <col min="12767" max="12767" width="13.5" style="1" customWidth="1"/>
    <col min="12768" max="12800" width="8.875" style="1"/>
    <col min="12801" max="12801" width="0" style="1" hidden="1" customWidth="1"/>
    <col min="12802" max="12802" width="6.625" style="1" customWidth="1"/>
    <col min="12803" max="12803" width="22.625" style="1" customWidth="1"/>
    <col min="12804" max="12804" width="7.625" style="1" customWidth="1"/>
    <col min="12805" max="12805" width="24.125" style="1" customWidth="1"/>
    <col min="12806" max="12806" width="25.125" style="1" customWidth="1"/>
    <col min="12807" max="12807" width="9.875" style="1" customWidth="1"/>
    <col min="12808" max="12808" width="15.625" style="1" customWidth="1"/>
    <col min="12809" max="12809" width="7.625" style="1" customWidth="1"/>
    <col min="12810" max="12811" width="9.625" style="1" customWidth="1"/>
    <col min="12812" max="12812" width="6.5" style="1" customWidth="1"/>
    <col min="12813" max="12813" width="8.125" style="1" customWidth="1"/>
    <col min="12814" max="13014" width="8.875" style="1"/>
    <col min="13015" max="13015" width="5" style="1" customWidth="1"/>
    <col min="13016" max="13016" width="33.375" style="1" customWidth="1"/>
    <col min="13017" max="13017" width="6.5" style="1" customWidth="1"/>
    <col min="13018" max="13018" width="29.5" style="1" customWidth="1"/>
    <col min="13019" max="13019" width="23.625" style="1" customWidth="1"/>
    <col min="13020" max="13020" width="8" style="1" customWidth="1"/>
    <col min="13021" max="13021" width="9.125" style="1" customWidth="1"/>
    <col min="13022" max="13022" width="13.875" style="1" customWidth="1"/>
    <col min="13023" max="13023" width="13.5" style="1" customWidth="1"/>
    <col min="13024" max="13056" width="8.875" style="1"/>
    <col min="13057" max="13057" width="0" style="1" hidden="1" customWidth="1"/>
    <col min="13058" max="13058" width="6.625" style="1" customWidth="1"/>
    <col min="13059" max="13059" width="22.625" style="1" customWidth="1"/>
    <col min="13060" max="13060" width="7.625" style="1" customWidth="1"/>
    <col min="13061" max="13061" width="24.125" style="1" customWidth="1"/>
    <col min="13062" max="13062" width="25.125" style="1" customWidth="1"/>
    <col min="13063" max="13063" width="9.875" style="1" customWidth="1"/>
    <col min="13064" max="13064" width="15.625" style="1" customWidth="1"/>
    <col min="13065" max="13065" width="7.625" style="1" customWidth="1"/>
    <col min="13066" max="13067" width="9.625" style="1" customWidth="1"/>
    <col min="13068" max="13068" width="6.5" style="1" customWidth="1"/>
    <col min="13069" max="13069" width="8.125" style="1" customWidth="1"/>
    <col min="13070" max="13270" width="8.875" style="1"/>
    <col min="13271" max="13271" width="5" style="1" customWidth="1"/>
    <col min="13272" max="13272" width="33.375" style="1" customWidth="1"/>
    <col min="13273" max="13273" width="6.5" style="1" customWidth="1"/>
    <col min="13274" max="13274" width="29.5" style="1" customWidth="1"/>
    <col min="13275" max="13275" width="23.625" style="1" customWidth="1"/>
    <col min="13276" max="13276" width="8" style="1" customWidth="1"/>
    <col min="13277" max="13277" width="9.125" style="1" customWidth="1"/>
    <col min="13278" max="13278" width="13.875" style="1" customWidth="1"/>
    <col min="13279" max="13279" width="13.5" style="1" customWidth="1"/>
    <col min="13280" max="13312" width="8.875" style="1"/>
    <col min="13313" max="13313" width="0" style="1" hidden="1" customWidth="1"/>
    <col min="13314" max="13314" width="6.625" style="1" customWidth="1"/>
    <col min="13315" max="13315" width="22.625" style="1" customWidth="1"/>
    <col min="13316" max="13316" width="7.625" style="1" customWidth="1"/>
    <col min="13317" max="13317" width="24.125" style="1" customWidth="1"/>
    <col min="13318" max="13318" width="25.125" style="1" customWidth="1"/>
    <col min="13319" max="13319" width="9.875" style="1" customWidth="1"/>
    <col min="13320" max="13320" width="15.625" style="1" customWidth="1"/>
    <col min="13321" max="13321" width="7.625" style="1" customWidth="1"/>
    <col min="13322" max="13323" width="9.625" style="1" customWidth="1"/>
    <col min="13324" max="13324" width="6.5" style="1" customWidth="1"/>
    <col min="13325" max="13325" width="8.125" style="1" customWidth="1"/>
    <col min="13326" max="13526" width="8.875" style="1"/>
    <col min="13527" max="13527" width="5" style="1" customWidth="1"/>
    <col min="13528" max="13528" width="33.375" style="1" customWidth="1"/>
    <col min="13529" max="13529" width="6.5" style="1" customWidth="1"/>
    <col min="13530" max="13530" width="29.5" style="1" customWidth="1"/>
    <col min="13531" max="13531" width="23.625" style="1" customWidth="1"/>
    <col min="13532" max="13532" width="8" style="1" customWidth="1"/>
    <col min="13533" max="13533" width="9.125" style="1" customWidth="1"/>
    <col min="13534" max="13534" width="13.875" style="1" customWidth="1"/>
    <col min="13535" max="13535" width="13.5" style="1" customWidth="1"/>
    <col min="13536" max="13568" width="8.875" style="1"/>
    <col min="13569" max="13569" width="0" style="1" hidden="1" customWidth="1"/>
    <col min="13570" max="13570" width="6.625" style="1" customWidth="1"/>
    <col min="13571" max="13571" width="22.625" style="1" customWidth="1"/>
    <col min="13572" max="13572" width="7.625" style="1" customWidth="1"/>
    <col min="13573" max="13573" width="24.125" style="1" customWidth="1"/>
    <col min="13574" max="13574" width="25.125" style="1" customWidth="1"/>
    <col min="13575" max="13575" width="9.875" style="1" customWidth="1"/>
    <col min="13576" max="13576" width="15.625" style="1" customWidth="1"/>
    <col min="13577" max="13577" width="7.625" style="1" customWidth="1"/>
    <col min="13578" max="13579" width="9.625" style="1" customWidth="1"/>
    <col min="13580" max="13580" width="6.5" style="1" customWidth="1"/>
    <col min="13581" max="13581" width="8.125" style="1" customWidth="1"/>
    <col min="13582" max="13782" width="8.875" style="1"/>
    <col min="13783" max="13783" width="5" style="1" customWidth="1"/>
    <col min="13784" max="13784" width="33.375" style="1" customWidth="1"/>
    <col min="13785" max="13785" width="6.5" style="1" customWidth="1"/>
    <col min="13786" max="13786" width="29.5" style="1" customWidth="1"/>
    <col min="13787" max="13787" width="23.625" style="1" customWidth="1"/>
    <col min="13788" max="13788" width="8" style="1" customWidth="1"/>
    <col min="13789" max="13789" width="9.125" style="1" customWidth="1"/>
    <col min="13790" max="13790" width="13.875" style="1" customWidth="1"/>
    <col min="13791" max="13791" width="13.5" style="1" customWidth="1"/>
    <col min="13792" max="13824" width="8.875" style="1"/>
    <col min="13825" max="13825" width="0" style="1" hidden="1" customWidth="1"/>
    <col min="13826" max="13826" width="6.625" style="1" customWidth="1"/>
    <col min="13827" max="13827" width="22.625" style="1" customWidth="1"/>
    <col min="13828" max="13828" width="7.625" style="1" customWidth="1"/>
    <col min="13829" max="13829" width="24.125" style="1" customWidth="1"/>
    <col min="13830" max="13830" width="25.125" style="1" customWidth="1"/>
    <col min="13831" max="13831" width="9.875" style="1" customWidth="1"/>
    <col min="13832" max="13832" width="15.625" style="1" customWidth="1"/>
    <col min="13833" max="13833" width="7.625" style="1" customWidth="1"/>
    <col min="13834" max="13835" width="9.625" style="1" customWidth="1"/>
    <col min="13836" max="13836" width="6.5" style="1" customWidth="1"/>
    <col min="13837" max="13837" width="8.125" style="1" customWidth="1"/>
    <col min="13838" max="14038" width="8.875" style="1"/>
    <col min="14039" max="14039" width="5" style="1" customWidth="1"/>
    <col min="14040" max="14040" width="33.375" style="1" customWidth="1"/>
    <col min="14041" max="14041" width="6.5" style="1" customWidth="1"/>
    <col min="14042" max="14042" width="29.5" style="1" customWidth="1"/>
    <col min="14043" max="14043" width="23.625" style="1" customWidth="1"/>
    <col min="14044" max="14044" width="8" style="1" customWidth="1"/>
    <col min="14045" max="14045" width="9.125" style="1" customWidth="1"/>
    <col min="14046" max="14046" width="13.875" style="1" customWidth="1"/>
    <col min="14047" max="14047" width="13.5" style="1" customWidth="1"/>
    <col min="14048" max="14080" width="8.875" style="1"/>
    <col min="14081" max="14081" width="0" style="1" hidden="1" customWidth="1"/>
    <col min="14082" max="14082" width="6.625" style="1" customWidth="1"/>
    <col min="14083" max="14083" width="22.625" style="1" customWidth="1"/>
    <col min="14084" max="14084" width="7.625" style="1" customWidth="1"/>
    <col min="14085" max="14085" width="24.125" style="1" customWidth="1"/>
    <col min="14086" max="14086" width="25.125" style="1" customWidth="1"/>
    <col min="14087" max="14087" width="9.875" style="1" customWidth="1"/>
    <col min="14088" max="14088" width="15.625" style="1" customWidth="1"/>
    <col min="14089" max="14089" width="7.625" style="1" customWidth="1"/>
    <col min="14090" max="14091" width="9.625" style="1" customWidth="1"/>
    <col min="14092" max="14092" width="6.5" style="1" customWidth="1"/>
    <col min="14093" max="14093" width="8.125" style="1" customWidth="1"/>
    <col min="14094" max="14294" width="8.875" style="1"/>
    <col min="14295" max="14295" width="5" style="1" customWidth="1"/>
    <col min="14296" max="14296" width="33.375" style="1" customWidth="1"/>
    <col min="14297" max="14297" width="6.5" style="1" customWidth="1"/>
    <col min="14298" max="14298" width="29.5" style="1" customWidth="1"/>
    <col min="14299" max="14299" width="23.625" style="1" customWidth="1"/>
    <col min="14300" max="14300" width="8" style="1" customWidth="1"/>
    <col min="14301" max="14301" width="9.125" style="1" customWidth="1"/>
    <col min="14302" max="14302" width="13.875" style="1" customWidth="1"/>
    <col min="14303" max="14303" width="13.5" style="1" customWidth="1"/>
    <col min="14304" max="14336" width="8.875" style="1"/>
    <col min="14337" max="14337" width="0" style="1" hidden="1" customWidth="1"/>
    <col min="14338" max="14338" width="6.625" style="1" customWidth="1"/>
    <col min="14339" max="14339" width="22.625" style="1" customWidth="1"/>
    <col min="14340" max="14340" width="7.625" style="1" customWidth="1"/>
    <col min="14341" max="14341" width="24.125" style="1" customWidth="1"/>
    <col min="14342" max="14342" width="25.125" style="1" customWidth="1"/>
    <col min="14343" max="14343" width="9.875" style="1" customWidth="1"/>
    <col min="14344" max="14344" width="15.625" style="1" customWidth="1"/>
    <col min="14345" max="14345" width="7.625" style="1" customWidth="1"/>
    <col min="14346" max="14347" width="9.625" style="1" customWidth="1"/>
    <col min="14348" max="14348" width="6.5" style="1" customWidth="1"/>
    <col min="14349" max="14349" width="8.125" style="1" customWidth="1"/>
    <col min="14350" max="14550" width="8.875" style="1"/>
    <col min="14551" max="14551" width="5" style="1" customWidth="1"/>
    <col min="14552" max="14552" width="33.375" style="1" customWidth="1"/>
    <col min="14553" max="14553" width="6.5" style="1" customWidth="1"/>
    <col min="14554" max="14554" width="29.5" style="1" customWidth="1"/>
    <col min="14555" max="14555" width="23.625" style="1" customWidth="1"/>
    <col min="14556" max="14556" width="8" style="1" customWidth="1"/>
    <col min="14557" max="14557" width="9.125" style="1" customWidth="1"/>
    <col min="14558" max="14558" width="13.875" style="1" customWidth="1"/>
    <col min="14559" max="14559" width="13.5" style="1" customWidth="1"/>
    <col min="14560" max="14592" width="8.875" style="1"/>
    <col min="14593" max="14593" width="0" style="1" hidden="1" customWidth="1"/>
    <col min="14594" max="14594" width="6.625" style="1" customWidth="1"/>
    <col min="14595" max="14595" width="22.625" style="1" customWidth="1"/>
    <col min="14596" max="14596" width="7.625" style="1" customWidth="1"/>
    <col min="14597" max="14597" width="24.125" style="1" customWidth="1"/>
    <col min="14598" max="14598" width="25.125" style="1" customWidth="1"/>
    <col min="14599" max="14599" width="9.875" style="1" customWidth="1"/>
    <col min="14600" max="14600" width="15.625" style="1" customWidth="1"/>
    <col min="14601" max="14601" width="7.625" style="1" customWidth="1"/>
    <col min="14602" max="14603" width="9.625" style="1" customWidth="1"/>
    <col min="14604" max="14604" width="6.5" style="1" customWidth="1"/>
    <col min="14605" max="14605" width="8.125" style="1" customWidth="1"/>
    <col min="14606" max="14806" width="8.875" style="1"/>
    <col min="14807" max="14807" width="5" style="1" customWidth="1"/>
    <col min="14808" max="14808" width="33.375" style="1" customWidth="1"/>
    <col min="14809" max="14809" width="6.5" style="1" customWidth="1"/>
    <col min="14810" max="14810" width="29.5" style="1" customWidth="1"/>
    <col min="14811" max="14811" width="23.625" style="1" customWidth="1"/>
    <col min="14812" max="14812" width="8" style="1" customWidth="1"/>
    <col min="14813" max="14813" width="9.125" style="1" customWidth="1"/>
    <col min="14814" max="14814" width="13.875" style="1" customWidth="1"/>
    <col min="14815" max="14815" width="13.5" style="1" customWidth="1"/>
    <col min="14816" max="14848" width="8.875" style="1"/>
    <col min="14849" max="14849" width="0" style="1" hidden="1" customWidth="1"/>
    <col min="14850" max="14850" width="6.625" style="1" customWidth="1"/>
    <col min="14851" max="14851" width="22.625" style="1" customWidth="1"/>
    <col min="14852" max="14852" width="7.625" style="1" customWidth="1"/>
    <col min="14853" max="14853" width="24.125" style="1" customWidth="1"/>
    <col min="14854" max="14854" width="25.125" style="1" customWidth="1"/>
    <col min="14855" max="14855" width="9.875" style="1" customWidth="1"/>
    <col min="14856" max="14856" width="15.625" style="1" customWidth="1"/>
    <col min="14857" max="14857" width="7.625" style="1" customWidth="1"/>
    <col min="14858" max="14859" width="9.625" style="1" customWidth="1"/>
    <col min="14860" max="14860" width="6.5" style="1" customWidth="1"/>
    <col min="14861" max="14861" width="8.125" style="1" customWidth="1"/>
    <col min="14862" max="15062" width="8.875" style="1"/>
    <col min="15063" max="15063" width="5" style="1" customWidth="1"/>
    <col min="15064" max="15064" width="33.375" style="1" customWidth="1"/>
    <col min="15065" max="15065" width="6.5" style="1" customWidth="1"/>
    <col min="15066" max="15066" width="29.5" style="1" customWidth="1"/>
    <col min="15067" max="15067" width="23.625" style="1" customWidth="1"/>
    <col min="15068" max="15068" width="8" style="1" customWidth="1"/>
    <col min="15069" max="15069" width="9.125" style="1" customWidth="1"/>
    <col min="15070" max="15070" width="13.875" style="1" customWidth="1"/>
    <col min="15071" max="15071" width="13.5" style="1" customWidth="1"/>
    <col min="15072" max="15104" width="8.875" style="1"/>
    <col min="15105" max="15105" width="0" style="1" hidden="1" customWidth="1"/>
    <col min="15106" max="15106" width="6.625" style="1" customWidth="1"/>
    <col min="15107" max="15107" width="22.625" style="1" customWidth="1"/>
    <col min="15108" max="15108" width="7.625" style="1" customWidth="1"/>
    <col min="15109" max="15109" width="24.125" style="1" customWidth="1"/>
    <col min="15110" max="15110" width="25.125" style="1" customWidth="1"/>
    <col min="15111" max="15111" width="9.875" style="1" customWidth="1"/>
    <col min="15112" max="15112" width="15.625" style="1" customWidth="1"/>
    <col min="15113" max="15113" width="7.625" style="1" customWidth="1"/>
    <col min="15114" max="15115" width="9.625" style="1" customWidth="1"/>
    <col min="15116" max="15116" width="6.5" style="1" customWidth="1"/>
    <col min="15117" max="15117" width="8.125" style="1" customWidth="1"/>
    <col min="15118" max="15318" width="8.875" style="1"/>
    <col min="15319" max="15319" width="5" style="1" customWidth="1"/>
    <col min="15320" max="15320" width="33.375" style="1" customWidth="1"/>
    <col min="15321" max="15321" width="6.5" style="1" customWidth="1"/>
    <col min="15322" max="15322" width="29.5" style="1" customWidth="1"/>
    <col min="15323" max="15323" width="23.625" style="1" customWidth="1"/>
    <col min="15324" max="15324" width="8" style="1" customWidth="1"/>
    <col min="15325" max="15325" width="9.125" style="1" customWidth="1"/>
    <col min="15326" max="15326" width="13.875" style="1" customWidth="1"/>
    <col min="15327" max="15327" width="13.5" style="1" customWidth="1"/>
    <col min="15328" max="15360" width="8.875" style="1"/>
    <col min="15361" max="15361" width="0" style="1" hidden="1" customWidth="1"/>
    <col min="15362" max="15362" width="6.625" style="1" customWidth="1"/>
    <col min="15363" max="15363" width="22.625" style="1" customWidth="1"/>
    <col min="15364" max="15364" width="7.625" style="1" customWidth="1"/>
    <col min="15365" max="15365" width="24.125" style="1" customWidth="1"/>
    <col min="15366" max="15366" width="25.125" style="1" customWidth="1"/>
    <col min="15367" max="15367" width="9.875" style="1" customWidth="1"/>
    <col min="15368" max="15368" width="15.625" style="1" customWidth="1"/>
    <col min="15369" max="15369" width="7.625" style="1" customWidth="1"/>
    <col min="15370" max="15371" width="9.625" style="1" customWidth="1"/>
    <col min="15372" max="15372" width="6.5" style="1" customWidth="1"/>
    <col min="15373" max="15373" width="8.125" style="1" customWidth="1"/>
    <col min="15374" max="15574" width="8.875" style="1"/>
    <col min="15575" max="15575" width="5" style="1" customWidth="1"/>
    <col min="15576" max="15576" width="33.375" style="1" customWidth="1"/>
    <col min="15577" max="15577" width="6.5" style="1" customWidth="1"/>
    <col min="15578" max="15578" width="29.5" style="1" customWidth="1"/>
    <col min="15579" max="15579" width="23.625" style="1" customWidth="1"/>
    <col min="15580" max="15580" width="8" style="1" customWidth="1"/>
    <col min="15581" max="15581" width="9.125" style="1" customWidth="1"/>
    <col min="15582" max="15582" width="13.875" style="1" customWidth="1"/>
    <col min="15583" max="15583" width="13.5" style="1" customWidth="1"/>
    <col min="15584" max="15616" width="8.875" style="1"/>
    <col min="15617" max="15617" width="0" style="1" hidden="1" customWidth="1"/>
    <col min="15618" max="15618" width="6.625" style="1" customWidth="1"/>
    <col min="15619" max="15619" width="22.625" style="1" customWidth="1"/>
    <col min="15620" max="15620" width="7.625" style="1" customWidth="1"/>
    <col min="15621" max="15621" width="24.125" style="1" customWidth="1"/>
    <col min="15622" max="15622" width="25.125" style="1" customWidth="1"/>
    <col min="15623" max="15623" width="9.875" style="1" customWidth="1"/>
    <col min="15624" max="15624" width="15.625" style="1" customWidth="1"/>
    <col min="15625" max="15625" width="7.625" style="1" customWidth="1"/>
    <col min="15626" max="15627" width="9.625" style="1" customWidth="1"/>
    <col min="15628" max="15628" width="6.5" style="1" customWidth="1"/>
    <col min="15629" max="15629" width="8.125" style="1" customWidth="1"/>
    <col min="15630" max="15830" width="8.875" style="1"/>
    <col min="15831" max="15831" width="5" style="1" customWidth="1"/>
    <col min="15832" max="15832" width="33.375" style="1" customWidth="1"/>
    <col min="15833" max="15833" width="6.5" style="1" customWidth="1"/>
    <col min="15834" max="15834" width="29.5" style="1" customWidth="1"/>
    <col min="15835" max="15835" width="23.625" style="1" customWidth="1"/>
    <col min="15836" max="15836" width="8" style="1" customWidth="1"/>
    <col min="15837" max="15837" width="9.125" style="1" customWidth="1"/>
    <col min="15838" max="15838" width="13.875" style="1" customWidth="1"/>
    <col min="15839" max="15839" width="13.5" style="1" customWidth="1"/>
    <col min="15840" max="15872" width="8.875" style="1"/>
    <col min="15873" max="15873" width="0" style="1" hidden="1" customWidth="1"/>
    <col min="15874" max="15874" width="6.625" style="1" customWidth="1"/>
    <col min="15875" max="15875" width="22.625" style="1" customWidth="1"/>
    <col min="15876" max="15876" width="7.625" style="1" customWidth="1"/>
    <col min="15877" max="15877" width="24.125" style="1" customWidth="1"/>
    <col min="15878" max="15878" width="25.125" style="1" customWidth="1"/>
    <col min="15879" max="15879" width="9.875" style="1" customWidth="1"/>
    <col min="15880" max="15880" width="15.625" style="1" customWidth="1"/>
    <col min="15881" max="15881" width="7.625" style="1" customWidth="1"/>
    <col min="15882" max="15883" width="9.625" style="1" customWidth="1"/>
    <col min="15884" max="15884" width="6.5" style="1" customWidth="1"/>
    <col min="15885" max="15885" width="8.125" style="1" customWidth="1"/>
    <col min="15886" max="16086" width="8.875" style="1"/>
    <col min="16087" max="16087" width="5" style="1" customWidth="1"/>
    <col min="16088" max="16088" width="33.375" style="1" customWidth="1"/>
    <col min="16089" max="16089" width="6.5" style="1" customWidth="1"/>
    <col min="16090" max="16090" width="29.5" style="1" customWidth="1"/>
    <col min="16091" max="16091" width="23.625" style="1" customWidth="1"/>
    <col min="16092" max="16092" width="8" style="1" customWidth="1"/>
    <col min="16093" max="16093" width="9.125" style="1" customWidth="1"/>
    <col min="16094" max="16094" width="13.875" style="1" customWidth="1"/>
    <col min="16095" max="16095" width="13.5" style="1" customWidth="1"/>
    <col min="16096" max="16128" width="8.875" style="1"/>
    <col min="16129" max="16129" width="0" style="1" hidden="1" customWidth="1"/>
    <col min="16130" max="16130" width="6.625" style="1" customWidth="1"/>
    <col min="16131" max="16131" width="22.625" style="1" customWidth="1"/>
    <col min="16132" max="16132" width="7.625" style="1" customWidth="1"/>
    <col min="16133" max="16133" width="24.125" style="1" customWidth="1"/>
    <col min="16134" max="16134" width="25.125" style="1" customWidth="1"/>
    <col min="16135" max="16135" width="9.875" style="1" customWidth="1"/>
    <col min="16136" max="16136" width="15.625" style="1" customWidth="1"/>
    <col min="16137" max="16137" width="7.625" style="1" customWidth="1"/>
    <col min="16138" max="16139" width="9.625" style="1" customWidth="1"/>
    <col min="16140" max="16140" width="6.5" style="1" customWidth="1"/>
    <col min="16141" max="16141" width="8.125" style="1" customWidth="1"/>
    <col min="16142" max="16342" width="8.875" style="1"/>
    <col min="16343" max="16343" width="5" style="1" customWidth="1"/>
    <col min="16344" max="16344" width="33.375" style="1" customWidth="1"/>
    <col min="16345" max="16345" width="6.5" style="1" customWidth="1"/>
    <col min="16346" max="16346" width="29.5" style="1" customWidth="1"/>
    <col min="16347" max="16347" width="23.625" style="1" customWidth="1"/>
    <col min="16348" max="16348" width="8" style="1" customWidth="1"/>
    <col min="16349" max="16349" width="9.125" style="1" customWidth="1"/>
    <col min="16350" max="16350" width="13.875" style="1" customWidth="1"/>
    <col min="16351" max="16351" width="13.5" style="1" customWidth="1"/>
    <col min="16352" max="16384" width="8.875" style="1"/>
  </cols>
  <sheetData>
    <row r="1" spans="2:17" s="31" customFormat="1" hidden="1">
      <c r="B1" s="30"/>
      <c r="C1" s="30"/>
      <c r="F1" s="30"/>
      <c r="I1" s="30"/>
      <c r="J1" s="30"/>
      <c r="K1" s="30"/>
      <c r="L1" s="30"/>
      <c r="M1" s="30"/>
    </row>
    <row r="2" spans="2:17" s="11" customFormat="1" hidden="1">
      <c r="B2" s="140" t="s">
        <v>253</v>
      </c>
      <c r="C2" s="140" t="s">
        <v>132</v>
      </c>
    </row>
    <row r="3" spans="2:17" s="11" customFormat="1" hidden="1">
      <c r="B3" s="209" t="s">
        <v>577</v>
      </c>
      <c r="C3" s="209" t="s">
        <v>255</v>
      </c>
    </row>
    <row r="4" spans="2:17" s="11" customFormat="1" hidden="1">
      <c r="B4" s="140" t="s">
        <v>256</v>
      </c>
      <c r="C4" s="140" t="s">
        <v>133</v>
      </c>
      <c r="L4" s="371"/>
    </row>
    <row r="5" spans="2:17" s="31" customFormat="1" ht="8.1" customHeight="1">
      <c r="B5" s="30"/>
      <c r="C5" s="30"/>
      <c r="F5" s="30"/>
      <c r="I5" s="30"/>
      <c r="J5" s="30"/>
      <c r="K5" s="30"/>
      <c r="L5" s="30"/>
      <c r="M5" s="30"/>
    </row>
    <row r="6" spans="2:17" s="43" customFormat="1" ht="18.75" customHeight="1">
      <c r="B6" s="92" t="s">
        <v>38</v>
      </c>
      <c r="C6" s="973" t="s">
        <v>578</v>
      </c>
      <c r="D6" s="974"/>
      <c r="E6" s="974"/>
      <c r="F6" s="83"/>
      <c r="G6" s="83"/>
      <c r="H6" s="83"/>
      <c r="I6" s="83"/>
      <c r="J6" s="83"/>
      <c r="K6" s="83"/>
      <c r="L6" s="83"/>
      <c r="M6" s="83"/>
    </row>
    <row r="7" spans="2:17" s="43" customFormat="1" ht="15.95" customHeight="1">
      <c r="B7" s="94"/>
      <c r="C7" s="510"/>
      <c r="D7" s="510"/>
      <c r="E7" s="510"/>
      <c r="F7" s="83"/>
      <c r="G7" s="83"/>
      <c r="H7" s="83"/>
      <c r="I7" s="83"/>
      <c r="J7" s="83"/>
      <c r="K7" s="83"/>
      <c r="L7" s="83"/>
      <c r="M7" s="83"/>
      <c r="N7" s="43" t="s">
        <v>625</v>
      </c>
      <c r="O7" s="43" t="s">
        <v>626</v>
      </c>
      <c r="P7" s="43" t="s">
        <v>627</v>
      </c>
      <c r="Q7" s="43" t="s">
        <v>628</v>
      </c>
    </row>
    <row r="8" spans="2:17" s="3" customFormat="1" ht="11.1" hidden="1" customHeight="1">
      <c r="C8" s="43"/>
      <c r="D8" s="7"/>
      <c r="E8" s="7"/>
      <c r="F8" s="7"/>
      <c r="G8" s="7"/>
      <c r="H8" s="7"/>
      <c r="I8" s="7"/>
      <c r="J8" s="7"/>
      <c r="K8" s="7"/>
      <c r="L8" s="7"/>
      <c r="M8" s="7"/>
    </row>
    <row r="9" spans="2:17" s="4" customFormat="1" ht="38.25">
      <c r="B9" s="337" t="s">
        <v>1</v>
      </c>
      <c r="C9" s="337" t="s">
        <v>31</v>
      </c>
      <c r="D9" s="337" t="s">
        <v>151</v>
      </c>
      <c r="E9" s="337" t="s">
        <v>165</v>
      </c>
      <c r="F9" s="337" t="s">
        <v>17</v>
      </c>
      <c r="G9" s="337" t="s">
        <v>36</v>
      </c>
      <c r="H9" s="337" t="s">
        <v>116</v>
      </c>
      <c r="I9" s="337" t="s">
        <v>19</v>
      </c>
      <c r="J9" s="337" t="s">
        <v>170</v>
      </c>
      <c r="K9" s="337" t="s">
        <v>164</v>
      </c>
      <c r="L9" s="337" t="s">
        <v>32</v>
      </c>
      <c r="M9" s="337" t="s">
        <v>20</v>
      </c>
      <c r="N9" s="337" t="s">
        <v>31</v>
      </c>
    </row>
    <row r="10" spans="2:17" s="41" customFormat="1" ht="20.100000000000001" customHeight="1">
      <c r="B10" s="214"/>
      <c r="C10" s="214" t="s">
        <v>6</v>
      </c>
      <c r="D10" s="215">
        <v>0.4</v>
      </c>
      <c r="E10" s="338"/>
      <c r="F10" s="339"/>
      <c r="G10" s="339"/>
      <c r="H10" s="340"/>
      <c r="I10" s="339"/>
      <c r="J10" s="214"/>
      <c r="K10" s="214"/>
      <c r="L10" s="341"/>
      <c r="M10" s="342">
        <v>0</v>
      </c>
      <c r="N10" s="214" t="s">
        <v>6</v>
      </c>
    </row>
    <row r="11" spans="2:17" ht="74.25" customHeight="1">
      <c r="B11" s="65">
        <v>1</v>
      </c>
      <c r="C11" s="343" t="s">
        <v>507</v>
      </c>
      <c r="D11" s="344">
        <v>0.2</v>
      </c>
      <c r="E11" s="488" t="s">
        <v>408</v>
      </c>
      <c r="F11" s="350" t="s">
        <v>330</v>
      </c>
      <c r="G11" s="489">
        <v>46387</v>
      </c>
      <c r="H11" s="349" t="s">
        <v>508</v>
      </c>
      <c r="I11" s="490" t="s">
        <v>326</v>
      </c>
      <c r="J11" s="346">
        <v>0.95</v>
      </c>
      <c r="K11" s="362"/>
      <c r="L11" s="352" t="str">
        <f>IF(LEN(K11)=0,"",IF(K11&gt;=J11,100%,0%))</f>
        <v/>
      </c>
      <c r="M11" s="344" t="str">
        <f>IFERROR(L11*D11,"")</f>
        <v/>
      </c>
      <c r="N11" s="343" t="s">
        <v>507</v>
      </c>
      <c r="O11" s="343" t="s">
        <v>507</v>
      </c>
      <c r="P11" s="343" t="s">
        <v>507</v>
      </c>
      <c r="Q11" s="343" t="s">
        <v>507</v>
      </c>
    </row>
    <row r="12" spans="2:17" ht="82.5" customHeight="1">
      <c r="B12" s="355">
        <v>2</v>
      </c>
      <c r="C12" s="343" t="s">
        <v>579</v>
      </c>
      <c r="D12" s="344">
        <v>0.2</v>
      </c>
      <c r="E12" s="488" t="s">
        <v>412</v>
      </c>
      <c r="F12" s="480" t="s">
        <v>580</v>
      </c>
      <c r="G12" s="489">
        <v>46387</v>
      </c>
      <c r="H12" s="349" t="s">
        <v>509</v>
      </c>
      <c r="I12" s="490" t="s">
        <v>326</v>
      </c>
      <c r="J12" s="346">
        <v>0.9</v>
      </c>
      <c r="K12" s="362"/>
      <c r="L12" s="491" t="str">
        <f>IF(LEN(K12)=0,"",IF(K12&lt;80%,0,MIN(120%,K12/J12*100%)))</f>
        <v/>
      </c>
      <c r="M12" s="344" t="str">
        <f>IFERROR(L12*D12,"")</f>
        <v/>
      </c>
      <c r="N12" s="360" t="s">
        <v>579</v>
      </c>
      <c r="O12" s="360" t="s">
        <v>579</v>
      </c>
      <c r="P12" s="360" t="s">
        <v>579</v>
      </c>
      <c r="Q12" s="360" t="s">
        <v>579</v>
      </c>
    </row>
    <row r="13" spans="2:17" ht="59.25" customHeight="1">
      <c r="B13" s="65">
        <v>3</v>
      </c>
      <c r="C13" s="343" t="s">
        <v>429</v>
      </c>
      <c r="D13" s="344">
        <v>0.2</v>
      </c>
      <c r="E13" s="492" t="s">
        <v>430</v>
      </c>
      <c r="F13" s="350" t="s">
        <v>413</v>
      </c>
      <c r="G13" s="489">
        <v>46387</v>
      </c>
      <c r="H13" s="349" t="s">
        <v>510</v>
      </c>
      <c r="I13" s="363" t="s">
        <v>414</v>
      </c>
      <c r="J13" s="364">
        <v>0</v>
      </c>
      <c r="K13" s="364"/>
      <c r="L13" s="365" t="str">
        <f>IF(LEN(K13)=0,"",IF(K13=J13,1,0))</f>
        <v/>
      </c>
      <c r="M13" s="344" t="str">
        <f>IFERROR(L13*D13,"")</f>
        <v/>
      </c>
      <c r="N13" s="343" t="s">
        <v>429</v>
      </c>
      <c r="O13" s="343" t="s">
        <v>429</v>
      </c>
      <c r="P13" s="343" t="s">
        <v>429</v>
      </c>
      <c r="Q13" s="343" t="s">
        <v>429</v>
      </c>
    </row>
    <row r="14" spans="2:17" ht="80.25" customHeight="1">
      <c r="B14" s="65">
        <v>4</v>
      </c>
      <c r="C14" s="343" t="s">
        <v>418</v>
      </c>
      <c r="D14" s="344">
        <v>0.15</v>
      </c>
      <c r="E14" s="488" t="s">
        <v>431</v>
      </c>
      <c r="F14" s="350" t="s">
        <v>413</v>
      </c>
      <c r="G14" s="489">
        <v>46387</v>
      </c>
      <c r="H14" s="349" t="s">
        <v>511</v>
      </c>
      <c r="I14" s="363" t="s">
        <v>414</v>
      </c>
      <c r="J14" s="364">
        <v>0</v>
      </c>
      <c r="K14" s="364"/>
      <c r="L14" s="365" t="str">
        <f>IF(LEN(K14)=0,"",IF(K14=J14,1,0))</f>
        <v/>
      </c>
      <c r="M14" s="344" t="str">
        <f>IFERROR(L14*D14,"")</f>
        <v/>
      </c>
      <c r="N14" s="343" t="s">
        <v>418</v>
      </c>
      <c r="O14" s="343" t="s">
        <v>418</v>
      </c>
      <c r="P14" s="343" t="s">
        <v>418</v>
      </c>
      <c r="Q14" s="343" t="s">
        <v>418</v>
      </c>
    </row>
    <row r="15" spans="2:17" ht="66.75" customHeight="1">
      <c r="B15" s="65">
        <v>5</v>
      </c>
      <c r="C15" s="343" t="s">
        <v>581</v>
      </c>
      <c r="D15" s="344">
        <v>0.25</v>
      </c>
      <c r="E15" s="492" t="s">
        <v>582</v>
      </c>
      <c r="F15" s="350" t="s">
        <v>342</v>
      </c>
      <c r="G15" s="489">
        <v>46112</v>
      </c>
      <c r="H15" s="349" t="s">
        <v>511</v>
      </c>
      <c r="I15" s="490" t="s">
        <v>343</v>
      </c>
      <c r="J15" s="493">
        <v>46112</v>
      </c>
      <c r="K15" s="493"/>
      <c r="L15" s="494" t="str">
        <f>IF(LEN(K15)=0,"",IF(K15&lt;=J15,1,0))</f>
        <v/>
      </c>
      <c r="M15" s="344" t="str">
        <f>IFERROR(L15*D15,"")</f>
        <v/>
      </c>
      <c r="N15" s="343" t="s">
        <v>581</v>
      </c>
    </row>
    <row r="16" spans="2:17" s="41" customFormat="1" ht="20.100000000000001" customHeight="1">
      <c r="B16" s="214"/>
      <c r="C16" s="214" t="s">
        <v>5</v>
      </c>
      <c r="D16" s="215">
        <v>0.25</v>
      </c>
      <c r="E16" s="338"/>
      <c r="F16" s="339"/>
      <c r="G16" s="339"/>
      <c r="H16" s="340"/>
      <c r="I16" s="339"/>
      <c r="J16" s="214"/>
      <c r="K16" s="214"/>
      <c r="L16" s="341"/>
      <c r="M16" s="342">
        <v>0</v>
      </c>
      <c r="N16" s="214" t="s">
        <v>5</v>
      </c>
    </row>
    <row r="17" spans="2:17" ht="53.25" customHeight="1">
      <c r="B17" s="65">
        <v>1</v>
      </c>
      <c r="C17" s="343" t="s">
        <v>583</v>
      </c>
      <c r="D17" s="344">
        <v>0.4</v>
      </c>
      <c r="E17" s="492" t="s">
        <v>584</v>
      </c>
      <c r="F17" s="350" t="s">
        <v>341</v>
      </c>
      <c r="G17" s="489">
        <v>46387</v>
      </c>
      <c r="H17" s="349" t="s">
        <v>585</v>
      </c>
      <c r="I17" s="490" t="s">
        <v>326</v>
      </c>
      <c r="J17" s="369">
        <v>0.02</v>
      </c>
      <c r="K17" s="370"/>
      <c r="L17" s="345" t="str">
        <f>IF(LEN(K17)=0,"",MAX(0%,IF(K17&lt;J17,0,(MIN(120%,K17/J17*100%)))))</f>
        <v/>
      </c>
      <c r="M17" s="344" t="str">
        <f>IFERROR(L17*D17,"")</f>
        <v/>
      </c>
      <c r="N17" s="343" t="s">
        <v>599</v>
      </c>
      <c r="O17" s="343" t="s">
        <v>629</v>
      </c>
      <c r="P17" s="343" t="s">
        <v>630</v>
      </c>
      <c r="Q17" s="343" t="s">
        <v>631</v>
      </c>
    </row>
    <row r="18" spans="2:17" ht="51">
      <c r="B18" s="65">
        <v>2</v>
      </c>
      <c r="C18" s="343" t="s">
        <v>421</v>
      </c>
      <c r="D18" s="344">
        <v>0.4</v>
      </c>
      <c r="E18" s="492" t="s">
        <v>436</v>
      </c>
      <c r="F18" s="350" t="s">
        <v>435</v>
      </c>
      <c r="G18" s="489">
        <v>46387</v>
      </c>
      <c r="H18" s="349" t="s">
        <v>511</v>
      </c>
      <c r="I18" s="490" t="s">
        <v>326</v>
      </c>
      <c r="J18" s="346">
        <v>1</v>
      </c>
      <c r="K18" s="346"/>
      <c r="L18" s="494" t="str">
        <f>IF(LEN(K18)=0,"",IF(K18&lt;=J18,1,0))</f>
        <v/>
      </c>
      <c r="M18" s="344" t="str">
        <f>IFERROR(L18*D18,"")</f>
        <v/>
      </c>
      <c r="N18" s="343"/>
      <c r="O18" s="343" t="s">
        <v>421</v>
      </c>
      <c r="P18" s="343" t="s">
        <v>421</v>
      </c>
    </row>
    <row r="19" spans="2:17" s="13" customFormat="1" ht="69" customHeight="1">
      <c r="B19" s="502">
        <v>3</v>
      </c>
      <c r="C19" s="503" t="s">
        <v>586</v>
      </c>
      <c r="D19" s="504">
        <v>0.2</v>
      </c>
      <c r="E19" s="505" t="s">
        <v>632</v>
      </c>
      <c r="F19" s="506" t="s">
        <v>587</v>
      </c>
      <c r="G19" s="635">
        <v>46387</v>
      </c>
      <c r="H19" s="507" t="s">
        <v>511</v>
      </c>
      <c r="I19" s="508" t="s">
        <v>326</v>
      </c>
      <c r="J19" s="636">
        <v>0.05</v>
      </c>
      <c r="K19" s="509"/>
      <c r="L19" s="637" t="str">
        <f>IF(LEN(K19)=0,"",MAX(0%,IF(K19&lt;J19,K19/J19*100%,(MIN(120%,K19/J19*100%)))))</f>
        <v/>
      </c>
      <c r="M19" s="504" t="str">
        <f>IFERROR(L19*D19,"")</f>
        <v/>
      </c>
      <c r="N19" s="343" t="s">
        <v>623</v>
      </c>
      <c r="O19" s="343" t="s">
        <v>633</v>
      </c>
      <c r="P19" s="343" t="s">
        <v>634</v>
      </c>
      <c r="Q19" s="343" t="s">
        <v>635</v>
      </c>
    </row>
    <row r="20" spans="2:17" s="41" customFormat="1" ht="20.100000000000001" customHeight="1">
      <c r="B20" s="214"/>
      <c r="C20" s="214" t="s">
        <v>7</v>
      </c>
      <c r="D20" s="215">
        <v>0.15</v>
      </c>
      <c r="E20" s="338"/>
      <c r="F20" s="339"/>
      <c r="G20" s="339"/>
      <c r="H20" s="340"/>
      <c r="I20" s="339"/>
      <c r="J20" s="214"/>
      <c r="K20" s="214"/>
      <c r="L20" s="341"/>
      <c r="M20" s="342">
        <v>0</v>
      </c>
      <c r="N20" s="214" t="s">
        <v>7</v>
      </c>
    </row>
    <row r="21" spans="2:17" ht="89.25">
      <c r="B21" s="65">
        <v>1</v>
      </c>
      <c r="C21" s="343" t="s">
        <v>588</v>
      </c>
      <c r="D21" s="344">
        <v>0.25</v>
      </c>
      <c r="E21" s="492" t="s">
        <v>432</v>
      </c>
      <c r="F21" s="350" t="s">
        <v>589</v>
      </c>
      <c r="G21" s="489">
        <v>46387</v>
      </c>
      <c r="H21" s="349" t="s">
        <v>590</v>
      </c>
      <c r="I21" s="363" t="s">
        <v>414</v>
      </c>
      <c r="J21" s="364">
        <v>4</v>
      </c>
      <c r="K21" s="364"/>
      <c r="L21" s="365" t="str">
        <f>IF(LEN(K21)=0,"",IF(K21&lt;=J21,1,0))</f>
        <v/>
      </c>
      <c r="M21" s="344" t="str">
        <f>IFERROR(L21*D21,"")</f>
        <v/>
      </c>
      <c r="N21" s="361" t="s">
        <v>601</v>
      </c>
      <c r="O21" s="361" t="s">
        <v>601</v>
      </c>
      <c r="P21" s="361" t="s">
        <v>601</v>
      </c>
      <c r="Q21" s="361" t="s">
        <v>601</v>
      </c>
    </row>
    <row r="22" spans="2:17" ht="57" customHeight="1">
      <c r="B22" s="65">
        <v>2</v>
      </c>
      <c r="C22" s="343" t="s">
        <v>424</v>
      </c>
      <c r="D22" s="344">
        <v>0.15</v>
      </c>
      <c r="E22" s="492" t="s">
        <v>518</v>
      </c>
      <c r="F22" s="350" t="s">
        <v>413</v>
      </c>
      <c r="G22" s="489">
        <v>46112</v>
      </c>
      <c r="H22" s="349" t="s">
        <v>513</v>
      </c>
      <c r="I22" s="490" t="s">
        <v>343</v>
      </c>
      <c r="J22" s="495">
        <v>46112</v>
      </c>
      <c r="K22" s="364"/>
      <c r="L22" s="365" t="str">
        <f>IF(LEN(K22)=0,"",IF(K22=J22,1,0))</f>
        <v/>
      </c>
      <c r="M22" s="344" t="str">
        <f>IFERROR(L22*D22,"")</f>
        <v/>
      </c>
      <c r="N22" s="343"/>
      <c r="O22" s="343" t="s">
        <v>424</v>
      </c>
      <c r="P22" s="343" t="s">
        <v>424</v>
      </c>
    </row>
    <row r="23" spans="2:17" ht="82.5" customHeight="1">
      <c r="B23" s="65">
        <v>3</v>
      </c>
      <c r="C23" s="343" t="s">
        <v>391</v>
      </c>
      <c r="D23" s="344">
        <v>0.2</v>
      </c>
      <c r="E23" s="492" t="s">
        <v>340</v>
      </c>
      <c r="F23" s="350" t="s">
        <v>333</v>
      </c>
      <c r="G23" s="489">
        <v>46387</v>
      </c>
      <c r="H23" s="349" t="s">
        <v>514</v>
      </c>
      <c r="I23" s="490" t="s">
        <v>343</v>
      </c>
      <c r="J23" s="357">
        <v>5</v>
      </c>
      <c r="K23" s="357"/>
      <c r="L23" s="345" t="str">
        <f>IF(LEN(K23)=0,"",IF(K23&gt;J23,0,MIN(120%,J23/K23*100%)))</f>
        <v/>
      </c>
      <c r="M23" s="344" t="str">
        <f>IFERROR(L23*D23,"")</f>
        <v/>
      </c>
      <c r="N23" s="343" t="s">
        <v>391</v>
      </c>
      <c r="O23" s="343" t="s">
        <v>391</v>
      </c>
      <c r="P23" s="343" t="s">
        <v>391</v>
      </c>
      <c r="Q23" s="343" t="s">
        <v>391</v>
      </c>
    </row>
    <row r="24" spans="2:17" ht="54.75" customHeight="1">
      <c r="B24" s="65">
        <v>4</v>
      </c>
      <c r="C24" s="343" t="s">
        <v>392</v>
      </c>
      <c r="D24" s="344">
        <v>0.15</v>
      </c>
      <c r="E24" s="492" t="s">
        <v>354</v>
      </c>
      <c r="F24" s="350" t="s">
        <v>319</v>
      </c>
      <c r="G24" s="489">
        <v>46387</v>
      </c>
      <c r="H24" s="349" t="s">
        <v>514</v>
      </c>
      <c r="I24" s="490" t="s">
        <v>326</v>
      </c>
      <c r="J24" s="346">
        <v>0.05</v>
      </c>
      <c r="K24" s="496"/>
      <c r="L24" s="345" t="str">
        <f>IF(LEN(K24)=0,"",IF(K24&lt;J24*80%,0,MIN(120%,K24/J24*100%)))</f>
        <v/>
      </c>
      <c r="M24" s="344" t="str">
        <f>IFERROR(L24*D24,"")</f>
        <v/>
      </c>
      <c r="N24" s="343" t="s">
        <v>602</v>
      </c>
      <c r="O24" s="343" t="s">
        <v>602</v>
      </c>
      <c r="P24" s="343" t="s">
        <v>602</v>
      </c>
      <c r="Q24" s="343" t="s">
        <v>602</v>
      </c>
    </row>
    <row r="25" spans="2:17" ht="51">
      <c r="B25" s="65">
        <v>5</v>
      </c>
      <c r="C25" s="343" t="s">
        <v>591</v>
      </c>
      <c r="D25" s="344">
        <v>0.25</v>
      </c>
      <c r="E25" s="492" t="s">
        <v>434</v>
      </c>
      <c r="F25" s="350" t="s">
        <v>592</v>
      </c>
      <c r="G25" s="489">
        <v>46387</v>
      </c>
      <c r="H25" s="349" t="s">
        <v>515</v>
      </c>
      <c r="I25" s="490" t="s">
        <v>326</v>
      </c>
      <c r="J25" s="358">
        <v>0.8</v>
      </c>
      <c r="K25" s="358"/>
      <c r="L25" s="345" t="str">
        <f>IF(LEN(K25)=0,"",IF(K25&lt;J25,0,MIN(120%,K25/J25*100%)))</f>
        <v/>
      </c>
      <c r="M25" s="344" t="str">
        <f>IFERROR(L25*D25,"")</f>
        <v/>
      </c>
      <c r="N25" s="343" t="s">
        <v>603</v>
      </c>
      <c r="O25" s="343" t="s">
        <v>603</v>
      </c>
      <c r="P25" s="343" t="s">
        <v>603</v>
      </c>
      <c r="Q25" s="343" t="s">
        <v>603</v>
      </c>
    </row>
    <row r="26" spans="2:17" s="41" customFormat="1" ht="20.100000000000001" customHeight="1">
      <c r="B26" s="214"/>
      <c r="C26" s="214" t="s">
        <v>406</v>
      </c>
      <c r="D26" s="215">
        <v>0.2</v>
      </c>
      <c r="E26" s="338"/>
      <c r="F26" s="339"/>
      <c r="G26" s="339"/>
      <c r="H26" s="340"/>
      <c r="I26" s="339"/>
      <c r="J26" s="214"/>
      <c r="K26" s="214"/>
      <c r="L26" s="341"/>
      <c r="M26" s="342">
        <v>0</v>
      </c>
      <c r="N26" s="214" t="s">
        <v>406</v>
      </c>
    </row>
    <row r="27" spans="2:17" ht="64.5" customHeight="1">
      <c r="B27" s="65">
        <v>1</v>
      </c>
      <c r="C27" s="343" t="s">
        <v>593</v>
      </c>
      <c r="D27" s="344">
        <v>0.4</v>
      </c>
      <c r="E27" s="492" t="s">
        <v>594</v>
      </c>
      <c r="F27" s="350" t="s">
        <v>342</v>
      </c>
      <c r="G27" s="489">
        <v>46387</v>
      </c>
      <c r="H27" s="349" t="s">
        <v>88</v>
      </c>
      <c r="I27" s="490" t="s">
        <v>343</v>
      </c>
      <c r="J27" s="353">
        <v>46387</v>
      </c>
      <c r="K27" s="353"/>
      <c r="L27" s="494" t="str">
        <f>IF(LEN(K27)=0,"",IF(K27&lt;=J27,1,0))</f>
        <v/>
      </c>
      <c r="M27" s="344" t="str">
        <f>IFERROR(L27*D27,"")</f>
        <v/>
      </c>
      <c r="N27" s="492" t="s">
        <v>594</v>
      </c>
      <c r="O27" s="492" t="s">
        <v>594</v>
      </c>
    </row>
    <row r="28" spans="2:17" ht="94.5" customHeight="1">
      <c r="B28" s="65">
        <v>2</v>
      </c>
      <c r="C28" s="343" t="s">
        <v>595</v>
      </c>
      <c r="D28" s="344">
        <v>0.15</v>
      </c>
      <c r="E28" s="488" t="s">
        <v>433</v>
      </c>
      <c r="F28" s="350" t="s">
        <v>342</v>
      </c>
      <c r="G28" s="489">
        <v>46387</v>
      </c>
      <c r="H28" s="349" t="s">
        <v>516</v>
      </c>
      <c r="I28" s="490" t="s">
        <v>343</v>
      </c>
      <c r="J28" s="353">
        <v>46387</v>
      </c>
      <c r="K28" s="353"/>
      <c r="L28" s="494" t="str">
        <f>IF(LEN(K28)=0,"",IF(K28&lt;=J28,1,0))</f>
        <v/>
      </c>
      <c r="M28" s="344" t="str">
        <f>IFERROR(L28*D28,"")</f>
        <v/>
      </c>
      <c r="N28" s="498" t="e">
        <f>'[1]A7.4.Mục tiêu Phòng Q1.26'!P27</f>
        <v>#REF!</v>
      </c>
      <c r="O28" s="343" t="s">
        <v>595</v>
      </c>
      <c r="P28" s="343" t="s">
        <v>595</v>
      </c>
    </row>
    <row r="29" spans="2:17" ht="51.75" customHeight="1">
      <c r="B29" s="65">
        <v>3</v>
      </c>
      <c r="C29" s="343" t="s">
        <v>398</v>
      </c>
      <c r="D29" s="344">
        <v>0.2</v>
      </c>
      <c r="E29" s="492" t="s">
        <v>317</v>
      </c>
      <c r="F29" s="350" t="s">
        <v>330</v>
      </c>
      <c r="G29" s="489">
        <v>46387</v>
      </c>
      <c r="H29" s="349" t="s">
        <v>517</v>
      </c>
      <c r="I29" s="490" t="s">
        <v>346</v>
      </c>
      <c r="J29" s="368">
        <v>3</v>
      </c>
      <c r="K29" s="368"/>
      <c r="L29" s="352" t="str">
        <f>IF(LEN(K29)=0,"",IF(K29&gt;=J29,100%,0%))</f>
        <v/>
      </c>
      <c r="M29" s="344" t="str">
        <f>IFERROR(L29*D29,"")</f>
        <v/>
      </c>
      <c r="N29" s="498">
        <f>'[1]A7.4.Mục tiêu Phòng Q1.26'!P28</f>
        <v>0</v>
      </c>
      <c r="O29" s="343" t="s">
        <v>437</v>
      </c>
      <c r="P29" s="343" t="s">
        <v>608</v>
      </c>
    </row>
    <row r="30" spans="2:17" ht="51.75" customHeight="1">
      <c r="B30" s="65">
        <v>4</v>
      </c>
      <c r="C30" s="343" t="s">
        <v>596</v>
      </c>
      <c r="D30" s="344">
        <v>0.25</v>
      </c>
      <c r="E30" s="492" t="s">
        <v>597</v>
      </c>
      <c r="F30" s="350" t="s">
        <v>330</v>
      </c>
      <c r="G30" s="489">
        <v>46387</v>
      </c>
      <c r="H30" s="349" t="s">
        <v>515</v>
      </c>
      <c r="I30" s="490" t="s">
        <v>414</v>
      </c>
      <c r="J30" s="367">
        <v>1</v>
      </c>
      <c r="K30" s="367"/>
      <c r="L30" s="352" t="str">
        <f>IF(LEN(K30)=0,"",IF(K30&gt;=J30,100%,0%))</f>
        <v/>
      </c>
      <c r="M30" s="344" t="str">
        <f>IFERROR(L30*D30,"")</f>
        <v/>
      </c>
      <c r="N30" s="498">
        <f>'[1]A7.4.Mục tiêu Phòng Q1.26'!P29</f>
        <v>0</v>
      </c>
      <c r="O30" s="343"/>
      <c r="P30" s="343" t="s">
        <v>596</v>
      </c>
    </row>
    <row r="31" spans="2:17" s="41" customFormat="1" ht="20.100000000000001" customHeight="1">
      <c r="B31" s="214" t="s">
        <v>33</v>
      </c>
      <c r="C31" s="214"/>
      <c r="D31" s="215">
        <v>1</v>
      </c>
      <c r="E31" s="338"/>
      <c r="F31" s="339"/>
      <c r="G31" s="339"/>
      <c r="H31" s="340"/>
      <c r="I31" s="339"/>
      <c r="J31" s="214"/>
      <c r="K31" s="214"/>
      <c r="L31" s="341"/>
      <c r="M31" s="497">
        <v>0</v>
      </c>
      <c r="N31" s="214"/>
    </row>
    <row r="32" spans="2:17">
      <c r="B32" s="5"/>
      <c r="C32" s="5"/>
      <c r="D32" s="5"/>
      <c r="E32" s="5"/>
      <c r="F32" s="6"/>
      <c r="G32" s="6"/>
      <c r="H32" s="5"/>
      <c r="I32" s="5"/>
      <c r="J32" s="5"/>
      <c r="K32" s="5"/>
      <c r="L32" s="5"/>
      <c r="M32" s="6"/>
    </row>
    <row r="33" spans="2:13" ht="15.95" customHeight="1">
      <c r="B33" s="5"/>
      <c r="C33" s="975" t="s">
        <v>536</v>
      </c>
      <c r="D33" s="975"/>
      <c r="E33" s="38"/>
      <c r="F33" s="975" t="s">
        <v>537</v>
      </c>
      <c r="G33" s="975"/>
      <c r="H33" s="975"/>
      <c r="I33" s="37"/>
      <c r="J33" s="975" t="s">
        <v>538</v>
      </c>
      <c r="K33" s="975"/>
      <c r="L33" s="975"/>
      <c r="M33" s="975"/>
    </row>
    <row r="34" spans="2:13" ht="15.95" customHeight="1">
      <c r="B34" s="5"/>
      <c r="C34" s="975"/>
      <c r="D34" s="975"/>
      <c r="E34" s="5"/>
      <c r="I34" s="6"/>
      <c r="J34" s="975"/>
      <c r="K34" s="975"/>
      <c r="L34" s="975"/>
      <c r="M34" s="975"/>
    </row>
    <row r="35" spans="2:13">
      <c r="B35" s="5"/>
      <c r="C35" s="5"/>
      <c r="D35" s="5"/>
      <c r="E35" s="5"/>
      <c r="F35" s="6"/>
      <c r="G35" s="6"/>
      <c r="H35" s="5"/>
      <c r="I35" s="5"/>
      <c r="J35" s="5"/>
      <c r="K35" s="5"/>
      <c r="L35" s="5"/>
      <c r="M35" s="6"/>
    </row>
    <row r="36" spans="2:13">
      <c r="B36" s="5"/>
      <c r="C36" s="5"/>
      <c r="D36" s="5"/>
      <c r="E36" s="5"/>
      <c r="F36" s="6"/>
      <c r="G36" s="6"/>
      <c r="H36" s="5"/>
      <c r="I36" s="5"/>
      <c r="J36" s="5"/>
      <c r="K36" s="5"/>
      <c r="L36" s="5"/>
      <c r="M36" s="6"/>
    </row>
    <row r="37" spans="2:13">
      <c r="B37" s="5"/>
      <c r="C37" s="5"/>
      <c r="D37" s="5"/>
      <c r="E37" s="5"/>
      <c r="F37" s="6"/>
      <c r="G37" s="6"/>
      <c r="H37" s="5"/>
      <c r="I37" s="5"/>
      <c r="J37" s="5"/>
      <c r="K37" s="5"/>
      <c r="L37" s="5"/>
      <c r="M37" s="6"/>
    </row>
    <row r="38" spans="2:13">
      <c r="B38" s="5"/>
      <c r="C38" s="5"/>
      <c r="D38" s="5"/>
      <c r="E38" s="5"/>
      <c r="F38" s="6"/>
      <c r="G38" s="6"/>
      <c r="H38" s="5"/>
      <c r="I38" s="5"/>
      <c r="J38" s="5"/>
      <c r="K38" s="5"/>
      <c r="L38" s="5"/>
      <c r="M38" s="6"/>
    </row>
    <row r="39" spans="2:13">
      <c r="B39" s="5"/>
      <c r="C39" s="5"/>
      <c r="D39" s="5"/>
      <c r="E39" s="5"/>
      <c r="F39" s="6"/>
      <c r="G39" s="6"/>
      <c r="H39" s="5"/>
      <c r="I39" s="5"/>
      <c r="J39" s="5"/>
      <c r="K39" s="5"/>
      <c r="L39" s="5"/>
      <c r="M39" s="6"/>
    </row>
    <row r="40" spans="2:13" ht="15.95" customHeight="1">
      <c r="B40" s="5"/>
      <c r="C40" s="972" t="s">
        <v>29</v>
      </c>
      <c r="D40" s="972"/>
      <c r="E40" s="5"/>
      <c r="F40" s="972" t="s">
        <v>29</v>
      </c>
      <c r="G40" s="972"/>
      <c r="H40" s="972"/>
      <c r="I40" s="6"/>
      <c r="J40" s="5"/>
      <c r="K40" s="5" t="s">
        <v>29</v>
      </c>
      <c r="L40" s="5"/>
      <c r="M40" s="5"/>
    </row>
    <row r="41" spans="2:13">
      <c r="B41" s="5"/>
      <c r="C41" s="5"/>
      <c r="D41" s="5"/>
      <c r="E41" s="5"/>
      <c r="F41" s="6"/>
      <c r="G41" s="6"/>
      <c r="H41" s="5"/>
      <c r="I41" s="5"/>
      <c r="J41" s="5"/>
      <c r="K41" s="5"/>
      <c r="L41" s="5"/>
      <c r="M41" s="6"/>
    </row>
  </sheetData>
  <mergeCells count="8">
    <mergeCell ref="J33:M33"/>
    <mergeCell ref="C34:D34"/>
    <mergeCell ref="J34:M34"/>
    <mergeCell ref="C40:D40"/>
    <mergeCell ref="F40:H40"/>
    <mergeCell ref="C6:E6"/>
    <mergeCell ref="C33:D33"/>
    <mergeCell ref="F33:H33"/>
  </mergeCells>
  <pageMargins left="0.7" right="0.7" top="0.75" bottom="0.75" header="0.3" footer="0.3"/>
  <pageSetup paperSize="9" scale="7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2:Q43"/>
  <sheetViews>
    <sheetView showGridLines="0" workbookViewId="0">
      <selection activeCell="H19" sqref="H19"/>
    </sheetView>
  </sheetViews>
  <sheetFormatPr defaultColWidth="8.875" defaultRowHeight="12.75"/>
  <cols>
    <col min="1" max="1" width="2.5" style="11" customWidth="1"/>
    <col min="2" max="2" width="6.375" style="11" customWidth="1"/>
    <col min="3" max="3" width="21.625" style="11" customWidth="1"/>
    <col min="4" max="4" width="7.375" style="17" customWidth="1"/>
    <col min="5" max="16" width="12.625" style="11" customWidth="1"/>
    <col min="17" max="225" width="8.875" style="11"/>
    <col min="226" max="226" width="5" style="11" customWidth="1"/>
    <col min="227" max="227" width="33.375" style="11" customWidth="1"/>
    <col min="228" max="228" width="6.5" style="11" customWidth="1"/>
    <col min="229" max="229" width="29.5" style="11" customWidth="1"/>
    <col min="230" max="230" width="23.625" style="11" customWidth="1"/>
    <col min="231" max="231" width="8" style="11" customWidth="1"/>
    <col min="232" max="232" width="9.125" style="11" customWidth="1"/>
    <col min="233" max="233" width="13.875" style="11" customWidth="1"/>
    <col min="234" max="234" width="13.5" style="11" customWidth="1"/>
    <col min="235" max="481" width="8.875" style="11"/>
    <col min="482" max="482" width="5" style="11" customWidth="1"/>
    <col min="483" max="483" width="33.375" style="11" customWidth="1"/>
    <col min="484" max="484" width="6.5" style="11" customWidth="1"/>
    <col min="485" max="485" width="29.5" style="11" customWidth="1"/>
    <col min="486" max="486" width="23.625" style="11" customWidth="1"/>
    <col min="487" max="487" width="8" style="11" customWidth="1"/>
    <col min="488" max="488" width="9.125" style="11" customWidth="1"/>
    <col min="489" max="489" width="13.875" style="11" customWidth="1"/>
    <col min="490" max="490" width="13.5" style="11" customWidth="1"/>
    <col min="491" max="737" width="8.875" style="11"/>
    <col min="738" max="738" width="5" style="11" customWidth="1"/>
    <col min="739" max="739" width="33.375" style="11" customWidth="1"/>
    <col min="740" max="740" width="6.5" style="11" customWidth="1"/>
    <col min="741" max="741" width="29.5" style="11" customWidth="1"/>
    <col min="742" max="742" width="23.625" style="11" customWidth="1"/>
    <col min="743" max="743" width="8" style="11" customWidth="1"/>
    <col min="744" max="744" width="9.125" style="11" customWidth="1"/>
    <col min="745" max="745" width="13.875" style="11" customWidth="1"/>
    <col min="746" max="746" width="13.5" style="11" customWidth="1"/>
    <col min="747" max="993" width="8.875" style="11"/>
    <col min="994" max="994" width="5" style="11" customWidth="1"/>
    <col min="995" max="995" width="33.375" style="11" customWidth="1"/>
    <col min="996" max="996" width="6.5" style="11" customWidth="1"/>
    <col min="997" max="997" width="29.5" style="11" customWidth="1"/>
    <col min="998" max="998" width="23.625" style="11" customWidth="1"/>
    <col min="999" max="999" width="8" style="11" customWidth="1"/>
    <col min="1000" max="1000" width="9.125" style="11" customWidth="1"/>
    <col min="1001" max="1001" width="13.875" style="11" customWidth="1"/>
    <col min="1002" max="1002" width="13.5" style="11" customWidth="1"/>
    <col min="1003" max="1249" width="8.875" style="11"/>
    <col min="1250" max="1250" width="5" style="11" customWidth="1"/>
    <col min="1251" max="1251" width="33.375" style="11" customWidth="1"/>
    <col min="1252" max="1252" width="6.5" style="11" customWidth="1"/>
    <col min="1253" max="1253" width="29.5" style="11" customWidth="1"/>
    <col min="1254" max="1254" width="23.625" style="11" customWidth="1"/>
    <col min="1255" max="1255" width="8" style="11" customWidth="1"/>
    <col min="1256" max="1256" width="9.125" style="11" customWidth="1"/>
    <col min="1257" max="1257" width="13.875" style="11" customWidth="1"/>
    <col min="1258" max="1258" width="13.5" style="11" customWidth="1"/>
    <col min="1259" max="1505" width="8.875" style="11"/>
    <col min="1506" max="1506" width="5" style="11" customWidth="1"/>
    <col min="1507" max="1507" width="33.375" style="11" customWidth="1"/>
    <col min="1508" max="1508" width="6.5" style="11" customWidth="1"/>
    <col min="1509" max="1509" width="29.5" style="11" customWidth="1"/>
    <col min="1510" max="1510" width="23.625" style="11" customWidth="1"/>
    <col min="1511" max="1511" width="8" style="11" customWidth="1"/>
    <col min="1512" max="1512" width="9.125" style="11" customWidth="1"/>
    <col min="1513" max="1513" width="13.875" style="11" customWidth="1"/>
    <col min="1514" max="1514" width="13.5" style="11" customWidth="1"/>
    <col min="1515" max="1761" width="8.875" style="11"/>
    <col min="1762" max="1762" width="5" style="11" customWidth="1"/>
    <col min="1763" max="1763" width="33.375" style="11" customWidth="1"/>
    <col min="1764" max="1764" width="6.5" style="11" customWidth="1"/>
    <col min="1765" max="1765" width="29.5" style="11" customWidth="1"/>
    <col min="1766" max="1766" width="23.625" style="11" customWidth="1"/>
    <col min="1767" max="1767" width="8" style="11" customWidth="1"/>
    <col min="1768" max="1768" width="9.125" style="11" customWidth="1"/>
    <col min="1769" max="1769" width="13.875" style="11" customWidth="1"/>
    <col min="1770" max="1770" width="13.5" style="11" customWidth="1"/>
    <col min="1771" max="2017" width="8.875" style="11"/>
    <col min="2018" max="2018" width="5" style="11" customWidth="1"/>
    <col min="2019" max="2019" width="33.375" style="11" customWidth="1"/>
    <col min="2020" max="2020" width="6.5" style="11" customWidth="1"/>
    <col min="2021" max="2021" width="29.5" style="11" customWidth="1"/>
    <col min="2022" max="2022" width="23.625" style="11" customWidth="1"/>
    <col min="2023" max="2023" width="8" style="11" customWidth="1"/>
    <col min="2024" max="2024" width="9.125" style="11" customWidth="1"/>
    <col min="2025" max="2025" width="13.875" style="11" customWidth="1"/>
    <col min="2026" max="2026" width="13.5" style="11" customWidth="1"/>
    <col min="2027" max="2273" width="8.875" style="11"/>
    <col min="2274" max="2274" width="5" style="11" customWidth="1"/>
    <col min="2275" max="2275" width="33.375" style="11" customWidth="1"/>
    <col min="2276" max="2276" width="6.5" style="11" customWidth="1"/>
    <col min="2277" max="2277" width="29.5" style="11" customWidth="1"/>
    <col min="2278" max="2278" width="23.625" style="11" customWidth="1"/>
    <col min="2279" max="2279" width="8" style="11" customWidth="1"/>
    <col min="2280" max="2280" width="9.125" style="11" customWidth="1"/>
    <col min="2281" max="2281" width="13.875" style="11" customWidth="1"/>
    <col min="2282" max="2282" width="13.5" style="11" customWidth="1"/>
    <col min="2283" max="2529" width="8.875" style="11"/>
    <col min="2530" max="2530" width="5" style="11" customWidth="1"/>
    <col min="2531" max="2531" width="33.375" style="11" customWidth="1"/>
    <col min="2532" max="2532" width="6.5" style="11" customWidth="1"/>
    <col min="2533" max="2533" width="29.5" style="11" customWidth="1"/>
    <col min="2534" max="2534" width="23.625" style="11" customWidth="1"/>
    <col min="2535" max="2535" width="8" style="11" customWidth="1"/>
    <col min="2536" max="2536" width="9.125" style="11" customWidth="1"/>
    <col min="2537" max="2537" width="13.875" style="11" customWidth="1"/>
    <col min="2538" max="2538" width="13.5" style="11" customWidth="1"/>
    <col min="2539" max="2785" width="8.875" style="11"/>
    <col min="2786" max="2786" width="5" style="11" customWidth="1"/>
    <col min="2787" max="2787" width="33.375" style="11" customWidth="1"/>
    <col min="2788" max="2788" width="6.5" style="11" customWidth="1"/>
    <col min="2789" max="2789" width="29.5" style="11" customWidth="1"/>
    <col min="2790" max="2790" width="23.625" style="11" customWidth="1"/>
    <col min="2791" max="2791" width="8" style="11" customWidth="1"/>
    <col min="2792" max="2792" width="9.125" style="11" customWidth="1"/>
    <col min="2793" max="2793" width="13.875" style="11" customWidth="1"/>
    <col min="2794" max="2794" width="13.5" style="11" customWidth="1"/>
    <col min="2795" max="3041" width="8.875" style="11"/>
    <col min="3042" max="3042" width="5" style="11" customWidth="1"/>
    <col min="3043" max="3043" width="33.375" style="11" customWidth="1"/>
    <col min="3044" max="3044" width="6.5" style="11" customWidth="1"/>
    <col min="3045" max="3045" width="29.5" style="11" customWidth="1"/>
    <col min="3046" max="3046" width="23.625" style="11" customWidth="1"/>
    <col min="3047" max="3047" width="8" style="11" customWidth="1"/>
    <col min="3048" max="3048" width="9.125" style="11" customWidth="1"/>
    <col min="3049" max="3049" width="13.875" style="11" customWidth="1"/>
    <col min="3050" max="3050" width="13.5" style="11" customWidth="1"/>
    <col min="3051" max="3297" width="8.875" style="11"/>
    <col min="3298" max="3298" width="5" style="11" customWidth="1"/>
    <col min="3299" max="3299" width="33.375" style="11" customWidth="1"/>
    <col min="3300" max="3300" width="6.5" style="11" customWidth="1"/>
    <col min="3301" max="3301" width="29.5" style="11" customWidth="1"/>
    <col min="3302" max="3302" width="23.625" style="11" customWidth="1"/>
    <col min="3303" max="3303" width="8" style="11" customWidth="1"/>
    <col min="3304" max="3304" width="9.125" style="11" customWidth="1"/>
    <col min="3305" max="3305" width="13.875" style="11" customWidth="1"/>
    <col min="3306" max="3306" width="13.5" style="11" customWidth="1"/>
    <col min="3307" max="3553" width="8.875" style="11"/>
    <col min="3554" max="3554" width="5" style="11" customWidth="1"/>
    <col min="3555" max="3555" width="33.375" style="11" customWidth="1"/>
    <col min="3556" max="3556" width="6.5" style="11" customWidth="1"/>
    <col min="3557" max="3557" width="29.5" style="11" customWidth="1"/>
    <col min="3558" max="3558" width="23.625" style="11" customWidth="1"/>
    <col min="3559" max="3559" width="8" style="11" customWidth="1"/>
    <col min="3560" max="3560" width="9.125" style="11" customWidth="1"/>
    <col min="3561" max="3561" width="13.875" style="11" customWidth="1"/>
    <col min="3562" max="3562" width="13.5" style="11" customWidth="1"/>
    <col min="3563" max="3809" width="8.875" style="11"/>
    <col min="3810" max="3810" width="5" style="11" customWidth="1"/>
    <col min="3811" max="3811" width="33.375" style="11" customWidth="1"/>
    <col min="3812" max="3812" width="6.5" style="11" customWidth="1"/>
    <col min="3813" max="3813" width="29.5" style="11" customWidth="1"/>
    <col min="3814" max="3814" width="23.625" style="11" customWidth="1"/>
    <col min="3815" max="3815" width="8" style="11" customWidth="1"/>
    <col min="3816" max="3816" width="9.125" style="11" customWidth="1"/>
    <col min="3817" max="3817" width="13.875" style="11" customWidth="1"/>
    <col min="3818" max="3818" width="13.5" style="11" customWidth="1"/>
    <col min="3819" max="4065" width="8.875" style="11"/>
    <col min="4066" max="4066" width="5" style="11" customWidth="1"/>
    <col min="4067" max="4067" width="33.375" style="11" customWidth="1"/>
    <col min="4068" max="4068" width="6.5" style="11" customWidth="1"/>
    <col min="4069" max="4069" width="29.5" style="11" customWidth="1"/>
    <col min="4070" max="4070" width="23.625" style="11" customWidth="1"/>
    <col min="4071" max="4071" width="8" style="11" customWidth="1"/>
    <col min="4072" max="4072" width="9.125" style="11" customWidth="1"/>
    <col min="4073" max="4073" width="13.875" style="11" customWidth="1"/>
    <col min="4074" max="4074" width="13.5" style="11" customWidth="1"/>
    <col min="4075" max="4321" width="8.875" style="11"/>
    <col min="4322" max="4322" width="5" style="11" customWidth="1"/>
    <col min="4323" max="4323" width="33.375" style="11" customWidth="1"/>
    <col min="4324" max="4324" width="6.5" style="11" customWidth="1"/>
    <col min="4325" max="4325" width="29.5" style="11" customWidth="1"/>
    <col min="4326" max="4326" width="23.625" style="11" customWidth="1"/>
    <col min="4327" max="4327" width="8" style="11" customWidth="1"/>
    <col min="4328" max="4328" width="9.125" style="11" customWidth="1"/>
    <col min="4329" max="4329" width="13.875" style="11" customWidth="1"/>
    <col min="4330" max="4330" width="13.5" style="11" customWidth="1"/>
    <col min="4331" max="4577" width="8.875" style="11"/>
    <col min="4578" max="4578" width="5" style="11" customWidth="1"/>
    <col min="4579" max="4579" width="33.375" style="11" customWidth="1"/>
    <col min="4580" max="4580" width="6.5" style="11" customWidth="1"/>
    <col min="4581" max="4581" width="29.5" style="11" customWidth="1"/>
    <col min="4582" max="4582" width="23.625" style="11" customWidth="1"/>
    <col min="4583" max="4583" width="8" style="11" customWidth="1"/>
    <col min="4584" max="4584" width="9.125" style="11" customWidth="1"/>
    <col min="4585" max="4585" width="13.875" style="11" customWidth="1"/>
    <col min="4586" max="4586" width="13.5" style="11" customWidth="1"/>
    <col min="4587" max="4833" width="8.875" style="11"/>
    <col min="4834" max="4834" width="5" style="11" customWidth="1"/>
    <col min="4835" max="4835" width="33.375" style="11" customWidth="1"/>
    <col min="4836" max="4836" width="6.5" style="11" customWidth="1"/>
    <col min="4837" max="4837" width="29.5" style="11" customWidth="1"/>
    <col min="4838" max="4838" width="23.625" style="11" customWidth="1"/>
    <col min="4839" max="4839" width="8" style="11" customWidth="1"/>
    <col min="4840" max="4840" width="9.125" style="11" customWidth="1"/>
    <col min="4841" max="4841" width="13.875" style="11" customWidth="1"/>
    <col min="4842" max="4842" width="13.5" style="11" customWidth="1"/>
    <col min="4843" max="5089" width="8.875" style="11"/>
    <col min="5090" max="5090" width="5" style="11" customWidth="1"/>
    <col min="5091" max="5091" width="33.375" style="11" customWidth="1"/>
    <col min="5092" max="5092" width="6.5" style="11" customWidth="1"/>
    <col min="5093" max="5093" width="29.5" style="11" customWidth="1"/>
    <col min="5094" max="5094" width="23.625" style="11" customWidth="1"/>
    <col min="5095" max="5095" width="8" style="11" customWidth="1"/>
    <col min="5096" max="5096" width="9.125" style="11" customWidth="1"/>
    <col min="5097" max="5097" width="13.875" style="11" customWidth="1"/>
    <col min="5098" max="5098" width="13.5" style="11" customWidth="1"/>
    <col min="5099" max="5345" width="8.875" style="11"/>
    <col min="5346" max="5346" width="5" style="11" customWidth="1"/>
    <col min="5347" max="5347" width="33.375" style="11" customWidth="1"/>
    <col min="5348" max="5348" width="6.5" style="11" customWidth="1"/>
    <col min="5349" max="5349" width="29.5" style="11" customWidth="1"/>
    <col min="5350" max="5350" width="23.625" style="11" customWidth="1"/>
    <col min="5351" max="5351" width="8" style="11" customWidth="1"/>
    <col min="5352" max="5352" width="9.125" style="11" customWidth="1"/>
    <col min="5353" max="5353" width="13.875" style="11" customWidth="1"/>
    <col min="5354" max="5354" width="13.5" style="11" customWidth="1"/>
    <col min="5355" max="5601" width="8.875" style="11"/>
    <col min="5602" max="5602" width="5" style="11" customWidth="1"/>
    <col min="5603" max="5603" width="33.375" style="11" customWidth="1"/>
    <col min="5604" max="5604" width="6.5" style="11" customWidth="1"/>
    <col min="5605" max="5605" width="29.5" style="11" customWidth="1"/>
    <col min="5606" max="5606" width="23.625" style="11" customWidth="1"/>
    <col min="5607" max="5607" width="8" style="11" customWidth="1"/>
    <col min="5608" max="5608" width="9.125" style="11" customWidth="1"/>
    <col min="5609" max="5609" width="13.875" style="11" customWidth="1"/>
    <col min="5610" max="5610" width="13.5" style="11" customWidth="1"/>
    <col min="5611" max="5857" width="8.875" style="11"/>
    <col min="5858" max="5858" width="5" style="11" customWidth="1"/>
    <col min="5859" max="5859" width="33.375" style="11" customWidth="1"/>
    <col min="5860" max="5860" width="6.5" style="11" customWidth="1"/>
    <col min="5861" max="5861" width="29.5" style="11" customWidth="1"/>
    <col min="5862" max="5862" width="23.625" style="11" customWidth="1"/>
    <col min="5863" max="5863" width="8" style="11" customWidth="1"/>
    <col min="5864" max="5864" width="9.125" style="11" customWidth="1"/>
    <col min="5865" max="5865" width="13.875" style="11" customWidth="1"/>
    <col min="5866" max="5866" width="13.5" style="11" customWidth="1"/>
    <col min="5867" max="6113" width="8.875" style="11"/>
    <col min="6114" max="6114" width="5" style="11" customWidth="1"/>
    <col min="6115" max="6115" width="33.375" style="11" customWidth="1"/>
    <col min="6116" max="6116" width="6.5" style="11" customWidth="1"/>
    <col min="6117" max="6117" width="29.5" style="11" customWidth="1"/>
    <col min="6118" max="6118" width="23.625" style="11" customWidth="1"/>
    <col min="6119" max="6119" width="8" style="11" customWidth="1"/>
    <col min="6120" max="6120" width="9.125" style="11" customWidth="1"/>
    <col min="6121" max="6121" width="13.875" style="11" customWidth="1"/>
    <col min="6122" max="6122" width="13.5" style="11" customWidth="1"/>
    <col min="6123" max="6369" width="8.875" style="11"/>
    <col min="6370" max="6370" width="5" style="11" customWidth="1"/>
    <col min="6371" max="6371" width="33.375" style="11" customWidth="1"/>
    <col min="6372" max="6372" width="6.5" style="11" customWidth="1"/>
    <col min="6373" max="6373" width="29.5" style="11" customWidth="1"/>
    <col min="6374" max="6374" width="23.625" style="11" customWidth="1"/>
    <col min="6375" max="6375" width="8" style="11" customWidth="1"/>
    <col min="6376" max="6376" width="9.125" style="11" customWidth="1"/>
    <col min="6377" max="6377" width="13.875" style="11" customWidth="1"/>
    <col min="6378" max="6378" width="13.5" style="11" customWidth="1"/>
    <col min="6379" max="6625" width="8.875" style="11"/>
    <col min="6626" max="6626" width="5" style="11" customWidth="1"/>
    <col min="6627" max="6627" width="33.375" style="11" customWidth="1"/>
    <col min="6628" max="6628" width="6.5" style="11" customWidth="1"/>
    <col min="6629" max="6629" width="29.5" style="11" customWidth="1"/>
    <col min="6630" max="6630" width="23.625" style="11" customWidth="1"/>
    <col min="6631" max="6631" width="8" style="11" customWidth="1"/>
    <col min="6632" max="6632" width="9.125" style="11" customWidth="1"/>
    <col min="6633" max="6633" width="13.875" style="11" customWidth="1"/>
    <col min="6634" max="6634" width="13.5" style="11" customWidth="1"/>
    <col min="6635" max="6881" width="8.875" style="11"/>
    <col min="6882" max="6882" width="5" style="11" customWidth="1"/>
    <col min="6883" max="6883" width="33.375" style="11" customWidth="1"/>
    <col min="6884" max="6884" width="6.5" style="11" customWidth="1"/>
    <col min="6885" max="6885" width="29.5" style="11" customWidth="1"/>
    <col min="6886" max="6886" width="23.625" style="11" customWidth="1"/>
    <col min="6887" max="6887" width="8" style="11" customWidth="1"/>
    <col min="6888" max="6888" width="9.125" style="11" customWidth="1"/>
    <col min="6889" max="6889" width="13.875" style="11" customWidth="1"/>
    <col min="6890" max="6890" width="13.5" style="11" customWidth="1"/>
    <col min="6891" max="7137" width="8.875" style="11"/>
    <col min="7138" max="7138" width="5" style="11" customWidth="1"/>
    <col min="7139" max="7139" width="33.375" style="11" customWidth="1"/>
    <col min="7140" max="7140" width="6.5" style="11" customWidth="1"/>
    <col min="7141" max="7141" width="29.5" style="11" customWidth="1"/>
    <col min="7142" max="7142" width="23.625" style="11" customWidth="1"/>
    <col min="7143" max="7143" width="8" style="11" customWidth="1"/>
    <col min="7144" max="7144" width="9.125" style="11" customWidth="1"/>
    <col min="7145" max="7145" width="13.875" style="11" customWidth="1"/>
    <col min="7146" max="7146" width="13.5" style="11" customWidth="1"/>
    <col min="7147" max="7393" width="8.875" style="11"/>
    <col min="7394" max="7394" width="5" style="11" customWidth="1"/>
    <col min="7395" max="7395" width="33.375" style="11" customWidth="1"/>
    <col min="7396" max="7396" width="6.5" style="11" customWidth="1"/>
    <col min="7397" max="7397" width="29.5" style="11" customWidth="1"/>
    <col min="7398" max="7398" width="23.625" style="11" customWidth="1"/>
    <col min="7399" max="7399" width="8" style="11" customWidth="1"/>
    <col min="7400" max="7400" width="9.125" style="11" customWidth="1"/>
    <col min="7401" max="7401" width="13.875" style="11" customWidth="1"/>
    <col min="7402" max="7402" width="13.5" style="11" customWidth="1"/>
    <col min="7403" max="7649" width="8.875" style="11"/>
    <col min="7650" max="7650" width="5" style="11" customWidth="1"/>
    <col min="7651" max="7651" width="33.375" style="11" customWidth="1"/>
    <col min="7652" max="7652" width="6.5" style="11" customWidth="1"/>
    <col min="7653" max="7653" width="29.5" style="11" customWidth="1"/>
    <col min="7654" max="7654" width="23.625" style="11" customWidth="1"/>
    <col min="7655" max="7655" width="8" style="11" customWidth="1"/>
    <col min="7656" max="7656" width="9.125" style="11" customWidth="1"/>
    <col min="7657" max="7657" width="13.875" style="11" customWidth="1"/>
    <col min="7658" max="7658" width="13.5" style="11" customWidth="1"/>
    <col min="7659" max="7905" width="8.875" style="11"/>
    <col min="7906" max="7906" width="5" style="11" customWidth="1"/>
    <col min="7907" max="7907" width="33.375" style="11" customWidth="1"/>
    <col min="7908" max="7908" width="6.5" style="11" customWidth="1"/>
    <col min="7909" max="7909" width="29.5" style="11" customWidth="1"/>
    <col min="7910" max="7910" width="23.625" style="11" customWidth="1"/>
    <col min="7911" max="7911" width="8" style="11" customWidth="1"/>
    <col min="7912" max="7912" width="9.125" style="11" customWidth="1"/>
    <col min="7913" max="7913" width="13.875" style="11" customWidth="1"/>
    <col min="7914" max="7914" width="13.5" style="11" customWidth="1"/>
    <col min="7915" max="8161" width="8.875" style="11"/>
    <col min="8162" max="8162" width="5" style="11" customWidth="1"/>
    <col min="8163" max="8163" width="33.375" style="11" customWidth="1"/>
    <col min="8164" max="8164" width="6.5" style="11" customWidth="1"/>
    <col min="8165" max="8165" width="29.5" style="11" customWidth="1"/>
    <col min="8166" max="8166" width="23.625" style="11" customWidth="1"/>
    <col min="8167" max="8167" width="8" style="11" customWidth="1"/>
    <col min="8168" max="8168" width="9.125" style="11" customWidth="1"/>
    <col min="8169" max="8169" width="13.875" style="11" customWidth="1"/>
    <col min="8170" max="8170" width="13.5" style="11" customWidth="1"/>
    <col min="8171" max="8417" width="8.875" style="11"/>
    <col min="8418" max="8418" width="5" style="11" customWidth="1"/>
    <col min="8419" max="8419" width="33.375" style="11" customWidth="1"/>
    <col min="8420" max="8420" width="6.5" style="11" customWidth="1"/>
    <col min="8421" max="8421" width="29.5" style="11" customWidth="1"/>
    <col min="8422" max="8422" width="23.625" style="11" customWidth="1"/>
    <col min="8423" max="8423" width="8" style="11" customWidth="1"/>
    <col min="8424" max="8424" width="9.125" style="11" customWidth="1"/>
    <col min="8425" max="8425" width="13.875" style="11" customWidth="1"/>
    <col min="8426" max="8426" width="13.5" style="11" customWidth="1"/>
    <col min="8427" max="8673" width="8.875" style="11"/>
    <col min="8674" max="8674" width="5" style="11" customWidth="1"/>
    <col min="8675" max="8675" width="33.375" style="11" customWidth="1"/>
    <col min="8676" max="8676" width="6.5" style="11" customWidth="1"/>
    <col min="8677" max="8677" width="29.5" style="11" customWidth="1"/>
    <col min="8678" max="8678" width="23.625" style="11" customWidth="1"/>
    <col min="8679" max="8679" width="8" style="11" customWidth="1"/>
    <col min="8680" max="8680" width="9.125" style="11" customWidth="1"/>
    <col min="8681" max="8681" width="13.875" style="11" customWidth="1"/>
    <col min="8682" max="8682" width="13.5" style="11" customWidth="1"/>
    <col min="8683" max="8929" width="8.875" style="11"/>
    <col min="8930" max="8930" width="5" style="11" customWidth="1"/>
    <col min="8931" max="8931" width="33.375" style="11" customWidth="1"/>
    <col min="8932" max="8932" width="6.5" style="11" customWidth="1"/>
    <col min="8933" max="8933" width="29.5" style="11" customWidth="1"/>
    <col min="8934" max="8934" width="23.625" style="11" customWidth="1"/>
    <col min="8935" max="8935" width="8" style="11" customWidth="1"/>
    <col min="8936" max="8936" width="9.125" style="11" customWidth="1"/>
    <col min="8937" max="8937" width="13.875" style="11" customWidth="1"/>
    <col min="8938" max="8938" width="13.5" style="11" customWidth="1"/>
    <col min="8939" max="9185" width="8.875" style="11"/>
    <col min="9186" max="9186" width="5" style="11" customWidth="1"/>
    <col min="9187" max="9187" width="33.375" style="11" customWidth="1"/>
    <col min="9188" max="9188" width="6.5" style="11" customWidth="1"/>
    <col min="9189" max="9189" width="29.5" style="11" customWidth="1"/>
    <col min="9190" max="9190" width="23.625" style="11" customWidth="1"/>
    <col min="9191" max="9191" width="8" style="11" customWidth="1"/>
    <col min="9192" max="9192" width="9.125" style="11" customWidth="1"/>
    <col min="9193" max="9193" width="13.875" style="11" customWidth="1"/>
    <col min="9194" max="9194" width="13.5" style="11" customWidth="1"/>
    <col min="9195" max="9441" width="8.875" style="11"/>
    <col min="9442" max="9442" width="5" style="11" customWidth="1"/>
    <col min="9443" max="9443" width="33.375" style="11" customWidth="1"/>
    <col min="9444" max="9444" width="6.5" style="11" customWidth="1"/>
    <col min="9445" max="9445" width="29.5" style="11" customWidth="1"/>
    <col min="9446" max="9446" width="23.625" style="11" customWidth="1"/>
    <col min="9447" max="9447" width="8" style="11" customWidth="1"/>
    <col min="9448" max="9448" width="9.125" style="11" customWidth="1"/>
    <col min="9449" max="9449" width="13.875" style="11" customWidth="1"/>
    <col min="9450" max="9450" width="13.5" style="11" customWidth="1"/>
    <col min="9451" max="9697" width="8.875" style="11"/>
    <col min="9698" max="9698" width="5" style="11" customWidth="1"/>
    <col min="9699" max="9699" width="33.375" style="11" customWidth="1"/>
    <col min="9700" max="9700" width="6.5" style="11" customWidth="1"/>
    <col min="9701" max="9701" width="29.5" style="11" customWidth="1"/>
    <col min="9702" max="9702" width="23.625" style="11" customWidth="1"/>
    <col min="9703" max="9703" width="8" style="11" customWidth="1"/>
    <col min="9704" max="9704" width="9.125" style="11" customWidth="1"/>
    <col min="9705" max="9705" width="13.875" style="11" customWidth="1"/>
    <col min="9706" max="9706" width="13.5" style="11" customWidth="1"/>
    <col min="9707" max="9953" width="8.875" style="11"/>
    <col min="9954" max="9954" width="5" style="11" customWidth="1"/>
    <col min="9955" max="9955" width="33.375" style="11" customWidth="1"/>
    <col min="9956" max="9956" width="6.5" style="11" customWidth="1"/>
    <col min="9957" max="9957" width="29.5" style="11" customWidth="1"/>
    <col min="9958" max="9958" width="23.625" style="11" customWidth="1"/>
    <col min="9959" max="9959" width="8" style="11" customWidth="1"/>
    <col min="9960" max="9960" width="9.125" style="11" customWidth="1"/>
    <col min="9961" max="9961" width="13.875" style="11" customWidth="1"/>
    <col min="9962" max="9962" width="13.5" style="11" customWidth="1"/>
    <col min="9963" max="10209" width="8.875" style="11"/>
    <col min="10210" max="10210" width="5" style="11" customWidth="1"/>
    <col min="10211" max="10211" width="33.375" style="11" customWidth="1"/>
    <col min="10212" max="10212" width="6.5" style="11" customWidth="1"/>
    <col min="10213" max="10213" width="29.5" style="11" customWidth="1"/>
    <col min="10214" max="10214" width="23.625" style="11" customWidth="1"/>
    <col min="10215" max="10215" width="8" style="11" customWidth="1"/>
    <col min="10216" max="10216" width="9.125" style="11" customWidth="1"/>
    <col min="10217" max="10217" width="13.875" style="11" customWidth="1"/>
    <col min="10218" max="10218" width="13.5" style="11" customWidth="1"/>
    <col min="10219" max="10465" width="8.875" style="11"/>
    <col min="10466" max="10466" width="5" style="11" customWidth="1"/>
    <col min="10467" max="10467" width="33.375" style="11" customWidth="1"/>
    <col min="10468" max="10468" width="6.5" style="11" customWidth="1"/>
    <col min="10469" max="10469" width="29.5" style="11" customWidth="1"/>
    <col min="10470" max="10470" width="23.625" style="11" customWidth="1"/>
    <col min="10471" max="10471" width="8" style="11" customWidth="1"/>
    <col min="10472" max="10472" width="9.125" style="11" customWidth="1"/>
    <col min="10473" max="10473" width="13.875" style="11" customWidth="1"/>
    <col min="10474" max="10474" width="13.5" style="11" customWidth="1"/>
    <col min="10475" max="10721" width="8.875" style="11"/>
    <col min="10722" max="10722" width="5" style="11" customWidth="1"/>
    <col min="10723" max="10723" width="33.375" style="11" customWidth="1"/>
    <col min="10724" max="10724" width="6.5" style="11" customWidth="1"/>
    <col min="10725" max="10725" width="29.5" style="11" customWidth="1"/>
    <col min="10726" max="10726" width="23.625" style="11" customWidth="1"/>
    <col min="10727" max="10727" width="8" style="11" customWidth="1"/>
    <col min="10728" max="10728" width="9.125" style="11" customWidth="1"/>
    <col min="10729" max="10729" width="13.875" style="11" customWidth="1"/>
    <col min="10730" max="10730" width="13.5" style="11" customWidth="1"/>
    <col min="10731" max="10977" width="8.875" style="11"/>
    <col min="10978" max="10978" width="5" style="11" customWidth="1"/>
    <col min="10979" max="10979" width="33.375" style="11" customWidth="1"/>
    <col min="10980" max="10980" width="6.5" style="11" customWidth="1"/>
    <col min="10981" max="10981" width="29.5" style="11" customWidth="1"/>
    <col min="10982" max="10982" width="23.625" style="11" customWidth="1"/>
    <col min="10983" max="10983" width="8" style="11" customWidth="1"/>
    <col min="10984" max="10984" width="9.125" style="11" customWidth="1"/>
    <col min="10985" max="10985" width="13.875" style="11" customWidth="1"/>
    <col min="10986" max="10986" width="13.5" style="11" customWidth="1"/>
    <col min="10987" max="11233" width="8.875" style="11"/>
    <col min="11234" max="11234" width="5" style="11" customWidth="1"/>
    <col min="11235" max="11235" width="33.375" style="11" customWidth="1"/>
    <col min="11236" max="11236" width="6.5" style="11" customWidth="1"/>
    <col min="11237" max="11237" width="29.5" style="11" customWidth="1"/>
    <col min="11238" max="11238" width="23.625" style="11" customWidth="1"/>
    <col min="11239" max="11239" width="8" style="11" customWidth="1"/>
    <col min="11240" max="11240" width="9.125" style="11" customWidth="1"/>
    <col min="11241" max="11241" width="13.875" style="11" customWidth="1"/>
    <col min="11242" max="11242" width="13.5" style="11" customWidth="1"/>
    <col min="11243" max="11489" width="8.875" style="11"/>
    <col min="11490" max="11490" width="5" style="11" customWidth="1"/>
    <col min="11491" max="11491" width="33.375" style="11" customWidth="1"/>
    <col min="11492" max="11492" width="6.5" style="11" customWidth="1"/>
    <col min="11493" max="11493" width="29.5" style="11" customWidth="1"/>
    <col min="11494" max="11494" width="23.625" style="11" customWidth="1"/>
    <col min="11495" max="11495" width="8" style="11" customWidth="1"/>
    <col min="11496" max="11496" width="9.125" style="11" customWidth="1"/>
    <col min="11497" max="11497" width="13.875" style="11" customWidth="1"/>
    <col min="11498" max="11498" width="13.5" style="11" customWidth="1"/>
    <col min="11499" max="11745" width="8.875" style="11"/>
    <col min="11746" max="11746" width="5" style="11" customWidth="1"/>
    <col min="11747" max="11747" width="33.375" style="11" customWidth="1"/>
    <col min="11748" max="11748" width="6.5" style="11" customWidth="1"/>
    <col min="11749" max="11749" width="29.5" style="11" customWidth="1"/>
    <col min="11750" max="11750" width="23.625" style="11" customWidth="1"/>
    <col min="11751" max="11751" width="8" style="11" customWidth="1"/>
    <col min="11752" max="11752" width="9.125" style="11" customWidth="1"/>
    <col min="11753" max="11753" width="13.875" style="11" customWidth="1"/>
    <col min="11754" max="11754" width="13.5" style="11" customWidth="1"/>
    <col min="11755" max="12001" width="8.875" style="11"/>
    <col min="12002" max="12002" width="5" style="11" customWidth="1"/>
    <col min="12003" max="12003" width="33.375" style="11" customWidth="1"/>
    <col min="12004" max="12004" width="6.5" style="11" customWidth="1"/>
    <col min="12005" max="12005" width="29.5" style="11" customWidth="1"/>
    <col min="12006" max="12006" width="23.625" style="11" customWidth="1"/>
    <col min="12007" max="12007" width="8" style="11" customWidth="1"/>
    <col min="12008" max="12008" width="9.125" style="11" customWidth="1"/>
    <col min="12009" max="12009" width="13.875" style="11" customWidth="1"/>
    <col min="12010" max="12010" width="13.5" style="11" customWidth="1"/>
    <col min="12011" max="12257" width="8.875" style="11"/>
    <col min="12258" max="12258" width="5" style="11" customWidth="1"/>
    <col min="12259" max="12259" width="33.375" style="11" customWidth="1"/>
    <col min="12260" max="12260" width="6.5" style="11" customWidth="1"/>
    <col min="12261" max="12261" width="29.5" style="11" customWidth="1"/>
    <col min="12262" max="12262" width="23.625" style="11" customWidth="1"/>
    <col min="12263" max="12263" width="8" style="11" customWidth="1"/>
    <col min="12264" max="12264" width="9.125" style="11" customWidth="1"/>
    <col min="12265" max="12265" width="13.875" style="11" customWidth="1"/>
    <col min="12266" max="12266" width="13.5" style="11" customWidth="1"/>
    <col min="12267" max="12513" width="8.875" style="11"/>
    <col min="12514" max="12514" width="5" style="11" customWidth="1"/>
    <col min="12515" max="12515" width="33.375" style="11" customWidth="1"/>
    <col min="12516" max="12516" width="6.5" style="11" customWidth="1"/>
    <col min="12517" max="12517" width="29.5" style="11" customWidth="1"/>
    <col min="12518" max="12518" width="23.625" style="11" customWidth="1"/>
    <col min="12519" max="12519" width="8" style="11" customWidth="1"/>
    <col min="12520" max="12520" width="9.125" style="11" customWidth="1"/>
    <col min="12521" max="12521" width="13.875" style="11" customWidth="1"/>
    <col min="12522" max="12522" width="13.5" style="11" customWidth="1"/>
    <col min="12523" max="12769" width="8.875" style="11"/>
    <col min="12770" max="12770" width="5" style="11" customWidth="1"/>
    <col min="12771" max="12771" width="33.375" style="11" customWidth="1"/>
    <col min="12772" max="12772" width="6.5" style="11" customWidth="1"/>
    <col min="12773" max="12773" width="29.5" style="11" customWidth="1"/>
    <col min="12774" max="12774" width="23.625" style="11" customWidth="1"/>
    <col min="12775" max="12775" width="8" style="11" customWidth="1"/>
    <col min="12776" max="12776" width="9.125" style="11" customWidth="1"/>
    <col min="12777" max="12777" width="13.875" style="11" customWidth="1"/>
    <col min="12778" max="12778" width="13.5" style="11" customWidth="1"/>
    <col min="12779" max="13025" width="8.875" style="11"/>
    <col min="13026" max="13026" width="5" style="11" customWidth="1"/>
    <col min="13027" max="13027" width="33.375" style="11" customWidth="1"/>
    <col min="13028" max="13028" width="6.5" style="11" customWidth="1"/>
    <col min="13029" max="13029" width="29.5" style="11" customWidth="1"/>
    <col min="13030" max="13030" width="23.625" style="11" customWidth="1"/>
    <col min="13031" max="13031" width="8" style="11" customWidth="1"/>
    <col min="13032" max="13032" width="9.125" style="11" customWidth="1"/>
    <col min="13033" max="13033" width="13.875" style="11" customWidth="1"/>
    <col min="13034" max="13034" width="13.5" style="11" customWidth="1"/>
    <col min="13035" max="13281" width="8.875" style="11"/>
    <col min="13282" max="13282" width="5" style="11" customWidth="1"/>
    <col min="13283" max="13283" width="33.375" style="11" customWidth="1"/>
    <col min="13284" max="13284" width="6.5" style="11" customWidth="1"/>
    <col min="13285" max="13285" width="29.5" style="11" customWidth="1"/>
    <col min="13286" max="13286" width="23.625" style="11" customWidth="1"/>
    <col min="13287" max="13287" width="8" style="11" customWidth="1"/>
    <col min="13288" max="13288" width="9.125" style="11" customWidth="1"/>
    <col min="13289" max="13289" width="13.875" style="11" customWidth="1"/>
    <col min="13290" max="13290" width="13.5" style="11" customWidth="1"/>
    <col min="13291" max="13537" width="8.875" style="11"/>
    <col min="13538" max="13538" width="5" style="11" customWidth="1"/>
    <col min="13539" max="13539" width="33.375" style="11" customWidth="1"/>
    <col min="13540" max="13540" width="6.5" style="11" customWidth="1"/>
    <col min="13541" max="13541" width="29.5" style="11" customWidth="1"/>
    <col min="13542" max="13542" width="23.625" style="11" customWidth="1"/>
    <col min="13543" max="13543" width="8" style="11" customWidth="1"/>
    <col min="13544" max="13544" width="9.125" style="11" customWidth="1"/>
    <col min="13545" max="13545" width="13.875" style="11" customWidth="1"/>
    <col min="13546" max="13546" width="13.5" style="11" customWidth="1"/>
    <col min="13547" max="13793" width="8.875" style="11"/>
    <col min="13794" max="13794" width="5" style="11" customWidth="1"/>
    <col min="13795" max="13795" width="33.375" style="11" customWidth="1"/>
    <col min="13796" max="13796" width="6.5" style="11" customWidth="1"/>
    <col min="13797" max="13797" width="29.5" style="11" customWidth="1"/>
    <col min="13798" max="13798" width="23.625" style="11" customWidth="1"/>
    <col min="13799" max="13799" width="8" style="11" customWidth="1"/>
    <col min="13800" max="13800" width="9.125" style="11" customWidth="1"/>
    <col min="13801" max="13801" width="13.875" style="11" customWidth="1"/>
    <col min="13802" max="13802" width="13.5" style="11" customWidth="1"/>
    <col min="13803" max="14049" width="8.875" style="11"/>
    <col min="14050" max="14050" width="5" style="11" customWidth="1"/>
    <col min="14051" max="14051" width="33.375" style="11" customWidth="1"/>
    <col min="14052" max="14052" width="6.5" style="11" customWidth="1"/>
    <col min="14053" max="14053" width="29.5" style="11" customWidth="1"/>
    <col min="14054" max="14054" width="23.625" style="11" customWidth="1"/>
    <col min="14055" max="14055" width="8" style="11" customWidth="1"/>
    <col min="14056" max="14056" width="9.125" style="11" customWidth="1"/>
    <col min="14057" max="14057" width="13.875" style="11" customWidth="1"/>
    <col min="14058" max="14058" width="13.5" style="11" customWidth="1"/>
    <col min="14059" max="14305" width="8.875" style="11"/>
    <col min="14306" max="14306" width="5" style="11" customWidth="1"/>
    <col min="14307" max="14307" width="33.375" style="11" customWidth="1"/>
    <col min="14308" max="14308" width="6.5" style="11" customWidth="1"/>
    <col min="14309" max="14309" width="29.5" style="11" customWidth="1"/>
    <col min="14310" max="14310" width="23.625" style="11" customWidth="1"/>
    <col min="14311" max="14311" width="8" style="11" customWidth="1"/>
    <col min="14312" max="14312" width="9.125" style="11" customWidth="1"/>
    <col min="14313" max="14313" width="13.875" style="11" customWidth="1"/>
    <col min="14314" max="14314" width="13.5" style="11" customWidth="1"/>
    <col min="14315" max="14561" width="8.875" style="11"/>
    <col min="14562" max="14562" width="5" style="11" customWidth="1"/>
    <col min="14563" max="14563" width="33.375" style="11" customWidth="1"/>
    <col min="14564" max="14564" width="6.5" style="11" customWidth="1"/>
    <col min="14565" max="14565" width="29.5" style="11" customWidth="1"/>
    <col min="14566" max="14566" width="23.625" style="11" customWidth="1"/>
    <col min="14567" max="14567" width="8" style="11" customWidth="1"/>
    <col min="14568" max="14568" width="9.125" style="11" customWidth="1"/>
    <col min="14569" max="14569" width="13.875" style="11" customWidth="1"/>
    <col min="14570" max="14570" width="13.5" style="11" customWidth="1"/>
    <col min="14571" max="14817" width="8.875" style="11"/>
    <col min="14818" max="14818" width="5" style="11" customWidth="1"/>
    <col min="14819" max="14819" width="33.375" style="11" customWidth="1"/>
    <col min="14820" max="14820" width="6.5" style="11" customWidth="1"/>
    <col min="14821" max="14821" width="29.5" style="11" customWidth="1"/>
    <col min="14822" max="14822" width="23.625" style="11" customWidth="1"/>
    <col min="14823" max="14823" width="8" style="11" customWidth="1"/>
    <col min="14824" max="14824" width="9.125" style="11" customWidth="1"/>
    <col min="14825" max="14825" width="13.875" style="11" customWidth="1"/>
    <col min="14826" max="14826" width="13.5" style="11" customWidth="1"/>
    <col min="14827" max="15073" width="8.875" style="11"/>
    <col min="15074" max="15074" width="5" style="11" customWidth="1"/>
    <col min="15075" max="15075" width="33.375" style="11" customWidth="1"/>
    <col min="15076" max="15076" width="6.5" style="11" customWidth="1"/>
    <col min="15077" max="15077" width="29.5" style="11" customWidth="1"/>
    <col min="15078" max="15078" width="23.625" style="11" customWidth="1"/>
    <col min="15079" max="15079" width="8" style="11" customWidth="1"/>
    <col min="15080" max="15080" width="9.125" style="11" customWidth="1"/>
    <col min="15081" max="15081" width="13.875" style="11" customWidth="1"/>
    <col min="15082" max="15082" width="13.5" style="11" customWidth="1"/>
    <col min="15083" max="15329" width="8.875" style="11"/>
    <col min="15330" max="15330" width="5" style="11" customWidth="1"/>
    <col min="15331" max="15331" width="33.375" style="11" customWidth="1"/>
    <col min="15332" max="15332" width="6.5" style="11" customWidth="1"/>
    <col min="15333" max="15333" width="29.5" style="11" customWidth="1"/>
    <col min="15334" max="15334" width="23.625" style="11" customWidth="1"/>
    <col min="15335" max="15335" width="8" style="11" customWidth="1"/>
    <col min="15336" max="15336" width="9.125" style="11" customWidth="1"/>
    <col min="15337" max="15337" width="13.875" style="11" customWidth="1"/>
    <col min="15338" max="15338" width="13.5" style="11" customWidth="1"/>
    <col min="15339" max="15585" width="8.875" style="11"/>
    <col min="15586" max="15586" width="5" style="11" customWidth="1"/>
    <col min="15587" max="15587" width="33.375" style="11" customWidth="1"/>
    <col min="15588" max="15588" width="6.5" style="11" customWidth="1"/>
    <col min="15589" max="15589" width="29.5" style="11" customWidth="1"/>
    <col min="15590" max="15590" width="23.625" style="11" customWidth="1"/>
    <col min="15591" max="15591" width="8" style="11" customWidth="1"/>
    <col min="15592" max="15592" width="9.125" style="11" customWidth="1"/>
    <col min="15593" max="15593" width="13.875" style="11" customWidth="1"/>
    <col min="15594" max="15594" width="13.5" style="11" customWidth="1"/>
    <col min="15595" max="15841" width="8.875" style="11"/>
    <col min="15842" max="15842" width="5" style="11" customWidth="1"/>
    <col min="15843" max="15843" width="33.375" style="11" customWidth="1"/>
    <col min="15844" max="15844" width="6.5" style="11" customWidth="1"/>
    <col min="15845" max="15845" width="29.5" style="11" customWidth="1"/>
    <col min="15846" max="15846" width="23.625" style="11" customWidth="1"/>
    <col min="15847" max="15847" width="8" style="11" customWidth="1"/>
    <col min="15848" max="15848" width="9.125" style="11" customWidth="1"/>
    <col min="15849" max="15849" width="13.875" style="11" customWidth="1"/>
    <col min="15850" max="15850" width="13.5" style="11" customWidth="1"/>
    <col min="15851" max="16384" width="8.875" style="11"/>
  </cols>
  <sheetData>
    <row r="2" spans="2:16">
      <c r="B2" s="140" t="s">
        <v>253</v>
      </c>
      <c r="C2" s="140" t="s">
        <v>132</v>
      </c>
      <c r="D2" s="11"/>
    </row>
    <row r="3" spans="2:16">
      <c r="B3" s="209" t="s">
        <v>254</v>
      </c>
      <c r="C3" s="209" t="s">
        <v>255</v>
      </c>
      <c r="D3" s="11"/>
    </row>
    <row r="4" spans="2:16">
      <c r="B4" s="140" t="s">
        <v>256</v>
      </c>
      <c r="C4" s="140" t="s">
        <v>133</v>
      </c>
      <c r="D4" s="11"/>
    </row>
    <row r="5" spans="2:16" ht="9.9499999999999993" customHeight="1"/>
    <row r="6" spans="2:16" s="103" customFormat="1" ht="21" customHeight="1">
      <c r="B6" s="101" t="s">
        <v>14</v>
      </c>
      <c r="C6" s="83" t="s">
        <v>264</v>
      </c>
      <c r="D6" s="83"/>
      <c r="E6" s="83"/>
    </row>
    <row r="7" spans="2:16" s="103" customFormat="1" ht="6" customHeight="1">
      <c r="B7" s="141"/>
      <c r="C7" s="83"/>
      <c r="D7" s="83"/>
      <c r="E7" s="83"/>
    </row>
    <row r="8" spans="2:16" s="8" customFormat="1">
      <c r="F8" s="3"/>
      <c r="G8" s="3"/>
      <c r="H8" s="3"/>
      <c r="I8" s="3"/>
      <c r="J8" s="3"/>
    </row>
    <row r="9" spans="2:16" s="9" customFormat="1" ht="39" thickBot="1">
      <c r="B9" s="147" t="s">
        <v>0</v>
      </c>
      <c r="C9" s="148" t="s">
        <v>184</v>
      </c>
      <c r="D9" s="148" t="s">
        <v>134</v>
      </c>
      <c r="E9" s="148" t="s">
        <v>139</v>
      </c>
      <c r="F9" s="148" t="s">
        <v>140</v>
      </c>
      <c r="G9" s="148" t="s">
        <v>141</v>
      </c>
      <c r="H9" s="148" t="s">
        <v>142</v>
      </c>
      <c r="I9" s="148" t="s">
        <v>143</v>
      </c>
      <c r="J9" s="148" t="s">
        <v>144</v>
      </c>
      <c r="K9" s="148" t="s">
        <v>145</v>
      </c>
      <c r="L9" s="148" t="s">
        <v>146</v>
      </c>
      <c r="M9" s="148" t="s">
        <v>147</v>
      </c>
      <c r="N9" s="148" t="s">
        <v>148</v>
      </c>
      <c r="O9" s="148" t="s">
        <v>149</v>
      </c>
      <c r="P9" s="148" t="s">
        <v>150</v>
      </c>
    </row>
    <row r="10" spans="2:16" s="10" customFormat="1" ht="13.5" thickBot="1">
      <c r="B10" s="156"/>
      <c r="C10" s="157" t="s">
        <v>5</v>
      </c>
      <c r="D10" s="19"/>
      <c r="E10" s="20"/>
      <c r="F10" s="20"/>
      <c r="G10" s="20"/>
      <c r="H10" s="20"/>
      <c r="I10" s="20"/>
      <c r="J10" s="20"/>
      <c r="K10" s="20"/>
      <c r="L10" s="20"/>
      <c r="M10" s="20"/>
      <c r="N10" s="20"/>
      <c r="O10" s="20"/>
      <c r="P10" s="20"/>
    </row>
    <row r="11" spans="2:16">
      <c r="B11" s="314">
        <v>1</v>
      </c>
      <c r="C11" s="238"/>
      <c r="D11" s="315"/>
      <c r="E11" s="326"/>
      <c r="F11" s="318"/>
      <c r="G11" s="326"/>
      <c r="H11" s="318"/>
      <c r="I11" s="318"/>
      <c r="J11" s="318"/>
      <c r="K11" s="318"/>
      <c r="L11" s="318"/>
      <c r="M11" s="318"/>
      <c r="N11" s="318"/>
      <c r="O11" s="318"/>
      <c r="P11" s="318"/>
    </row>
    <row r="12" spans="2:16">
      <c r="B12" s="316">
        <v>2</v>
      </c>
      <c r="C12" s="239"/>
      <c r="D12" s="317"/>
      <c r="E12" s="318"/>
      <c r="F12" s="318"/>
      <c r="G12" s="318"/>
      <c r="H12" s="318"/>
      <c r="I12" s="318"/>
      <c r="J12" s="318"/>
      <c r="K12" s="318"/>
      <c r="L12" s="318"/>
      <c r="M12" s="318"/>
      <c r="N12" s="318"/>
      <c r="O12" s="318"/>
      <c r="P12" s="318"/>
    </row>
    <row r="13" spans="2:16">
      <c r="B13" s="316">
        <v>3</v>
      </c>
      <c r="C13" s="239"/>
      <c r="D13" s="317"/>
      <c r="E13" s="318"/>
      <c r="F13" s="318"/>
      <c r="G13" s="318"/>
      <c r="H13" s="318"/>
      <c r="I13" s="318"/>
      <c r="J13" s="318"/>
      <c r="K13" s="318"/>
      <c r="L13" s="318"/>
      <c r="M13" s="318"/>
      <c r="N13" s="318"/>
      <c r="O13" s="318"/>
      <c r="P13" s="318"/>
    </row>
    <row r="14" spans="2:16">
      <c r="B14" s="316">
        <v>4</v>
      </c>
      <c r="C14" s="239"/>
      <c r="D14" s="317"/>
      <c r="E14" s="318"/>
      <c r="F14" s="318"/>
      <c r="G14" s="318"/>
      <c r="H14" s="318"/>
      <c r="I14" s="318"/>
      <c r="J14" s="318"/>
      <c r="K14" s="318"/>
      <c r="L14" s="318"/>
      <c r="M14" s="318"/>
      <c r="N14" s="318"/>
      <c r="O14" s="318"/>
      <c r="P14" s="318"/>
    </row>
    <row r="15" spans="2:16" ht="13.5" thickBot="1">
      <c r="B15" s="319">
        <v>5</v>
      </c>
      <c r="C15" s="320"/>
      <c r="D15" s="321"/>
      <c r="E15" s="322"/>
      <c r="F15" s="322"/>
      <c r="G15" s="322"/>
      <c r="H15" s="322"/>
      <c r="I15" s="322"/>
      <c r="J15" s="322"/>
      <c r="K15" s="322"/>
      <c r="L15" s="322"/>
      <c r="M15" s="322"/>
      <c r="N15" s="322"/>
      <c r="O15" s="322"/>
      <c r="P15" s="322"/>
    </row>
    <row r="16" spans="2:16" s="10" customFormat="1" ht="13.5" thickBot="1">
      <c r="B16" s="156"/>
      <c r="C16" s="158" t="s">
        <v>7</v>
      </c>
      <c r="D16" s="19"/>
      <c r="E16" s="21"/>
      <c r="F16" s="21"/>
      <c r="G16" s="21"/>
      <c r="H16" s="21"/>
      <c r="I16" s="21"/>
      <c r="J16" s="21"/>
      <c r="K16" s="21"/>
      <c r="L16" s="21"/>
      <c r="M16" s="21"/>
      <c r="N16" s="21"/>
      <c r="O16" s="21"/>
      <c r="P16" s="21"/>
    </row>
    <row r="17" spans="2:16">
      <c r="B17" s="314">
        <v>1</v>
      </c>
      <c r="C17" s="238"/>
      <c r="D17" s="323"/>
      <c r="E17" s="324"/>
      <c r="F17" s="324"/>
      <c r="G17" s="324"/>
      <c r="H17" s="324"/>
      <c r="I17" s="324"/>
      <c r="J17" s="324"/>
      <c r="K17" s="324"/>
      <c r="L17" s="324"/>
      <c r="M17" s="324"/>
      <c r="N17" s="324"/>
      <c r="O17" s="324"/>
      <c r="P17" s="324"/>
    </row>
    <row r="18" spans="2:16">
      <c r="B18" s="316">
        <v>2</v>
      </c>
      <c r="C18" s="239"/>
      <c r="D18" s="323"/>
      <c r="E18" s="318"/>
      <c r="F18" s="318"/>
      <c r="G18" s="318"/>
      <c r="H18" s="318"/>
      <c r="I18" s="318"/>
      <c r="J18" s="318"/>
      <c r="K18" s="318"/>
      <c r="L18" s="318"/>
      <c r="M18" s="318"/>
      <c r="N18" s="318"/>
      <c r="O18" s="318"/>
      <c r="P18" s="318"/>
    </row>
    <row r="19" spans="2:16">
      <c r="B19" s="316">
        <v>3</v>
      </c>
      <c r="C19" s="239"/>
      <c r="D19" s="323"/>
      <c r="E19" s="318"/>
      <c r="F19" s="318"/>
      <c r="G19" s="318"/>
      <c r="H19" s="318"/>
      <c r="I19" s="318"/>
      <c r="J19" s="318"/>
      <c r="K19" s="318"/>
      <c r="L19" s="318"/>
      <c r="M19" s="318"/>
      <c r="N19" s="318"/>
      <c r="O19" s="318"/>
      <c r="P19" s="318"/>
    </row>
    <row r="20" spans="2:16">
      <c r="B20" s="316">
        <v>4</v>
      </c>
      <c r="C20" s="239"/>
      <c r="D20" s="323"/>
      <c r="E20" s="318"/>
      <c r="F20" s="318"/>
      <c r="G20" s="318"/>
      <c r="H20" s="318"/>
      <c r="I20" s="318"/>
      <c r="J20" s="318"/>
      <c r="K20" s="318"/>
      <c r="L20" s="318"/>
      <c r="M20" s="318"/>
      <c r="N20" s="318"/>
      <c r="O20" s="318"/>
      <c r="P20" s="318"/>
    </row>
    <row r="21" spans="2:16" ht="13.5" thickBot="1">
      <c r="B21" s="319">
        <v>5</v>
      </c>
      <c r="C21" s="320"/>
      <c r="D21" s="321"/>
      <c r="E21" s="322"/>
      <c r="F21" s="322"/>
      <c r="G21" s="322"/>
      <c r="H21" s="322"/>
      <c r="I21" s="322"/>
      <c r="J21" s="322"/>
      <c r="K21" s="322"/>
      <c r="L21" s="322"/>
      <c r="M21" s="322"/>
      <c r="N21" s="322"/>
      <c r="O21" s="322"/>
      <c r="P21" s="322"/>
    </row>
    <row r="22" spans="2:16" s="10" customFormat="1" ht="13.5" thickBot="1">
      <c r="B22" s="156"/>
      <c r="C22" s="159" t="s">
        <v>6</v>
      </c>
      <c r="D22" s="19"/>
      <c r="E22" s="22"/>
      <c r="F22" s="22"/>
      <c r="G22" s="22"/>
      <c r="H22" s="22"/>
      <c r="I22" s="22"/>
      <c r="J22" s="22"/>
      <c r="K22" s="22"/>
      <c r="L22" s="22"/>
      <c r="M22" s="22"/>
      <c r="N22" s="22"/>
      <c r="O22" s="22"/>
      <c r="P22" s="22"/>
    </row>
    <row r="23" spans="2:16">
      <c r="B23" s="314">
        <v>1</v>
      </c>
      <c r="C23" s="238"/>
      <c r="D23" s="323"/>
      <c r="E23" s="324"/>
      <c r="F23" s="324"/>
      <c r="G23" s="324"/>
      <c r="H23" s="324"/>
      <c r="I23" s="324"/>
      <c r="J23" s="324"/>
      <c r="K23" s="324"/>
      <c r="L23" s="324"/>
      <c r="M23" s="324"/>
      <c r="N23" s="324"/>
      <c r="O23" s="324"/>
      <c r="P23" s="324"/>
    </row>
    <row r="24" spans="2:16">
      <c r="B24" s="316">
        <v>2</v>
      </c>
      <c r="C24" s="239"/>
      <c r="D24" s="325"/>
      <c r="E24" s="318"/>
      <c r="F24" s="318"/>
      <c r="G24" s="318"/>
      <c r="H24" s="318"/>
      <c r="I24" s="318"/>
      <c r="J24" s="318"/>
      <c r="K24" s="318"/>
      <c r="L24" s="318"/>
      <c r="M24" s="318"/>
      <c r="N24" s="318"/>
      <c r="O24" s="318"/>
      <c r="P24" s="318"/>
    </row>
    <row r="25" spans="2:16">
      <c r="B25" s="316">
        <v>3</v>
      </c>
      <c r="C25" s="239"/>
      <c r="D25" s="325"/>
      <c r="E25" s="318"/>
      <c r="F25" s="318"/>
      <c r="G25" s="318"/>
      <c r="H25" s="318"/>
      <c r="I25" s="318"/>
      <c r="J25" s="318"/>
      <c r="K25" s="318"/>
      <c r="L25" s="318"/>
      <c r="M25" s="318"/>
      <c r="N25" s="318"/>
      <c r="O25" s="318"/>
      <c r="P25" s="318"/>
    </row>
    <row r="26" spans="2:16">
      <c r="B26" s="316">
        <v>4</v>
      </c>
      <c r="C26" s="239"/>
      <c r="D26" s="325"/>
      <c r="E26" s="318"/>
      <c r="F26" s="318"/>
      <c r="G26" s="318"/>
      <c r="H26" s="318"/>
      <c r="I26" s="318"/>
      <c r="J26" s="318"/>
      <c r="K26" s="318"/>
      <c r="L26" s="318"/>
      <c r="M26" s="318"/>
      <c r="N26" s="318"/>
      <c r="O26" s="318"/>
      <c r="P26" s="318"/>
    </row>
    <row r="27" spans="2:16" ht="13.5" thickBot="1">
      <c r="B27" s="319">
        <v>5</v>
      </c>
      <c r="C27" s="320"/>
      <c r="D27" s="323"/>
      <c r="E27" s="322"/>
      <c r="F27" s="322"/>
      <c r="G27" s="322"/>
      <c r="H27" s="322"/>
      <c r="I27" s="322"/>
      <c r="J27" s="322"/>
      <c r="K27" s="322"/>
      <c r="L27" s="322"/>
      <c r="M27" s="322"/>
      <c r="N27" s="322"/>
      <c r="O27" s="322"/>
      <c r="P27" s="322"/>
    </row>
    <row r="28" spans="2:16" s="10" customFormat="1" ht="13.5" thickBot="1">
      <c r="B28" s="156"/>
      <c r="C28" s="159" t="s">
        <v>9</v>
      </c>
      <c r="D28" s="19"/>
      <c r="E28" s="22"/>
      <c r="F28" s="22"/>
      <c r="G28" s="22"/>
      <c r="H28" s="22"/>
      <c r="I28" s="22"/>
      <c r="J28" s="22"/>
      <c r="K28" s="22"/>
      <c r="L28" s="22"/>
      <c r="M28" s="22"/>
      <c r="N28" s="22"/>
      <c r="O28" s="22"/>
      <c r="P28" s="22"/>
    </row>
    <row r="29" spans="2:16">
      <c r="B29" s="314">
        <v>1</v>
      </c>
      <c r="C29" s="238"/>
      <c r="D29" s="323"/>
      <c r="E29" s="324"/>
      <c r="F29" s="324"/>
      <c r="G29" s="324"/>
      <c r="H29" s="324"/>
      <c r="I29" s="324"/>
      <c r="J29" s="324"/>
      <c r="K29" s="324"/>
      <c r="L29" s="324"/>
      <c r="M29" s="324"/>
      <c r="N29" s="324"/>
      <c r="O29" s="324"/>
      <c r="P29" s="324"/>
    </row>
    <row r="30" spans="2:16">
      <c r="B30" s="316">
        <v>2</v>
      </c>
      <c r="C30" s="239"/>
      <c r="D30" s="325"/>
      <c r="E30" s="318"/>
      <c r="F30" s="318"/>
      <c r="G30" s="318"/>
      <c r="H30" s="318"/>
      <c r="I30" s="318"/>
      <c r="J30" s="318"/>
      <c r="K30" s="318"/>
      <c r="L30" s="318"/>
      <c r="M30" s="318"/>
      <c r="N30" s="318"/>
      <c r="O30" s="318"/>
      <c r="P30" s="318"/>
    </row>
    <row r="31" spans="2:16">
      <c r="B31" s="316">
        <v>3</v>
      </c>
      <c r="C31" s="239"/>
      <c r="D31" s="325"/>
      <c r="E31" s="318"/>
      <c r="F31" s="318"/>
      <c r="G31" s="318"/>
      <c r="H31" s="318"/>
      <c r="I31" s="318"/>
      <c r="J31" s="318"/>
      <c r="K31" s="318"/>
      <c r="L31" s="318"/>
      <c r="M31" s="318"/>
      <c r="N31" s="318"/>
      <c r="O31" s="318"/>
      <c r="P31" s="318"/>
    </row>
    <row r="32" spans="2:16">
      <c r="B32" s="316">
        <v>4</v>
      </c>
      <c r="C32" s="239"/>
      <c r="D32" s="325"/>
      <c r="E32" s="318"/>
      <c r="F32" s="318"/>
      <c r="G32" s="318"/>
      <c r="H32" s="318"/>
      <c r="I32" s="318"/>
      <c r="J32" s="318"/>
      <c r="K32" s="318"/>
      <c r="L32" s="318"/>
      <c r="M32" s="318"/>
      <c r="N32" s="318"/>
      <c r="O32" s="318"/>
      <c r="P32" s="318"/>
    </row>
    <row r="33" spans="2:17" ht="13.5" thickBot="1">
      <c r="B33" s="319">
        <v>5</v>
      </c>
      <c r="C33" s="320"/>
      <c r="D33" s="323"/>
      <c r="E33" s="322"/>
      <c r="F33" s="322"/>
      <c r="G33" s="322"/>
      <c r="H33" s="322"/>
      <c r="I33" s="322"/>
      <c r="J33" s="322"/>
      <c r="K33" s="322"/>
      <c r="L33" s="322"/>
      <c r="M33" s="322"/>
      <c r="N33" s="322"/>
      <c r="O33" s="322"/>
      <c r="P33" s="322"/>
    </row>
    <row r="34" spans="2:17" s="13" customFormat="1" ht="13.5" thickTop="1">
      <c r="B34" s="28"/>
      <c r="C34" s="29" t="s">
        <v>3</v>
      </c>
      <c r="D34" s="25">
        <f>D10+D16+D22+D28</f>
        <v>0</v>
      </c>
      <c r="E34" s="26"/>
      <c r="F34" s="26"/>
      <c r="G34" s="26"/>
      <c r="H34" s="26"/>
      <c r="I34" s="26"/>
      <c r="J34" s="26"/>
      <c r="K34" s="26"/>
      <c r="L34" s="26"/>
      <c r="M34" s="26"/>
      <c r="N34" s="26"/>
      <c r="O34" s="26"/>
      <c r="P34" s="26"/>
    </row>
    <row r="36" spans="2:17">
      <c r="B36" s="5"/>
      <c r="C36" s="37" t="s">
        <v>34</v>
      </c>
      <c r="D36" s="38"/>
      <c r="E36" s="975" t="s">
        <v>35</v>
      </c>
      <c r="F36" s="975"/>
      <c r="G36" s="975"/>
      <c r="H36" s="975"/>
      <c r="I36" s="975"/>
      <c r="J36" s="975"/>
      <c r="K36" s="38"/>
      <c r="L36" s="38"/>
      <c r="M36" s="976" t="s">
        <v>249</v>
      </c>
      <c r="N36" s="976"/>
      <c r="O36" s="976"/>
      <c r="P36" s="976"/>
      <c r="Q36" s="976"/>
    </row>
    <row r="37" spans="2:17">
      <c r="B37" s="5"/>
      <c r="C37" s="6"/>
      <c r="D37" s="5"/>
      <c r="E37" s="972"/>
      <c r="F37" s="972"/>
      <c r="G37" s="6"/>
      <c r="H37" s="972"/>
      <c r="I37" s="972"/>
      <c r="J37" s="972"/>
      <c r="K37" s="972"/>
      <c r="L37" s="972"/>
      <c r="M37" s="972"/>
      <c r="N37" s="972"/>
      <c r="O37" s="972"/>
      <c r="P37" s="972"/>
      <c r="Q37" s="972"/>
    </row>
    <row r="38" spans="2:17">
      <c r="B38" s="5"/>
      <c r="C38" s="6"/>
      <c r="D38" s="59"/>
      <c r="E38" s="58"/>
      <c r="F38" s="6"/>
      <c r="G38" s="6"/>
      <c r="H38" s="2"/>
      <c r="I38" s="6"/>
      <c r="J38" s="6"/>
      <c r="K38" s="6"/>
      <c r="L38" s="60"/>
      <c r="M38" s="2"/>
      <c r="N38" s="6"/>
      <c r="O38" s="6"/>
      <c r="P38" s="6"/>
      <c r="Q38" s="60"/>
    </row>
    <row r="39" spans="2:17">
      <c r="B39" s="5"/>
      <c r="C39" s="6"/>
      <c r="D39" s="59"/>
      <c r="E39" s="58"/>
      <c r="F39" s="6"/>
      <c r="G39" s="6"/>
      <c r="H39" s="2"/>
      <c r="I39" s="6"/>
      <c r="J39" s="6"/>
      <c r="K39" s="6"/>
      <c r="L39" s="60"/>
      <c r="M39" s="2"/>
      <c r="N39" s="6"/>
      <c r="O39" s="6"/>
      <c r="P39" s="6"/>
      <c r="Q39" s="60"/>
    </row>
    <row r="40" spans="2:17">
      <c r="B40" s="5"/>
      <c r="C40" s="6"/>
      <c r="D40" s="59"/>
      <c r="E40" s="58"/>
      <c r="F40" s="6"/>
      <c r="G40" s="6"/>
      <c r="H40" s="2"/>
      <c r="I40" s="6"/>
      <c r="J40" s="6"/>
      <c r="K40" s="6"/>
      <c r="L40" s="60"/>
      <c r="M40" s="2"/>
      <c r="N40" s="6"/>
      <c r="O40" s="6"/>
      <c r="P40" s="6"/>
      <c r="Q40" s="60"/>
    </row>
    <row r="41" spans="2:17">
      <c r="B41" s="5"/>
      <c r="C41" s="6"/>
      <c r="D41" s="59"/>
      <c r="E41" s="58"/>
      <c r="F41" s="6"/>
      <c r="G41" s="6"/>
      <c r="H41" s="2"/>
      <c r="I41" s="6"/>
      <c r="J41" s="6"/>
      <c r="K41" s="6"/>
      <c r="L41" s="60"/>
      <c r="M41" s="2"/>
      <c r="N41" s="6"/>
      <c r="O41" s="6"/>
      <c r="P41" s="6"/>
      <c r="Q41" s="60"/>
    </row>
    <row r="42" spans="2:17">
      <c r="B42" s="5"/>
      <c r="C42" s="6"/>
      <c r="D42" s="59"/>
      <c r="E42" s="58"/>
      <c r="F42" s="6"/>
      <c r="G42" s="6"/>
      <c r="H42" s="2"/>
      <c r="I42" s="6"/>
      <c r="J42" s="6"/>
      <c r="K42" s="6"/>
      <c r="L42" s="60"/>
      <c r="M42" s="2"/>
      <c r="N42" s="6"/>
      <c r="O42" s="6"/>
      <c r="P42" s="6"/>
      <c r="Q42" s="60"/>
    </row>
    <row r="43" spans="2:17">
      <c r="B43" s="5"/>
      <c r="C43" s="6" t="s">
        <v>29</v>
      </c>
      <c r="D43" s="5"/>
      <c r="E43" s="972" t="s">
        <v>29</v>
      </c>
      <c r="F43" s="972"/>
      <c r="G43" s="972"/>
      <c r="H43" s="972"/>
      <c r="I43" s="972"/>
      <c r="J43" s="972"/>
      <c r="K43" s="5"/>
      <c r="L43" s="5"/>
      <c r="M43" s="977" t="s">
        <v>29</v>
      </c>
      <c r="N43" s="977"/>
      <c r="O43" s="977"/>
      <c r="P43" s="977"/>
      <c r="Q43" s="977"/>
    </row>
  </sheetData>
  <mergeCells count="7">
    <mergeCell ref="M36:Q36"/>
    <mergeCell ref="M37:Q37"/>
    <mergeCell ref="M43:Q43"/>
    <mergeCell ref="E36:J36"/>
    <mergeCell ref="E43:J43"/>
    <mergeCell ref="E37:F37"/>
    <mergeCell ref="H37:L37"/>
  </mergeCells>
  <phoneticPr fontId="6" type="noConversion"/>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rgb="FFFFFF00"/>
  </sheetPr>
  <dimension ref="B1:O44"/>
  <sheetViews>
    <sheetView showGridLines="0" topLeftCell="B24" zoomScale="114" zoomScaleNormal="150" workbookViewId="0">
      <selection activeCell="F33" sqref="F33"/>
    </sheetView>
  </sheetViews>
  <sheetFormatPr defaultColWidth="8.875" defaultRowHeight="12.75"/>
  <cols>
    <col min="1" max="1" width="0.125" style="1" customWidth="1"/>
    <col min="2" max="2" width="7.875" style="1" bestFit="1" customWidth="1"/>
    <col min="3" max="3" width="33.375" style="1" customWidth="1"/>
    <col min="4" max="4" width="6.5" style="1" customWidth="1"/>
    <col min="5" max="5" width="26.125" style="1" customWidth="1"/>
    <col min="6" max="6" width="26.125" style="2" customWidth="1"/>
    <col min="7" max="7" width="10.625" style="2" customWidth="1"/>
    <col min="8" max="8" width="11.625" style="31" customWidth="1"/>
    <col min="9" max="9" width="5.5" style="2" customWidth="1"/>
    <col min="10" max="10" width="13" style="1" customWidth="1"/>
    <col min="11" max="11" width="15.5" style="1" customWidth="1"/>
    <col min="12" max="12" width="8" style="1" customWidth="1"/>
    <col min="13" max="13" width="9.375" style="2" customWidth="1"/>
    <col min="14" max="221" width="8.875" style="1"/>
    <col min="222" max="222" width="5" style="1" customWidth="1"/>
    <col min="223" max="223" width="33.375" style="1" customWidth="1"/>
    <col min="224" max="224" width="6.5" style="1" customWidth="1"/>
    <col min="225" max="225" width="29.5" style="1" customWidth="1"/>
    <col min="226" max="226" width="23.625" style="1" customWidth="1"/>
    <col min="227" max="227" width="8" style="1" customWidth="1"/>
    <col min="228" max="228" width="9.125" style="1" customWidth="1"/>
    <col min="229" max="229" width="13.875" style="1" customWidth="1"/>
    <col min="230" max="230" width="13.5" style="1" customWidth="1"/>
    <col min="231" max="477" width="8.875" style="1"/>
    <col min="478" max="478" width="5" style="1" customWidth="1"/>
    <col min="479" max="479" width="33.375" style="1" customWidth="1"/>
    <col min="480" max="480" width="6.5" style="1" customWidth="1"/>
    <col min="481" max="481" width="29.5" style="1" customWidth="1"/>
    <col min="482" max="482" width="23.625" style="1" customWidth="1"/>
    <col min="483" max="483" width="8" style="1" customWidth="1"/>
    <col min="484" max="484" width="9.125" style="1" customWidth="1"/>
    <col min="485" max="485" width="13.875" style="1" customWidth="1"/>
    <col min="486" max="486" width="13.5" style="1" customWidth="1"/>
    <col min="487" max="733" width="8.875" style="1"/>
    <col min="734" max="734" width="5" style="1" customWidth="1"/>
    <col min="735" max="735" width="33.375" style="1" customWidth="1"/>
    <col min="736" max="736" width="6.5" style="1" customWidth="1"/>
    <col min="737" max="737" width="29.5" style="1" customWidth="1"/>
    <col min="738" max="738" width="23.625" style="1" customWidth="1"/>
    <col min="739" max="739" width="8" style="1" customWidth="1"/>
    <col min="740" max="740" width="9.125" style="1" customWidth="1"/>
    <col min="741" max="741" width="13.875" style="1" customWidth="1"/>
    <col min="742" max="742" width="13.5" style="1" customWidth="1"/>
    <col min="743" max="989" width="8.875" style="1"/>
    <col min="990" max="990" width="5" style="1" customWidth="1"/>
    <col min="991" max="991" width="33.375" style="1" customWidth="1"/>
    <col min="992" max="992" width="6.5" style="1" customWidth="1"/>
    <col min="993" max="993" width="29.5" style="1" customWidth="1"/>
    <col min="994" max="994" width="23.625" style="1" customWidth="1"/>
    <col min="995" max="995" width="8" style="1" customWidth="1"/>
    <col min="996" max="996" width="9.125" style="1" customWidth="1"/>
    <col min="997" max="997" width="13.875" style="1" customWidth="1"/>
    <col min="998" max="998" width="13.5" style="1" customWidth="1"/>
    <col min="999" max="1245" width="8.875" style="1"/>
    <col min="1246" max="1246" width="5" style="1" customWidth="1"/>
    <col min="1247" max="1247" width="33.375" style="1" customWidth="1"/>
    <col min="1248" max="1248" width="6.5" style="1" customWidth="1"/>
    <col min="1249" max="1249" width="29.5" style="1" customWidth="1"/>
    <col min="1250" max="1250" width="23.625" style="1" customWidth="1"/>
    <col min="1251" max="1251" width="8" style="1" customWidth="1"/>
    <col min="1252" max="1252" width="9.125" style="1" customWidth="1"/>
    <col min="1253" max="1253" width="13.875" style="1" customWidth="1"/>
    <col min="1254" max="1254" width="13.5" style="1" customWidth="1"/>
    <col min="1255" max="1501" width="8.875" style="1"/>
    <col min="1502" max="1502" width="5" style="1" customWidth="1"/>
    <col min="1503" max="1503" width="33.375" style="1" customWidth="1"/>
    <col min="1504" max="1504" width="6.5" style="1" customWidth="1"/>
    <col min="1505" max="1505" width="29.5" style="1" customWidth="1"/>
    <col min="1506" max="1506" width="23.625" style="1" customWidth="1"/>
    <col min="1507" max="1507" width="8" style="1" customWidth="1"/>
    <col min="1508" max="1508" width="9.125" style="1" customWidth="1"/>
    <col min="1509" max="1509" width="13.875" style="1" customWidth="1"/>
    <col min="1510" max="1510" width="13.5" style="1" customWidth="1"/>
    <col min="1511" max="1757" width="8.875" style="1"/>
    <col min="1758" max="1758" width="5" style="1" customWidth="1"/>
    <col min="1759" max="1759" width="33.375" style="1" customWidth="1"/>
    <col min="1760" max="1760" width="6.5" style="1" customWidth="1"/>
    <col min="1761" max="1761" width="29.5" style="1" customWidth="1"/>
    <col min="1762" max="1762" width="23.625" style="1" customWidth="1"/>
    <col min="1763" max="1763" width="8" style="1" customWidth="1"/>
    <col min="1764" max="1764" width="9.125" style="1" customWidth="1"/>
    <col min="1765" max="1765" width="13.875" style="1" customWidth="1"/>
    <col min="1766" max="1766" width="13.5" style="1" customWidth="1"/>
    <col min="1767" max="2013" width="8.875" style="1"/>
    <col min="2014" max="2014" width="5" style="1" customWidth="1"/>
    <col min="2015" max="2015" width="33.375" style="1" customWidth="1"/>
    <col min="2016" max="2016" width="6.5" style="1" customWidth="1"/>
    <col min="2017" max="2017" width="29.5" style="1" customWidth="1"/>
    <col min="2018" max="2018" width="23.625" style="1" customWidth="1"/>
    <col min="2019" max="2019" width="8" style="1" customWidth="1"/>
    <col min="2020" max="2020" width="9.125" style="1" customWidth="1"/>
    <col min="2021" max="2021" width="13.875" style="1" customWidth="1"/>
    <col min="2022" max="2022" width="13.5" style="1" customWidth="1"/>
    <col min="2023" max="2269" width="8.875" style="1"/>
    <col min="2270" max="2270" width="5" style="1" customWidth="1"/>
    <col min="2271" max="2271" width="33.375" style="1" customWidth="1"/>
    <col min="2272" max="2272" width="6.5" style="1" customWidth="1"/>
    <col min="2273" max="2273" width="29.5" style="1" customWidth="1"/>
    <col min="2274" max="2274" width="23.625" style="1" customWidth="1"/>
    <col min="2275" max="2275" width="8" style="1" customWidth="1"/>
    <col min="2276" max="2276" width="9.125" style="1" customWidth="1"/>
    <col min="2277" max="2277" width="13.875" style="1" customWidth="1"/>
    <col min="2278" max="2278" width="13.5" style="1" customWidth="1"/>
    <col min="2279" max="2525" width="8.875" style="1"/>
    <col min="2526" max="2526" width="5" style="1" customWidth="1"/>
    <col min="2527" max="2527" width="33.375" style="1" customWidth="1"/>
    <col min="2528" max="2528" width="6.5" style="1" customWidth="1"/>
    <col min="2529" max="2529" width="29.5" style="1" customWidth="1"/>
    <col min="2530" max="2530" width="23.625" style="1" customWidth="1"/>
    <col min="2531" max="2531" width="8" style="1" customWidth="1"/>
    <col min="2532" max="2532" width="9.125" style="1" customWidth="1"/>
    <col min="2533" max="2533" width="13.875" style="1" customWidth="1"/>
    <col min="2534" max="2534" width="13.5" style="1" customWidth="1"/>
    <col min="2535" max="2781" width="8.875" style="1"/>
    <col min="2782" max="2782" width="5" style="1" customWidth="1"/>
    <col min="2783" max="2783" width="33.375" style="1" customWidth="1"/>
    <col min="2784" max="2784" width="6.5" style="1" customWidth="1"/>
    <col min="2785" max="2785" width="29.5" style="1" customWidth="1"/>
    <col min="2786" max="2786" width="23.625" style="1" customWidth="1"/>
    <col min="2787" max="2787" width="8" style="1" customWidth="1"/>
    <col min="2788" max="2788" width="9.125" style="1" customWidth="1"/>
    <col min="2789" max="2789" width="13.875" style="1" customWidth="1"/>
    <col min="2790" max="2790" width="13.5" style="1" customWidth="1"/>
    <col min="2791" max="3037" width="8.875" style="1"/>
    <col min="3038" max="3038" width="5" style="1" customWidth="1"/>
    <col min="3039" max="3039" width="33.375" style="1" customWidth="1"/>
    <col min="3040" max="3040" width="6.5" style="1" customWidth="1"/>
    <col min="3041" max="3041" width="29.5" style="1" customWidth="1"/>
    <col min="3042" max="3042" width="23.625" style="1" customWidth="1"/>
    <col min="3043" max="3043" width="8" style="1" customWidth="1"/>
    <col min="3044" max="3044" width="9.125" style="1" customWidth="1"/>
    <col min="3045" max="3045" width="13.875" style="1" customWidth="1"/>
    <col min="3046" max="3046" width="13.5" style="1" customWidth="1"/>
    <col min="3047" max="3293" width="8.875" style="1"/>
    <col min="3294" max="3294" width="5" style="1" customWidth="1"/>
    <col min="3295" max="3295" width="33.375" style="1" customWidth="1"/>
    <col min="3296" max="3296" width="6.5" style="1" customWidth="1"/>
    <col min="3297" max="3297" width="29.5" style="1" customWidth="1"/>
    <col min="3298" max="3298" width="23.625" style="1" customWidth="1"/>
    <col min="3299" max="3299" width="8" style="1" customWidth="1"/>
    <col min="3300" max="3300" width="9.125" style="1" customWidth="1"/>
    <col min="3301" max="3301" width="13.875" style="1" customWidth="1"/>
    <col min="3302" max="3302" width="13.5" style="1" customWidth="1"/>
    <col min="3303" max="3549" width="8.875" style="1"/>
    <col min="3550" max="3550" width="5" style="1" customWidth="1"/>
    <col min="3551" max="3551" width="33.375" style="1" customWidth="1"/>
    <col min="3552" max="3552" width="6.5" style="1" customWidth="1"/>
    <col min="3553" max="3553" width="29.5" style="1" customWidth="1"/>
    <col min="3554" max="3554" width="23.625" style="1" customWidth="1"/>
    <col min="3555" max="3555" width="8" style="1" customWidth="1"/>
    <col min="3556" max="3556" width="9.125" style="1" customWidth="1"/>
    <col min="3557" max="3557" width="13.875" style="1" customWidth="1"/>
    <col min="3558" max="3558" width="13.5" style="1" customWidth="1"/>
    <col min="3559" max="3805" width="8.875" style="1"/>
    <col min="3806" max="3806" width="5" style="1" customWidth="1"/>
    <col min="3807" max="3807" width="33.375" style="1" customWidth="1"/>
    <col min="3808" max="3808" width="6.5" style="1" customWidth="1"/>
    <col min="3809" max="3809" width="29.5" style="1" customWidth="1"/>
    <col min="3810" max="3810" width="23.625" style="1" customWidth="1"/>
    <col min="3811" max="3811" width="8" style="1" customWidth="1"/>
    <col min="3812" max="3812" width="9.125" style="1" customWidth="1"/>
    <col min="3813" max="3813" width="13.875" style="1" customWidth="1"/>
    <col min="3814" max="3814" width="13.5" style="1" customWidth="1"/>
    <col min="3815" max="4061" width="8.875" style="1"/>
    <col min="4062" max="4062" width="5" style="1" customWidth="1"/>
    <col min="4063" max="4063" width="33.375" style="1" customWidth="1"/>
    <col min="4064" max="4064" width="6.5" style="1" customWidth="1"/>
    <col min="4065" max="4065" width="29.5" style="1" customWidth="1"/>
    <col min="4066" max="4066" width="23.625" style="1" customWidth="1"/>
    <col min="4067" max="4067" width="8" style="1" customWidth="1"/>
    <col min="4068" max="4068" width="9.125" style="1" customWidth="1"/>
    <col min="4069" max="4069" width="13.875" style="1" customWidth="1"/>
    <col min="4070" max="4070" width="13.5" style="1" customWidth="1"/>
    <col min="4071" max="4317" width="8.875" style="1"/>
    <col min="4318" max="4318" width="5" style="1" customWidth="1"/>
    <col min="4319" max="4319" width="33.375" style="1" customWidth="1"/>
    <col min="4320" max="4320" width="6.5" style="1" customWidth="1"/>
    <col min="4321" max="4321" width="29.5" style="1" customWidth="1"/>
    <col min="4322" max="4322" width="23.625" style="1" customWidth="1"/>
    <col min="4323" max="4323" width="8" style="1" customWidth="1"/>
    <col min="4324" max="4324" width="9.125" style="1" customWidth="1"/>
    <col min="4325" max="4325" width="13.875" style="1" customWidth="1"/>
    <col min="4326" max="4326" width="13.5" style="1" customWidth="1"/>
    <col min="4327" max="4573" width="8.875" style="1"/>
    <col min="4574" max="4574" width="5" style="1" customWidth="1"/>
    <col min="4575" max="4575" width="33.375" style="1" customWidth="1"/>
    <col min="4576" max="4576" width="6.5" style="1" customWidth="1"/>
    <col min="4577" max="4577" width="29.5" style="1" customWidth="1"/>
    <col min="4578" max="4578" width="23.625" style="1" customWidth="1"/>
    <col min="4579" max="4579" width="8" style="1" customWidth="1"/>
    <col min="4580" max="4580" width="9.125" style="1" customWidth="1"/>
    <col min="4581" max="4581" width="13.875" style="1" customWidth="1"/>
    <col min="4582" max="4582" width="13.5" style="1" customWidth="1"/>
    <col min="4583" max="4829" width="8.875" style="1"/>
    <col min="4830" max="4830" width="5" style="1" customWidth="1"/>
    <col min="4831" max="4831" width="33.375" style="1" customWidth="1"/>
    <col min="4832" max="4832" width="6.5" style="1" customWidth="1"/>
    <col min="4833" max="4833" width="29.5" style="1" customWidth="1"/>
    <col min="4834" max="4834" width="23.625" style="1" customWidth="1"/>
    <col min="4835" max="4835" width="8" style="1" customWidth="1"/>
    <col min="4836" max="4836" width="9.125" style="1" customWidth="1"/>
    <col min="4837" max="4837" width="13.875" style="1" customWidth="1"/>
    <col min="4838" max="4838" width="13.5" style="1" customWidth="1"/>
    <col min="4839" max="5085" width="8.875" style="1"/>
    <col min="5086" max="5086" width="5" style="1" customWidth="1"/>
    <col min="5087" max="5087" width="33.375" style="1" customWidth="1"/>
    <col min="5088" max="5088" width="6.5" style="1" customWidth="1"/>
    <col min="5089" max="5089" width="29.5" style="1" customWidth="1"/>
    <col min="5090" max="5090" width="23.625" style="1" customWidth="1"/>
    <col min="5091" max="5091" width="8" style="1" customWidth="1"/>
    <col min="5092" max="5092" width="9.125" style="1" customWidth="1"/>
    <col min="5093" max="5093" width="13.875" style="1" customWidth="1"/>
    <col min="5094" max="5094" width="13.5" style="1" customWidth="1"/>
    <col min="5095" max="5341" width="8.875" style="1"/>
    <col min="5342" max="5342" width="5" style="1" customWidth="1"/>
    <col min="5343" max="5343" width="33.375" style="1" customWidth="1"/>
    <col min="5344" max="5344" width="6.5" style="1" customWidth="1"/>
    <col min="5345" max="5345" width="29.5" style="1" customWidth="1"/>
    <col min="5346" max="5346" width="23.625" style="1" customWidth="1"/>
    <col min="5347" max="5347" width="8" style="1" customWidth="1"/>
    <col min="5348" max="5348" width="9.125" style="1" customWidth="1"/>
    <col min="5349" max="5349" width="13.875" style="1" customWidth="1"/>
    <col min="5350" max="5350" width="13.5" style="1" customWidth="1"/>
    <col min="5351" max="5597" width="8.875" style="1"/>
    <col min="5598" max="5598" width="5" style="1" customWidth="1"/>
    <col min="5599" max="5599" width="33.375" style="1" customWidth="1"/>
    <col min="5600" max="5600" width="6.5" style="1" customWidth="1"/>
    <col min="5601" max="5601" width="29.5" style="1" customWidth="1"/>
    <col min="5602" max="5602" width="23.625" style="1" customWidth="1"/>
    <col min="5603" max="5603" width="8" style="1" customWidth="1"/>
    <col min="5604" max="5604" width="9.125" style="1" customWidth="1"/>
    <col min="5605" max="5605" width="13.875" style="1" customWidth="1"/>
    <col min="5606" max="5606" width="13.5" style="1" customWidth="1"/>
    <col min="5607" max="5853" width="8.875" style="1"/>
    <col min="5854" max="5854" width="5" style="1" customWidth="1"/>
    <col min="5855" max="5855" width="33.375" style="1" customWidth="1"/>
    <col min="5856" max="5856" width="6.5" style="1" customWidth="1"/>
    <col min="5857" max="5857" width="29.5" style="1" customWidth="1"/>
    <col min="5858" max="5858" width="23.625" style="1" customWidth="1"/>
    <col min="5859" max="5859" width="8" style="1" customWidth="1"/>
    <col min="5860" max="5860" width="9.125" style="1" customWidth="1"/>
    <col min="5861" max="5861" width="13.875" style="1" customWidth="1"/>
    <col min="5862" max="5862" width="13.5" style="1" customWidth="1"/>
    <col min="5863" max="6109" width="8.875" style="1"/>
    <col min="6110" max="6110" width="5" style="1" customWidth="1"/>
    <col min="6111" max="6111" width="33.375" style="1" customWidth="1"/>
    <col min="6112" max="6112" width="6.5" style="1" customWidth="1"/>
    <col min="6113" max="6113" width="29.5" style="1" customWidth="1"/>
    <col min="6114" max="6114" width="23.625" style="1" customWidth="1"/>
    <col min="6115" max="6115" width="8" style="1" customWidth="1"/>
    <col min="6116" max="6116" width="9.125" style="1" customWidth="1"/>
    <col min="6117" max="6117" width="13.875" style="1" customWidth="1"/>
    <col min="6118" max="6118" width="13.5" style="1" customWidth="1"/>
    <col min="6119" max="6365" width="8.875" style="1"/>
    <col min="6366" max="6366" width="5" style="1" customWidth="1"/>
    <col min="6367" max="6367" width="33.375" style="1" customWidth="1"/>
    <col min="6368" max="6368" width="6.5" style="1" customWidth="1"/>
    <col min="6369" max="6369" width="29.5" style="1" customWidth="1"/>
    <col min="6370" max="6370" width="23.625" style="1" customWidth="1"/>
    <col min="6371" max="6371" width="8" style="1" customWidth="1"/>
    <col min="6372" max="6372" width="9.125" style="1" customWidth="1"/>
    <col min="6373" max="6373" width="13.875" style="1" customWidth="1"/>
    <col min="6374" max="6374" width="13.5" style="1" customWidth="1"/>
    <col min="6375" max="6621" width="8.875" style="1"/>
    <col min="6622" max="6622" width="5" style="1" customWidth="1"/>
    <col min="6623" max="6623" width="33.375" style="1" customWidth="1"/>
    <col min="6624" max="6624" width="6.5" style="1" customWidth="1"/>
    <col min="6625" max="6625" width="29.5" style="1" customWidth="1"/>
    <col min="6626" max="6626" width="23.625" style="1" customWidth="1"/>
    <col min="6627" max="6627" width="8" style="1" customWidth="1"/>
    <col min="6628" max="6628" width="9.125" style="1" customWidth="1"/>
    <col min="6629" max="6629" width="13.875" style="1" customWidth="1"/>
    <col min="6630" max="6630" width="13.5" style="1" customWidth="1"/>
    <col min="6631" max="6877" width="8.875" style="1"/>
    <col min="6878" max="6878" width="5" style="1" customWidth="1"/>
    <col min="6879" max="6879" width="33.375" style="1" customWidth="1"/>
    <col min="6880" max="6880" width="6.5" style="1" customWidth="1"/>
    <col min="6881" max="6881" width="29.5" style="1" customWidth="1"/>
    <col min="6882" max="6882" width="23.625" style="1" customWidth="1"/>
    <col min="6883" max="6883" width="8" style="1" customWidth="1"/>
    <col min="6884" max="6884" width="9.125" style="1" customWidth="1"/>
    <col min="6885" max="6885" width="13.875" style="1" customWidth="1"/>
    <col min="6886" max="6886" width="13.5" style="1" customWidth="1"/>
    <col min="6887" max="7133" width="8.875" style="1"/>
    <col min="7134" max="7134" width="5" style="1" customWidth="1"/>
    <col min="7135" max="7135" width="33.375" style="1" customWidth="1"/>
    <col min="7136" max="7136" width="6.5" style="1" customWidth="1"/>
    <col min="7137" max="7137" width="29.5" style="1" customWidth="1"/>
    <col min="7138" max="7138" width="23.625" style="1" customWidth="1"/>
    <col min="7139" max="7139" width="8" style="1" customWidth="1"/>
    <col min="7140" max="7140" width="9.125" style="1" customWidth="1"/>
    <col min="7141" max="7141" width="13.875" style="1" customWidth="1"/>
    <col min="7142" max="7142" width="13.5" style="1" customWidth="1"/>
    <col min="7143" max="7389" width="8.875" style="1"/>
    <col min="7390" max="7390" width="5" style="1" customWidth="1"/>
    <col min="7391" max="7391" width="33.375" style="1" customWidth="1"/>
    <col min="7392" max="7392" width="6.5" style="1" customWidth="1"/>
    <col min="7393" max="7393" width="29.5" style="1" customWidth="1"/>
    <col min="7394" max="7394" width="23.625" style="1" customWidth="1"/>
    <col min="7395" max="7395" width="8" style="1" customWidth="1"/>
    <col min="7396" max="7396" width="9.125" style="1" customWidth="1"/>
    <col min="7397" max="7397" width="13.875" style="1" customWidth="1"/>
    <col min="7398" max="7398" width="13.5" style="1" customWidth="1"/>
    <col min="7399" max="7645" width="8.875" style="1"/>
    <col min="7646" max="7646" width="5" style="1" customWidth="1"/>
    <col min="7647" max="7647" width="33.375" style="1" customWidth="1"/>
    <col min="7648" max="7648" width="6.5" style="1" customWidth="1"/>
    <col min="7649" max="7649" width="29.5" style="1" customWidth="1"/>
    <col min="7650" max="7650" width="23.625" style="1" customWidth="1"/>
    <col min="7651" max="7651" width="8" style="1" customWidth="1"/>
    <col min="7652" max="7652" width="9.125" style="1" customWidth="1"/>
    <col min="7653" max="7653" width="13.875" style="1" customWidth="1"/>
    <col min="7654" max="7654" width="13.5" style="1" customWidth="1"/>
    <col min="7655" max="7901" width="8.875" style="1"/>
    <col min="7902" max="7902" width="5" style="1" customWidth="1"/>
    <col min="7903" max="7903" width="33.375" style="1" customWidth="1"/>
    <col min="7904" max="7904" width="6.5" style="1" customWidth="1"/>
    <col min="7905" max="7905" width="29.5" style="1" customWidth="1"/>
    <col min="7906" max="7906" width="23.625" style="1" customWidth="1"/>
    <col min="7907" max="7907" width="8" style="1" customWidth="1"/>
    <col min="7908" max="7908" width="9.125" style="1" customWidth="1"/>
    <col min="7909" max="7909" width="13.875" style="1" customWidth="1"/>
    <col min="7910" max="7910" width="13.5" style="1" customWidth="1"/>
    <col min="7911" max="8157" width="8.875" style="1"/>
    <col min="8158" max="8158" width="5" style="1" customWidth="1"/>
    <col min="8159" max="8159" width="33.375" style="1" customWidth="1"/>
    <col min="8160" max="8160" width="6.5" style="1" customWidth="1"/>
    <col min="8161" max="8161" width="29.5" style="1" customWidth="1"/>
    <col min="8162" max="8162" width="23.625" style="1" customWidth="1"/>
    <col min="8163" max="8163" width="8" style="1" customWidth="1"/>
    <col min="8164" max="8164" width="9.125" style="1" customWidth="1"/>
    <col min="8165" max="8165" width="13.875" style="1" customWidth="1"/>
    <col min="8166" max="8166" width="13.5" style="1" customWidth="1"/>
    <col min="8167" max="8413" width="8.875" style="1"/>
    <col min="8414" max="8414" width="5" style="1" customWidth="1"/>
    <col min="8415" max="8415" width="33.375" style="1" customWidth="1"/>
    <col min="8416" max="8416" width="6.5" style="1" customWidth="1"/>
    <col min="8417" max="8417" width="29.5" style="1" customWidth="1"/>
    <col min="8418" max="8418" width="23.625" style="1" customWidth="1"/>
    <col min="8419" max="8419" width="8" style="1" customWidth="1"/>
    <col min="8420" max="8420" width="9.125" style="1" customWidth="1"/>
    <col min="8421" max="8421" width="13.875" style="1" customWidth="1"/>
    <col min="8422" max="8422" width="13.5" style="1" customWidth="1"/>
    <col min="8423" max="8669" width="8.875" style="1"/>
    <col min="8670" max="8670" width="5" style="1" customWidth="1"/>
    <col min="8671" max="8671" width="33.375" style="1" customWidth="1"/>
    <col min="8672" max="8672" width="6.5" style="1" customWidth="1"/>
    <col min="8673" max="8673" width="29.5" style="1" customWidth="1"/>
    <col min="8674" max="8674" width="23.625" style="1" customWidth="1"/>
    <col min="8675" max="8675" width="8" style="1" customWidth="1"/>
    <col min="8676" max="8676" width="9.125" style="1" customWidth="1"/>
    <col min="8677" max="8677" width="13.875" style="1" customWidth="1"/>
    <col min="8678" max="8678" width="13.5" style="1" customWidth="1"/>
    <col min="8679" max="8925" width="8.875" style="1"/>
    <col min="8926" max="8926" width="5" style="1" customWidth="1"/>
    <col min="8927" max="8927" width="33.375" style="1" customWidth="1"/>
    <col min="8928" max="8928" width="6.5" style="1" customWidth="1"/>
    <col min="8929" max="8929" width="29.5" style="1" customWidth="1"/>
    <col min="8930" max="8930" width="23.625" style="1" customWidth="1"/>
    <col min="8931" max="8931" width="8" style="1" customWidth="1"/>
    <col min="8932" max="8932" width="9.125" style="1" customWidth="1"/>
    <col min="8933" max="8933" width="13.875" style="1" customWidth="1"/>
    <col min="8934" max="8934" width="13.5" style="1" customWidth="1"/>
    <col min="8935" max="9181" width="8.875" style="1"/>
    <col min="9182" max="9182" width="5" style="1" customWidth="1"/>
    <col min="9183" max="9183" width="33.375" style="1" customWidth="1"/>
    <col min="9184" max="9184" width="6.5" style="1" customWidth="1"/>
    <col min="9185" max="9185" width="29.5" style="1" customWidth="1"/>
    <col min="9186" max="9186" width="23.625" style="1" customWidth="1"/>
    <col min="9187" max="9187" width="8" style="1" customWidth="1"/>
    <col min="9188" max="9188" width="9.125" style="1" customWidth="1"/>
    <col min="9189" max="9189" width="13.875" style="1" customWidth="1"/>
    <col min="9190" max="9190" width="13.5" style="1" customWidth="1"/>
    <col min="9191" max="9437" width="8.875" style="1"/>
    <col min="9438" max="9438" width="5" style="1" customWidth="1"/>
    <col min="9439" max="9439" width="33.375" style="1" customWidth="1"/>
    <col min="9440" max="9440" width="6.5" style="1" customWidth="1"/>
    <col min="9441" max="9441" width="29.5" style="1" customWidth="1"/>
    <col min="9442" max="9442" width="23.625" style="1" customWidth="1"/>
    <col min="9443" max="9443" width="8" style="1" customWidth="1"/>
    <col min="9444" max="9444" width="9.125" style="1" customWidth="1"/>
    <col min="9445" max="9445" width="13.875" style="1" customWidth="1"/>
    <col min="9446" max="9446" width="13.5" style="1" customWidth="1"/>
    <col min="9447" max="9693" width="8.875" style="1"/>
    <col min="9694" max="9694" width="5" style="1" customWidth="1"/>
    <col min="9695" max="9695" width="33.375" style="1" customWidth="1"/>
    <col min="9696" max="9696" width="6.5" style="1" customWidth="1"/>
    <col min="9697" max="9697" width="29.5" style="1" customWidth="1"/>
    <col min="9698" max="9698" width="23.625" style="1" customWidth="1"/>
    <col min="9699" max="9699" width="8" style="1" customWidth="1"/>
    <col min="9700" max="9700" width="9.125" style="1" customWidth="1"/>
    <col min="9701" max="9701" width="13.875" style="1" customWidth="1"/>
    <col min="9702" max="9702" width="13.5" style="1" customWidth="1"/>
    <col min="9703" max="9949" width="8.875" style="1"/>
    <col min="9950" max="9950" width="5" style="1" customWidth="1"/>
    <col min="9951" max="9951" width="33.375" style="1" customWidth="1"/>
    <col min="9952" max="9952" width="6.5" style="1" customWidth="1"/>
    <col min="9953" max="9953" width="29.5" style="1" customWidth="1"/>
    <col min="9954" max="9954" width="23.625" style="1" customWidth="1"/>
    <col min="9955" max="9955" width="8" style="1" customWidth="1"/>
    <col min="9956" max="9956" width="9.125" style="1" customWidth="1"/>
    <col min="9957" max="9957" width="13.875" style="1" customWidth="1"/>
    <col min="9958" max="9958" width="13.5" style="1" customWidth="1"/>
    <col min="9959" max="10205" width="8.875" style="1"/>
    <col min="10206" max="10206" width="5" style="1" customWidth="1"/>
    <col min="10207" max="10207" width="33.375" style="1" customWidth="1"/>
    <col min="10208" max="10208" width="6.5" style="1" customWidth="1"/>
    <col min="10209" max="10209" width="29.5" style="1" customWidth="1"/>
    <col min="10210" max="10210" width="23.625" style="1" customWidth="1"/>
    <col min="10211" max="10211" width="8" style="1" customWidth="1"/>
    <col min="10212" max="10212" width="9.125" style="1" customWidth="1"/>
    <col min="10213" max="10213" width="13.875" style="1" customWidth="1"/>
    <col min="10214" max="10214" width="13.5" style="1" customWidth="1"/>
    <col min="10215" max="10461" width="8.875" style="1"/>
    <col min="10462" max="10462" width="5" style="1" customWidth="1"/>
    <col min="10463" max="10463" width="33.375" style="1" customWidth="1"/>
    <col min="10464" max="10464" width="6.5" style="1" customWidth="1"/>
    <col min="10465" max="10465" width="29.5" style="1" customWidth="1"/>
    <col min="10466" max="10466" width="23.625" style="1" customWidth="1"/>
    <col min="10467" max="10467" width="8" style="1" customWidth="1"/>
    <col min="10468" max="10468" width="9.125" style="1" customWidth="1"/>
    <col min="10469" max="10469" width="13.875" style="1" customWidth="1"/>
    <col min="10470" max="10470" width="13.5" style="1" customWidth="1"/>
    <col min="10471" max="10717" width="8.875" style="1"/>
    <col min="10718" max="10718" width="5" style="1" customWidth="1"/>
    <col min="10719" max="10719" width="33.375" style="1" customWidth="1"/>
    <col min="10720" max="10720" width="6.5" style="1" customWidth="1"/>
    <col min="10721" max="10721" width="29.5" style="1" customWidth="1"/>
    <col min="10722" max="10722" width="23.625" style="1" customWidth="1"/>
    <col min="10723" max="10723" width="8" style="1" customWidth="1"/>
    <col min="10724" max="10724" width="9.125" style="1" customWidth="1"/>
    <col min="10725" max="10725" width="13.875" style="1" customWidth="1"/>
    <col min="10726" max="10726" width="13.5" style="1" customWidth="1"/>
    <col min="10727" max="10973" width="8.875" style="1"/>
    <col min="10974" max="10974" width="5" style="1" customWidth="1"/>
    <col min="10975" max="10975" width="33.375" style="1" customWidth="1"/>
    <col min="10976" max="10976" width="6.5" style="1" customWidth="1"/>
    <col min="10977" max="10977" width="29.5" style="1" customWidth="1"/>
    <col min="10978" max="10978" width="23.625" style="1" customWidth="1"/>
    <col min="10979" max="10979" width="8" style="1" customWidth="1"/>
    <col min="10980" max="10980" width="9.125" style="1" customWidth="1"/>
    <col min="10981" max="10981" width="13.875" style="1" customWidth="1"/>
    <col min="10982" max="10982" width="13.5" style="1" customWidth="1"/>
    <col min="10983" max="11229" width="8.875" style="1"/>
    <col min="11230" max="11230" width="5" style="1" customWidth="1"/>
    <col min="11231" max="11231" width="33.375" style="1" customWidth="1"/>
    <col min="11232" max="11232" width="6.5" style="1" customWidth="1"/>
    <col min="11233" max="11233" width="29.5" style="1" customWidth="1"/>
    <col min="11234" max="11234" width="23.625" style="1" customWidth="1"/>
    <col min="11235" max="11235" width="8" style="1" customWidth="1"/>
    <col min="11236" max="11236" width="9.125" style="1" customWidth="1"/>
    <col min="11237" max="11237" width="13.875" style="1" customWidth="1"/>
    <col min="11238" max="11238" width="13.5" style="1" customWidth="1"/>
    <col min="11239" max="11485" width="8.875" style="1"/>
    <col min="11486" max="11486" width="5" style="1" customWidth="1"/>
    <col min="11487" max="11487" width="33.375" style="1" customWidth="1"/>
    <col min="11488" max="11488" width="6.5" style="1" customWidth="1"/>
    <col min="11489" max="11489" width="29.5" style="1" customWidth="1"/>
    <col min="11490" max="11490" width="23.625" style="1" customWidth="1"/>
    <col min="11491" max="11491" width="8" style="1" customWidth="1"/>
    <col min="11492" max="11492" width="9.125" style="1" customWidth="1"/>
    <col min="11493" max="11493" width="13.875" style="1" customWidth="1"/>
    <col min="11494" max="11494" width="13.5" style="1" customWidth="1"/>
    <col min="11495" max="11741" width="8.875" style="1"/>
    <col min="11742" max="11742" width="5" style="1" customWidth="1"/>
    <col min="11743" max="11743" width="33.375" style="1" customWidth="1"/>
    <col min="11744" max="11744" width="6.5" style="1" customWidth="1"/>
    <col min="11745" max="11745" width="29.5" style="1" customWidth="1"/>
    <col min="11746" max="11746" width="23.625" style="1" customWidth="1"/>
    <col min="11747" max="11747" width="8" style="1" customWidth="1"/>
    <col min="11748" max="11748" width="9.125" style="1" customWidth="1"/>
    <col min="11749" max="11749" width="13.875" style="1" customWidth="1"/>
    <col min="11750" max="11750" width="13.5" style="1" customWidth="1"/>
    <col min="11751" max="11997" width="8.875" style="1"/>
    <col min="11998" max="11998" width="5" style="1" customWidth="1"/>
    <col min="11999" max="11999" width="33.375" style="1" customWidth="1"/>
    <col min="12000" max="12000" width="6.5" style="1" customWidth="1"/>
    <col min="12001" max="12001" width="29.5" style="1" customWidth="1"/>
    <col min="12002" max="12002" width="23.625" style="1" customWidth="1"/>
    <col min="12003" max="12003" width="8" style="1" customWidth="1"/>
    <col min="12004" max="12004" width="9.125" style="1" customWidth="1"/>
    <col min="12005" max="12005" width="13.875" style="1" customWidth="1"/>
    <col min="12006" max="12006" width="13.5" style="1" customWidth="1"/>
    <col min="12007" max="12253" width="8.875" style="1"/>
    <col min="12254" max="12254" width="5" style="1" customWidth="1"/>
    <col min="12255" max="12255" width="33.375" style="1" customWidth="1"/>
    <col min="12256" max="12256" width="6.5" style="1" customWidth="1"/>
    <col min="12257" max="12257" width="29.5" style="1" customWidth="1"/>
    <col min="12258" max="12258" width="23.625" style="1" customWidth="1"/>
    <col min="12259" max="12259" width="8" style="1" customWidth="1"/>
    <col min="12260" max="12260" width="9.125" style="1" customWidth="1"/>
    <col min="12261" max="12261" width="13.875" style="1" customWidth="1"/>
    <col min="12262" max="12262" width="13.5" style="1" customWidth="1"/>
    <col min="12263" max="12509" width="8.875" style="1"/>
    <col min="12510" max="12510" width="5" style="1" customWidth="1"/>
    <col min="12511" max="12511" width="33.375" style="1" customWidth="1"/>
    <col min="12512" max="12512" width="6.5" style="1" customWidth="1"/>
    <col min="12513" max="12513" width="29.5" style="1" customWidth="1"/>
    <col min="12514" max="12514" width="23.625" style="1" customWidth="1"/>
    <col min="12515" max="12515" width="8" style="1" customWidth="1"/>
    <col min="12516" max="12516" width="9.125" style="1" customWidth="1"/>
    <col min="12517" max="12517" width="13.875" style="1" customWidth="1"/>
    <col min="12518" max="12518" width="13.5" style="1" customWidth="1"/>
    <col min="12519" max="12765" width="8.875" style="1"/>
    <col min="12766" max="12766" width="5" style="1" customWidth="1"/>
    <col min="12767" max="12767" width="33.375" style="1" customWidth="1"/>
    <col min="12768" max="12768" width="6.5" style="1" customWidth="1"/>
    <col min="12769" max="12769" width="29.5" style="1" customWidth="1"/>
    <col min="12770" max="12770" width="23.625" style="1" customWidth="1"/>
    <col min="12771" max="12771" width="8" style="1" customWidth="1"/>
    <col min="12772" max="12772" width="9.125" style="1" customWidth="1"/>
    <col min="12773" max="12773" width="13.875" style="1" customWidth="1"/>
    <col min="12774" max="12774" width="13.5" style="1" customWidth="1"/>
    <col min="12775" max="13021" width="8.875" style="1"/>
    <col min="13022" max="13022" width="5" style="1" customWidth="1"/>
    <col min="13023" max="13023" width="33.375" style="1" customWidth="1"/>
    <col min="13024" max="13024" width="6.5" style="1" customWidth="1"/>
    <col min="13025" max="13025" width="29.5" style="1" customWidth="1"/>
    <col min="13026" max="13026" width="23.625" style="1" customWidth="1"/>
    <col min="13027" max="13027" width="8" style="1" customWidth="1"/>
    <col min="13028" max="13028" width="9.125" style="1" customWidth="1"/>
    <col min="13029" max="13029" width="13.875" style="1" customWidth="1"/>
    <col min="13030" max="13030" width="13.5" style="1" customWidth="1"/>
    <col min="13031" max="13277" width="8.875" style="1"/>
    <col min="13278" max="13278" width="5" style="1" customWidth="1"/>
    <col min="13279" max="13279" width="33.375" style="1" customWidth="1"/>
    <col min="13280" max="13280" width="6.5" style="1" customWidth="1"/>
    <col min="13281" max="13281" width="29.5" style="1" customWidth="1"/>
    <col min="13282" max="13282" width="23.625" style="1" customWidth="1"/>
    <col min="13283" max="13283" width="8" style="1" customWidth="1"/>
    <col min="13284" max="13284" width="9.125" style="1" customWidth="1"/>
    <col min="13285" max="13285" width="13.875" style="1" customWidth="1"/>
    <col min="13286" max="13286" width="13.5" style="1" customWidth="1"/>
    <col min="13287" max="13533" width="8.875" style="1"/>
    <col min="13534" max="13534" width="5" style="1" customWidth="1"/>
    <col min="13535" max="13535" width="33.375" style="1" customWidth="1"/>
    <col min="13536" max="13536" width="6.5" style="1" customWidth="1"/>
    <col min="13537" max="13537" width="29.5" style="1" customWidth="1"/>
    <col min="13538" max="13538" width="23.625" style="1" customWidth="1"/>
    <col min="13539" max="13539" width="8" style="1" customWidth="1"/>
    <col min="13540" max="13540" width="9.125" style="1" customWidth="1"/>
    <col min="13541" max="13541" width="13.875" style="1" customWidth="1"/>
    <col min="13542" max="13542" width="13.5" style="1" customWidth="1"/>
    <col min="13543" max="13789" width="8.875" style="1"/>
    <col min="13790" max="13790" width="5" style="1" customWidth="1"/>
    <col min="13791" max="13791" width="33.375" style="1" customWidth="1"/>
    <col min="13792" max="13792" width="6.5" style="1" customWidth="1"/>
    <col min="13793" max="13793" width="29.5" style="1" customWidth="1"/>
    <col min="13794" max="13794" width="23.625" style="1" customWidth="1"/>
    <col min="13795" max="13795" width="8" style="1" customWidth="1"/>
    <col min="13796" max="13796" width="9.125" style="1" customWidth="1"/>
    <col min="13797" max="13797" width="13.875" style="1" customWidth="1"/>
    <col min="13798" max="13798" width="13.5" style="1" customWidth="1"/>
    <col min="13799" max="14045" width="8.875" style="1"/>
    <col min="14046" max="14046" width="5" style="1" customWidth="1"/>
    <col min="14047" max="14047" width="33.375" style="1" customWidth="1"/>
    <col min="14048" max="14048" width="6.5" style="1" customWidth="1"/>
    <col min="14049" max="14049" width="29.5" style="1" customWidth="1"/>
    <col min="14050" max="14050" width="23.625" style="1" customWidth="1"/>
    <col min="14051" max="14051" width="8" style="1" customWidth="1"/>
    <col min="14052" max="14052" width="9.125" style="1" customWidth="1"/>
    <col min="14053" max="14053" width="13.875" style="1" customWidth="1"/>
    <col min="14054" max="14054" width="13.5" style="1" customWidth="1"/>
    <col min="14055" max="14301" width="8.875" style="1"/>
    <col min="14302" max="14302" width="5" style="1" customWidth="1"/>
    <col min="14303" max="14303" width="33.375" style="1" customWidth="1"/>
    <col min="14304" max="14304" width="6.5" style="1" customWidth="1"/>
    <col min="14305" max="14305" width="29.5" style="1" customWidth="1"/>
    <col min="14306" max="14306" width="23.625" style="1" customWidth="1"/>
    <col min="14307" max="14307" width="8" style="1" customWidth="1"/>
    <col min="14308" max="14308" width="9.125" style="1" customWidth="1"/>
    <col min="14309" max="14309" width="13.875" style="1" customWidth="1"/>
    <col min="14310" max="14310" width="13.5" style="1" customWidth="1"/>
    <col min="14311" max="14557" width="8.875" style="1"/>
    <col min="14558" max="14558" width="5" style="1" customWidth="1"/>
    <col min="14559" max="14559" width="33.375" style="1" customWidth="1"/>
    <col min="14560" max="14560" width="6.5" style="1" customWidth="1"/>
    <col min="14561" max="14561" width="29.5" style="1" customWidth="1"/>
    <col min="14562" max="14562" width="23.625" style="1" customWidth="1"/>
    <col min="14563" max="14563" width="8" style="1" customWidth="1"/>
    <col min="14564" max="14564" width="9.125" style="1" customWidth="1"/>
    <col min="14565" max="14565" width="13.875" style="1" customWidth="1"/>
    <col min="14566" max="14566" width="13.5" style="1" customWidth="1"/>
    <col min="14567" max="14813" width="8.875" style="1"/>
    <col min="14814" max="14814" width="5" style="1" customWidth="1"/>
    <col min="14815" max="14815" width="33.375" style="1" customWidth="1"/>
    <col min="14816" max="14816" width="6.5" style="1" customWidth="1"/>
    <col min="14817" max="14817" width="29.5" style="1" customWidth="1"/>
    <col min="14818" max="14818" width="23.625" style="1" customWidth="1"/>
    <col min="14819" max="14819" width="8" style="1" customWidth="1"/>
    <col min="14820" max="14820" width="9.125" style="1" customWidth="1"/>
    <col min="14821" max="14821" width="13.875" style="1" customWidth="1"/>
    <col min="14822" max="14822" width="13.5" style="1" customWidth="1"/>
    <col min="14823" max="15069" width="8.875" style="1"/>
    <col min="15070" max="15070" width="5" style="1" customWidth="1"/>
    <col min="15071" max="15071" width="33.375" style="1" customWidth="1"/>
    <col min="15072" max="15072" width="6.5" style="1" customWidth="1"/>
    <col min="15073" max="15073" width="29.5" style="1" customWidth="1"/>
    <col min="15074" max="15074" width="23.625" style="1" customWidth="1"/>
    <col min="15075" max="15075" width="8" style="1" customWidth="1"/>
    <col min="15076" max="15076" width="9.125" style="1" customWidth="1"/>
    <col min="15077" max="15077" width="13.875" style="1" customWidth="1"/>
    <col min="15078" max="15078" width="13.5" style="1" customWidth="1"/>
    <col min="15079" max="15325" width="8.875" style="1"/>
    <col min="15326" max="15326" width="5" style="1" customWidth="1"/>
    <col min="15327" max="15327" width="33.375" style="1" customWidth="1"/>
    <col min="15328" max="15328" width="6.5" style="1" customWidth="1"/>
    <col min="15329" max="15329" width="29.5" style="1" customWidth="1"/>
    <col min="15330" max="15330" width="23.625" style="1" customWidth="1"/>
    <col min="15331" max="15331" width="8" style="1" customWidth="1"/>
    <col min="15332" max="15332" width="9.125" style="1" customWidth="1"/>
    <col min="15333" max="15333" width="13.875" style="1" customWidth="1"/>
    <col min="15334" max="15334" width="13.5" style="1" customWidth="1"/>
    <col min="15335" max="15581" width="8.875" style="1"/>
    <col min="15582" max="15582" width="5" style="1" customWidth="1"/>
    <col min="15583" max="15583" width="33.375" style="1" customWidth="1"/>
    <col min="15584" max="15584" width="6.5" style="1" customWidth="1"/>
    <col min="15585" max="15585" width="29.5" style="1" customWidth="1"/>
    <col min="15586" max="15586" width="23.625" style="1" customWidth="1"/>
    <col min="15587" max="15587" width="8" style="1" customWidth="1"/>
    <col min="15588" max="15588" width="9.125" style="1" customWidth="1"/>
    <col min="15589" max="15589" width="13.875" style="1" customWidth="1"/>
    <col min="15590" max="15590" width="13.5" style="1" customWidth="1"/>
    <col min="15591" max="15837" width="8.875" style="1"/>
    <col min="15838" max="15838" width="5" style="1" customWidth="1"/>
    <col min="15839" max="15839" width="33.375" style="1" customWidth="1"/>
    <col min="15840" max="15840" width="6.5" style="1" customWidth="1"/>
    <col min="15841" max="15841" width="29.5" style="1" customWidth="1"/>
    <col min="15842" max="15842" width="23.625" style="1" customWidth="1"/>
    <col min="15843" max="15843" width="8" style="1" customWidth="1"/>
    <col min="15844" max="15844" width="9.125" style="1" customWidth="1"/>
    <col min="15845" max="15845" width="13.875" style="1" customWidth="1"/>
    <col min="15846" max="15846" width="13.5" style="1" customWidth="1"/>
    <col min="15847" max="16384" width="8.875" style="1"/>
  </cols>
  <sheetData>
    <row r="1" spans="2:15" s="31" customFormat="1">
      <c r="B1" s="30"/>
      <c r="C1" s="30"/>
      <c r="F1" s="30"/>
      <c r="I1" s="30"/>
      <c r="J1" s="30"/>
      <c r="K1" s="30"/>
      <c r="L1" s="30"/>
      <c r="M1" s="30"/>
    </row>
    <row r="2" spans="2:15" s="11" customFormat="1">
      <c r="B2" s="140" t="s">
        <v>253</v>
      </c>
      <c r="C2" s="140" t="s">
        <v>132</v>
      </c>
      <c r="H2" s="191"/>
      <c r="I2" s="17"/>
    </row>
    <row r="3" spans="2:15" s="11" customFormat="1">
      <c r="B3" s="209" t="s">
        <v>254</v>
      </c>
      <c r="C3" s="209" t="s">
        <v>255</v>
      </c>
      <c r="H3" s="191"/>
      <c r="I3" s="17"/>
    </row>
    <row r="4" spans="2:15" s="11" customFormat="1">
      <c r="B4" s="140" t="s">
        <v>256</v>
      </c>
      <c r="C4" s="140" t="s">
        <v>133</v>
      </c>
      <c r="H4" s="191"/>
      <c r="I4" s="17"/>
    </row>
    <row r="5" spans="2:15" s="31" customFormat="1" ht="6" customHeight="1">
      <c r="B5" s="30"/>
      <c r="C5" s="30"/>
      <c r="F5" s="30"/>
      <c r="I5" s="30"/>
      <c r="J5" s="30"/>
      <c r="K5" s="30"/>
      <c r="L5" s="30"/>
      <c r="M5" s="30"/>
    </row>
    <row r="6" spans="2:15" s="260" customFormat="1" ht="27" customHeight="1">
      <c r="B6" s="92" t="s">
        <v>37</v>
      </c>
      <c r="C6" s="973" t="s">
        <v>339</v>
      </c>
      <c r="D6" s="974"/>
      <c r="E6" s="974"/>
      <c r="F6" s="257"/>
      <c r="G6" s="257"/>
      <c r="H6" s="258"/>
      <c r="I6" s="259"/>
      <c r="J6" s="257"/>
      <c r="K6" s="257"/>
      <c r="L6" s="257"/>
      <c r="M6" s="257"/>
    </row>
    <row r="7" spans="2:15" s="261" customFormat="1" ht="11.1" customHeight="1">
      <c r="B7" s="140"/>
      <c r="C7" s="140"/>
      <c r="D7" s="143"/>
      <c r="E7" s="142"/>
      <c r="F7" s="142"/>
      <c r="G7" s="142"/>
      <c r="I7" s="262"/>
    </row>
    <row r="8" spans="2:15" s="4" customFormat="1" ht="38.25">
      <c r="B8" s="160" t="s">
        <v>1</v>
      </c>
      <c r="C8" s="161" t="s">
        <v>31</v>
      </c>
      <c r="D8" s="161" t="s">
        <v>151</v>
      </c>
      <c r="E8" s="251" t="s">
        <v>178</v>
      </c>
      <c r="F8" s="161" t="s">
        <v>17</v>
      </c>
      <c r="G8" s="161" t="s">
        <v>36</v>
      </c>
      <c r="H8" s="161" t="s">
        <v>116</v>
      </c>
      <c r="I8" s="161" t="s">
        <v>19</v>
      </c>
      <c r="J8" s="161" t="s">
        <v>170</v>
      </c>
      <c r="K8" s="161" t="s">
        <v>164</v>
      </c>
      <c r="L8" s="161" t="s">
        <v>32</v>
      </c>
      <c r="M8" s="162" t="s">
        <v>171</v>
      </c>
    </row>
    <row r="9" spans="2:15" s="41" customFormat="1" ht="20.100000000000001" customHeight="1">
      <c r="B9" s="214"/>
      <c r="C9" s="214" t="s">
        <v>6</v>
      </c>
      <c r="D9" s="215">
        <v>0.4</v>
      </c>
      <c r="E9" s="252"/>
      <c r="F9" s="247"/>
      <c r="G9" s="247"/>
      <c r="H9" s="248"/>
      <c r="I9" s="247"/>
      <c r="J9" s="249"/>
      <c r="K9" s="249"/>
      <c r="L9" s="250"/>
      <c r="M9" s="256">
        <f>SUM(M10:M14)*D9</f>
        <v>0.40165015491096634</v>
      </c>
    </row>
    <row r="10" spans="2:15" ht="38.25">
      <c r="B10" s="151">
        <v>1</v>
      </c>
      <c r="C10" s="270" t="s">
        <v>284</v>
      </c>
      <c r="D10" s="220">
        <v>0.15</v>
      </c>
      <c r="E10" s="270" t="s">
        <v>328</v>
      </c>
      <c r="F10" s="274" t="s">
        <v>319</v>
      </c>
      <c r="G10" s="275">
        <v>46022</v>
      </c>
      <c r="H10" s="276" t="s">
        <v>375</v>
      </c>
      <c r="I10" s="277" t="s">
        <v>324</v>
      </c>
      <c r="J10" s="278">
        <v>122030057</v>
      </c>
      <c r="K10" s="279">
        <v>122050000</v>
      </c>
      <c r="L10" s="246">
        <f>IF(LEN(K10)=0,"",IF(K10&lt;J10*80%,0,MIN(120%,K10/J10*100%)))</f>
        <v>1.0001634269498048</v>
      </c>
      <c r="M10" s="233">
        <f>IFERROR(L10*D10,"")</f>
        <v>0.15002451404247072</v>
      </c>
    </row>
    <row r="11" spans="2:15" ht="38.25">
      <c r="B11" s="151">
        <v>2</v>
      </c>
      <c r="C11" s="271" t="s">
        <v>285</v>
      </c>
      <c r="D11" s="218">
        <v>0.3</v>
      </c>
      <c r="E11" s="271" t="s">
        <v>329</v>
      </c>
      <c r="F11" s="274" t="s">
        <v>376</v>
      </c>
      <c r="G11" s="275">
        <v>46022</v>
      </c>
      <c r="H11" s="276" t="s">
        <v>331</v>
      </c>
      <c r="I11" s="280" t="s">
        <v>324</v>
      </c>
      <c r="J11" s="278">
        <v>106776300</v>
      </c>
      <c r="K11" s="279">
        <v>107952410</v>
      </c>
      <c r="L11" s="246">
        <f>IF(LEN(K11)=0,"",IF(K11&lt;J11*95%,0,MIN(120%,K11/J11*100%)))</f>
        <v>1.0110147101931797</v>
      </c>
      <c r="M11" s="233">
        <f>IFERROR(L11*D11,"")</f>
        <v>0.30330441305795391</v>
      </c>
    </row>
    <row r="12" spans="2:15" ht="38.25">
      <c r="B12" s="151">
        <v>3</v>
      </c>
      <c r="C12" s="271" t="s">
        <v>302</v>
      </c>
      <c r="D12" s="218">
        <v>0.3</v>
      </c>
      <c r="E12" s="271" t="s">
        <v>303</v>
      </c>
      <c r="F12" s="274" t="s">
        <v>333</v>
      </c>
      <c r="G12" s="275">
        <v>46022</v>
      </c>
      <c r="H12" s="276" t="s">
        <v>320</v>
      </c>
      <c r="I12" s="280" t="s">
        <v>326</v>
      </c>
      <c r="J12" s="281">
        <v>0.1133</v>
      </c>
      <c r="K12" s="282">
        <v>0.113</v>
      </c>
      <c r="L12" s="246">
        <f>IF(LEN(K12)=0,"",IF(K12&gt;J12,0,MIN(120%,J12/K12*100%)))</f>
        <v>1.0026548672566371</v>
      </c>
      <c r="M12" s="233">
        <f>IFERROR(L12*D12,"")</f>
        <v>0.30079646017699113</v>
      </c>
      <c r="O12" s="283"/>
    </row>
    <row r="13" spans="2:15" ht="25.5">
      <c r="B13" s="151">
        <v>4</v>
      </c>
      <c r="C13" s="271" t="s">
        <v>286</v>
      </c>
      <c r="D13" s="218">
        <v>0.15</v>
      </c>
      <c r="E13" s="271" t="s">
        <v>304</v>
      </c>
      <c r="F13" s="284" t="s">
        <v>330</v>
      </c>
      <c r="G13" s="275">
        <v>46022</v>
      </c>
      <c r="H13" s="276" t="s">
        <v>331</v>
      </c>
      <c r="I13" s="280" t="s">
        <v>344</v>
      </c>
      <c r="J13" s="278">
        <v>23824</v>
      </c>
      <c r="K13" s="285">
        <v>24100</v>
      </c>
      <c r="L13" s="286">
        <f>IF(LEN(K13)=0,"",IF(K13&gt;=J13,100%,0%))</f>
        <v>1</v>
      </c>
      <c r="M13" s="233">
        <f>IFERROR(L13*D13,"")</f>
        <v>0.15</v>
      </c>
    </row>
    <row r="14" spans="2:15" ht="38.25">
      <c r="B14" s="151">
        <v>5</v>
      </c>
      <c r="C14" s="272" t="s">
        <v>287</v>
      </c>
      <c r="D14" s="218">
        <v>0.1</v>
      </c>
      <c r="E14" s="272" t="s">
        <v>305</v>
      </c>
      <c r="F14" s="274" t="s">
        <v>377</v>
      </c>
      <c r="G14" s="275">
        <v>46022</v>
      </c>
      <c r="H14" s="287" t="s">
        <v>320</v>
      </c>
      <c r="I14" s="288" t="s">
        <v>326</v>
      </c>
      <c r="J14" s="289">
        <v>1</v>
      </c>
      <c r="K14" s="290">
        <v>1</v>
      </c>
      <c r="L14" s="246">
        <f>IF(LEN(K14)=0,"",IF(K14&lt;J14*90%,0,MIN(120%,K14/J14*100%)))</f>
        <v>1</v>
      </c>
      <c r="M14" s="233">
        <f>IFERROR(L14*D14,"")</f>
        <v>0.1</v>
      </c>
    </row>
    <row r="15" spans="2:15" s="41" customFormat="1" ht="17.100000000000001" customHeight="1">
      <c r="B15" s="214"/>
      <c r="C15" s="214" t="s">
        <v>5</v>
      </c>
      <c r="D15" s="215">
        <v>0.35</v>
      </c>
      <c r="E15" s="252"/>
      <c r="F15" s="247"/>
      <c r="G15" s="247"/>
      <c r="H15" s="248"/>
      <c r="I15" s="247"/>
      <c r="J15" s="249"/>
      <c r="K15" s="249"/>
      <c r="L15" s="250"/>
      <c r="M15" s="256">
        <f>SUM(M16:M21)*D15</f>
        <v>0.38595883940620779</v>
      </c>
    </row>
    <row r="16" spans="2:15" ht="38.25">
      <c r="B16" s="151">
        <v>1</v>
      </c>
      <c r="C16" s="270" t="s">
        <v>385</v>
      </c>
      <c r="D16" s="230">
        <v>0.15</v>
      </c>
      <c r="E16" s="270" t="s">
        <v>306</v>
      </c>
      <c r="F16" s="274" t="s">
        <v>341</v>
      </c>
      <c r="G16" s="275">
        <v>46022</v>
      </c>
      <c r="H16" s="276" t="s">
        <v>331</v>
      </c>
      <c r="I16" s="277" t="s">
        <v>327</v>
      </c>
      <c r="J16" s="291">
        <v>733.53</v>
      </c>
      <c r="K16" s="482">
        <v>809211620187</v>
      </c>
      <c r="L16" s="246">
        <f>IF(LEN(K16)=0,"",IF(K16&lt;J16,0,MIN(120%,K16/J16*100%)))</f>
        <v>1.2</v>
      </c>
      <c r="M16" s="233">
        <f t="shared" ref="M16:M21" si="0">IFERROR(L16*D16,"")</f>
        <v>0.18</v>
      </c>
    </row>
    <row r="17" spans="2:15" ht="38.25">
      <c r="B17" s="151">
        <v>2</v>
      </c>
      <c r="C17" s="271" t="s">
        <v>386</v>
      </c>
      <c r="D17" s="230">
        <v>0.1</v>
      </c>
      <c r="E17" s="271" t="s">
        <v>307</v>
      </c>
      <c r="F17" s="274" t="s">
        <v>319</v>
      </c>
      <c r="G17" s="275">
        <v>46022</v>
      </c>
      <c r="H17" s="276" t="s">
        <v>331</v>
      </c>
      <c r="I17" s="277" t="s">
        <v>327</v>
      </c>
      <c r="J17" s="292">
        <v>3</v>
      </c>
      <c r="K17" s="293">
        <v>3.5</v>
      </c>
      <c r="L17" s="246">
        <f t="shared" ref="L17" si="1">IF(LEN(K17)=0,"",IF(K17&lt;J17*80%,0,MIN(120%,K17/J17*100%)))</f>
        <v>1.1666666666666667</v>
      </c>
      <c r="M17" s="233">
        <f t="shared" si="0"/>
        <v>0.11666666666666668</v>
      </c>
    </row>
    <row r="18" spans="2:15" ht="38.25">
      <c r="B18" s="151">
        <v>3</v>
      </c>
      <c r="C18" s="271" t="s">
        <v>387</v>
      </c>
      <c r="D18" s="230">
        <v>0.3</v>
      </c>
      <c r="E18" s="271" t="s">
        <v>308</v>
      </c>
      <c r="F18" s="284" t="s">
        <v>403</v>
      </c>
      <c r="G18" s="275">
        <v>46022</v>
      </c>
      <c r="H18" s="276" t="s">
        <v>331</v>
      </c>
      <c r="I18" s="280" t="s">
        <v>325</v>
      </c>
      <c r="J18" s="294">
        <v>7020</v>
      </c>
      <c r="K18" s="285">
        <v>7080</v>
      </c>
      <c r="L18" s="286">
        <f>IF(LEN(K18)=0,"",IF(K18&lt;J18,0,MIN(120%,K18/J18*100%)))</f>
        <v>1.0085470085470085</v>
      </c>
      <c r="M18" s="233">
        <f t="shared" si="0"/>
        <v>0.30256410256410254</v>
      </c>
    </row>
    <row r="19" spans="2:15" ht="38.25">
      <c r="B19" s="151">
        <v>4</v>
      </c>
      <c r="C19" s="271" t="s">
        <v>388</v>
      </c>
      <c r="D19" s="230">
        <v>0.15</v>
      </c>
      <c r="E19" s="271" t="s">
        <v>309</v>
      </c>
      <c r="F19" s="274" t="s">
        <v>341</v>
      </c>
      <c r="G19" s="275">
        <v>46022</v>
      </c>
      <c r="H19" s="276" t="s">
        <v>331</v>
      </c>
      <c r="I19" s="277" t="s">
        <v>327</v>
      </c>
      <c r="J19" s="291">
        <v>161.667</v>
      </c>
      <c r="K19" s="295">
        <v>230</v>
      </c>
      <c r="L19" s="246">
        <f>IF(LEN(K19)=0,"",IF(K19&lt;J19,0,MIN(120%,K19/J19*100%)))</f>
        <v>1.2</v>
      </c>
      <c r="M19" s="233">
        <f t="shared" si="0"/>
        <v>0.18</v>
      </c>
    </row>
    <row r="20" spans="2:15" ht="38.25">
      <c r="B20" s="151">
        <v>5</v>
      </c>
      <c r="C20" s="272" t="s">
        <v>401</v>
      </c>
      <c r="D20" s="230">
        <v>0.1</v>
      </c>
      <c r="E20" s="272" t="s">
        <v>409</v>
      </c>
      <c r="F20" s="274" t="s">
        <v>353</v>
      </c>
      <c r="G20" s="275">
        <v>46022</v>
      </c>
      <c r="H20" s="276" t="s">
        <v>331</v>
      </c>
      <c r="I20" s="288" t="s">
        <v>326</v>
      </c>
      <c r="J20" s="296">
        <v>1.7000000000000001E-2</v>
      </c>
      <c r="K20" s="297">
        <v>1.4E-2</v>
      </c>
      <c r="L20" s="246">
        <f>IF(LEN(K20)=0,"",IF(K20&gt;J20,0,MIN(120%,J20/K20*100%)))</f>
        <v>1.2</v>
      </c>
      <c r="M20" s="233">
        <f t="shared" si="0"/>
        <v>0.12</v>
      </c>
    </row>
    <row r="21" spans="2:15" ht="51">
      <c r="B21" s="151">
        <v>6</v>
      </c>
      <c r="C21" s="270" t="s">
        <v>402</v>
      </c>
      <c r="D21" s="230">
        <v>0.2</v>
      </c>
      <c r="E21" s="272" t="s">
        <v>332</v>
      </c>
      <c r="F21" s="274" t="s">
        <v>353</v>
      </c>
      <c r="G21" s="275">
        <v>46022</v>
      </c>
      <c r="H21" s="276" t="s">
        <v>331</v>
      </c>
      <c r="I21" s="280" t="s">
        <v>325</v>
      </c>
      <c r="J21" s="298">
        <v>580</v>
      </c>
      <c r="K21" s="299">
        <v>570</v>
      </c>
      <c r="L21" s="246">
        <f>IF(LEN(K21)=0,"",IF(K21&gt;J21,0,MIN(120%,J21/K21*100%)))</f>
        <v>1.0175438596491229</v>
      </c>
      <c r="M21" s="233">
        <f t="shared" si="0"/>
        <v>0.20350877192982458</v>
      </c>
      <c r="O21" s="300"/>
    </row>
    <row r="22" spans="2:15" s="41" customFormat="1" ht="18" customHeight="1">
      <c r="B22" s="214"/>
      <c r="C22" s="214" t="s">
        <v>7</v>
      </c>
      <c r="D22" s="215">
        <v>0.1</v>
      </c>
      <c r="E22" s="252"/>
      <c r="F22" s="247"/>
      <c r="G22" s="247"/>
      <c r="H22" s="248"/>
      <c r="I22" s="247"/>
      <c r="J22" s="249"/>
      <c r="K22" s="249">
        <v>8050</v>
      </c>
      <c r="L22" s="250"/>
      <c r="M22" s="256">
        <f>SUM(M23:M28)*D22</f>
        <v>0.10269811320754717</v>
      </c>
    </row>
    <row r="23" spans="2:15" ht="38.25">
      <c r="B23" s="151">
        <v>1</v>
      </c>
      <c r="C23" s="270" t="s">
        <v>389</v>
      </c>
      <c r="D23" s="230">
        <v>0.2</v>
      </c>
      <c r="E23" s="270" t="s">
        <v>311</v>
      </c>
      <c r="F23" s="274" t="s">
        <v>319</v>
      </c>
      <c r="G23" s="275">
        <v>46022</v>
      </c>
      <c r="H23" s="276" t="s">
        <v>331</v>
      </c>
      <c r="I23" s="277" t="s">
        <v>344</v>
      </c>
      <c r="J23" s="301">
        <v>7420</v>
      </c>
      <c r="K23" s="302">
        <v>8050</v>
      </c>
      <c r="L23" s="246">
        <f>IF(LEN(K23)=0,"",IF(K23&lt;J23*80%,0,MIN(120%,K23/J23*100%)))</f>
        <v>1.0849056603773586</v>
      </c>
      <c r="M23" s="233">
        <f>IFERROR(L23*D23,"")</f>
        <v>0.21698113207547173</v>
      </c>
    </row>
    <row r="24" spans="2:15" ht="38.25">
      <c r="B24" s="151">
        <v>2</v>
      </c>
      <c r="C24" s="271" t="s">
        <v>390</v>
      </c>
      <c r="D24" s="230">
        <v>0.15</v>
      </c>
      <c r="E24" s="271" t="s">
        <v>312</v>
      </c>
      <c r="F24" s="274" t="s">
        <v>319</v>
      </c>
      <c r="G24" s="275">
        <v>46022</v>
      </c>
      <c r="H24" s="276" t="s">
        <v>321</v>
      </c>
      <c r="I24" s="280" t="s">
        <v>326</v>
      </c>
      <c r="J24" s="303">
        <v>0.8</v>
      </c>
      <c r="K24" s="290">
        <v>0.8</v>
      </c>
      <c r="L24" s="246">
        <f>IF(LEN(K24)=0,"",IF(K24&lt;J24*80%,0,MIN(120%,K24/J24*100%)))</f>
        <v>1</v>
      </c>
      <c r="M24" s="233">
        <f t="shared" ref="M24:M33" si="2">IFERROR(L24*D24,"")</f>
        <v>0.15</v>
      </c>
    </row>
    <row r="25" spans="2:15" ht="51">
      <c r="B25" s="151">
        <v>3</v>
      </c>
      <c r="C25" s="271" t="s">
        <v>391</v>
      </c>
      <c r="D25" s="230">
        <v>0.15</v>
      </c>
      <c r="E25" s="271" t="s">
        <v>340</v>
      </c>
      <c r="F25" s="274" t="s">
        <v>333</v>
      </c>
      <c r="G25" s="275">
        <v>46022</v>
      </c>
      <c r="H25" s="276" t="s">
        <v>321</v>
      </c>
      <c r="I25" s="277" t="s">
        <v>343</v>
      </c>
      <c r="J25" s="304">
        <v>5</v>
      </c>
      <c r="K25" s="305">
        <v>5</v>
      </c>
      <c r="L25" s="246">
        <f>IF(LEN(K25)=0,"",IF(K25&gt;J25,0,MIN(120%,J25/K25*100%)))</f>
        <v>1</v>
      </c>
      <c r="M25" s="233">
        <f t="shared" si="2"/>
        <v>0.15</v>
      </c>
    </row>
    <row r="26" spans="2:15" ht="38.25">
      <c r="B26" s="151">
        <v>4</v>
      </c>
      <c r="C26" s="271" t="s">
        <v>392</v>
      </c>
      <c r="D26" s="230">
        <v>0.15</v>
      </c>
      <c r="E26" s="271" t="s">
        <v>354</v>
      </c>
      <c r="F26" s="274" t="s">
        <v>319</v>
      </c>
      <c r="G26" s="275">
        <v>46022</v>
      </c>
      <c r="H26" s="276" t="s">
        <v>321</v>
      </c>
      <c r="I26" s="280" t="s">
        <v>326</v>
      </c>
      <c r="J26" s="303">
        <v>0.05</v>
      </c>
      <c r="K26" s="290">
        <v>0.05</v>
      </c>
      <c r="L26" s="246">
        <f>IF(LEN(K26)=0,"",IF(K26&lt;J26*80%,0,MIN(120%,K26/J26*100%)))</f>
        <v>1</v>
      </c>
      <c r="M26" s="233">
        <f t="shared" si="2"/>
        <v>0.15</v>
      </c>
    </row>
    <row r="27" spans="2:15" ht="51">
      <c r="B27" s="151">
        <v>5</v>
      </c>
      <c r="C27" s="272" t="s">
        <v>393</v>
      </c>
      <c r="D27" s="230">
        <v>0.2</v>
      </c>
      <c r="E27" s="272" t="s">
        <v>374</v>
      </c>
      <c r="F27" s="274" t="s">
        <v>341</v>
      </c>
      <c r="G27" s="275">
        <v>46022</v>
      </c>
      <c r="H27" s="287" t="s">
        <v>322</v>
      </c>
      <c r="I27" s="280" t="s">
        <v>326</v>
      </c>
      <c r="J27" s="289">
        <v>0.02</v>
      </c>
      <c r="K27" s="306">
        <v>2.1000000000000001E-2</v>
      </c>
      <c r="L27" s="246">
        <f>IF(LEN(K27)=0,"",IF(K27&lt;J27,0,MIN(120%,K27/J27*100%)))</f>
        <v>1.05</v>
      </c>
      <c r="M27" s="233">
        <f t="shared" si="2"/>
        <v>0.21000000000000002</v>
      </c>
    </row>
    <row r="28" spans="2:15" ht="36.950000000000003" customHeight="1">
      <c r="B28" s="151">
        <v>6</v>
      </c>
      <c r="C28" s="270" t="s">
        <v>394</v>
      </c>
      <c r="D28" s="230">
        <v>0.15</v>
      </c>
      <c r="E28" s="272" t="s">
        <v>314</v>
      </c>
      <c r="F28" s="284" t="s">
        <v>330</v>
      </c>
      <c r="G28" s="275">
        <v>46022</v>
      </c>
      <c r="H28" s="276" t="s">
        <v>321</v>
      </c>
      <c r="I28" s="280" t="s">
        <v>326</v>
      </c>
      <c r="J28" s="289">
        <v>0.86</v>
      </c>
      <c r="K28" s="307">
        <v>0.87</v>
      </c>
      <c r="L28" s="286">
        <f>IF(LEN(K28)=0,"",IF(K28&gt;=J28,100%,0%))</f>
        <v>1</v>
      </c>
      <c r="M28" s="233">
        <f t="shared" si="2"/>
        <v>0.15</v>
      </c>
    </row>
    <row r="29" spans="2:15" s="41" customFormat="1" ht="17.100000000000001" customHeight="1">
      <c r="B29" s="214"/>
      <c r="C29" s="214" t="s">
        <v>282</v>
      </c>
      <c r="D29" s="215">
        <v>0.15</v>
      </c>
      <c r="E29" s="252"/>
      <c r="F29" s="247"/>
      <c r="G29" s="247"/>
      <c r="H29" s="248"/>
      <c r="I29" s="247"/>
      <c r="J29" s="249"/>
      <c r="K29" s="249"/>
      <c r="L29" s="250"/>
      <c r="M29" s="256">
        <f>SUM(M30:M33)*D29</f>
        <v>0.15</v>
      </c>
    </row>
    <row r="30" spans="2:15" ht="25.5">
      <c r="B30" s="151">
        <v>1</v>
      </c>
      <c r="C30" s="270" t="s">
        <v>396</v>
      </c>
      <c r="D30" s="230">
        <v>0.4</v>
      </c>
      <c r="E30" s="270" t="s">
        <v>315</v>
      </c>
      <c r="F30" s="308" t="s">
        <v>342</v>
      </c>
      <c r="G30" s="275">
        <v>46022</v>
      </c>
      <c r="H30" s="276" t="s">
        <v>323</v>
      </c>
      <c r="I30" s="277" t="s">
        <v>343</v>
      </c>
      <c r="J30" s="309">
        <v>46022</v>
      </c>
      <c r="K30" s="309">
        <v>46022</v>
      </c>
      <c r="L30" s="310">
        <f>IF(LEN(K30)=0,"",IF(K30&lt;=J30,1,0))</f>
        <v>1</v>
      </c>
      <c r="M30" s="233">
        <f t="shared" si="2"/>
        <v>0.4</v>
      </c>
    </row>
    <row r="31" spans="2:15" ht="38.25">
      <c r="B31" s="151">
        <v>2</v>
      </c>
      <c r="C31" s="270" t="s">
        <v>397</v>
      </c>
      <c r="D31" s="230">
        <v>0.2</v>
      </c>
      <c r="E31" s="271" t="s">
        <v>316</v>
      </c>
      <c r="F31" s="284" t="s">
        <v>330</v>
      </c>
      <c r="G31" s="275">
        <v>46022</v>
      </c>
      <c r="H31" s="311" t="s">
        <v>378</v>
      </c>
      <c r="I31" s="280" t="s">
        <v>345</v>
      </c>
      <c r="J31" s="312">
        <v>1</v>
      </c>
      <c r="K31" s="312">
        <v>1</v>
      </c>
      <c r="L31" s="286">
        <f>IF(LEN(K31)=0,"",IF(K31&gt;=J31,100%,0%))</f>
        <v>1</v>
      </c>
      <c r="M31" s="233">
        <f t="shared" si="2"/>
        <v>0.2</v>
      </c>
    </row>
    <row r="32" spans="2:15" ht="38.25">
      <c r="B32" s="151">
        <v>3</v>
      </c>
      <c r="C32" s="270" t="s">
        <v>398</v>
      </c>
      <c r="D32" s="230">
        <v>0.2</v>
      </c>
      <c r="E32" s="271" t="s">
        <v>317</v>
      </c>
      <c r="F32" s="284" t="s">
        <v>330</v>
      </c>
      <c r="G32" s="275">
        <v>46022</v>
      </c>
      <c r="H32" s="276" t="s">
        <v>323</v>
      </c>
      <c r="I32" s="280" t="s">
        <v>346</v>
      </c>
      <c r="J32" s="312">
        <v>3</v>
      </c>
      <c r="K32" s="312">
        <v>3</v>
      </c>
      <c r="L32" s="286">
        <f>IF(LEN(K32)=0,"",IF(K32&gt;=J32,100%,0%))</f>
        <v>1</v>
      </c>
      <c r="M32" s="233">
        <f t="shared" si="2"/>
        <v>0.2</v>
      </c>
    </row>
    <row r="33" spans="2:13" ht="39" thickBot="1">
      <c r="B33" s="151">
        <v>4</v>
      </c>
      <c r="C33" s="270" t="s">
        <v>399</v>
      </c>
      <c r="D33" s="230">
        <v>0.2</v>
      </c>
      <c r="E33" s="271" t="s">
        <v>318</v>
      </c>
      <c r="F33" s="284" t="s">
        <v>330</v>
      </c>
      <c r="G33" s="275">
        <v>46022</v>
      </c>
      <c r="H33" s="276" t="s">
        <v>379</v>
      </c>
      <c r="I33" s="280" t="s">
        <v>347</v>
      </c>
      <c r="J33" s="312">
        <v>1</v>
      </c>
      <c r="K33" s="312">
        <v>1</v>
      </c>
      <c r="L33" s="286">
        <f>IF(LEN(K33)=0,"",IF(K33&gt;=J33,100%,0%))</f>
        <v>1</v>
      </c>
      <c r="M33" s="233">
        <f t="shared" si="2"/>
        <v>0.2</v>
      </c>
    </row>
    <row r="34" spans="2:13" ht="18.95" customHeight="1" thickTop="1">
      <c r="B34" s="137" t="s">
        <v>33</v>
      </c>
      <c r="C34" s="113"/>
      <c r="D34" s="139">
        <f>D9+D15+D22+D29</f>
        <v>1</v>
      </c>
      <c r="E34" s="114"/>
      <c r="F34" s="115"/>
      <c r="G34" s="115"/>
      <c r="H34" s="244"/>
      <c r="I34" s="115"/>
      <c r="J34" s="113"/>
      <c r="K34" s="113"/>
      <c r="L34" s="138"/>
      <c r="M34" s="313">
        <f>SUM(M29,M22,M15,M9)</f>
        <v>1.0403071075247212</v>
      </c>
    </row>
    <row r="35" spans="2:13">
      <c r="B35" s="5"/>
      <c r="C35" s="5"/>
      <c r="D35" s="5"/>
      <c r="E35" s="5"/>
      <c r="F35" s="6"/>
      <c r="G35" s="6"/>
      <c r="H35" s="245"/>
      <c r="I35" s="6"/>
      <c r="J35" s="5"/>
      <c r="K35" s="5"/>
      <c r="L35" s="5"/>
      <c r="M35" s="6"/>
    </row>
    <row r="36" spans="2:13" ht="15.95" customHeight="1">
      <c r="B36" s="5"/>
      <c r="C36" s="975" t="s">
        <v>34</v>
      </c>
      <c r="D36" s="975"/>
      <c r="E36" s="38"/>
      <c r="F36" s="975" t="s">
        <v>35</v>
      </c>
      <c r="G36" s="975"/>
      <c r="H36" s="975"/>
      <c r="I36" s="37"/>
      <c r="J36" s="38"/>
      <c r="K36" s="978" t="s">
        <v>250</v>
      </c>
      <c r="L36" s="978"/>
      <c r="M36" s="978"/>
    </row>
    <row r="37" spans="2:13" ht="15.95" customHeight="1">
      <c r="B37" s="5"/>
      <c r="C37" s="975" t="s">
        <v>72</v>
      </c>
      <c r="D37" s="975"/>
      <c r="E37" s="5"/>
      <c r="F37" s="975" t="s">
        <v>70</v>
      </c>
      <c r="G37" s="975"/>
      <c r="H37" s="975"/>
      <c r="I37" s="6"/>
      <c r="J37" s="5"/>
      <c r="K37" s="975" t="s">
        <v>71</v>
      </c>
      <c r="L37" s="975"/>
      <c r="M37" s="975"/>
    </row>
    <row r="38" spans="2:13">
      <c r="B38" s="5"/>
      <c r="C38" s="5"/>
      <c r="D38" s="5"/>
      <c r="E38" s="5"/>
      <c r="F38" s="6"/>
      <c r="G38" s="6"/>
      <c r="H38" s="245"/>
      <c r="I38" s="6"/>
      <c r="J38" s="5"/>
      <c r="K38" s="5"/>
      <c r="L38" s="5"/>
      <c r="M38" s="6"/>
    </row>
    <row r="39" spans="2:13">
      <c r="B39" s="5"/>
      <c r="C39" s="5"/>
      <c r="D39" s="5"/>
      <c r="E39" s="5"/>
      <c r="F39" s="6"/>
      <c r="G39" s="6"/>
      <c r="H39" s="245"/>
      <c r="I39" s="6"/>
      <c r="J39" s="5"/>
      <c r="K39" s="5"/>
      <c r="L39" s="5"/>
      <c r="M39" s="6"/>
    </row>
    <row r="40" spans="2:13">
      <c r="B40" s="5"/>
      <c r="C40" s="5"/>
      <c r="D40" s="5"/>
      <c r="E40" s="5"/>
      <c r="F40" s="6"/>
      <c r="G40" s="6"/>
      <c r="H40" s="245"/>
      <c r="I40" s="6"/>
      <c r="J40" s="5"/>
      <c r="K40" s="5"/>
      <c r="L40" s="5"/>
      <c r="M40" s="6"/>
    </row>
    <row r="41" spans="2:13">
      <c r="B41" s="5"/>
      <c r="C41" s="5"/>
      <c r="D41" s="5"/>
      <c r="E41" s="5"/>
      <c r="F41" s="6"/>
      <c r="G41" s="6"/>
      <c r="H41" s="245"/>
      <c r="I41" s="6"/>
      <c r="J41" s="5"/>
      <c r="K41" s="5"/>
      <c r="L41" s="5"/>
      <c r="M41" s="6"/>
    </row>
    <row r="42" spans="2:13">
      <c r="B42" s="5"/>
      <c r="C42" s="5"/>
      <c r="D42" s="5"/>
      <c r="E42" s="5"/>
      <c r="F42" s="6"/>
      <c r="G42" s="6"/>
      <c r="H42" s="245"/>
      <c r="I42" s="6"/>
      <c r="J42" s="5"/>
      <c r="K42" s="5"/>
      <c r="L42" s="5"/>
      <c r="M42" s="6"/>
    </row>
    <row r="43" spans="2:13" ht="15.95" customHeight="1">
      <c r="B43" s="5"/>
      <c r="C43" s="972" t="s">
        <v>29</v>
      </c>
      <c r="D43" s="972"/>
      <c r="E43" s="5"/>
      <c r="F43" s="972" t="s">
        <v>77</v>
      </c>
      <c r="G43" s="972"/>
      <c r="H43" s="972"/>
      <c r="I43" s="6"/>
      <c r="J43" s="5"/>
      <c r="K43" s="972" t="s">
        <v>29</v>
      </c>
      <c r="L43" s="972"/>
      <c r="M43" s="972"/>
    </row>
    <row r="44" spans="2:13">
      <c r="B44" s="5"/>
      <c r="C44" s="5"/>
      <c r="D44" s="5"/>
      <c r="E44" s="5"/>
      <c r="F44" s="6"/>
      <c r="G44" s="6"/>
      <c r="H44" s="245"/>
      <c r="I44" s="6"/>
      <c r="J44" s="5"/>
      <c r="K44" s="5"/>
      <c r="L44" s="5"/>
      <c r="M44" s="6"/>
    </row>
  </sheetData>
  <mergeCells count="10">
    <mergeCell ref="C43:D43"/>
    <mergeCell ref="K43:M43"/>
    <mergeCell ref="C6:E6"/>
    <mergeCell ref="C36:D36"/>
    <mergeCell ref="K36:M36"/>
    <mergeCell ref="C37:D37"/>
    <mergeCell ref="K37:M37"/>
    <mergeCell ref="F36:H36"/>
    <mergeCell ref="F37:H37"/>
    <mergeCell ref="F43:H43"/>
  </mergeCells>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tabColor theme="0"/>
  </sheetPr>
  <dimension ref="B1:R28"/>
  <sheetViews>
    <sheetView showGridLines="0" zoomScaleNormal="100" workbookViewId="0">
      <selection activeCell="D10" sqref="D10"/>
    </sheetView>
  </sheetViews>
  <sheetFormatPr defaultColWidth="8.875" defaultRowHeight="12.75"/>
  <cols>
    <col min="1" max="1" width="2" style="1" customWidth="1"/>
    <col min="2" max="2" width="4.125" style="2" customWidth="1"/>
    <col min="3" max="3" width="30.75" style="1" customWidth="1"/>
    <col min="4" max="4" width="22" style="1" customWidth="1"/>
    <col min="5" max="5" width="18.375" style="2" customWidth="1"/>
    <col min="6" max="6" width="7" style="2" customWidth="1"/>
    <col min="7" max="7" width="10.5" style="2" customWidth="1"/>
    <col min="8" max="8" width="8" style="1" customWidth="1"/>
    <col min="9" max="17" width="12" style="1" customWidth="1"/>
    <col min="18" max="18" width="11.25" style="1" customWidth="1"/>
    <col min="19" max="216" width="8.875" style="1"/>
    <col min="217" max="217" width="5" style="1" customWidth="1"/>
    <col min="218" max="218" width="33.375" style="1" customWidth="1"/>
    <col min="219" max="219" width="6.5" style="1" customWidth="1"/>
    <col min="220" max="220" width="29.5" style="1" customWidth="1"/>
    <col min="221" max="221" width="23.625" style="1" customWidth="1"/>
    <col min="222" max="222" width="8" style="1" customWidth="1"/>
    <col min="223" max="223" width="9.125" style="1" customWidth="1"/>
    <col min="224" max="224" width="13.875" style="1" customWidth="1"/>
    <col min="225" max="225" width="13.5" style="1" customWidth="1"/>
    <col min="226" max="472" width="8.875" style="1"/>
    <col min="473" max="473" width="5" style="1" customWidth="1"/>
    <col min="474" max="474" width="33.375" style="1" customWidth="1"/>
    <col min="475" max="475" width="6.5" style="1" customWidth="1"/>
    <col min="476" max="476" width="29.5" style="1" customWidth="1"/>
    <col min="477" max="477" width="23.625" style="1" customWidth="1"/>
    <col min="478" max="478" width="8" style="1" customWidth="1"/>
    <col min="479" max="479" width="9.125" style="1" customWidth="1"/>
    <col min="480" max="480" width="13.875" style="1" customWidth="1"/>
    <col min="481" max="481" width="13.5" style="1" customWidth="1"/>
    <col min="482" max="728" width="8.875" style="1"/>
    <col min="729" max="729" width="5" style="1" customWidth="1"/>
    <col min="730" max="730" width="33.375" style="1" customWidth="1"/>
    <col min="731" max="731" width="6.5" style="1" customWidth="1"/>
    <col min="732" max="732" width="29.5" style="1" customWidth="1"/>
    <col min="733" max="733" width="23.625" style="1" customWidth="1"/>
    <col min="734" max="734" width="8" style="1" customWidth="1"/>
    <col min="735" max="735" width="9.125" style="1" customWidth="1"/>
    <col min="736" max="736" width="13.875" style="1" customWidth="1"/>
    <col min="737" max="737" width="13.5" style="1" customWidth="1"/>
    <col min="738" max="984" width="8.875" style="1"/>
    <col min="985" max="985" width="5" style="1" customWidth="1"/>
    <col min="986" max="986" width="33.375" style="1" customWidth="1"/>
    <col min="987" max="987" width="6.5" style="1" customWidth="1"/>
    <col min="988" max="988" width="29.5" style="1" customWidth="1"/>
    <col min="989" max="989" width="23.625" style="1" customWidth="1"/>
    <col min="990" max="990" width="8" style="1" customWidth="1"/>
    <col min="991" max="991" width="9.125" style="1" customWidth="1"/>
    <col min="992" max="992" width="13.875" style="1" customWidth="1"/>
    <col min="993" max="993" width="13.5" style="1" customWidth="1"/>
    <col min="994" max="1240" width="8.875" style="1"/>
    <col min="1241" max="1241" width="5" style="1" customWidth="1"/>
    <col min="1242" max="1242" width="33.375" style="1" customWidth="1"/>
    <col min="1243" max="1243" width="6.5" style="1" customWidth="1"/>
    <col min="1244" max="1244" width="29.5" style="1" customWidth="1"/>
    <col min="1245" max="1245" width="23.625" style="1" customWidth="1"/>
    <col min="1246" max="1246" width="8" style="1" customWidth="1"/>
    <col min="1247" max="1247" width="9.125" style="1" customWidth="1"/>
    <col min="1248" max="1248" width="13.875" style="1" customWidth="1"/>
    <col min="1249" max="1249" width="13.5" style="1" customWidth="1"/>
    <col min="1250" max="1496" width="8.875" style="1"/>
    <col min="1497" max="1497" width="5" style="1" customWidth="1"/>
    <col min="1498" max="1498" width="33.375" style="1" customWidth="1"/>
    <col min="1499" max="1499" width="6.5" style="1" customWidth="1"/>
    <col min="1500" max="1500" width="29.5" style="1" customWidth="1"/>
    <col min="1501" max="1501" width="23.625" style="1" customWidth="1"/>
    <col min="1502" max="1502" width="8" style="1" customWidth="1"/>
    <col min="1503" max="1503" width="9.125" style="1" customWidth="1"/>
    <col min="1504" max="1504" width="13.875" style="1" customWidth="1"/>
    <col min="1505" max="1505" width="13.5" style="1" customWidth="1"/>
    <col min="1506" max="1752" width="8.875" style="1"/>
    <col min="1753" max="1753" width="5" style="1" customWidth="1"/>
    <col min="1754" max="1754" width="33.375" style="1" customWidth="1"/>
    <col min="1755" max="1755" width="6.5" style="1" customWidth="1"/>
    <col min="1756" max="1756" width="29.5" style="1" customWidth="1"/>
    <col min="1757" max="1757" width="23.625" style="1" customWidth="1"/>
    <col min="1758" max="1758" width="8" style="1" customWidth="1"/>
    <col min="1759" max="1759" width="9.125" style="1" customWidth="1"/>
    <col min="1760" max="1760" width="13.875" style="1" customWidth="1"/>
    <col min="1761" max="1761" width="13.5" style="1" customWidth="1"/>
    <col min="1762" max="2008" width="8.875" style="1"/>
    <col min="2009" max="2009" width="5" style="1" customWidth="1"/>
    <col min="2010" max="2010" width="33.375" style="1" customWidth="1"/>
    <col min="2011" max="2011" width="6.5" style="1" customWidth="1"/>
    <col min="2012" max="2012" width="29.5" style="1" customWidth="1"/>
    <col min="2013" max="2013" width="23.625" style="1" customWidth="1"/>
    <col min="2014" max="2014" width="8" style="1" customWidth="1"/>
    <col min="2015" max="2015" width="9.125" style="1" customWidth="1"/>
    <col min="2016" max="2016" width="13.875" style="1" customWidth="1"/>
    <col min="2017" max="2017" width="13.5" style="1" customWidth="1"/>
    <col min="2018" max="2264" width="8.875" style="1"/>
    <col min="2265" max="2265" width="5" style="1" customWidth="1"/>
    <col min="2266" max="2266" width="33.375" style="1" customWidth="1"/>
    <col min="2267" max="2267" width="6.5" style="1" customWidth="1"/>
    <col min="2268" max="2268" width="29.5" style="1" customWidth="1"/>
    <col min="2269" max="2269" width="23.625" style="1" customWidth="1"/>
    <col min="2270" max="2270" width="8" style="1" customWidth="1"/>
    <col min="2271" max="2271" width="9.125" style="1" customWidth="1"/>
    <col min="2272" max="2272" width="13.875" style="1" customWidth="1"/>
    <col min="2273" max="2273" width="13.5" style="1" customWidth="1"/>
    <col min="2274" max="2520" width="8.875" style="1"/>
    <col min="2521" max="2521" width="5" style="1" customWidth="1"/>
    <col min="2522" max="2522" width="33.375" style="1" customWidth="1"/>
    <col min="2523" max="2523" width="6.5" style="1" customWidth="1"/>
    <col min="2524" max="2524" width="29.5" style="1" customWidth="1"/>
    <col min="2525" max="2525" width="23.625" style="1" customWidth="1"/>
    <col min="2526" max="2526" width="8" style="1" customWidth="1"/>
    <col min="2527" max="2527" width="9.125" style="1" customWidth="1"/>
    <col min="2528" max="2528" width="13.875" style="1" customWidth="1"/>
    <col min="2529" max="2529" width="13.5" style="1" customWidth="1"/>
    <col min="2530" max="2776" width="8.875" style="1"/>
    <col min="2777" max="2777" width="5" style="1" customWidth="1"/>
    <col min="2778" max="2778" width="33.375" style="1" customWidth="1"/>
    <col min="2779" max="2779" width="6.5" style="1" customWidth="1"/>
    <col min="2780" max="2780" width="29.5" style="1" customWidth="1"/>
    <col min="2781" max="2781" width="23.625" style="1" customWidth="1"/>
    <col min="2782" max="2782" width="8" style="1" customWidth="1"/>
    <col min="2783" max="2783" width="9.125" style="1" customWidth="1"/>
    <col min="2784" max="2784" width="13.875" style="1" customWidth="1"/>
    <col min="2785" max="2785" width="13.5" style="1" customWidth="1"/>
    <col min="2786" max="3032" width="8.875" style="1"/>
    <col min="3033" max="3033" width="5" style="1" customWidth="1"/>
    <col min="3034" max="3034" width="33.375" style="1" customWidth="1"/>
    <col min="3035" max="3035" width="6.5" style="1" customWidth="1"/>
    <col min="3036" max="3036" width="29.5" style="1" customWidth="1"/>
    <col min="3037" max="3037" width="23.625" style="1" customWidth="1"/>
    <col min="3038" max="3038" width="8" style="1" customWidth="1"/>
    <col min="3039" max="3039" width="9.125" style="1" customWidth="1"/>
    <col min="3040" max="3040" width="13.875" style="1" customWidth="1"/>
    <col min="3041" max="3041" width="13.5" style="1" customWidth="1"/>
    <col min="3042" max="3288" width="8.875" style="1"/>
    <col min="3289" max="3289" width="5" style="1" customWidth="1"/>
    <col min="3290" max="3290" width="33.375" style="1" customWidth="1"/>
    <col min="3291" max="3291" width="6.5" style="1" customWidth="1"/>
    <col min="3292" max="3292" width="29.5" style="1" customWidth="1"/>
    <col min="3293" max="3293" width="23.625" style="1" customWidth="1"/>
    <col min="3294" max="3294" width="8" style="1" customWidth="1"/>
    <col min="3295" max="3295" width="9.125" style="1" customWidth="1"/>
    <col min="3296" max="3296" width="13.875" style="1" customWidth="1"/>
    <col min="3297" max="3297" width="13.5" style="1" customWidth="1"/>
    <col min="3298" max="3544" width="8.875" style="1"/>
    <col min="3545" max="3545" width="5" style="1" customWidth="1"/>
    <col min="3546" max="3546" width="33.375" style="1" customWidth="1"/>
    <col min="3547" max="3547" width="6.5" style="1" customWidth="1"/>
    <col min="3548" max="3548" width="29.5" style="1" customWidth="1"/>
    <col min="3549" max="3549" width="23.625" style="1" customWidth="1"/>
    <col min="3550" max="3550" width="8" style="1" customWidth="1"/>
    <col min="3551" max="3551" width="9.125" style="1" customWidth="1"/>
    <col min="3552" max="3552" width="13.875" style="1" customWidth="1"/>
    <col min="3553" max="3553" width="13.5" style="1" customWidth="1"/>
    <col min="3554" max="3800" width="8.875" style="1"/>
    <col min="3801" max="3801" width="5" style="1" customWidth="1"/>
    <col min="3802" max="3802" width="33.375" style="1" customWidth="1"/>
    <col min="3803" max="3803" width="6.5" style="1" customWidth="1"/>
    <col min="3804" max="3804" width="29.5" style="1" customWidth="1"/>
    <col min="3805" max="3805" width="23.625" style="1" customWidth="1"/>
    <col min="3806" max="3806" width="8" style="1" customWidth="1"/>
    <col min="3807" max="3807" width="9.125" style="1" customWidth="1"/>
    <col min="3808" max="3808" width="13.875" style="1" customWidth="1"/>
    <col min="3809" max="3809" width="13.5" style="1" customWidth="1"/>
    <col min="3810" max="4056" width="8.875" style="1"/>
    <col min="4057" max="4057" width="5" style="1" customWidth="1"/>
    <col min="4058" max="4058" width="33.375" style="1" customWidth="1"/>
    <col min="4059" max="4059" width="6.5" style="1" customWidth="1"/>
    <col min="4060" max="4060" width="29.5" style="1" customWidth="1"/>
    <col min="4061" max="4061" width="23.625" style="1" customWidth="1"/>
    <col min="4062" max="4062" width="8" style="1" customWidth="1"/>
    <col min="4063" max="4063" width="9.125" style="1" customWidth="1"/>
    <col min="4064" max="4064" width="13.875" style="1" customWidth="1"/>
    <col min="4065" max="4065" width="13.5" style="1" customWidth="1"/>
    <col min="4066" max="4312" width="8.875" style="1"/>
    <col min="4313" max="4313" width="5" style="1" customWidth="1"/>
    <col min="4314" max="4314" width="33.375" style="1" customWidth="1"/>
    <col min="4315" max="4315" width="6.5" style="1" customWidth="1"/>
    <col min="4316" max="4316" width="29.5" style="1" customWidth="1"/>
    <col min="4317" max="4317" width="23.625" style="1" customWidth="1"/>
    <col min="4318" max="4318" width="8" style="1" customWidth="1"/>
    <col min="4319" max="4319" width="9.125" style="1" customWidth="1"/>
    <col min="4320" max="4320" width="13.875" style="1" customWidth="1"/>
    <col min="4321" max="4321" width="13.5" style="1" customWidth="1"/>
    <col min="4322" max="4568" width="8.875" style="1"/>
    <col min="4569" max="4569" width="5" style="1" customWidth="1"/>
    <col min="4570" max="4570" width="33.375" style="1" customWidth="1"/>
    <col min="4571" max="4571" width="6.5" style="1" customWidth="1"/>
    <col min="4572" max="4572" width="29.5" style="1" customWidth="1"/>
    <col min="4573" max="4573" width="23.625" style="1" customWidth="1"/>
    <col min="4574" max="4574" width="8" style="1" customWidth="1"/>
    <col min="4575" max="4575" width="9.125" style="1" customWidth="1"/>
    <col min="4576" max="4576" width="13.875" style="1" customWidth="1"/>
    <col min="4577" max="4577" width="13.5" style="1" customWidth="1"/>
    <col min="4578" max="4824" width="8.875" style="1"/>
    <col min="4825" max="4825" width="5" style="1" customWidth="1"/>
    <col min="4826" max="4826" width="33.375" style="1" customWidth="1"/>
    <col min="4827" max="4827" width="6.5" style="1" customWidth="1"/>
    <col min="4828" max="4828" width="29.5" style="1" customWidth="1"/>
    <col min="4829" max="4829" width="23.625" style="1" customWidth="1"/>
    <col min="4830" max="4830" width="8" style="1" customWidth="1"/>
    <col min="4831" max="4831" width="9.125" style="1" customWidth="1"/>
    <col min="4832" max="4832" width="13.875" style="1" customWidth="1"/>
    <col min="4833" max="4833" width="13.5" style="1" customWidth="1"/>
    <col min="4834" max="5080" width="8.875" style="1"/>
    <col min="5081" max="5081" width="5" style="1" customWidth="1"/>
    <col min="5082" max="5082" width="33.375" style="1" customWidth="1"/>
    <col min="5083" max="5083" width="6.5" style="1" customWidth="1"/>
    <col min="5084" max="5084" width="29.5" style="1" customWidth="1"/>
    <col min="5085" max="5085" width="23.625" style="1" customWidth="1"/>
    <col min="5086" max="5086" width="8" style="1" customWidth="1"/>
    <col min="5087" max="5087" width="9.125" style="1" customWidth="1"/>
    <col min="5088" max="5088" width="13.875" style="1" customWidth="1"/>
    <col min="5089" max="5089" width="13.5" style="1" customWidth="1"/>
    <col min="5090" max="5336" width="8.875" style="1"/>
    <col min="5337" max="5337" width="5" style="1" customWidth="1"/>
    <col min="5338" max="5338" width="33.375" style="1" customWidth="1"/>
    <col min="5339" max="5339" width="6.5" style="1" customWidth="1"/>
    <col min="5340" max="5340" width="29.5" style="1" customWidth="1"/>
    <col min="5341" max="5341" width="23.625" style="1" customWidth="1"/>
    <col min="5342" max="5342" width="8" style="1" customWidth="1"/>
    <col min="5343" max="5343" width="9.125" style="1" customWidth="1"/>
    <col min="5344" max="5344" width="13.875" style="1" customWidth="1"/>
    <col min="5345" max="5345" width="13.5" style="1" customWidth="1"/>
    <col min="5346" max="5592" width="8.875" style="1"/>
    <col min="5593" max="5593" width="5" style="1" customWidth="1"/>
    <col min="5594" max="5594" width="33.375" style="1" customWidth="1"/>
    <col min="5595" max="5595" width="6.5" style="1" customWidth="1"/>
    <col min="5596" max="5596" width="29.5" style="1" customWidth="1"/>
    <col min="5597" max="5597" width="23.625" style="1" customWidth="1"/>
    <col min="5598" max="5598" width="8" style="1" customWidth="1"/>
    <col min="5599" max="5599" width="9.125" style="1" customWidth="1"/>
    <col min="5600" max="5600" width="13.875" style="1" customWidth="1"/>
    <col min="5601" max="5601" width="13.5" style="1" customWidth="1"/>
    <col min="5602" max="5848" width="8.875" style="1"/>
    <col min="5849" max="5849" width="5" style="1" customWidth="1"/>
    <col min="5850" max="5850" width="33.375" style="1" customWidth="1"/>
    <col min="5851" max="5851" width="6.5" style="1" customWidth="1"/>
    <col min="5852" max="5852" width="29.5" style="1" customWidth="1"/>
    <col min="5853" max="5853" width="23.625" style="1" customWidth="1"/>
    <col min="5854" max="5854" width="8" style="1" customWidth="1"/>
    <col min="5855" max="5855" width="9.125" style="1" customWidth="1"/>
    <col min="5856" max="5856" width="13.875" style="1" customWidth="1"/>
    <col min="5857" max="5857" width="13.5" style="1" customWidth="1"/>
    <col min="5858" max="6104" width="8.875" style="1"/>
    <col min="6105" max="6105" width="5" style="1" customWidth="1"/>
    <col min="6106" max="6106" width="33.375" style="1" customWidth="1"/>
    <col min="6107" max="6107" width="6.5" style="1" customWidth="1"/>
    <col min="6108" max="6108" width="29.5" style="1" customWidth="1"/>
    <col min="6109" max="6109" width="23.625" style="1" customWidth="1"/>
    <col min="6110" max="6110" width="8" style="1" customWidth="1"/>
    <col min="6111" max="6111" width="9.125" style="1" customWidth="1"/>
    <col min="6112" max="6112" width="13.875" style="1" customWidth="1"/>
    <col min="6113" max="6113" width="13.5" style="1" customWidth="1"/>
    <col min="6114" max="6360" width="8.875" style="1"/>
    <col min="6361" max="6361" width="5" style="1" customWidth="1"/>
    <col min="6362" max="6362" width="33.375" style="1" customWidth="1"/>
    <col min="6363" max="6363" width="6.5" style="1" customWidth="1"/>
    <col min="6364" max="6364" width="29.5" style="1" customWidth="1"/>
    <col min="6365" max="6365" width="23.625" style="1" customWidth="1"/>
    <col min="6366" max="6366" width="8" style="1" customWidth="1"/>
    <col min="6367" max="6367" width="9.125" style="1" customWidth="1"/>
    <col min="6368" max="6368" width="13.875" style="1" customWidth="1"/>
    <col min="6369" max="6369" width="13.5" style="1" customWidth="1"/>
    <col min="6370" max="6616" width="8.875" style="1"/>
    <col min="6617" max="6617" width="5" style="1" customWidth="1"/>
    <col min="6618" max="6618" width="33.375" style="1" customWidth="1"/>
    <col min="6619" max="6619" width="6.5" style="1" customWidth="1"/>
    <col min="6620" max="6620" width="29.5" style="1" customWidth="1"/>
    <col min="6621" max="6621" width="23.625" style="1" customWidth="1"/>
    <col min="6622" max="6622" width="8" style="1" customWidth="1"/>
    <col min="6623" max="6623" width="9.125" style="1" customWidth="1"/>
    <col min="6624" max="6624" width="13.875" style="1" customWidth="1"/>
    <col min="6625" max="6625" width="13.5" style="1" customWidth="1"/>
    <col min="6626" max="6872" width="8.875" style="1"/>
    <col min="6873" max="6873" width="5" style="1" customWidth="1"/>
    <col min="6874" max="6874" width="33.375" style="1" customWidth="1"/>
    <col min="6875" max="6875" width="6.5" style="1" customWidth="1"/>
    <col min="6876" max="6876" width="29.5" style="1" customWidth="1"/>
    <col min="6877" max="6877" width="23.625" style="1" customWidth="1"/>
    <col min="6878" max="6878" width="8" style="1" customWidth="1"/>
    <col min="6879" max="6879" width="9.125" style="1" customWidth="1"/>
    <col min="6880" max="6880" width="13.875" style="1" customWidth="1"/>
    <col min="6881" max="6881" width="13.5" style="1" customWidth="1"/>
    <col min="6882" max="7128" width="8.875" style="1"/>
    <col min="7129" max="7129" width="5" style="1" customWidth="1"/>
    <col min="7130" max="7130" width="33.375" style="1" customWidth="1"/>
    <col min="7131" max="7131" width="6.5" style="1" customWidth="1"/>
    <col min="7132" max="7132" width="29.5" style="1" customWidth="1"/>
    <col min="7133" max="7133" width="23.625" style="1" customWidth="1"/>
    <col min="7134" max="7134" width="8" style="1" customWidth="1"/>
    <col min="7135" max="7135" width="9.125" style="1" customWidth="1"/>
    <col min="7136" max="7136" width="13.875" style="1" customWidth="1"/>
    <col min="7137" max="7137" width="13.5" style="1" customWidth="1"/>
    <col min="7138" max="7384" width="8.875" style="1"/>
    <col min="7385" max="7385" width="5" style="1" customWidth="1"/>
    <col min="7386" max="7386" width="33.375" style="1" customWidth="1"/>
    <col min="7387" max="7387" width="6.5" style="1" customWidth="1"/>
    <col min="7388" max="7388" width="29.5" style="1" customWidth="1"/>
    <col min="7389" max="7389" width="23.625" style="1" customWidth="1"/>
    <col min="7390" max="7390" width="8" style="1" customWidth="1"/>
    <col min="7391" max="7391" width="9.125" style="1" customWidth="1"/>
    <col min="7392" max="7392" width="13.875" style="1" customWidth="1"/>
    <col min="7393" max="7393" width="13.5" style="1" customWidth="1"/>
    <col min="7394" max="7640" width="8.875" style="1"/>
    <col min="7641" max="7641" width="5" style="1" customWidth="1"/>
    <col min="7642" max="7642" width="33.375" style="1" customWidth="1"/>
    <col min="7643" max="7643" width="6.5" style="1" customWidth="1"/>
    <col min="7644" max="7644" width="29.5" style="1" customWidth="1"/>
    <col min="7645" max="7645" width="23.625" style="1" customWidth="1"/>
    <col min="7646" max="7646" width="8" style="1" customWidth="1"/>
    <col min="7647" max="7647" width="9.125" style="1" customWidth="1"/>
    <col min="7648" max="7648" width="13.875" style="1" customWidth="1"/>
    <col min="7649" max="7649" width="13.5" style="1" customWidth="1"/>
    <col min="7650" max="7896" width="8.875" style="1"/>
    <col min="7897" max="7897" width="5" style="1" customWidth="1"/>
    <col min="7898" max="7898" width="33.375" style="1" customWidth="1"/>
    <col min="7899" max="7899" width="6.5" style="1" customWidth="1"/>
    <col min="7900" max="7900" width="29.5" style="1" customWidth="1"/>
    <col min="7901" max="7901" width="23.625" style="1" customWidth="1"/>
    <col min="7902" max="7902" width="8" style="1" customWidth="1"/>
    <col min="7903" max="7903" width="9.125" style="1" customWidth="1"/>
    <col min="7904" max="7904" width="13.875" style="1" customWidth="1"/>
    <col min="7905" max="7905" width="13.5" style="1" customWidth="1"/>
    <col min="7906" max="8152" width="8.875" style="1"/>
    <col min="8153" max="8153" width="5" style="1" customWidth="1"/>
    <col min="8154" max="8154" width="33.375" style="1" customWidth="1"/>
    <col min="8155" max="8155" width="6.5" style="1" customWidth="1"/>
    <col min="8156" max="8156" width="29.5" style="1" customWidth="1"/>
    <col min="8157" max="8157" width="23.625" style="1" customWidth="1"/>
    <col min="8158" max="8158" width="8" style="1" customWidth="1"/>
    <col min="8159" max="8159" width="9.125" style="1" customWidth="1"/>
    <col min="8160" max="8160" width="13.875" style="1" customWidth="1"/>
    <col min="8161" max="8161" width="13.5" style="1" customWidth="1"/>
    <col min="8162" max="8408" width="8.875" style="1"/>
    <col min="8409" max="8409" width="5" style="1" customWidth="1"/>
    <col min="8410" max="8410" width="33.375" style="1" customWidth="1"/>
    <col min="8411" max="8411" width="6.5" style="1" customWidth="1"/>
    <col min="8412" max="8412" width="29.5" style="1" customWidth="1"/>
    <col min="8413" max="8413" width="23.625" style="1" customWidth="1"/>
    <col min="8414" max="8414" width="8" style="1" customWidth="1"/>
    <col min="8415" max="8415" width="9.125" style="1" customWidth="1"/>
    <col min="8416" max="8416" width="13.875" style="1" customWidth="1"/>
    <col min="8417" max="8417" width="13.5" style="1" customWidth="1"/>
    <col min="8418" max="8664" width="8.875" style="1"/>
    <col min="8665" max="8665" width="5" style="1" customWidth="1"/>
    <col min="8666" max="8666" width="33.375" style="1" customWidth="1"/>
    <col min="8667" max="8667" width="6.5" style="1" customWidth="1"/>
    <col min="8668" max="8668" width="29.5" style="1" customWidth="1"/>
    <col min="8669" max="8669" width="23.625" style="1" customWidth="1"/>
    <col min="8670" max="8670" width="8" style="1" customWidth="1"/>
    <col min="8671" max="8671" width="9.125" style="1" customWidth="1"/>
    <col min="8672" max="8672" width="13.875" style="1" customWidth="1"/>
    <col min="8673" max="8673" width="13.5" style="1" customWidth="1"/>
    <col min="8674" max="8920" width="8.875" style="1"/>
    <col min="8921" max="8921" width="5" style="1" customWidth="1"/>
    <col min="8922" max="8922" width="33.375" style="1" customWidth="1"/>
    <col min="8923" max="8923" width="6.5" style="1" customWidth="1"/>
    <col min="8924" max="8924" width="29.5" style="1" customWidth="1"/>
    <col min="8925" max="8925" width="23.625" style="1" customWidth="1"/>
    <col min="8926" max="8926" width="8" style="1" customWidth="1"/>
    <col min="8927" max="8927" width="9.125" style="1" customWidth="1"/>
    <col min="8928" max="8928" width="13.875" style="1" customWidth="1"/>
    <col min="8929" max="8929" width="13.5" style="1" customWidth="1"/>
    <col min="8930" max="9176" width="8.875" style="1"/>
    <col min="9177" max="9177" width="5" style="1" customWidth="1"/>
    <col min="9178" max="9178" width="33.375" style="1" customWidth="1"/>
    <col min="9179" max="9179" width="6.5" style="1" customWidth="1"/>
    <col min="9180" max="9180" width="29.5" style="1" customWidth="1"/>
    <col min="9181" max="9181" width="23.625" style="1" customWidth="1"/>
    <col min="9182" max="9182" width="8" style="1" customWidth="1"/>
    <col min="9183" max="9183" width="9.125" style="1" customWidth="1"/>
    <col min="9184" max="9184" width="13.875" style="1" customWidth="1"/>
    <col min="9185" max="9185" width="13.5" style="1" customWidth="1"/>
    <col min="9186" max="9432" width="8.875" style="1"/>
    <col min="9433" max="9433" width="5" style="1" customWidth="1"/>
    <col min="9434" max="9434" width="33.375" style="1" customWidth="1"/>
    <col min="9435" max="9435" width="6.5" style="1" customWidth="1"/>
    <col min="9436" max="9436" width="29.5" style="1" customWidth="1"/>
    <col min="9437" max="9437" width="23.625" style="1" customWidth="1"/>
    <col min="9438" max="9438" width="8" style="1" customWidth="1"/>
    <col min="9439" max="9439" width="9.125" style="1" customWidth="1"/>
    <col min="9440" max="9440" width="13.875" style="1" customWidth="1"/>
    <col min="9441" max="9441" width="13.5" style="1" customWidth="1"/>
    <col min="9442" max="9688" width="8.875" style="1"/>
    <col min="9689" max="9689" width="5" style="1" customWidth="1"/>
    <col min="9690" max="9690" width="33.375" style="1" customWidth="1"/>
    <col min="9691" max="9691" width="6.5" style="1" customWidth="1"/>
    <col min="9692" max="9692" width="29.5" style="1" customWidth="1"/>
    <col min="9693" max="9693" width="23.625" style="1" customWidth="1"/>
    <col min="9694" max="9694" width="8" style="1" customWidth="1"/>
    <col min="9695" max="9695" width="9.125" style="1" customWidth="1"/>
    <col min="9696" max="9696" width="13.875" style="1" customWidth="1"/>
    <col min="9697" max="9697" width="13.5" style="1" customWidth="1"/>
    <col min="9698" max="9944" width="8.875" style="1"/>
    <col min="9945" max="9945" width="5" style="1" customWidth="1"/>
    <col min="9946" max="9946" width="33.375" style="1" customWidth="1"/>
    <col min="9947" max="9947" width="6.5" style="1" customWidth="1"/>
    <col min="9948" max="9948" width="29.5" style="1" customWidth="1"/>
    <col min="9949" max="9949" width="23.625" style="1" customWidth="1"/>
    <col min="9950" max="9950" width="8" style="1" customWidth="1"/>
    <col min="9951" max="9951" width="9.125" style="1" customWidth="1"/>
    <col min="9952" max="9952" width="13.875" style="1" customWidth="1"/>
    <col min="9953" max="9953" width="13.5" style="1" customWidth="1"/>
    <col min="9954" max="10200" width="8.875" style="1"/>
    <col min="10201" max="10201" width="5" style="1" customWidth="1"/>
    <col min="10202" max="10202" width="33.375" style="1" customWidth="1"/>
    <col min="10203" max="10203" width="6.5" style="1" customWidth="1"/>
    <col min="10204" max="10204" width="29.5" style="1" customWidth="1"/>
    <col min="10205" max="10205" width="23.625" style="1" customWidth="1"/>
    <col min="10206" max="10206" width="8" style="1" customWidth="1"/>
    <col min="10207" max="10207" width="9.125" style="1" customWidth="1"/>
    <col min="10208" max="10208" width="13.875" style="1" customWidth="1"/>
    <col min="10209" max="10209" width="13.5" style="1" customWidth="1"/>
    <col min="10210" max="10456" width="8.875" style="1"/>
    <col min="10457" max="10457" width="5" style="1" customWidth="1"/>
    <col min="10458" max="10458" width="33.375" style="1" customWidth="1"/>
    <col min="10459" max="10459" width="6.5" style="1" customWidth="1"/>
    <col min="10460" max="10460" width="29.5" style="1" customWidth="1"/>
    <col min="10461" max="10461" width="23.625" style="1" customWidth="1"/>
    <col min="10462" max="10462" width="8" style="1" customWidth="1"/>
    <col min="10463" max="10463" width="9.125" style="1" customWidth="1"/>
    <col min="10464" max="10464" width="13.875" style="1" customWidth="1"/>
    <col min="10465" max="10465" width="13.5" style="1" customWidth="1"/>
    <col min="10466" max="10712" width="8.875" style="1"/>
    <col min="10713" max="10713" width="5" style="1" customWidth="1"/>
    <col min="10714" max="10714" width="33.375" style="1" customWidth="1"/>
    <col min="10715" max="10715" width="6.5" style="1" customWidth="1"/>
    <col min="10716" max="10716" width="29.5" style="1" customWidth="1"/>
    <col min="10717" max="10717" width="23.625" style="1" customWidth="1"/>
    <col min="10718" max="10718" width="8" style="1" customWidth="1"/>
    <col min="10719" max="10719" width="9.125" style="1" customWidth="1"/>
    <col min="10720" max="10720" width="13.875" style="1" customWidth="1"/>
    <col min="10721" max="10721" width="13.5" style="1" customWidth="1"/>
    <col min="10722" max="10968" width="8.875" style="1"/>
    <col min="10969" max="10969" width="5" style="1" customWidth="1"/>
    <col min="10970" max="10970" width="33.375" style="1" customWidth="1"/>
    <col min="10971" max="10971" width="6.5" style="1" customWidth="1"/>
    <col min="10972" max="10972" width="29.5" style="1" customWidth="1"/>
    <col min="10973" max="10973" width="23.625" style="1" customWidth="1"/>
    <col min="10974" max="10974" width="8" style="1" customWidth="1"/>
    <col min="10975" max="10975" width="9.125" style="1" customWidth="1"/>
    <col min="10976" max="10976" width="13.875" style="1" customWidth="1"/>
    <col min="10977" max="10977" width="13.5" style="1" customWidth="1"/>
    <col min="10978" max="11224" width="8.875" style="1"/>
    <col min="11225" max="11225" width="5" style="1" customWidth="1"/>
    <col min="11226" max="11226" width="33.375" style="1" customWidth="1"/>
    <col min="11227" max="11227" width="6.5" style="1" customWidth="1"/>
    <col min="11228" max="11228" width="29.5" style="1" customWidth="1"/>
    <col min="11229" max="11229" width="23.625" style="1" customWidth="1"/>
    <col min="11230" max="11230" width="8" style="1" customWidth="1"/>
    <col min="11231" max="11231" width="9.125" style="1" customWidth="1"/>
    <col min="11232" max="11232" width="13.875" style="1" customWidth="1"/>
    <col min="11233" max="11233" width="13.5" style="1" customWidth="1"/>
    <col min="11234" max="11480" width="8.875" style="1"/>
    <col min="11481" max="11481" width="5" style="1" customWidth="1"/>
    <col min="11482" max="11482" width="33.375" style="1" customWidth="1"/>
    <col min="11483" max="11483" width="6.5" style="1" customWidth="1"/>
    <col min="11484" max="11484" width="29.5" style="1" customWidth="1"/>
    <col min="11485" max="11485" width="23.625" style="1" customWidth="1"/>
    <col min="11486" max="11486" width="8" style="1" customWidth="1"/>
    <col min="11487" max="11487" width="9.125" style="1" customWidth="1"/>
    <col min="11488" max="11488" width="13.875" style="1" customWidth="1"/>
    <col min="11489" max="11489" width="13.5" style="1" customWidth="1"/>
    <col min="11490" max="11736" width="8.875" style="1"/>
    <col min="11737" max="11737" width="5" style="1" customWidth="1"/>
    <col min="11738" max="11738" width="33.375" style="1" customWidth="1"/>
    <col min="11739" max="11739" width="6.5" style="1" customWidth="1"/>
    <col min="11740" max="11740" width="29.5" style="1" customWidth="1"/>
    <col min="11741" max="11741" width="23.625" style="1" customWidth="1"/>
    <col min="11742" max="11742" width="8" style="1" customWidth="1"/>
    <col min="11743" max="11743" width="9.125" style="1" customWidth="1"/>
    <col min="11744" max="11744" width="13.875" style="1" customWidth="1"/>
    <col min="11745" max="11745" width="13.5" style="1" customWidth="1"/>
    <col min="11746" max="11992" width="8.875" style="1"/>
    <col min="11993" max="11993" width="5" style="1" customWidth="1"/>
    <col min="11994" max="11994" width="33.375" style="1" customWidth="1"/>
    <col min="11995" max="11995" width="6.5" style="1" customWidth="1"/>
    <col min="11996" max="11996" width="29.5" style="1" customWidth="1"/>
    <col min="11997" max="11997" width="23.625" style="1" customWidth="1"/>
    <col min="11998" max="11998" width="8" style="1" customWidth="1"/>
    <col min="11999" max="11999" width="9.125" style="1" customWidth="1"/>
    <col min="12000" max="12000" width="13.875" style="1" customWidth="1"/>
    <col min="12001" max="12001" width="13.5" style="1" customWidth="1"/>
    <col min="12002" max="12248" width="8.875" style="1"/>
    <col min="12249" max="12249" width="5" style="1" customWidth="1"/>
    <col min="12250" max="12250" width="33.375" style="1" customWidth="1"/>
    <col min="12251" max="12251" width="6.5" style="1" customWidth="1"/>
    <col min="12252" max="12252" width="29.5" style="1" customWidth="1"/>
    <col min="12253" max="12253" width="23.625" style="1" customWidth="1"/>
    <col min="12254" max="12254" width="8" style="1" customWidth="1"/>
    <col min="12255" max="12255" width="9.125" style="1" customWidth="1"/>
    <col min="12256" max="12256" width="13.875" style="1" customWidth="1"/>
    <col min="12257" max="12257" width="13.5" style="1" customWidth="1"/>
    <col min="12258" max="12504" width="8.875" style="1"/>
    <col min="12505" max="12505" width="5" style="1" customWidth="1"/>
    <col min="12506" max="12506" width="33.375" style="1" customWidth="1"/>
    <col min="12507" max="12507" width="6.5" style="1" customWidth="1"/>
    <col min="12508" max="12508" width="29.5" style="1" customWidth="1"/>
    <col min="12509" max="12509" width="23.625" style="1" customWidth="1"/>
    <col min="12510" max="12510" width="8" style="1" customWidth="1"/>
    <col min="12511" max="12511" width="9.125" style="1" customWidth="1"/>
    <col min="12512" max="12512" width="13.875" style="1" customWidth="1"/>
    <col min="12513" max="12513" width="13.5" style="1" customWidth="1"/>
    <col min="12514" max="12760" width="8.875" style="1"/>
    <col min="12761" max="12761" width="5" style="1" customWidth="1"/>
    <col min="12762" max="12762" width="33.375" style="1" customWidth="1"/>
    <col min="12763" max="12763" width="6.5" style="1" customWidth="1"/>
    <col min="12764" max="12764" width="29.5" style="1" customWidth="1"/>
    <col min="12765" max="12765" width="23.625" style="1" customWidth="1"/>
    <col min="12766" max="12766" width="8" style="1" customWidth="1"/>
    <col min="12767" max="12767" width="9.125" style="1" customWidth="1"/>
    <col min="12768" max="12768" width="13.875" style="1" customWidth="1"/>
    <col min="12769" max="12769" width="13.5" style="1" customWidth="1"/>
    <col min="12770" max="13016" width="8.875" style="1"/>
    <col min="13017" max="13017" width="5" style="1" customWidth="1"/>
    <col min="13018" max="13018" width="33.375" style="1" customWidth="1"/>
    <col min="13019" max="13019" width="6.5" style="1" customWidth="1"/>
    <col min="13020" max="13020" width="29.5" style="1" customWidth="1"/>
    <col min="13021" max="13021" width="23.625" style="1" customWidth="1"/>
    <col min="13022" max="13022" width="8" style="1" customWidth="1"/>
    <col min="13023" max="13023" width="9.125" style="1" customWidth="1"/>
    <col min="13024" max="13024" width="13.875" style="1" customWidth="1"/>
    <col min="13025" max="13025" width="13.5" style="1" customWidth="1"/>
    <col min="13026" max="13272" width="8.875" style="1"/>
    <col min="13273" max="13273" width="5" style="1" customWidth="1"/>
    <col min="13274" max="13274" width="33.375" style="1" customWidth="1"/>
    <col min="13275" max="13275" width="6.5" style="1" customWidth="1"/>
    <col min="13276" max="13276" width="29.5" style="1" customWidth="1"/>
    <col min="13277" max="13277" width="23.625" style="1" customWidth="1"/>
    <col min="13278" max="13278" width="8" style="1" customWidth="1"/>
    <col min="13279" max="13279" width="9.125" style="1" customWidth="1"/>
    <col min="13280" max="13280" width="13.875" style="1" customWidth="1"/>
    <col min="13281" max="13281" width="13.5" style="1" customWidth="1"/>
    <col min="13282" max="13528" width="8.875" style="1"/>
    <col min="13529" max="13529" width="5" style="1" customWidth="1"/>
    <col min="13530" max="13530" width="33.375" style="1" customWidth="1"/>
    <col min="13531" max="13531" width="6.5" style="1" customWidth="1"/>
    <col min="13532" max="13532" width="29.5" style="1" customWidth="1"/>
    <col min="13533" max="13533" width="23.625" style="1" customWidth="1"/>
    <col min="13534" max="13534" width="8" style="1" customWidth="1"/>
    <col min="13535" max="13535" width="9.125" style="1" customWidth="1"/>
    <col min="13536" max="13536" width="13.875" style="1" customWidth="1"/>
    <col min="13537" max="13537" width="13.5" style="1" customWidth="1"/>
    <col min="13538" max="13784" width="8.875" style="1"/>
    <col min="13785" max="13785" width="5" style="1" customWidth="1"/>
    <col min="13786" max="13786" width="33.375" style="1" customWidth="1"/>
    <col min="13787" max="13787" width="6.5" style="1" customWidth="1"/>
    <col min="13788" max="13788" width="29.5" style="1" customWidth="1"/>
    <col min="13789" max="13789" width="23.625" style="1" customWidth="1"/>
    <col min="13790" max="13790" width="8" style="1" customWidth="1"/>
    <col min="13791" max="13791" width="9.125" style="1" customWidth="1"/>
    <col min="13792" max="13792" width="13.875" style="1" customWidth="1"/>
    <col min="13793" max="13793" width="13.5" style="1" customWidth="1"/>
    <col min="13794" max="14040" width="8.875" style="1"/>
    <col min="14041" max="14041" width="5" style="1" customWidth="1"/>
    <col min="14042" max="14042" width="33.375" style="1" customWidth="1"/>
    <col min="14043" max="14043" width="6.5" style="1" customWidth="1"/>
    <col min="14044" max="14044" width="29.5" style="1" customWidth="1"/>
    <col min="14045" max="14045" width="23.625" style="1" customWidth="1"/>
    <col min="14046" max="14046" width="8" style="1" customWidth="1"/>
    <col min="14047" max="14047" width="9.125" style="1" customWidth="1"/>
    <col min="14048" max="14048" width="13.875" style="1" customWidth="1"/>
    <col min="14049" max="14049" width="13.5" style="1" customWidth="1"/>
    <col min="14050" max="14296" width="8.875" style="1"/>
    <col min="14297" max="14297" width="5" style="1" customWidth="1"/>
    <col min="14298" max="14298" width="33.375" style="1" customWidth="1"/>
    <col min="14299" max="14299" width="6.5" style="1" customWidth="1"/>
    <col min="14300" max="14300" width="29.5" style="1" customWidth="1"/>
    <col min="14301" max="14301" width="23.625" style="1" customWidth="1"/>
    <col min="14302" max="14302" width="8" style="1" customWidth="1"/>
    <col min="14303" max="14303" width="9.125" style="1" customWidth="1"/>
    <col min="14304" max="14304" width="13.875" style="1" customWidth="1"/>
    <col min="14305" max="14305" width="13.5" style="1" customWidth="1"/>
    <col min="14306" max="14552" width="8.875" style="1"/>
    <col min="14553" max="14553" width="5" style="1" customWidth="1"/>
    <col min="14554" max="14554" width="33.375" style="1" customWidth="1"/>
    <col min="14555" max="14555" width="6.5" style="1" customWidth="1"/>
    <col min="14556" max="14556" width="29.5" style="1" customWidth="1"/>
    <col min="14557" max="14557" width="23.625" style="1" customWidth="1"/>
    <col min="14558" max="14558" width="8" style="1" customWidth="1"/>
    <col min="14559" max="14559" width="9.125" style="1" customWidth="1"/>
    <col min="14560" max="14560" width="13.875" style="1" customWidth="1"/>
    <col min="14561" max="14561" width="13.5" style="1" customWidth="1"/>
    <col min="14562" max="14808" width="8.875" style="1"/>
    <col min="14809" max="14809" width="5" style="1" customWidth="1"/>
    <col min="14810" max="14810" width="33.375" style="1" customWidth="1"/>
    <col min="14811" max="14811" width="6.5" style="1" customWidth="1"/>
    <col min="14812" max="14812" width="29.5" style="1" customWidth="1"/>
    <col min="14813" max="14813" width="23.625" style="1" customWidth="1"/>
    <col min="14814" max="14814" width="8" style="1" customWidth="1"/>
    <col min="14815" max="14815" width="9.125" style="1" customWidth="1"/>
    <col min="14816" max="14816" width="13.875" style="1" customWidth="1"/>
    <col min="14817" max="14817" width="13.5" style="1" customWidth="1"/>
    <col min="14818" max="15064" width="8.875" style="1"/>
    <col min="15065" max="15065" width="5" style="1" customWidth="1"/>
    <col min="15066" max="15066" width="33.375" style="1" customWidth="1"/>
    <col min="15067" max="15067" width="6.5" style="1" customWidth="1"/>
    <col min="15068" max="15068" width="29.5" style="1" customWidth="1"/>
    <col min="15069" max="15069" width="23.625" style="1" customWidth="1"/>
    <col min="15070" max="15070" width="8" style="1" customWidth="1"/>
    <col min="15071" max="15071" width="9.125" style="1" customWidth="1"/>
    <col min="15072" max="15072" width="13.875" style="1" customWidth="1"/>
    <col min="15073" max="15073" width="13.5" style="1" customWidth="1"/>
    <col min="15074" max="15320" width="8.875" style="1"/>
    <col min="15321" max="15321" width="5" style="1" customWidth="1"/>
    <col min="15322" max="15322" width="33.375" style="1" customWidth="1"/>
    <col min="15323" max="15323" width="6.5" style="1" customWidth="1"/>
    <col min="15324" max="15324" width="29.5" style="1" customWidth="1"/>
    <col min="15325" max="15325" width="23.625" style="1" customWidth="1"/>
    <col min="15326" max="15326" width="8" style="1" customWidth="1"/>
    <col min="15327" max="15327" width="9.125" style="1" customWidth="1"/>
    <col min="15328" max="15328" width="13.875" style="1" customWidth="1"/>
    <col min="15329" max="15329" width="13.5" style="1" customWidth="1"/>
    <col min="15330" max="15576" width="8.875" style="1"/>
    <col min="15577" max="15577" width="5" style="1" customWidth="1"/>
    <col min="15578" max="15578" width="33.375" style="1" customWidth="1"/>
    <col min="15579" max="15579" width="6.5" style="1" customWidth="1"/>
    <col min="15580" max="15580" width="29.5" style="1" customWidth="1"/>
    <col min="15581" max="15581" width="23.625" style="1" customWidth="1"/>
    <col min="15582" max="15582" width="8" style="1" customWidth="1"/>
    <col min="15583" max="15583" width="9.125" style="1" customWidth="1"/>
    <col min="15584" max="15584" width="13.875" style="1" customWidth="1"/>
    <col min="15585" max="15585" width="13.5" style="1" customWidth="1"/>
    <col min="15586" max="15832" width="8.875" style="1"/>
    <col min="15833" max="15833" width="5" style="1" customWidth="1"/>
    <col min="15834" max="15834" width="33.375" style="1" customWidth="1"/>
    <col min="15835" max="15835" width="6.5" style="1" customWidth="1"/>
    <col min="15836" max="15836" width="29.5" style="1" customWidth="1"/>
    <col min="15837" max="15837" width="23.625" style="1" customWidth="1"/>
    <col min="15838" max="15838" width="8" style="1" customWidth="1"/>
    <col min="15839" max="15839" width="9.125" style="1" customWidth="1"/>
    <col min="15840" max="15840" width="13.875" style="1" customWidth="1"/>
    <col min="15841" max="15841" width="13.5" style="1" customWidth="1"/>
    <col min="15842" max="16384" width="8.875" style="1"/>
  </cols>
  <sheetData>
    <row r="1" spans="2:18" s="11" customFormat="1" ht="16.5">
      <c r="B1" s="473"/>
      <c r="C1" s="474" t="s">
        <v>255</v>
      </c>
      <c r="E1" s="17"/>
      <c r="F1" s="17"/>
      <c r="G1" s="17"/>
    </row>
    <row r="2" spans="2:18" s="43" customFormat="1" ht="44.25" customHeight="1">
      <c r="B2" s="979" t="s">
        <v>568</v>
      </c>
      <c r="C2" s="980"/>
      <c r="D2" s="980"/>
      <c r="E2" s="980"/>
      <c r="F2" s="980"/>
      <c r="G2" s="980"/>
      <c r="H2" s="980"/>
      <c r="I2" s="980"/>
      <c r="J2" s="980"/>
      <c r="K2" s="980"/>
      <c r="L2" s="980"/>
      <c r="M2" s="980"/>
      <c r="N2" s="980"/>
      <c r="O2" s="980"/>
      <c r="P2" s="980"/>
      <c r="Q2" s="980"/>
      <c r="R2" s="980"/>
    </row>
    <row r="3" spans="2:18" s="3" customFormat="1" ht="11.1" customHeight="1">
      <c r="B3" s="44"/>
      <c r="C3" s="43"/>
      <c r="D3" s="7"/>
      <c r="E3" s="75"/>
      <c r="F3" s="75"/>
      <c r="G3" s="75"/>
      <c r="H3" s="7"/>
      <c r="I3" s="7"/>
      <c r="J3" s="7"/>
      <c r="K3" s="7"/>
      <c r="L3" s="7"/>
      <c r="M3" s="7"/>
      <c r="N3" s="7"/>
      <c r="O3" s="7"/>
      <c r="P3" s="7"/>
      <c r="Q3" s="7"/>
      <c r="R3" s="7"/>
    </row>
    <row r="4" spans="2:18" s="4" customFormat="1" ht="35.25" customHeight="1">
      <c r="B4" s="475" t="s">
        <v>1</v>
      </c>
      <c r="C4" s="475" t="s">
        <v>16</v>
      </c>
      <c r="D4" s="475" t="s">
        <v>17</v>
      </c>
      <c r="E4" s="475" t="s">
        <v>18</v>
      </c>
      <c r="F4" s="475" t="s">
        <v>19</v>
      </c>
      <c r="G4" s="475" t="s">
        <v>172</v>
      </c>
      <c r="H4" s="475" t="s">
        <v>164</v>
      </c>
      <c r="I4" s="475" t="s">
        <v>558</v>
      </c>
      <c r="J4" s="475" t="s">
        <v>559</v>
      </c>
      <c r="K4" s="475" t="s">
        <v>560</v>
      </c>
      <c r="L4" s="475" t="s">
        <v>561</v>
      </c>
      <c r="M4" s="475" t="s">
        <v>471</v>
      </c>
      <c r="N4" s="475" t="s">
        <v>562</v>
      </c>
      <c r="O4" s="475" t="s">
        <v>563</v>
      </c>
      <c r="P4" s="475" t="s">
        <v>564</v>
      </c>
      <c r="Q4" s="475" t="s">
        <v>565</v>
      </c>
      <c r="R4" s="475" t="s">
        <v>566</v>
      </c>
    </row>
    <row r="5" spans="2:18" s="41" customFormat="1" ht="52.5" customHeight="1">
      <c r="B5" s="477">
        <v>1</v>
      </c>
      <c r="C5" s="456" t="s">
        <v>531</v>
      </c>
      <c r="D5" s="485" t="s">
        <v>342</v>
      </c>
      <c r="E5" s="486" t="s">
        <v>512</v>
      </c>
      <c r="F5" s="483" t="s">
        <v>343</v>
      </c>
      <c r="G5" s="484">
        <v>45991</v>
      </c>
      <c r="H5" s="479"/>
      <c r="I5" s="479"/>
      <c r="J5" s="479"/>
      <c r="K5" s="479"/>
      <c r="L5" s="479"/>
      <c r="M5" s="479"/>
      <c r="N5" s="479"/>
      <c r="O5" s="479"/>
      <c r="P5" s="479"/>
      <c r="Q5" s="479"/>
      <c r="R5" s="479"/>
    </row>
    <row r="6" spans="2:18" s="41" customFormat="1" ht="35.25" customHeight="1">
      <c r="B6" s="477">
        <v>2</v>
      </c>
      <c r="C6" s="456" t="s">
        <v>443</v>
      </c>
      <c r="D6" s="485" t="s">
        <v>413</v>
      </c>
      <c r="E6" s="486" t="s">
        <v>522</v>
      </c>
      <c r="F6" s="483" t="s">
        <v>414</v>
      </c>
      <c r="G6" s="483">
        <v>0</v>
      </c>
      <c r="H6" s="479"/>
      <c r="I6" s="479"/>
      <c r="J6" s="479"/>
      <c r="K6" s="479"/>
      <c r="L6" s="479"/>
      <c r="M6" s="479"/>
      <c r="N6" s="479"/>
      <c r="O6" s="479"/>
      <c r="P6" s="479"/>
      <c r="Q6" s="479"/>
      <c r="R6" s="479"/>
    </row>
    <row r="7" spans="2:18" s="41" customFormat="1" ht="46.5" customHeight="1">
      <c r="B7" s="477">
        <v>3</v>
      </c>
      <c r="C7" s="456" t="s">
        <v>452</v>
      </c>
      <c r="D7" s="485" t="s">
        <v>413</v>
      </c>
      <c r="E7" s="486" t="s">
        <v>522</v>
      </c>
      <c r="F7" s="483" t="s">
        <v>414</v>
      </c>
      <c r="G7" s="483">
        <v>0</v>
      </c>
      <c r="H7" s="479"/>
      <c r="I7" s="479"/>
      <c r="J7" s="479"/>
      <c r="K7" s="479"/>
      <c r="L7" s="479"/>
      <c r="M7" s="479"/>
      <c r="N7" s="479"/>
      <c r="O7" s="479"/>
      <c r="P7" s="479"/>
      <c r="Q7" s="479"/>
      <c r="R7" s="479"/>
    </row>
    <row r="8" spans="2:18" s="41" customFormat="1" ht="75" customHeight="1">
      <c r="B8" s="477">
        <v>4</v>
      </c>
      <c r="C8" s="478" t="s">
        <v>481</v>
      </c>
      <c r="D8" s="485" t="s">
        <v>342</v>
      </c>
      <c r="E8" s="486" t="s">
        <v>524</v>
      </c>
      <c r="F8" s="483" t="s">
        <v>414</v>
      </c>
      <c r="G8" s="483">
        <v>1</v>
      </c>
      <c r="H8" s="479"/>
      <c r="I8" s="479"/>
      <c r="J8" s="479"/>
      <c r="K8" s="479"/>
      <c r="L8" s="479"/>
      <c r="M8" s="479"/>
      <c r="N8" s="479"/>
      <c r="O8" s="479"/>
      <c r="P8" s="479"/>
      <c r="Q8" s="479"/>
      <c r="R8" s="479"/>
    </row>
    <row r="9" spans="2:18" s="41" customFormat="1" ht="41.25" customHeight="1">
      <c r="B9" s="477">
        <v>5</v>
      </c>
      <c r="C9" s="478" t="s">
        <v>519</v>
      </c>
      <c r="D9" s="485" t="s">
        <v>330</v>
      </c>
      <c r="E9" s="486" t="s">
        <v>554</v>
      </c>
      <c r="F9" s="483" t="s">
        <v>414</v>
      </c>
      <c r="G9" s="483">
        <v>1</v>
      </c>
      <c r="H9" s="479"/>
      <c r="I9" s="479"/>
      <c r="J9" s="479"/>
      <c r="K9" s="479"/>
      <c r="L9" s="479"/>
      <c r="M9" s="479"/>
      <c r="N9" s="479"/>
      <c r="O9" s="479"/>
      <c r="P9" s="479"/>
      <c r="Q9" s="479"/>
      <c r="R9" s="479"/>
    </row>
    <row r="10" spans="2:18" s="41" customFormat="1" ht="44.25" customHeight="1">
      <c r="B10" s="477">
        <v>6</v>
      </c>
      <c r="C10" s="453" t="s">
        <v>453</v>
      </c>
      <c r="D10" s="485" t="s">
        <v>413</v>
      </c>
      <c r="E10" s="486" t="s">
        <v>471</v>
      </c>
      <c r="F10" s="483" t="s">
        <v>414</v>
      </c>
      <c r="G10" s="483">
        <v>0</v>
      </c>
      <c r="H10" s="479"/>
      <c r="I10" s="479"/>
      <c r="J10" s="479"/>
      <c r="K10" s="479"/>
      <c r="L10" s="479"/>
      <c r="M10" s="479"/>
      <c r="N10" s="479"/>
      <c r="O10" s="479"/>
      <c r="P10" s="479"/>
      <c r="Q10" s="479"/>
      <c r="R10" s="479"/>
    </row>
    <row r="11" spans="2:18" s="41" customFormat="1" ht="36.75" customHeight="1">
      <c r="B11" s="477">
        <v>7</v>
      </c>
      <c r="C11" s="453" t="s">
        <v>482</v>
      </c>
      <c r="D11" s="485" t="s">
        <v>413</v>
      </c>
      <c r="E11" s="486" t="s">
        <v>471</v>
      </c>
      <c r="F11" s="483" t="s">
        <v>414</v>
      </c>
      <c r="G11" s="483">
        <v>0</v>
      </c>
      <c r="H11" s="479"/>
      <c r="I11" s="479"/>
      <c r="J11" s="479"/>
      <c r="K11" s="479"/>
      <c r="L11" s="479"/>
      <c r="M11" s="479"/>
      <c r="N11" s="479"/>
      <c r="O11" s="479"/>
      <c r="P11" s="479"/>
      <c r="Q11" s="479"/>
      <c r="R11" s="479"/>
    </row>
    <row r="12" spans="2:18" s="41" customFormat="1" ht="54" customHeight="1">
      <c r="B12" s="477">
        <v>8</v>
      </c>
      <c r="C12" s="478" t="s">
        <v>532</v>
      </c>
      <c r="D12" s="485" t="s">
        <v>330</v>
      </c>
      <c r="E12" s="486" t="s">
        <v>471</v>
      </c>
      <c r="F12" s="483" t="s">
        <v>343</v>
      </c>
      <c r="G12" s="484">
        <v>46022</v>
      </c>
      <c r="H12" s="479"/>
      <c r="I12" s="479"/>
      <c r="J12" s="479"/>
      <c r="K12" s="479"/>
      <c r="L12" s="479"/>
      <c r="M12" s="479"/>
      <c r="N12" s="479"/>
      <c r="O12" s="479"/>
      <c r="P12" s="479"/>
      <c r="Q12" s="479"/>
      <c r="R12" s="479"/>
    </row>
    <row r="13" spans="2:18" s="41" customFormat="1" ht="41.25" customHeight="1">
      <c r="B13" s="477">
        <v>9</v>
      </c>
      <c r="C13" s="453" t="s">
        <v>456</v>
      </c>
      <c r="D13" s="485" t="s">
        <v>413</v>
      </c>
      <c r="E13" s="486" t="s">
        <v>471</v>
      </c>
      <c r="F13" s="483" t="s">
        <v>414</v>
      </c>
      <c r="G13" s="483">
        <v>0</v>
      </c>
      <c r="H13" s="479"/>
      <c r="I13" s="479"/>
      <c r="J13" s="479"/>
      <c r="K13" s="479"/>
      <c r="L13" s="479"/>
      <c r="M13" s="479"/>
      <c r="N13" s="479"/>
      <c r="O13" s="479"/>
      <c r="P13" s="479"/>
      <c r="Q13" s="479"/>
      <c r="R13" s="479"/>
    </row>
    <row r="14" spans="2:18" s="41" customFormat="1" ht="31.5" customHeight="1">
      <c r="B14" s="477">
        <v>10</v>
      </c>
      <c r="C14" s="453" t="s">
        <v>455</v>
      </c>
      <c r="D14" s="485" t="s">
        <v>413</v>
      </c>
      <c r="E14" s="486" t="s">
        <v>471</v>
      </c>
      <c r="F14" s="483" t="s">
        <v>414</v>
      </c>
      <c r="G14" s="483">
        <v>0</v>
      </c>
      <c r="H14" s="479"/>
      <c r="I14" s="479"/>
      <c r="J14" s="479"/>
      <c r="K14" s="479"/>
      <c r="L14" s="479"/>
      <c r="M14" s="479"/>
      <c r="N14" s="479"/>
      <c r="O14" s="479"/>
      <c r="P14" s="479"/>
      <c r="Q14" s="479"/>
      <c r="R14" s="479"/>
    </row>
    <row r="15" spans="2:18" s="41" customFormat="1" ht="45" customHeight="1">
      <c r="B15" s="477">
        <v>11</v>
      </c>
      <c r="C15" s="361" t="s">
        <v>534</v>
      </c>
      <c r="D15" s="485" t="s">
        <v>413</v>
      </c>
      <c r="E15" s="486" t="s">
        <v>471</v>
      </c>
      <c r="F15" s="483" t="s">
        <v>414</v>
      </c>
      <c r="G15" s="483">
        <v>0</v>
      </c>
      <c r="H15" s="479"/>
      <c r="I15" s="479"/>
      <c r="J15" s="479"/>
      <c r="K15" s="479"/>
      <c r="L15" s="479"/>
      <c r="M15" s="479"/>
      <c r="N15" s="479"/>
      <c r="O15" s="479"/>
      <c r="P15" s="479"/>
      <c r="Q15" s="479"/>
      <c r="R15" s="479"/>
    </row>
    <row r="16" spans="2:18" s="41" customFormat="1" ht="30.75" customHeight="1">
      <c r="B16" s="477">
        <v>12</v>
      </c>
      <c r="C16" s="478" t="s">
        <v>457</v>
      </c>
      <c r="D16" s="485" t="s">
        <v>413</v>
      </c>
      <c r="E16" s="486" t="s">
        <v>471</v>
      </c>
      <c r="F16" s="483" t="s">
        <v>414</v>
      </c>
      <c r="G16" s="483">
        <v>0</v>
      </c>
      <c r="H16" s="479"/>
      <c r="I16" s="479"/>
      <c r="J16" s="479"/>
      <c r="K16" s="479"/>
      <c r="L16" s="479"/>
      <c r="M16" s="479"/>
      <c r="N16" s="479"/>
      <c r="O16" s="479"/>
      <c r="P16" s="479"/>
      <c r="Q16" s="479"/>
      <c r="R16" s="479"/>
    </row>
    <row r="17" spans="2:18" s="41" customFormat="1" ht="48.75" customHeight="1">
      <c r="B17" s="477">
        <v>13</v>
      </c>
      <c r="C17" s="478" t="s">
        <v>458</v>
      </c>
      <c r="D17" s="485" t="s">
        <v>330</v>
      </c>
      <c r="E17" s="486" t="s">
        <v>471</v>
      </c>
      <c r="F17" s="483" t="s">
        <v>326</v>
      </c>
      <c r="G17" s="483">
        <v>1</v>
      </c>
      <c r="H17" s="479"/>
      <c r="I17" s="479"/>
      <c r="J17" s="479"/>
      <c r="K17" s="479"/>
      <c r="L17" s="479"/>
      <c r="M17" s="479"/>
      <c r="N17" s="479"/>
      <c r="O17" s="479"/>
      <c r="P17" s="479"/>
      <c r="Q17" s="479"/>
      <c r="R17" s="479"/>
    </row>
    <row r="18" spans="2:18" s="41" customFormat="1" ht="45" customHeight="1">
      <c r="B18" s="477">
        <v>14</v>
      </c>
      <c r="C18" s="478" t="s">
        <v>535</v>
      </c>
      <c r="D18" s="485" t="s">
        <v>413</v>
      </c>
      <c r="E18" s="486" t="s">
        <v>471</v>
      </c>
      <c r="F18" s="483" t="s">
        <v>414</v>
      </c>
      <c r="G18" s="483">
        <v>0</v>
      </c>
      <c r="H18" s="479"/>
      <c r="I18" s="479"/>
      <c r="J18" s="479"/>
      <c r="K18" s="479"/>
      <c r="L18" s="479"/>
      <c r="M18" s="479"/>
      <c r="N18" s="479"/>
      <c r="O18" s="479"/>
      <c r="P18" s="479"/>
      <c r="Q18" s="479"/>
      <c r="R18" s="479"/>
    </row>
    <row r="19" spans="2:18" s="41" customFormat="1" ht="34.5" customHeight="1">
      <c r="B19" s="477">
        <v>15</v>
      </c>
      <c r="C19" s="478" t="s">
        <v>459</v>
      </c>
      <c r="D19" s="485" t="s">
        <v>435</v>
      </c>
      <c r="E19" s="486" t="s">
        <v>528</v>
      </c>
      <c r="F19" s="483" t="s">
        <v>326</v>
      </c>
      <c r="G19" s="483">
        <v>1</v>
      </c>
      <c r="H19" s="479"/>
      <c r="I19" s="479"/>
      <c r="J19" s="479"/>
      <c r="K19" s="479"/>
      <c r="L19" s="479"/>
      <c r="M19" s="479"/>
      <c r="N19" s="479"/>
      <c r="O19" s="479"/>
      <c r="P19" s="479"/>
      <c r="Q19" s="479"/>
      <c r="R19" s="479"/>
    </row>
    <row r="20" spans="2:18" s="41" customFormat="1" ht="34.5" customHeight="1">
      <c r="B20" s="477">
        <v>16</v>
      </c>
      <c r="C20" s="478" t="s">
        <v>461</v>
      </c>
      <c r="D20" s="485" t="s">
        <v>413</v>
      </c>
      <c r="E20" s="486" t="s">
        <v>471</v>
      </c>
      <c r="F20" s="483" t="s">
        <v>414</v>
      </c>
      <c r="G20" s="483">
        <v>0</v>
      </c>
      <c r="H20" s="479"/>
      <c r="I20" s="479"/>
      <c r="J20" s="479"/>
      <c r="K20" s="479"/>
      <c r="L20" s="479"/>
      <c r="M20" s="479"/>
      <c r="N20" s="479"/>
      <c r="O20" s="479"/>
      <c r="P20" s="479"/>
      <c r="Q20" s="479"/>
      <c r="R20" s="479"/>
    </row>
    <row r="21" spans="2:18" s="41" customFormat="1" ht="42.75" customHeight="1">
      <c r="B21" s="477">
        <v>17</v>
      </c>
      <c r="C21" s="478" t="s">
        <v>462</v>
      </c>
      <c r="D21" s="485" t="s">
        <v>413</v>
      </c>
      <c r="E21" s="486" t="s">
        <v>471</v>
      </c>
      <c r="F21" s="483" t="s">
        <v>414</v>
      </c>
      <c r="G21" s="483">
        <v>0</v>
      </c>
      <c r="H21" s="479"/>
      <c r="I21" s="479"/>
      <c r="J21" s="479"/>
      <c r="K21" s="479"/>
      <c r="L21" s="479"/>
      <c r="M21" s="479"/>
      <c r="N21" s="479"/>
      <c r="O21" s="479"/>
      <c r="P21" s="479"/>
      <c r="Q21" s="479"/>
      <c r="R21" s="479"/>
    </row>
    <row r="22" spans="2:18" s="41" customFormat="1" ht="30" customHeight="1">
      <c r="B22" s="477">
        <v>18</v>
      </c>
      <c r="C22" s="478" t="s">
        <v>463</v>
      </c>
      <c r="D22" s="485" t="s">
        <v>413</v>
      </c>
      <c r="E22" s="486" t="s">
        <v>471</v>
      </c>
      <c r="F22" s="483" t="s">
        <v>414</v>
      </c>
      <c r="G22" s="483">
        <v>0</v>
      </c>
      <c r="H22" s="479"/>
      <c r="I22" s="479"/>
      <c r="J22" s="479"/>
      <c r="K22" s="479"/>
      <c r="L22" s="479"/>
      <c r="M22" s="479"/>
      <c r="N22" s="479"/>
      <c r="O22" s="479"/>
      <c r="P22" s="479"/>
      <c r="Q22" s="479"/>
      <c r="R22" s="479"/>
    </row>
    <row r="23" spans="2:18" s="41" customFormat="1" ht="58.5" customHeight="1">
      <c r="B23" s="981" t="s">
        <v>567</v>
      </c>
      <c r="C23" s="982"/>
      <c r="D23" s="338"/>
      <c r="E23" s="339"/>
      <c r="F23" s="430"/>
      <c r="G23" s="430"/>
      <c r="H23" s="214"/>
      <c r="I23" s="214"/>
      <c r="J23" s="214"/>
      <c r="K23" s="214"/>
      <c r="L23" s="214"/>
      <c r="M23" s="214"/>
      <c r="N23" s="214"/>
      <c r="O23" s="214"/>
      <c r="P23" s="214"/>
      <c r="Q23" s="214"/>
      <c r="R23" s="214"/>
    </row>
    <row r="24" spans="2:18">
      <c r="B24" s="6"/>
      <c r="C24" s="5"/>
      <c r="D24" s="5"/>
      <c r="E24" s="6"/>
      <c r="F24" s="6"/>
      <c r="G24" s="6"/>
      <c r="H24" s="5"/>
      <c r="I24" s="5"/>
      <c r="J24" s="5"/>
      <c r="K24" s="5"/>
      <c r="L24" s="5"/>
      <c r="M24" s="5"/>
      <c r="N24" s="5"/>
      <c r="O24" s="5"/>
      <c r="P24" s="5"/>
      <c r="Q24" s="5"/>
      <c r="R24" s="5"/>
    </row>
    <row r="25" spans="2:18">
      <c r="B25" s="6"/>
      <c r="C25" s="5"/>
      <c r="D25" s="5"/>
      <c r="E25" s="6"/>
      <c r="F25" s="6"/>
      <c r="G25" s="6"/>
      <c r="H25" s="5"/>
      <c r="I25" s="5"/>
      <c r="J25" s="5"/>
      <c r="K25" s="5"/>
      <c r="L25" s="5"/>
      <c r="M25" s="5"/>
      <c r="N25" s="5"/>
      <c r="O25" s="5"/>
      <c r="P25" s="5"/>
      <c r="Q25" s="5"/>
      <c r="R25" s="5"/>
    </row>
    <row r="26" spans="2:18">
      <c r="B26" s="6"/>
      <c r="C26" s="5"/>
      <c r="D26" s="5"/>
      <c r="E26" s="6"/>
      <c r="F26" s="6"/>
      <c r="G26" s="6"/>
      <c r="H26" s="5"/>
      <c r="I26" s="5"/>
      <c r="J26" s="5"/>
      <c r="K26" s="5"/>
      <c r="L26" s="5"/>
      <c r="M26" s="5"/>
      <c r="N26" s="5"/>
      <c r="O26" s="5"/>
      <c r="P26" s="5"/>
      <c r="Q26" s="5"/>
      <c r="R26" s="5"/>
    </row>
    <row r="27" spans="2:18" ht="15.95" customHeight="1">
      <c r="B27" s="6"/>
      <c r="C27" s="6"/>
      <c r="D27" s="5"/>
      <c r="E27" s="6"/>
      <c r="F27" s="6"/>
      <c r="G27" s="6"/>
      <c r="H27" s="5"/>
      <c r="I27" s="5"/>
      <c r="J27" s="5"/>
      <c r="K27" s="5"/>
      <c r="L27" s="5"/>
      <c r="M27" s="5"/>
      <c r="N27" s="5"/>
      <c r="O27" s="5"/>
      <c r="P27" s="5"/>
      <c r="Q27" s="5"/>
      <c r="R27" s="5"/>
    </row>
    <row r="28" spans="2:18">
      <c r="B28" s="6"/>
      <c r="C28" s="5"/>
      <c r="D28" s="5"/>
      <c r="E28" s="6"/>
      <c r="F28" s="6"/>
      <c r="G28" s="6"/>
      <c r="H28" s="5"/>
      <c r="I28" s="5"/>
      <c r="J28" s="5"/>
      <c r="K28" s="5"/>
      <c r="L28" s="5"/>
      <c r="M28" s="5"/>
      <c r="N28" s="5"/>
      <c r="O28" s="5"/>
      <c r="P28" s="5"/>
      <c r="Q28" s="5"/>
      <c r="R28" s="5"/>
    </row>
  </sheetData>
  <mergeCells count="2">
    <mergeCell ref="B2:R2"/>
    <mergeCell ref="B23:C23"/>
  </mergeCells>
  <pageMargins left="0.17" right="0.17" top="0.24" bottom="0.17" header="0.3" footer="0.17"/>
  <pageSetup paperSize="9" scale="60" fitToHeight="0" orientation="landscape" r:id="rId1"/>
  <colBreaks count="1" manualBreakCount="1">
    <brk id="18"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B1:E33"/>
  <sheetViews>
    <sheetView showGridLines="0" topLeftCell="A8" zoomScale="125" workbookViewId="0">
      <selection activeCell="D12" sqref="D12"/>
    </sheetView>
  </sheetViews>
  <sheetFormatPr defaultColWidth="8.875" defaultRowHeight="12.75"/>
  <cols>
    <col min="1" max="1" width="2.625" style="11" customWidth="1"/>
    <col min="2" max="2" width="8.625" style="11" customWidth="1"/>
    <col min="3" max="3" width="47.5" style="144" customWidth="1"/>
    <col min="4" max="4" width="14.5" style="11" customWidth="1"/>
    <col min="5" max="5" width="26" style="17" customWidth="1"/>
    <col min="6" max="218" width="8.875" style="11"/>
    <col min="219" max="219" width="5" style="11" customWidth="1"/>
    <col min="220" max="220" width="33.375" style="11" customWidth="1"/>
    <col min="221" max="221" width="6.5" style="11" customWidth="1"/>
    <col min="222" max="222" width="29.5" style="11" customWidth="1"/>
    <col min="223" max="223" width="23.625" style="11" customWidth="1"/>
    <col min="224" max="224" width="8" style="11" customWidth="1"/>
    <col min="225" max="225" width="9.125" style="11" customWidth="1"/>
    <col min="226" max="226" width="13.875" style="11" customWidth="1"/>
    <col min="227" max="227" width="13.5" style="11" customWidth="1"/>
    <col min="228" max="474" width="8.875" style="11"/>
    <col min="475" max="475" width="5" style="11" customWidth="1"/>
    <col min="476" max="476" width="33.375" style="11" customWidth="1"/>
    <col min="477" max="477" width="6.5" style="11" customWidth="1"/>
    <col min="478" max="478" width="29.5" style="11" customWidth="1"/>
    <col min="479" max="479" width="23.625" style="11" customWidth="1"/>
    <col min="480" max="480" width="8" style="11" customWidth="1"/>
    <col min="481" max="481" width="9.125" style="11" customWidth="1"/>
    <col min="482" max="482" width="13.875" style="11" customWidth="1"/>
    <col min="483" max="483" width="13.5" style="11" customWidth="1"/>
    <col min="484" max="730" width="8.875" style="11"/>
    <col min="731" max="731" width="5" style="11" customWidth="1"/>
    <col min="732" max="732" width="33.375" style="11" customWidth="1"/>
    <col min="733" max="733" width="6.5" style="11" customWidth="1"/>
    <col min="734" max="734" width="29.5" style="11" customWidth="1"/>
    <col min="735" max="735" width="23.625" style="11" customWidth="1"/>
    <col min="736" max="736" width="8" style="11" customWidth="1"/>
    <col min="737" max="737" width="9.125" style="11" customWidth="1"/>
    <col min="738" max="738" width="13.875" style="11" customWidth="1"/>
    <col min="739" max="739" width="13.5" style="11" customWidth="1"/>
    <col min="740" max="986" width="8.875" style="11"/>
    <col min="987" max="987" width="5" style="11" customWidth="1"/>
    <col min="988" max="988" width="33.375" style="11" customWidth="1"/>
    <col min="989" max="989" width="6.5" style="11" customWidth="1"/>
    <col min="990" max="990" width="29.5" style="11" customWidth="1"/>
    <col min="991" max="991" width="23.625" style="11" customWidth="1"/>
    <col min="992" max="992" width="8" style="11" customWidth="1"/>
    <col min="993" max="993" width="9.125" style="11" customWidth="1"/>
    <col min="994" max="994" width="13.875" style="11" customWidth="1"/>
    <col min="995" max="995" width="13.5" style="11" customWidth="1"/>
    <col min="996" max="1242" width="8.875" style="11"/>
    <col min="1243" max="1243" width="5" style="11" customWidth="1"/>
    <col min="1244" max="1244" width="33.375" style="11" customWidth="1"/>
    <col min="1245" max="1245" width="6.5" style="11" customWidth="1"/>
    <col min="1246" max="1246" width="29.5" style="11" customWidth="1"/>
    <col min="1247" max="1247" width="23.625" style="11" customWidth="1"/>
    <col min="1248" max="1248" width="8" style="11" customWidth="1"/>
    <col min="1249" max="1249" width="9.125" style="11" customWidth="1"/>
    <col min="1250" max="1250" width="13.875" style="11" customWidth="1"/>
    <col min="1251" max="1251" width="13.5" style="11" customWidth="1"/>
    <col min="1252" max="1498" width="8.875" style="11"/>
    <col min="1499" max="1499" width="5" style="11" customWidth="1"/>
    <col min="1500" max="1500" width="33.375" style="11" customWidth="1"/>
    <col min="1501" max="1501" width="6.5" style="11" customWidth="1"/>
    <col min="1502" max="1502" width="29.5" style="11" customWidth="1"/>
    <col min="1503" max="1503" width="23.625" style="11" customWidth="1"/>
    <col min="1504" max="1504" width="8" style="11" customWidth="1"/>
    <col min="1505" max="1505" width="9.125" style="11" customWidth="1"/>
    <col min="1506" max="1506" width="13.875" style="11" customWidth="1"/>
    <col min="1507" max="1507" width="13.5" style="11" customWidth="1"/>
    <col min="1508" max="1754" width="8.875" style="11"/>
    <col min="1755" max="1755" width="5" style="11" customWidth="1"/>
    <col min="1756" max="1756" width="33.375" style="11" customWidth="1"/>
    <col min="1757" max="1757" width="6.5" style="11" customWidth="1"/>
    <col min="1758" max="1758" width="29.5" style="11" customWidth="1"/>
    <col min="1759" max="1759" width="23.625" style="11" customWidth="1"/>
    <col min="1760" max="1760" width="8" style="11" customWidth="1"/>
    <col min="1761" max="1761" width="9.125" style="11" customWidth="1"/>
    <col min="1762" max="1762" width="13.875" style="11" customWidth="1"/>
    <col min="1763" max="1763" width="13.5" style="11" customWidth="1"/>
    <col min="1764" max="2010" width="8.875" style="11"/>
    <col min="2011" max="2011" width="5" style="11" customWidth="1"/>
    <col min="2012" max="2012" width="33.375" style="11" customWidth="1"/>
    <col min="2013" max="2013" width="6.5" style="11" customWidth="1"/>
    <col min="2014" max="2014" width="29.5" style="11" customWidth="1"/>
    <col min="2015" max="2015" width="23.625" style="11" customWidth="1"/>
    <col min="2016" max="2016" width="8" style="11" customWidth="1"/>
    <col min="2017" max="2017" width="9.125" style="11" customWidth="1"/>
    <col min="2018" max="2018" width="13.875" style="11" customWidth="1"/>
    <col min="2019" max="2019" width="13.5" style="11" customWidth="1"/>
    <col min="2020" max="2266" width="8.875" style="11"/>
    <col min="2267" max="2267" width="5" style="11" customWidth="1"/>
    <col min="2268" max="2268" width="33.375" style="11" customWidth="1"/>
    <col min="2269" max="2269" width="6.5" style="11" customWidth="1"/>
    <col min="2270" max="2270" width="29.5" style="11" customWidth="1"/>
    <col min="2271" max="2271" width="23.625" style="11" customWidth="1"/>
    <col min="2272" max="2272" width="8" style="11" customWidth="1"/>
    <col min="2273" max="2273" width="9.125" style="11" customWidth="1"/>
    <col min="2274" max="2274" width="13.875" style="11" customWidth="1"/>
    <col min="2275" max="2275" width="13.5" style="11" customWidth="1"/>
    <col min="2276" max="2522" width="8.875" style="11"/>
    <col min="2523" max="2523" width="5" style="11" customWidth="1"/>
    <col min="2524" max="2524" width="33.375" style="11" customWidth="1"/>
    <col min="2525" max="2525" width="6.5" style="11" customWidth="1"/>
    <col min="2526" max="2526" width="29.5" style="11" customWidth="1"/>
    <col min="2527" max="2527" width="23.625" style="11" customWidth="1"/>
    <col min="2528" max="2528" width="8" style="11" customWidth="1"/>
    <col min="2529" max="2529" width="9.125" style="11" customWidth="1"/>
    <col min="2530" max="2530" width="13.875" style="11" customWidth="1"/>
    <col min="2531" max="2531" width="13.5" style="11" customWidth="1"/>
    <col min="2532" max="2778" width="8.875" style="11"/>
    <col min="2779" max="2779" width="5" style="11" customWidth="1"/>
    <col min="2780" max="2780" width="33.375" style="11" customWidth="1"/>
    <col min="2781" max="2781" width="6.5" style="11" customWidth="1"/>
    <col min="2782" max="2782" width="29.5" style="11" customWidth="1"/>
    <col min="2783" max="2783" width="23.625" style="11" customWidth="1"/>
    <col min="2784" max="2784" width="8" style="11" customWidth="1"/>
    <col min="2785" max="2785" width="9.125" style="11" customWidth="1"/>
    <col min="2786" max="2786" width="13.875" style="11" customWidth="1"/>
    <col min="2787" max="2787" width="13.5" style="11" customWidth="1"/>
    <col min="2788" max="3034" width="8.875" style="11"/>
    <col min="3035" max="3035" width="5" style="11" customWidth="1"/>
    <col min="3036" max="3036" width="33.375" style="11" customWidth="1"/>
    <col min="3037" max="3037" width="6.5" style="11" customWidth="1"/>
    <col min="3038" max="3038" width="29.5" style="11" customWidth="1"/>
    <col min="3039" max="3039" width="23.625" style="11" customWidth="1"/>
    <col min="3040" max="3040" width="8" style="11" customWidth="1"/>
    <col min="3041" max="3041" width="9.125" style="11" customWidth="1"/>
    <col min="3042" max="3042" width="13.875" style="11" customWidth="1"/>
    <col min="3043" max="3043" width="13.5" style="11" customWidth="1"/>
    <col min="3044" max="3290" width="8.875" style="11"/>
    <col min="3291" max="3291" width="5" style="11" customWidth="1"/>
    <col min="3292" max="3292" width="33.375" style="11" customWidth="1"/>
    <col min="3293" max="3293" width="6.5" style="11" customWidth="1"/>
    <col min="3294" max="3294" width="29.5" style="11" customWidth="1"/>
    <col min="3295" max="3295" width="23.625" style="11" customWidth="1"/>
    <col min="3296" max="3296" width="8" style="11" customWidth="1"/>
    <col min="3297" max="3297" width="9.125" style="11" customWidth="1"/>
    <col min="3298" max="3298" width="13.875" style="11" customWidth="1"/>
    <col min="3299" max="3299" width="13.5" style="11" customWidth="1"/>
    <col min="3300" max="3546" width="8.875" style="11"/>
    <col min="3547" max="3547" width="5" style="11" customWidth="1"/>
    <col min="3548" max="3548" width="33.375" style="11" customWidth="1"/>
    <col min="3549" max="3549" width="6.5" style="11" customWidth="1"/>
    <col min="3550" max="3550" width="29.5" style="11" customWidth="1"/>
    <col min="3551" max="3551" width="23.625" style="11" customWidth="1"/>
    <col min="3552" max="3552" width="8" style="11" customWidth="1"/>
    <col min="3553" max="3553" width="9.125" style="11" customWidth="1"/>
    <col min="3554" max="3554" width="13.875" style="11" customWidth="1"/>
    <col min="3555" max="3555" width="13.5" style="11" customWidth="1"/>
    <col min="3556" max="3802" width="8.875" style="11"/>
    <col min="3803" max="3803" width="5" style="11" customWidth="1"/>
    <col min="3804" max="3804" width="33.375" style="11" customWidth="1"/>
    <col min="3805" max="3805" width="6.5" style="11" customWidth="1"/>
    <col min="3806" max="3806" width="29.5" style="11" customWidth="1"/>
    <col min="3807" max="3807" width="23.625" style="11" customWidth="1"/>
    <col min="3808" max="3808" width="8" style="11" customWidth="1"/>
    <col min="3809" max="3809" width="9.125" style="11" customWidth="1"/>
    <col min="3810" max="3810" width="13.875" style="11" customWidth="1"/>
    <col min="3811" max="3811" width="13.5" style="11" customWidth="1"/>
    <col min="3812" max="4058" width="8.875" style="11"/>
    <col min="4059" max="4059" width="5" style="11" customWidth="1"/>
    <col min="4060" max="4060" width="33.375" style="11" customWidth="1"/>
    <col min="4061" max="4061" width="6.5" style="11" customWidth="1"/>
    <col min="4062" max="4062" width="29.5" style="11" customWidth="1"/>
    <col min="4063" max="4063" width="23.625" style="11" customWidth="1"/>
    <col min="4064" max="4064" width="8" style="11" customWidth="1"/>
    <col min="4065" max="4065" width="9.125" style="11" customWidth="1"/>
    <col min="4066" max="4066" width="13.875" style="11" customWidth="1"/>
    <col min="4067" max="4067" width="13.5" style="11" customWidth="1"/>
    <col min="4068" max="4314" width="8.875" style="11"/>
    <col min="4315" max="4315" width="5" style="11" customWidth="1"/>
    <col min="4316" max="4316" width="33.375" style="11" customWidth="1"/>
    <col min="4317" max="4317" width="6.5" style="11" customWidth="1"/>
    <col min="4318" max="4318" width="29.5" style="11" customWidth="1"/>
    <col min="4319" max="4319" width="23.625" style="11" customWidth="1"/>
    <col min="4320" max="4320" width="8" style="11" customWidth="1"/>
    <col min="4321" max="4321" width="9.125" style="11" customWidth="1"/>
    <col min="4322" max="4322" width="13.875" style="11" customWidth="1"/>
    <col min="4323" max="4323" width="13.5" style="11" customWidth="1"/>
    <col min="4324" max="4570" width="8.875" style="11"/>
    <col min="4571" max="4571" width="5" style="11" customWidth="1"/>
    <col min="4572" max="4572" width="33.375" style="11" customWidth="1"/>
    <col min="4573" max="4573" width="6.5" style="11" customWidth="1"/>
    <col min="4574" max="4574" width="29.5" style="11" customWidth="1"/>
    <col min="4575" max="4575" width="23.625" style="11" customWidth="1"/>
    <col min="4576" max="4576" width="8" style="11" customWidth="1"/>
    <col min="4577" max="4577" width="9.125" style="11" customWidth="1"/>
    <col min="4578" max="4578" width="13.875" style="11" customWidth="1"/>
    <col min="4579" max="4579" width="13.5" style="11" customWidth="1"/>
    <col min="4580" max="4826" width="8.875" style="11"/>
    <col min="4827" max="4827" width="5" style="11" customWidth="1"/>
    <col min="4828" max="4828" width="33.375" style="11" customWidth="1"/>
    <col min="4829" max="4829" width="6.5" style="11" customWidth="1"/>
    <col min="4830" max="4830" width="29.5" style="11" customWidth="1"/>
    <col min="4831" max="4831" width="23.625" style="11" customWidth="1"/>
    <col min="4832" max="4832" width="8" style="11" customWidth="1"/>
    <col min="4833" max="4833" width="9.125" style="11" customWidth="1"/>
    <col min="4834" max="4834" width="13.875" style="11" customWidth="1"/>
    <col min="4835" max="4835" width="13.5" style="11" customWidth="1"/>
    <col min="4836" max="5082" width="8.875" style="11"/>
    <col min="5083" max="5083" width="5" style="11" customWidth="1"/>
    <col min="5084" max="5084" width="33.375" style="11" customWidth="1"/>
    <col min="5085" max="5085" width="6.5" style="11" customWidth="1"/>
    <col min="5086" max="5086" width="29.5" style="11" customWidth="1"/>
    <col min="5087" max="5087" width="23.625" style="11" customWidth="1"/>
    <col min="5088" max="5088" width="8" style="11" customWidth="1"/>
    <col min="5089" max="5089" width="9.125" style="11" customWidth="1"/>
    <col min="5090" max="5090" width="13.875" style="11" customWidth="1"/>
    <col min="5091" max="5091" width="13.5" style="11" customWidth="1"/>
    <col min="5092" max="5338" width="8.875" style="11"/>
    <col min="5339" max="5339" width="5" style="11" customWidth="1"/>
    <col min="5340" max="5340" width="33.375" style="11" customWidth="1"/>
    <col min="5341" max="5341" width="6.5" style="11" customWidth="1"/>
    <col min="5342" max="5342" width="29.5" style="11" customWidth="1"/>
    <col min="5343" max="5343" width="23.625" style="11" customWidth="1"/>
    <col min="5344" max="5344" width="8" style="11" customWidth="1"/>
    <col min="5345" max="5345" width="9.125" style="11" customWidth="1"/>
    <col min="5346" max="5346" width="13.875" style="11" customWidth="1"/>
    <col min="5347" max="5347" width="13.5" style="11" customWidth="1"/>
    <col min="5348" max="5594" width="8.875" style="11"/>
    <col min="5595" max="5595" width="5" style="11" customWidth="1"/>
    <col min="5596" max="5596" width="33.375" style="11" customWidth="1"/>
    <col min="5597" max="5597" width="6.5" style="11" customWidth="1"/>
    <col min="5598" max="5598" width="29.5" style="11" customWidth="1"/>
    <col min="5599" max="5599" width="23.625" style="11" customWidth="1"/>
    <col min="5600" max="5600" width="8" style="11" customWidth="1"/>
    <col min="5601" max="5601" width="9.125" style="11" customWidth="1"/>
    <col min="5602" max="5602" width="13.875" style="11" customWidth="1"/>
    <col min="5603" max="5603" width="13.5" style="11" customWidth="1"/>
    <col min="5604" max="5850" width="8.875" style="11"/>
    <col min="5851" max="5851" width="5" style="11" customWidth="1"/>
    <col min="5852" max="5852" width="33.375" style="11" customWidth="1"/>
    <col min="5853" max="5853" width="6.5" style="11" customWidth="1"/>
    <col min="5854" max="5854" width="29.5" style="11" customWidth="1"/>
    <col min="5855" max="5855" width="23.625" style="11" customWidth="1"/>
    <col min="5856" max="5856" width="8" style="11" customWidth="1"/>
    <col min="5857" max="5857" width="9.125" style="11" customWidth="1"/>
    <col min="5858" max="5858" width="13.875" style="11" customWidth="1"/>
    <col min="5859" max="5859" width="13.5" style="11" customWidth="1"/>
    <col min="5860" max="6106" width="8.875" style="11"/>
    <col min="6107" max="6107" width="5" style="11" customWidth="1"/>
    <col min="6108" max="6108" width="33.375" style="11" customWidth="1"/>
    <col min="6109" max="6109" width="6.5" style="11" customWidth="1"/>
    <col min="6110" max="6110" width="29.5" style="11" customWidth="1"/>
    <col min="6111" max="6111" width="23.625" style="11" customWidth="1"/>
    <col min="6112" max="6112" width="8" style="11" customWidth="1"/>
    <col min="6113" max="6113" width="9.125" style="11" customWidth="1"/>
    <col min="6114" max="6114" width="13.875" style="11" customWidth="1"/>
    <col min="6115" max="6115" width="13.5" style="11" customWidth="1"/>
    <col min="6116" max="6362" width="8.875" style="11"/>
    <col min="6363" max="6363" width="5" style="11" customWidth="1"/>
    <col min="6364" max="6364" width="33.375" style="11" customWidth="1"/>
    <col min="6365" max="6365" width="6.5" style="11" customWidth="1"/>
    <col min="6366" max="6366" width="29.5" style="11" customWidth="1"/>
    <col min="6367" max="6367" width="23.625" style="11" customWidth="1"/>
    <col min="6368" max="6368" width="8" style="11" customWidth="1"/>
    <col min="6369" max="6369" width="9.125" style="11" customWidth="1"/>
    <col min="6370" max="6370" width="13.875" style="11" customWidth="1"/>
    <col min="6371" max="6371" width="13.5" style="11" customWidth="1"/>
    <col min="6372" max="6618" width="8.875" style="11"/>
    <col min="6619" max="6619" width="5" style="11" customWidth="1"/>
    <col min="6620" max="6620" width="33.375" style="11" customWidth="1"/>
    <col min="6621" max="6621" width="6.5" style="11" customWidth="1"/>
    <col min="6622" max="6622" width="29.5" style="11" customWidth="1"/>
    <col min="6623" max="6623" width="23.625" style="11" customWidth="1"/>
    <col min="6624" max="6624" width="8" style="11" customWidth="1"/>
    <col min="6625" max="6625" width="9.125" style="11" customWidth="1"/>
    <col min="6626" max="6626" width="13.875" style="11" customWidth="1"/>
    <col min="6627" max="6627" width="13.5" style="11" customWidth="1"/>
    <col min="6628" max="6874" width="8.875" style="11"/>
    <col min="6875" max="6875" width="5" style="11" customWidth="1"/>
    <col min="6876" max="6876" width="33.375" style="11" customWidth="1"/>
    <col min="6877" max="6877" width="6.5" style="11" customWidth="1"/>
    <col min="6878" max="6878" width="29.5" style="11" customWidth="1"/>
    <col min="6879" max="6879" width="23.625" style="11" customWidth="1"/>
    <col min="6880" max="6880" width="8" style="11" customWidth="1"/>
    <col min="6881" max="6881" width="9.125" style="11" customWidth="1"/>
    <col min="6882" max="6882" width="13.875" style="11" customWidth="1"/>
    <col min="6883" max="6883" width="13.5" style="11" customWidth="1"/>
    <col min="6884" max="7130" width="8.875" style="11"/>
    <col min="7131" max="7131" width="5" style="11" customWidth="1"/>
    <col min="7132" max="7132" width="33.375" style="11" customWidth="1"/>
    <col min="7133" max="7133" width="6.5" style="11" customWidth="1"/>
    <col min="7134" max="7134" width="29.5" style="11" customWidth="1"/>
    <col min="7135" max="7135" width="23.625" style="11" customWidth="1"/>
    <col min="7136" max="7136" width="8" style="11" customWidth="1"/>
    <col min="7137" max="7137" width="9.125" style="11" customWidth="1"/>
    <col min="7138" max="7138" width="13.875" style="11" customWidth="1"/>
    <col min="7139" max="7139" width="13.5" style="11" customWidth="1"/>
    <col min="7140" max="7386" width="8.875" style="11"/>
    <col min="7387" max="7387" width="5" style="11" customWidth="1"/>
    <col min="7388" max="7388" width="33.375" style="11" customWidth="1"/>
    <col min="7389" max="7389" width="6.5" style="11" customWidth="1"/>
    <col min="7390" max="7390" width="29.5" style="11" customWidth="1"/>
    <col min="7391" max="7391" width="23.625" style="11" customWidth="1"/>
    <col min="7392" max="7392" width="8" style="11" customWidth="1"/>
    <col min="7393" max="7393" width="9.125" style="11" customWidth="1"/>
    <col min="7394" max="7394" width="13.875" style="11" customWidth="1"/>
    <col min="7395" max="7395" width="13.5" style="11" customWidth="1"/>
    <col min="7396" max="7642" width="8.875" style="11"/>
    <col min="7643" max="7643" width="5" style="11" customWidth="1"/>
    <col min="7644" max="7644" width="33.375" style="11" customWidth="1"/>
    <col min="7645" max="7645" width="6.5" style="11" customWidth="1"/>
    <col min="7646" max="7646" width="29.5" style="11" customWidth="1"/>
    <col min="7647" max="7647" width="23.625" style="11" customWidth="1"/>
    <col min="7648" max="7648" width="8" style="11" customWidth="1"/>
    <col min="7649" max="7649" width="9.125" style="11" customWidth="1"/>
    <col min="7650" max="7650" width="13.875" style="11" customWidth="1"/>
    <col min="7651" max="7651" width="13.5" style="11" customWidth="1"/>
    <col min="7652" max="7898" width="8.875" style="11"/>
    <col min="7899" max="7899" width="5" style="11" customWidth="1"/>
    <col min="7900" max="7900" width="33.375" style="11" customWidth="1"/>
    <col min="7901" max="7901" width="6.5" style="11" customWidth="1"/>
    <col min="7902" max="7902" width="29.5" style="11" customWidth="1"/>
    <col min="7903" max="7903" width="23.625" style="11" customWidth="1"/>
    <col min="7904" max="7904" width="8" style="11" customWidth="1"/>
    <col min="7905" max="7905" width="9.125" style="11" customWidth="1"/>
    <col min="7906" max="7906" width="13.875" style="11" customWidth="1"/>
    <col min="7907" max="7907" width="13.5" style="11" customWidth="1"/>
    <col min="7908" max="8154" width="8.875" style="11"/>
    <col min="8155" max="8155" width="5" style="11" customWidth="1"/>
    <col min="8156" max="8156" width="33.375" style="11" customWidth="1"/>
    <col min="8157" max="8157" width="6.5" style="11" customWidth="1"/>
    <col min="8158" max="8158" width="29.5" style="11" customWidth="1"/>
    <col min="8159" max="8159" width="23.625" style="11" customWidth="1"/>
    <col min="8160" max="8160" width="8" style="11" customWidth="1"/>
    <col min="8161" max="8161" width="9.125" style="11" customWidth="1"/>
    <col min="8162" max="8162" width="13.875" style="11" customWidth="1"/>
    <col min="8163" max="8163" width="13.5" style="11" customWidth="1"/>
    <col min="8164" max="8410" width="8.875" style="11"/>
    <col min="8411" max="8411" width="5" style="11" customWidth="1"/>
    <col min="8412" max="8412" width="33.375" style="11" customWidth="1"/>
    <col min="8413" max="8413" width="6.5" style="11" customWidth="1"/>
    <col min="8414" max="8414" width="29.5" style="11" customWidth="1"/>
    <col min="8415" max="8415" width="23.625" style="11" customWidth="1"/>
    <col min="8416" max="8416" width="8" style="11" customWidth="1"/>
    <col min="8417" max="8417" width="9.125" style="11" customWidth="1"/>
    <col min="8418" max="8418" width="13.875" style="11" customWidth="1"/>
    <col min="8419" max="8419" width="13.5" style="11" customWidth="1"/>
    <col min="8420" max="8666" width="8.875" style="11"/>
    <col min="8667" max="8667" width="5" style="11" customWidth="1"/>
    <col min="8668" max="8668" width="33.375" style="11" customWidth="1"/>
    <col min="8669" max="8669" width="6.5" style="11" customWidth="1"/>
    <col min="8670" max="8670" width="29.5" style="11" customWidth="1"/>
    <col min="8671" max="8671" width="23.625" style="11" customWidth="1"/>
    <col min="8672" max="8672" width="8" style="11" customWidth="1"/>
    <col min="8673" max="8673" width="9.125" style="11" customWidth="1"/>
    <col min="8674" max="8674" width="13.875" style="11" customWidth="1"/>
    <col min="8675" max="8675" width="13.5" style="11" customWidth="1"/>
    <col min="8676" max="8922" width="8.875" style="11"/>
    <col min="8923" max="8923" width="5" style="11" customWidth="1"/>
    <col min="8924" max="8924" width="33.375" style="11" customWidth="1"/>
    <col min="8925" max="8925" width="6.5" style="11" customWidth="1"/>
    <col min="8926" max="8926" width="29.5" style="11" customWidth="1"/>
    <col min="8927" max="8927" width="23.625" style="11" customWidth="1"/>
    <col min="8928" max="8928" width="8" style="11" customWidth="1"/>
    <col min="8929" max="8929" width="9.125" style="11" customWidth="1"/>
    <col min="8930" max="8930" width="13.875" style="11" customWidth="1"/>
    <col min="8931" max="8931" width="13.5" style="11" customWidth="1"/>
    <col min="8932" max="9178" width="8.875" style="11"/>
    <col min="9179" max="9179" width="5" style="11" customWidth="1"/>
    <col min="9180" max="9180" width="33.375" style="11" customWidth="1"/>
    <col min="9181" max="9181" width="6.5" style="11" customWidth="1"/>
    <col min="9182" max="9182" width="29.5" style="11" customWidth="1"/>
    <col min="9183" max="9183" width="23.625" style="11" customWidth="1"/>
    <col min="9184" max="9184" width="8" style="11" customWidth="1"/>
    <col min="9185" max="9185" width="9.125" style="11" customWidth="1"/>
    <col min="9186" max="9186" width="13.875" style="11" customWidth="1"/>
    <col min="9187" max="9187" width="13.5" style="11" customWidth="1"/>
    <col min="9188" max="9434" width="8.875" style="11"/>
    <col min="9435" max="9435" width="5" style="11" customWidth="1"/>
    <col min="9436" max="9436" width="33.375" style="11" customWidth="1"/>
    <col min="9437" max="9437" width="6.5" style="11" customWidth="1"/>
    <col min="9438" max="9438" width="29.5" style="11" customWidth="1"/>
    <col min="9439" max="9439" width="23.625" style="11" customWidth="1"/>
    <col min="9440" max="9440" width="8" style="11" customWidth="1"/>
    <col min="9441" max="9441" width="9.125" style="11" customWidth="1"/>
    <col min="9442" max="9442" width="13.875" style="11" customWidth="1"/>
    <col min="9443" max="9443" width="13.5" style="11" customWidth="1"/>
    <col min="9444" max="9690" width="8.875" style="11"/>
    <col min="9691" max="9691" width="5" style="11" customWidth="1"/>
    <col min="9692" max="9692" width="33.375" style="11" customWidth="1"/>
    <col min="9693" max="9693" width="6.5" style="11" customWidth="1"/>
    <col min="9694" max="9694" width="29.5" style="11" customWidth="1"/>
    <col min="9695" max="9695" width="23.625" style="11" customWidth="1"/>
    <col min="9696" max="9696" width="8" style="11" customWidth="1"/>
    <col min="9697" max="9697" width="9.125" style="11" customWidth="1"/>
    <col min="9698" max="9698" width="13.875" style="11" customWidth="1"/>
    <col min="9699" max="9699" width="13.5" style="11" customWidth="1"/>
    <col min="9700" max="9946" width="8.875" style="11"/>
    <col min="9947" max="9947" width="5" style="11" customWidth="1"/>
    <col min="9948" max="9948" width="33.375" style="11" customWidth="1"/>
    <col min="9949" max="9949" width="6.5" style="11" customWidth="1"/>
    <col min="9950" max="9950" width="29.5" style="11" customWidth="1"/>
    <col min="9951" max="9951" width="23.625" style="11" customWidth="1"/>
    <col min="9952" max="9952" width="8" style="11" customWidth="1"/>
    <col min="9953" max="9953" width="9.125" style="11" customWidth="1"/>
    <col min="9954" max="9954" width="13.875" style="11" customWidth="1"/>
    <col min="9955" max="9955" width="13.5" style="11" customWidth="1"/>
    <col min="9956" max="10202" width="8.875" style="11"/>
    <col min="10203" max="10203" width="5" style="11" customWidth="1"/>
    <col min="10204" max="10204" width="33.375" style="11" customWidth="1"/>
    <col min="10205" max="10205" width="6.5" style="11" customWidth="1"/>
    <col min="10206" max="10206" width="29.5" style="11" customWidth="1"/>
    <col min="10207" max="10207" width="23.625" style="11" customWidth="1"/>
    <col min="10208" max="10208" width="8" style="11" customWidth="1"/>
    <col min="10209" max="10209" width="9.125" style="11" customWidth="1"/>
    <col min="10210" max="10210" width="13.875" style="11" customWidth="1"/>
    <col min="10211" max="10211" width="13.5" style="11" customWidth="1"/>
    <col min="10212" max="10458" width="8.875" style="11"/>
    <col min="10459" max="10459" width="5" style="11" customWidth="1"/>
    <col min="10460" max="10460" width="33.375" style="11" customWidth="1"/>
    <col min="10461" max="10461" width="6.5" style="11" customWidth="1"/>
    <col min="10462" max="10462" width="29.5" style="11" customWidth="1"/>
    <col min="10463" max="10463" width="23.625" style="11" customWidth="1"/>
    <col min="10464" max="10464" width="8" style="11" customWidth="1"/>
    <col min="10465" max="10465" width="9.125" style="11" customWidth="1"/>
    <col min="10466" max="10466" width="13.875" style="11" customWidth="1"/>
    <col min="10467" max="10467" width="13.5" style="11" customWidth="1"/>
    <col min="10468" max="10714" width="8.875" style="11"/>
    <col min="10715" max="10715" width="5" style="11" customWidth="1"/>
    <col min="10716" max="10716" width="33.375" style="11" customWidth="1"/>
    <col min="10717" max="10717" width="6.5" style="11" customWidth="1"/>
    <col min="10718" max="10718" width="29.5" style="11" customWidth="1"/>
    <col min="10719" max="10719" width="23.625" style="11" customWidth="1"/>
    <col min="10720" max="10720" width="8" style="11" customWidth="1"/>
    <col min="10721" max="10721" width="9.125" style="11" customWidth="1"/>
    <col min="10722" max="10722" width="13.875" style="11" customWidth="1"/>
    <col min="10723" max="10723" width="13.5" style="11" customWidth="1"/>
    <col min="10724" max="10970" width="8.875" style="11"/>
    <col min="10971" max="10971" width="5" style="11" customWidth="1"/>
    <col min="10972" max="10972" width="33.375" style="11" customWidth="1"/>
    <col min="10973" max="10973" width="6.5" style="11" customWidth="1"/>
    <col min="10974" max="10974" width="29.5" style="11" customWidth="1"/>
    <col min="10975" max="10975" width="23.625" style="11" customWidth="1"/>
    <col min="10976" max="10976" width="8" style="11" customWidth="1"/>
    <col min="10977" max="10977" width="9.125" style="11" customWidth="1"/>
    <col min="10978" max="10978" width="13.875" style="11" customWidth="1"/>
    <col min="10979" max="10979" width="13.5" style="11" customWidth="1"/>
    <col min="10980" max="11226" width="8.875" style="11"/>
    <col min="11227" max="11227" width="5" style="11" customWidth="1"/>
    <col min="11228" max="11228" width="33.375" style="11" customWidth="1"/>
    <col min="11229" max="11229" width="6.5" style="11" customWidth="1"/>
    <col min="11230" max="11230" width="29.5" style="11" customWidth="1"/>
    <col min="11231" max="11231" width="23.625" style="11" customWidth="1"/>
    <col min="11232" max="11232" width="8" style="11" customWidth="1"/>
    <col min="11233" max="11233" width="9.125" style="11" customWidth="1"/>
    <col min="11234" max="11234" width="13.875" style="11" customWidth="1"/>
    <col min="11235" max="11235" width="13.5" style="11" customWidth="1"/>
    <col min="11236" max="11482" width="8.875" style="11"/>
    <col min="11483" max="11483" width="5" style="11" customWidth="1"/>
    <col min="11484" max="11484" width="33.375" style="11" customWidth="1"/>
    <col min="11485" max="11485" width="6.5" style="11" customWidth="1"/>
    <col min="11486" max="11486" width="29.5" style="11" customWidth="1"/>
    <col min="11487" max="11487" width="23.625" style="11" customWidth="1"/>
    <col min="11488" max="11488" width="8" style="11" customWidth="1"/>
    <col min="11489" max="11489" width="9.125" style="11" customWidth="1"/>
    <col min="11490" max="11490" width="13.875" style="11" customWidth="1"/>
    <col min="11491" max="11491" width="13.5" style="11" customWidth="1"/>
    <col min="11492" max="11738" width="8.875" style="11"/>
    <col min="11739" max="11739" width="5" style="11" customWidth="1"/>
    <col min="11740" max="11740" width="33.375" style="11" customWidth="1"/>
    <col min="11741" max="11741" width="6.5" style="11" customWidth="1"/>
    <col min="11742" max="11742" width="29.5" style="11" customWidth="1"/>
    <col min="11743" max="11743" width="23.625" style="11" customWidth="1"/>
    <col min="11744" max="11744" width="8" style="11" customWidth="1"/>
    <col min="11745" max="11745" width="9.125" style="11" customWidth="1"/>
    <col min="11746" max="11746" width="13.875" style="11" customWidth="1"/>
    <col min="11747" max="11747" width="13.5" style="11" customWidth="1"/>
    <col min="11748" max="11994" width="8.875" style="11"/>
    <col min="11995" max="11995" width="5" style="11" customWidth="1"/>
    <col min="11996" max="11996" width="33.375" style="11" customWidth="1"/>
    <col min="11997" max="11997" width="6.5" style="11" customWidth="1"/>
    <col min="11998" max="11998" width="29.5" style="11" customWidth="1"/>
    <col min="11999" max="11999" width="23.625" style="11" customWidth="1"/>
    <col min="12000" max="12000" width="8" style="11" customWidth="1"/>
    <col min="12001" max="12001" width="9.125" style="11" customWidth="1"/>
    <col min="12002" max="12002" width="13.875" style="11" customWidth="1"/>
    <col min="12003" max="12003" width="13.5" style="11" customWidth="1"/>
    <col min="12004" max="12250" width="8.875" style="11"/>
    <col min="12251" max="12251" width="5" style="11" customWidth="1"/>
    <col min="12252" max="12252" width="33.375" style="11" customWidth="1"/>
    <col min="12253" max="12253" width="6.5" style="11" customWidth="1"/>
    <col min="12254" max="12254" width="29.5" style="11" customWidth="1"/>
    <col min="12255" max="12255" width="23.625" style="11" customWidth="1"/>
    <col min="12256" max="12256" width="8" style="11" customWidth="1"/>
    <col min="12257" max="12257" width="9.125" style="11" customWidth="1"/>
    <col min="12258" max="12258" width="13.875" style="11" customWidth="1"/>
    <col min="12259" max="12259" width="13.5" style="11" customWidth="1"/>
    <col min="12260" max="12506" width="8.875" style="11"/>
    <col min="12507" max="12507" width="5" style="11" customWidth="1"/>
    <col min="12508" max="12508" width="33.375" style="11" customWidth="1"/>
    <col min="12509" max="12509" width="6.5" style="11" customWidth="1"/>
    <col min="12510" max="12510" width="29.5" style="11" customWidth="1"/>
    <col min="12511" max="12511" width="23.625" style="11" customWidth="1"/>
    <col min="12512" max="12512" width="8" style="11" customWidth="1"/>
    <col min="12513" max="12513" width="9.125" style="11" customWidth="1"/>
    <col min="12514" max="12514" width="13.875" style="11" customWidth="1"/>
    <col min="12515" max="12515" width="13.5" style="11" customWidth="1"/>
    <col min="12516" max="12762" width="8.875" style="11"/>
    <col min="12763" max="12763" width="5" style="11" customWidth="1"/>
    <col min="12764" max="12764" width="33.375" style="11" customWidth="1"/>
    <col min="12765" max="12765" width="6.5" style="11" customWidth="1"/>
    <col min="12766" max="12766" width="29.5" style="11" customWidth="1"/>
    <col min="12767" max="12767" width="23.625" style="11" customWidth="1"/>
    <col min="12768" max="12768" width="8" style="11" customWidth="1"/>
    <col min="12769" max="12769" width="9.125" style="11" customWidth="1"/>
    <col min="12770" max="12770" width="13.875" style="11" customWidth="1"/>
    <col min="12771" max="12771" width="13.5" style="11" customWidth="1"/>
    <col min="12772" max="13018" width="8.875" style="11"/>
    <col min="13019" max="13019" width="5" style="11" customWidth="1"/>
    <col min="13020" max="13020" width="33.375" style="11" customWidth="1"/>
    <col min="13021" max="13021" width="6.5" style="11" customWidth="1"/>
    <col min="13022" max="13022" width="29.5" style="11" customWidth="1"/>
    <col min="13023" max="13023" width="23.625" style="11" customWidth="1"/>
    <col min="13024" max="13024" width="8" style="11" customWidth="1"/>
    <col min="13025" max="13025" width="9.125" style="11" customWidth="1"/>
    <col min="13026" max="13026" width="13.875" style="11" customWidth="1"/>
    <col min="13027" max="13027" width="13.5" style="11" customWidth="1"/>
    <col min="13028" max="13274" width="8.875" style="11"/>
    <col min="13275" max="13275" width="5" style="11" customWidth="1"/>
    <col min="13276" max="13276" width="33.375" style="11" customWidth="1"/>
    <col min="13277" max="13277" width="6.5" style="11" customWidth="1"/>
    <col min="13278" max="13278" width="29.5" style="11" customWidth="1"/>
    <col min="13279" max="13279" width="23.625" style="11" customWidth="1"/>
    <col min="13280" max="13280" width="8" style="11" customWidth="1"/>
    <col min="13281" max="13281" width="9.125" style="11" customWidth="1"/>
    <col min="13282" max="13282" width="13.875" style="11" customWidth="1"/>
    <col min="13283" max="13283" width="13.5" style="11" customWidth="1"/>
    <col min="13284" max="13530" width="8.875" style="11"/>
    <col min="13531" max="13531" width="5" style="11" customWidth="1"/>
    <col min="13532" max="13532" width="33.375" style="11" customWidth="1"/>
    <col min="13533" max="13533" width="6.5" style="11" customWidth="1"/>
    <col min="13534" max="13534" width="29.5" style="11" customWidth="1"/>
    <col min="13535" max="13535" width="23.625" style="11" customWidth="1"/>
    <col min="13536" max="13536" width="8" style="11" customWidth="1"/>
    <col min="13537" max="13537" width="9.125" style="11" customWidth="1"/>
    <col min="13538" max="13538" width="13.875" style="11" customWidth="1"/>
    <col min="13539" max="13539" width="13.5" style="11" customWidth="1"/>
    <col min="13540" max="13786" width="8.875" style="11"/>
    <col min="13787" max="13787" width="5" style="11" customWidth="1"/>
    <col min="13788" max="13788" width="33.375" style="11" customWidth="1"/>
    <col min="13789" max="13789" width="6.5" style="11" customWidth="1"/>
    <col min="13790" max="13790" width="29.5" style="11" customWidth="1"/>
    <col min="13791" max="13791" width="23.625" style="11" customWidth="1"/>
    <col min="13792" max="13792" width="8" style="11" customWidth="1"/>
    <col min="13793" max="13793" width="9.125" style="11" customWidth="1"/>
    <col min="13794" max="13794" width="13.875" style="11" customWidth="1"/>
    <col min="13795" max="13795" width="13.5" style="11" customWidth="1"/>
    <col min="13796" max="14042" width="8.875" style="11"/>
    <col min="14043" max="14043" width="5" style="11" customWidth="1"/>
    <col min="14044" max="14044" width="33.375" style="11" customWidth="1"/>
    <col min="14045" max="14045" width="6.5" style="11" customWidth="1"/>
    <col min="14046" max="14046" width="29.5" style="11" customWidth="1"/>
    <col min="14047" max="14047" width="23.625" style="11" customWidth="1"/>
    <col min="14048" max="14048" width="8" style="11" customWidth="1"/>
    <col min="14049" max="14049" width="9.125" style="11" customWidth="1"/>
    <col min="14050" max="14050" width="13.875" style="11" customWidth="1"/>
    <col min="14051" max="14051" width="13.5" style="11" customWidth="1"/>
    <col min="14052" max="14298" width="8.875" style="11"/>
    <col min="14299" max="14299" width="5" style="11" customWidth="1"/>
    <col min="14300" max="14300" width="33.375" style="11" customWidth="1"/>
    <col min="14301" max="14301" width="6.5" style="11" customWidth="1"/>
    <col min="14302" max="14302" width="29.5" style="11" customWidth="1"/>
    <col min="14303" max="14303" width="23.625" style="11" customWidth="1"/>
    <col min="14304" max="14304" width="8" style="11" customWidth="1"/>
    <col min="14305" max="14305" width="9.125" style="11" customWidth="1"/>
    <col min="14306" max="14306" width="13.875" style="11" customWidth="1"/>
    <col min="14307" max="14307" width="13.5" style="11" customWidth="1"/>
    <col min="14308" max="14554" width="8.875" style="11"/>
    <col min="14555" max="14555" width="5" style="11" customWidth="1"/>
    <col min="14556" max="14556" width="33.375" style="11" customWidth="1"/>
    <col min="14557" max="14557" width="6.5" style="11" customWidth="1"/>
    <col min="14558" max="14558" width="29.5" style="11" customWidth="1"/>
    <col min="14559" max="14559" width="23.625" style="11" customWidth="1"/>
    <col min="14560" max="14560" width="8" style="11" customWidth="1"/>
    <col min="14561" max="14561" width="9.125" style="11" customWidth="1"/>
    <col min="14562" max="14562" width="13.875" style="11" customWidth="1"/>
    <col min="14563" max="14563" width="13.5" style="11" customWidth="1"/>
    <col min="14564" max="14810" width="8.875" style="11"/>
    <col min="14811" max="14811" width="5" style="11" customWidth="1"/>
    <col min="14812" max="14812" width="33.375" style="11" customWidth="1"/>
    <col min="14813" max="14813" width="6.5" style="11" customWidth="1"/>
    <col min="14814" max="14814" width="29.5" style="11" customWidth="1"/>
    <col min="14815" max="14815" width="23.625" style="11" customWidth="1"/>
    <col min="14816" max="14816" width="8" style="11" customWidth="1"/>
    <col min="14817" max="14817" width="9.125" style="11" customWidth="1"/>
    <col min="14818" max="14818" width="13.875" style="11" customWidth="1"/>
    <col min="14819" max="14819" width="13.5" style="11" customWidth="1"/>
    <col min="14820" max="15066" width="8.875" style="11"/>
    <col min="15067" max="15067" width="5" style="11" customWidth="1"/>
    <col min="15068" max="15068" width="33.375" style="11" customWidth="1"/>
    <col min="15069" max="15069" width="6.5" style="11" customWidth="1"/>
    <col min="15070" max="15070" width="29.5" style="11" customWidth="1"/>
    <col min="15071" max="15071" width="23.625" style="11" customWidth="1"/>
    <col min="15072" max="15072" width="8" style="11" customWidth="1"/>
    <col min="15073" max="15073" width="9.125" style="11" customWidth="1"/>
    <col min="15074" max="15074" width="13.875" style="11" customWidth="1"/>
    <col min="15075" max="15075" width="13.5" style="11" customWidth="1"/>
    <col min="15076" max="15322" width="8.875" style="11"/>
    <col min="15323" max="15323" width="5" style="11" customWidth="1"/>
    <col min="15324" max="15324" width="33.375" style="11" customWidth="1"/>
    <col min="15325" max="15325" width="6.5" style="11" customWidth="1"/>
    <col min="15326" max="15326" width="29.5" style="11" customWidth="1"/>
    <col min="15327" max="15327" width="23.625" style="11" customWidth="1"/>
    <col min="15328" max="15328" width="8" style="11" customWidth="1"/>
    <col min="15329" max="15329" width="9.125" style="11" customWidth="1"/>
    <col min="15330" max="15330" width="13.875" style="11" customWidth="1"/>
    <col min="15331" max="15331" width="13.5" style="11" customWidth="1"/>
    <col min="15332" max="15578" width="8.875" style="11"/>
    <col min="15579" max="15579" width="5" style="11" customWidth="1"/>
    <col min="15580" max="15580" width="33.375" style="11" customWidth="1"/>
    <col min="15581" max="15581" width="6.5" style="11" customWidth="1"/>
    <col min="15582" max="15582" width="29.5" style="11" customWidth="1"/>
    <col min="15583" max="15583" width="23.625" style="11" customWidth="1"/>
    <col min="15584" max="15584" width="8" style="11" customWidth="1"/>
    <col min="15585" max="15585" width="9.125" style="11" customWidth="1"/>
    <col min="15586" max="15586" width="13.875" style="11" customWidth="1"/>
    <col min="15587" max="15587" width="13.5" style="11" customWidth="1"/>
    <col min="15588" max="15834" width="8.875" style="11"/>
    <col min="15835" max="15835" width="5" style="11" customWidth="1"/>
    <col min="15836" max="15836" width="33.375" style="11" customWidth="1"/>
    <col min="15837" max="15837" width="6.5" style="11" customWidth="1"/>
    <col min="15838" max="15838" width="29.5" style="11" customWidth="1"/>
    <col min="15839" max="15839" width="23.625" style="11" customWidth="1"/>
    <col min="15840" max="15840" width="8" style="11" customWidth="1"/>
    <col min="15841" max="15841" width="9.125" style="11" customWidth="1"/>
    <col min="15842" max="15842" width="13.875" style="11" customWidth="1"/>
    <col min="15843" max="15843" width="13.5" style="11" customWidth="1"/>
    <col min="15844" max="16384" width="8.875" style="11"/>
  </cols>
  <sheetData>
    <row r="1" spans="2:5" s="191" customFormat="1">
      <c r="B1" s="189"/>
      <c r="C1" s="190"/>
      <c r="D1" s="189"/>
      <c r="E1" s="189"/>
    </row>
    <row r="2" spans="2:5">
      <c r="B2" s="140" t="s">
        <v>253</v>
      </c>
      <c r="C2" s="140" t="s">
        <v>132</v>
      </c>
      <c r="E2" s="11"/>
    </row>
    <row r="3" spans="2:5">
      <c r="B3" s="209" t="s">
        <v>254</v>
      </c>
      <c r="C3" s="209" t="s">
        <v>255</v>
      </c>
      <c r="E3" s="11"/>
    </row>
    <row r="4" spans="2:5">
      <c r="B4" s="140" t="s">
        <v>256</v>
      </c>
      <c r="C4" s="140" t="s">
        <v>133</v>
      </c>
      <c r="E4" s="11"/>
    </row>
    <row r="5" spans="2:5" s="191" customFormat="1" ht="11.1" customHeight="1">
      <c r="B5" s="189"/>
      <c r="C5" s="190"/>
      <c r="D5" s="189"/>
      <c r="E5" s="189"/>
    </row>
    <row r="6" spans="2:5" s="194" customFormat="1">
      <c r="B6" s="192" t="s">
        <v>53</v>
      </c>
      <c r="C6" s="193" t="s">
        <v>127</v>
      </c>
      <c r="D6" s="193"/>
      <c r="E6" s="193"/>
    </row>
    <row r="7" spans="2:5" s="194" customFormat="1">
      <c r="C7" s="195" t="s">
        <v>234</v>
      </c>
      <c r="D7" s="196"/>
      <c r="E7" s="196"/>
    </row>
    <row r="8" spans="2:5" s="194" customFormat="1">
      <c r="C8" s="197" t="s">
        <v>281</v>
      </c>
      <c r="D8" s="196"/>
      <c r="E8" s="196"/>
    </row>
    <row r="9" spans="2:5" s="194" customFormat="1" ht="6" customHeight="1">
      <c r="C9" s="198"/>
    </row>
    <row r="10" spans="2:5" s="4" customFormat="1" ht="27.95" customHeight="1">
      <c r="B10" s="91" t="s">
        <v>1</v>
      </c>
      <c r="C10" s="91" t="s">
        <v>177</v>
      </c>
      <c r="D10" s="91" t="s">
        <v>19</v>
      </c>
      <c r="E10" s="91" t="s">
        <v>115</v>
      </c>
    </row>
    <row r="11" spans="2:5" s="1" customFormat="1" ht="33" customHeight="1">
      <c r="B11" s="86">
        <v>1</v>
      </c>
      <c r="C11" s="327"/>
      <c r="D11" s="87"/>
      <c r="E11" s="88"/>
    </row>
    <row r="12" spans="2:5" s="1" customFormat="1" ht="33" customHeight="1">
      <c r="B12" s="86">
        <v>2</v>
      </c>
      <c r="C12" s="327"/>
      <c r="D12" s="87"/>
      <c r="E12" s="88"/>
    </row>
    <row r="13" spans="2:5" s="1" customFormat="1" ht="41.1" customHeight="1">
      <c r="B13" s="86">
        <v>3</v>
      </c>
      <c r="C13" s="327"/>
      <c r="D13" s="166"/>
      <c r="E13" s="90"/>
    </row>
    <row r="14" spans="2:5" s="1" customFormat="1" ht="48.95" customHeight="1">
      <c r="B14" s="86">
        <v>4</v>
      </c>
      <c r="C14" s="327"/>
      <c r="D14" s="166"/>
      <c r="E14" s="90"/>
    </row>
    <row r="15" spans="2:5" s="1" customFormat="1" ht="36" customHeight="1">
      <c r="B15" s="86">
        <v>5</v>
      </c>
      <c r="C15" s="327"/>
      <c r="D15" s="87"/>
      <c r="E15" s="88"/>
    </row>
    <row r="16" spans="2:5" s="1" customFormat="1" ht="48.95" customHeight="1">
      <c r="B16" s="86">
        <v>6</v>
      </c>
      <c r="C16" s="327"/>
      <c r="D16" s="166"/>
      <c r="E16" s="90"/>
    </row>
    <row r="17" spans="2:5" s="1" customFormat="1" ht="32.1" customHeight="1">
      <c r="B17" s="86">
        <v>7</v>
      </c>
      <c r="C17" s="327"/>
      <c r="D17" s="89"/>
      <c r="E17" s="90"/>
    </row>
    <row r="18" spans="2:5" s="1" customFormat="1" ht="32.1" customHeight="1">
      <c r="B18" s="86">
        <v>8</v>
      </c>
      <c r="C18" s="327"/>
      <c r="D18" s="89"/>
      <c r="E18" s="90"/>
    </row>
    <row r="19" spans="2:5" s="1" customFormat="1" ht="32.1" customHeight="1">
      <c r="B19" s="86">
        <v>9</v>
      </c>
      <c r="C19" s="327"/>
      <c r="D19" s="89"/>
      <c r="E19" s="90"/>
    </row>
    <row r="20" spans="2:5" s="1" customFormat="1" ht="32.1" customHeight="1">
      <c r="B20" s="86">
        <v>10</v>
      </c>
      <c r="C20" s="327"/>
      <c r="D20" s="89"/>
      <c r="E20" s="90"/>
    </row>
    <row r="22" spans="2:5">
      <c r="C22" s="199" t="s">
        <v>163</v>
      </c>
    </row>
    <row r="23" spans="2:5" ht="15.95" customHeight="1">
      <c r="C23" s="200" t="s">
        <v>167</v>
      </c>
    </row>
    <row r="24" spans="2:5">
      <c r="C24" s="10" t="s">
        <v>168</v>
      </c>
    </row>
    <row r="25" spans="2:5">
      <c r="C25" s="10" t="s">
        <v>169</v>
      </c>
    </row>
    <row r="26" spans="2:5" ht="15.95" customHeight="1">
      <c r="C26" s="200" t="s">
        <v>161</v>
      </c>
    </row>
    <row r="27" spans="2:5">
      <c r="C27" s="201" t="s">
        <v>180</v>
      </c>
    </row>
    <row r="28" spans="2:5">
      <c r="C28" s="202" t="s">
        <v>166</v>
      </c>
    </row>
    <row r="29" spans="2:5">
      <c r="C29" s="203" t="s">
        <v>162</v>
      </c>
    </row>
    <row r="30" spans="2:5">
      <c r="C30" s="204" t="s">
        <v>179</v>
      </c>
    </row>
    <row r="31" spans="2:5">
      <c r="B31" s="202"/>
    </row>
    <row r="32" spans="2:5">
      <c r="B32" s="202"/>
    </row>
    <row r="33" spans="2:2">
      <c r="B33" s="202"/>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N41"/>
  <sheetViews>
    <sheetView showGridLines="0" topLeftCell="B5" zoomScaleNormal="100" workbookViewId="0">
      <selection activeCell="F25" sqref="F25"/>
    </sheetView>
  </sheetViews>
  <sheetFormatPr defaultColWidth="8.875" defaultRowHeight="12.75"/>
  <cols>
    <col min="1" max="1" width="2" style="550" hidden="1" customWidth="1"/>
    <col min="2" max="2" width="6.625" style="550" customWidth="1"/>
    <col min="3" max="3" width="22.625" style="550" customWidth="1"/>
    <col min="4" max="4" width="7.625" style="550" customWidth="1"/>
    <col min="5" max="5" width="24.125" style="550" customWidth="1"/>
    <col min="6" max="6" width="21.25" style="551" customWidth="1"/>
    <col min="7" max="7" width="9.875" style="551" customWidth="1"/>
    <col min="8" max="8" width="15.625" style="550" customWidth="1"/>
    <col min="9" max="9" width="7.625" style="550" customWidth="1"/>
    <col min="10" max="11" width="9.625" style="550" customWidth="1"/>
    <col min="12" max="12" width="6.5" style="550" customWidth="1"/>
    <col min="13" max="13" width="8.125" style="551" customWidth="1"/>
    <col min="14" max="14" width="25.375" style="550" customWidth="1"/>
    <col min="15" max="214" width="8.875" style="550"/>
    <col min="215" max="215" width="5" style="550" customWidth="1"/>
    <col min="216" max="216" width="33.375" style="550" customWidth="1"/>
    <col min="217" max="217" width="6.5" style="550" customWidth="1"/>
    <col min="218" max="218" width="29.5" style="550" customWidth="1"/>
    <col min="219" max="219" width="23.625" style="550" customWidth="1"/>
    <col min="220" max="220" width="8" style="550" customWidth="1"/>
    <col min="221" max="221" width="9.125" style="550" customWidth="1"/>
    <col min="222" max="222" width="13.875" style="550" customWidth="1"/>
    <col min="223" max="223" width="13.5" style="550" customWidth="1"/>
    <col min="224" max="256" width="8.875" style="550"/>
    <col min="257" max="257" width="0" style="550" hidden="1" customWidth="1"/>
    <col min="258" max="258" width="6.625" style="550" customWidth="1"/>
    <col min="259" max="259" width="22.625" style="550" customWidth="1"/>
    <col min="260" max="260" width="7.625" style="550" customWidth="1"/>
    <col min="261" max="261" width="24.125" style="550" customWidth="1"/>
    <col min="262" max="262" width="25.125" style="550" customWidth="1"/>
    <col min="263" max="263" width="9.875" style="550" customWidth="1"/>
    <col min="264" max="264" width="15.625" style="550" customWidth="1"/>
    <col min="265" max="265" width="7.625" style="550" customWidth="1"/>
    <col min="266" max="267" width="9.625" style="550" customWidth="1"/>
    <col min="268" max="268" width="6.5" style="550" customWidth="1"/>
    <col min="269" max="269" width="8.125" style="550" customWidth="1"/>
    <col min="270" max="470" width="8.875" style="550"/>
    <col min="471" max="471" width="5" style="550" customWidth="1"/>
    <col min="472" max="472" width="33.375" style="550" customWidth="1"/>
    <col min="473" max="473" width="6.5" style="550" customWidth="1"/>
    <col min="474" max="474" width="29.5" style="550" customWidth="1"/>
    <col min="475" max="475" width="23.625" style="550" customWidth="1"/>
    <col min="476" max="476" width="8" style="550" customWidth="1"/>
    <col min="477" max="477" width="9.125" style="550" customWidth="1"/>
    <col min="478" max="478" width="13.875" style="550" customWidth="1"/>
    <col min="479" max="479" width="13.5" style="550" customWidth="1"/>
    <col min="480" max="512" width="8.875" style="550"/>
    <col min="513" max="513" width="0" style="550" hidden="1" customWidth="1"/>
    <col min="514" max="514" width="6.625" style="550" customWidth="1"/>
    <col min="515" max="515" width="22.625" style="550" customWidth="1"/>
    <col min="516" max="516" width="7.625" style="550" customWidth="1"/>
    <col min="517" max="517" width="24.125" style="550" customWidth="1"/>
    <col min="518" max="518" width="25.125" style="550" customWidth="1"/>
    <col min="519" max="519" width="9.875" style="550" customWidth="1"/>
    <col min="520" max="520" width="15.625" style="550" customWidth="1"/>
    <col min="521" max="521" width="7.625" style="550" customWidth="1"/>
    <col min="522" max="523" width="9.625" style="550" customWidth="1"/>
    <col min="524" max="524" width="6.5" style="550" customWidth="1"/>
    <col min="525" max="525" width="8.125" style="550" customWidth="1"/>
    <col min="526" max="726" width="8.875" style="550"/>
    <col min="727" max="727" width="5" style="550" customWidth="1"/>
    <col min="728" max="728" width="33.375" style="550" customWidth="1"/>
    <col min="729" max="729" width="6.5" style="550" customWidth="1"/>
    <col min="730" max="730" width="29.5" style="550" customWidth="1"/>
    <col min="731" max="731" width="23.625" style="550" customWidth="1"/>
    <col min="732" max="732" width="8" style="550" customWidth="1"/>
    <col min="733" max="733" width="9.125" style="550" customWidth="1"/>
    <col min="734" max="734" width="13.875" style="550" customWidth="1"/>
    <col min="735" max="735" width="13.5" style="550" customWidth="1"/>
    <col min="736" max="768" width="8.875" style="550"/>
    <col min="769" max="769" width="0" style="550" hidden="1" customWidth="1"/>
    <col min="770" max="770" width="6.625" style="550" customWidth="1"/>
    <col min="771" max="771" width="22.625" style="550" customWidth="1"/>
    <col min="772" max="772" width="7.625" style="550" customWidth="1"/>
    <col min="773" max="773" width="24.125" style="550" customWidth="1"/>
    <col min="774" max="774" width="25.125" style="550" customWidth="1"/>
    <col min="775" max="775" width="9.875" style="550" customWidth="1"/>
    <col min="776" max="776" width="15.625" style="550" customWidth="1"/>
    <col min="777" max="777" width="7.625" style="550" customWidth="1"/>
    <col min="778" max="779" width="9.625" style="550" customWidth="1"/>
    <col min="780" max="780" width="6.5" style="550" customWidth="1"/>
    <col min="781" max="781" width="8.125" style="550" customWidth="1"/>
    <col min="782" max="982" width="8.875" style="550"/>
    <col min="983" max="983" width="5" style="550" customWidth="1"/>
    <col min="984" max="984" width="33.375" style="550" customWidth="1"/>
    <col min="985" max="985" width="6.5" style="550" customWidth="1"/>
    <col min="986" max="986" width="29.5" style="550" customWidth="1"/>
    <col min="987" max="987" width="23.625" style="550" customWidth="1"/>
    <col min="988" max="988" width="8" style="550" customWidth="1"/>
    <col min="989" max="989" width="9.125" style="550" customWidth="1"/>
    <col min="990" max="990" width="13.875" style="550" customWidth="1"/>
    <col min="991" max="991" width="13.5" style="550" customWidth="1"/>
    <col min="992" max="1024" width="8.875" style="550"/>
    <col min="1025" max="1025" width="0" style="550" hidden="1" customWidth="1"/>
    <col min="1026" max="1026" width="6.625" style="550" customWidth="1"/>
    <col min="1027" max="1027" width="22.625" style="550" customWidth="1"/>
    <col min="1028" max="1028" width="7.625" style="550" customWidth="1"/>
    <col min="1029" max="1029" width="24.125" style="550" customWidth="1"/>
    <col min="1030" max="1030" width="25.125" style="550" customWidth="1"/>
    <col min="1031" max="1031" width="9.875" style="550" customWidth="1"/>
    <col min="1032" max="1032" width="15.625" style="550" customWidth="1"/>
    <col min="1033" max="1033" width="7.625" style="550" customWidth="1"/>
    <col min="1034" max="1035" width="9.625" style="550" customWidth="1"/>
    <col min="1036" max="1036" width="6.5" style="550" customWidth="1"/>
    <col min="1037" max="1037" width="8.125" style="550" customWidth="1"/>
    <col min="1038" max="1238" width="8.875" style="550"/>
    <col min="1239" max="1239" width="5" style="550" customWidth="1"/>
    <col min="1240" max="1240" width="33.375" style="550" customWidth="1"/>
    <col min="1241" max="1241" width="6.5" style="550" customWidth="1"/>
    <col min="1242" max="1242" width="29.5" style="550" customWidth="1"/>
    <col min="1243" max="1243" width="23.625" style="550" customWidth="1"/>
    <col min="1244" max="1244" width="8" style="550" customWidth="1"/>
    <col min="1245" max="1245" width="9.125" style="550" customWidth="1"/>
    <col min="1246" max="1246" width="13.875" style="550" customWidth="1"/>
    <col min="1247" max="1247" width="13.5" style="550" customWidth="1"/>
    <col min="1248" max="1280" width="8.875" style="550"/>
    <col min="1281" max="1281" width="0" style="550" hidden="1" customWidth="1"/>
    <col min="1282" max="1282" width="6.625" style="550" customWidth="1"/>
    <col min="1283" max="1283" width="22.625" style="550" customWidth="1"/>
    <col min="1284" max="1284" width="7.625" style="550" customWidth="1"/>
    <col min="1285" max="1285" width="24.125" style="550" customWidth="1"/>
    <col min="1286" max="1286" width="25.125" style="550" customWidth="1"/>
    <col min="1287" max="1287" width="9.875" style="550" customWidth="1"/>
    <col min="1288" max="1288" width="15.625" style="550" customWidth="1"/>
    <col min="1289" max="1289" width="7.625" style="550" customWidth="1"/>
    <col min="1290" max="1291" width="9.625" style="550" customWidth="1"/>
    <col min="1292" max="1292" width="6.5" style="550" customWidth="1"/>
    <col min="1293" max="1293" width="8.125" style="550" customWidth="1"/>
    <col min="1294" max="1494" width="8.875" style="550"/>
    <col min="1495" max="1495" width="5" style="550" customWidth="1"/>
    <col min="1496" max="1496" width="33.375" style="550" customWidth="1"/>
    <col min="1497" max="1497" width="6.5" style="550" customWidth="1"/>
    <col min="1498" max="1498" width="29.5" style="550" customWidth="1"/>
    <col min="1499" max="1499" width="23.625" style="550" customWidth="1"/>
    <col min="1500" max="1500" width="8" style="550" customWidth="1"/>
    <col min="1501" max="1501" width="9.125" style="550" customWidth="1"/>
    <col min="1502" max="1502" width="13.875" style="550" customWidth="1"/>
    <col min="1503" max="1503" width="13.5" style="550" customWidth="1"/>
    <col min="1504" max="1536" width="8.875" style="550"/>
    <col min="1537" max="1537" width="0" style="550" hidden="1" customWidth="1"/>
    <col min="1538" max="1538" width="6.625" style="550" customWidth="1"/>
    <col min="1539" max="1539" width="22.625" style="550" customWidth="1"/>
    <col min="1540" max="1540" width="7.625" style="550" customWidth="1"/>
    <col min="1541" max="1541" width="24.125" style="550" customWidth="1"/>
    <col min="1542" max="1542" width="25.125" style="550" customWidth="1"/>
    <col min="1543" max="1543" width="9.875" style="550" customWidth="1"/>
    <col min="1544" max="1544" width="15.625" style="550" customWidth="1"/>
    <col min="1545" max="1545" width="7.625" style="550" customWidth="1"/>
    <col min="1546" max="1547" width="9.625" style="550" customWidth="1"/>
    <col min="1548" max="1548" width="6.5" style="550" customWidth="1"/>
    <col min="1549" max="1549" width="8.125" style="550" customWidth="1"/>
    <col min="1550" max="1750" width="8.875" style="550"/>
    <col min="1751" max="1751" width="5" style="550" customWidth="1"/>
    <col min="1752" max="1752" width="33.375" style="550" customWidth="1"/>
    <col min="1753" max="1753" width="6.5" style="550" customWidth="1"/>
    <col min="1754" max="1754" width="29.5" style="550" customWidth="1"/>
    <col min="1755" max="1755" width="23.625" style="550" customWidth="1"/>
    <col min="1756" max="1756" width="8" style="550" customWidth="1"/>
    <col min="1757" max="1757" width="9.125" style="550" customWidth="1"/>
    <col min="1758" max="1758" width="13.875" style="550" customWidth="1"/>
    <col min="1759" max="1759" width="13.5" style="550" customWidth="1"/>
    <col min="1760" max="1792" width="8.875" style="550"/>
    <col min="1793" max="1793" width="0" style="550" hidden="1" customWidth="1"/>
    <col min="1794" max="1794" width="6.625" style="550" customWidth="1"/>
    <col min="1795" max="1795" width="22.625" style="550" customWidth="1"/>
    <col min="1796" max="1796" width="7.625" style="550" customWidth="1"/>
    <col min="1797" max="1797" width="24.125" style="550" customWidth="1"/>
    <col min="1798" max="1798" width="25.125" style="550" customWidth="1"/>
    <col min="1799" max="1799" width="9.875" style="550" customWidth="1"/>
    <col min="1800" max="1800" width="15.625" style="550" customWidth="1"/>
    <col min="1801" max="1801" width="7.625" style="550" customWidth="1"/>
    <col min="1802" max="1803" width="9.625" style="550" customWidth="1"/>
    <col min="1804" max="1804" width="6.5" style="550" customWidth="1"/>
    <col min="1805" max="1805" width="8.125" style="550" customWidth="1"/>
    <col min="1806" max="2006" width="8.875" style="550"/>
    <col min="2007" max="2007" width="5" style="550" customWidth="1"/>
    <col min="2008" max="2008" width="33.375" style="550" customWidth="1"/>
    <col min="2009" max="2009" width="6.5" style="550" customWidth="1"/>
    <col min="2010" max="2010" width="29.5" style="550" customWidth="1"/>
    <col min="2011" max="2011" width="23.625" style="550" customWidth="1"/>
    <col min="2012" max="2012" width="8" style="550" customWidth="1"/>
    <col min="2013" max="2013" width="9.125" style="550" customWidth="1"/>
    <col min="2014" max="2014" width="13.875" style="550" customWidth="1"/>
    <col min="2015" max="2015" width="13.5" style="550" customWidth="1"/>
    <col min="2016" max="2048" width="8.875" style="550"/>
    <col min="2049" max="2049" width="0" style="550" hidden="1" customWidth="1"/>
    <col min="2050" max="2050" width="6.625" style="550" customWidth="1"/>
    <col min="2051" max="2051" width="22.625" style="550" customWidth="1"/>
    <col min="2052" max="2052" width="7.625" style="550" customWidth="1"/>
    <col min="2053" max="2053" width="24.125" style="550" customWidth="1"/>
    <col min="2054" max="2054" width="25.125" style="550" customWidth="1"/>
    <col min="2055" max="2055" width="9.875" style="550" customWidth="1"/>
    <col min="2056" max="2056" width="15.625" style="550" customWidth="1"/>
    <col min="2057" max="2057" width="7.625" style="550" customWidth="1"/>
    <col min="2058" max="2059" width="9.625" style="550" customWidth="1"/>
    <col min="2060" max="2060" width="6.5" style="550" customWidth="1"/>
    <col min="2061" max="2061" width="8.125" style="550" customWidth="1"/>
    <col min="2062" max="2262" width="8.875" style="550"/>
    <col min="2263" max="2263" width="5" style="550" customWidth="1"/>
    <col min="2264" max="2264" width="33.375" style="550" customWidth="1"/>
    <col min="2265" max="2265" width="6.5" style="550" customWidth="1"/>
    <col min="2266" max="2266" width="29.5" style="550" customWidth="1"/>
    <col min="2267" max="2267" width="23.625" style="550" customWidth="1"/>
    <col min="2268" max="2268" width="8" style="550" customWidth="1"/>
    <col min="2269" max="2269" width="9.125" style="550" customWidth="1"/>
    <col min="2270" max="2270" width="13.875" style="550" customWidth="1"/>
    <col min="2271" max="2271" width="13.5" style="550" customWidth="1"/>
    <col min="2272" max="2304" width="8.875" style="550"/>
    <col min="2305" max="2305" width="0" style="550" hidden="1" customWidth="1"/>
    <col min="2306" max="2306" width="6.625" style="550" customWidth="1"/>
    <col min="2307" max="2307" width="22.625" style="550" customWidth="1"/>
    <col min="2308" max="2308" width="7.625" style="550" customWidth="1"/>
    <col min="2309" max="2309" width="24.125" style="550" customWidth="1"/>
    <col min="2310" max="2310" width="25.125" style="550" customWidth="1"/>
    <col min="2311" max="2311" width="9.875" style="550" customWidth="1"/>
    <col min="2312" max="2312" width="15.625" style="550" customWidth="1"/>
    <col min="2313" max="2313" width="7.625" style="550" customWidth="1"/>
    <col min="2314" max="2315" width="9.625" style="550" customWidth="1"/>
    <col min="2316" max="2316" width="6.5" style="550" customWidth="1"/>
    <col min="2317" max="2317" width="8.125" style="550" customWidth="1"/>
    <col min="2318" max="2518" width="8.875" style="550"/>
    <col min="2519" max="2519" width="5" style="550" customWidth="1"/>
    <col min="2520" max="2520" width="33.375" style="550" customWidth="1"/>
    <col min="2521" max="2521" width="6.5" style="550" customWidth="1"/>
    <col min="2522" max="2522" width="29.5" style="550" customWidth="1"/>
    <col min="2523" max="2523" width="23.625" style="550" customWidth="1"/>
    <col min="2524" max="2524" width="8" style="550" customWidth="1"/>
    <col min="2525" max="2525" width="9.125" style="550" customWidth="1"/>
    <col min="2526" max="2526" width="13.875" style="550" customWidth="1"/>
    <col min="2527" max="2527" width="13.5" style="550" customWidth="1"/>
    <col min="2528" max="2560" width="8.875" style="550"/>
    <col min="2561" max="2561" width="0" style="550" hidden="1" customWidth="1"/>
    <col min="2562" max="2562" width="6.625" style="550" customWidth="1"/>
    <col min="2563" max="2563" width="22.625" style="550" customWidth="1"/>
    <col min="2564" max="2564" width="7.625" style="550" customWidth="1"/>
    <col min="2565" max="2565" width="24.125" style="550" customWidth="1"/>
    <col min="2566" max="2566" width="25.125" style="550" customWidth="1"/>
    <col min="2567" max="2567" width="9.875" style="550" customWidth="1"/>
    <col min="2568" max="2568" width="15.625" style="550" customWidth="1"/>
    <col min="2569" max="2569" width="7.625" style="550" customWidth="1"/>
    <col min="2570" max="2571" width="9.625" style="550" customWidth="1"/>
    <col min="2572" max="2572" width="6.5" style="550" customWidth="1"/>
    <col min="2573" max="2573" width="8.125" style="550" customWidth="1"/>
    <col min="2574" max="2774" width="8.875" style="550"/>
    <col min="2775" max="2775" width="5" style="550" customWidth="1"/>
    <col min="2776" max="2776" width="33.375" style="550" customWidth="1"/>
    <col min="2777" max="2777" width="6.5" style="550" customWidth="1"/>
    <col min="2778" max="2778" width="29.5" style="550" customWidth="1"/>
    <col min="2779" max="2779" width="23.625" style="550" customWidth="1"/>
    <col min="2780" max="2780" width="8" style="550" customWidth="1"/>
    <col min="2781" max="2781" width="9.125" style="550" customWidth="1"/>
    <col min="2782" max="2782" width="13.875" style="550" customWidth="1"/>
    <col min="2783" max="2783" width="13.5" style="550" customWidth="1"/>
    <col min="2784" max="2816" width="8.875" style="550"/>
    <col min="2817" max="2817" width="0" style="550" hidden="1" customWidth="1"/>
    <col min="2818" max="2818" width="6.625" style="550" customWidth="1"/>
    <col min="2819" max="2819" width="22.625" style="550" customWidth="1"/>
    <col min="2820" max="2820" width="7.625" style="550" customWidth="1"/>
    <col min="2821" max="2821" width="24.125" style="550" customWidth="1"/>
    <col min="2822" max="2822" width="25.125" style="550" customWidth="1"/>
    <col min="2823" max="2823" width="9.875" style="550" customWidth="1"/>
    <col min="2824" max="2824" width="15.625" style="550" customWidth="1"/>
    <col min="2825" max="2825" width="7.625" style="550" customWidth="1"/>
    <col min="2826" max="2827" width="9.625" style="550" customWidth="1"/>
    <col min="2828" max="2828" width="6.5" style="550" customWidth="1"/>
    <col min="2829" max="2829" width="8.125" style="550" customWidth="1"/>
    <col min="2830" max="3030" width="8.875" style="550"/>
    <col min="3031" max="3031" width="5" style="550" customWidth="1"/>
    <col min="3032" max="3032" width="33.375" style="550" customWidth="1"/>
    <col min="3033" max="3033" width="6.5" style="550" customWidth="1"/>
    <col min="3034" max="3034" width="29.5" style="550" customWidth="1"/>
    <col min="3035" max="3035" width="23.625" style="550" customWidth="1"/>
    <col min="3036" max="3036" width="8" style="550" customWidth="1"/>
    <col min="3037" max="3037" width="9.125" style="550" customWidth="1"/>
    <col min="3038" max="3038" width="13.875" style="550" customWidth="1"/>
    <col min="3039" max="3039" width="13.5" style="550" customWidth="1"/>
    <col min="3040" max="3072" width="8.875" style="550"/>
    <col min="3073" max="3073" width="0" style="550" hidden="1" customWidth="1"/>
    <col min="3074" max="3074" width="6.625" style="550" customWidth="1"/>
    <col min="3075" max="3075" width="22.625" style="550" customWidth="1"/>
    <col min="3076" max="3076" width="7.625" style="550" customWidth="1"/>
    <col min="3077" max="3077" width="24.125" style="550" customWidth="1"/>
    <col min="3078" max="3078" width="25.125" style="550" customWidth="1"/>
    <col min="3079" max="3079" width="9.875" style="550" customWidth="1"/>
    <col min="3080" max="3080" width="15.625" style="550" customWidth="1"/>
    <col min="3081" max="3081" width="7.625" style="550" customWidth="1"/>
    <col min="3082" max="3083" width="9.625" style="550" customWidth="1"/>
    <col min="3084" max="3084" width="6.5" style="550" customWidth="1"/>
    <col min="3085" max="3085" width="8.125" style="550" customWidth="1"/>
    <col min="3086" max="3286" width="8.875" style="550"/>
    <col min="3287" max="3287" width="5" style="550" customWidth="1"/>
    <col min="3288" max="3288" width="33.375" style="550" customWidth="1"/>
    <col min="3289" max="3289" width="6.5" style="550" customWidth="1"/>
    <col min="3290" max="3290" width="29.5" style="550" customWidth="1"/>
    <col min="3291" max="3291" width="23.625" style="550" customWidth="1"/>
    <col min="3292" max="3292" width="8" style="550" customWidth="1"/>
    <col min="3293" max="3293" width="9.125" style="550" customWidth="1"/>
    <col min="3294" max="3294" width="13.875" style="550" customWidth="1"/>
    <col min="3295" max="3295" width="13.5" style="550" customWidth="1"/>
    <col min="3296" max="3328" width="8.875" style="550"/>
    <col min="3329" max="3329" width="0" style="550" hidden="1" customWidth="1"/>
    <col min="3330" max="3330" width="6.625" style="550" customWidth="1"/>
    <col min="3331" max="3331" width="22.625" style="550" customWidth="1"/>
    <col min="3332" max="3332" width="7.625" style="550" customWidth="1"/>
    <col min="3333" max="3333" width="24.125" style="550" customWidth="1"/>
    <col min="3334" max="3334" width="25.125" style="550" customWidth="1"/>
    <col min="3335" max="3335" width="9.875" style="550" customWidth="1"/>
    <col min="3336" max="3336" width="15.625" style="550" customWidth="1"/>
    <col min="3337" max="3337" width="7.625" style="550" customWidth="1"/>
    <col min="3338" max="3339" width="9.625" style="550" customWidth="1"/>
    <col min="3340" max="3340" width="6.5" style="550" customWidth="1"/>
    <col min="3341" max="3341" width="8.125" style="550" customWidth="1"/>
    <col min="3342" max="3542" width="8.875" style="550"/>
    <col min="3543" max="3543" width="5" style="550" customWidth="1"/>
    <col min="3544" max="3544" width="33.375" style="550" customWidth="1"/>
    <col min="3545" max="3545" width="6.5" style="550" customWidth="1"/>
    <col min="3546" max="3546" width="29.5" style="550" customWidth="1"/>
    <col min="3547" max="3547" width="23.625" style="550" customWidth="1"/>
    <col min="3548" max="3548" width="8" style="550" customWidth="1"/>
    <col min="3549" max="3549" width="9.125" style="550" customWidth="1"/>
    <col min="3550" max="3550" width="13.875" style="550" customWidth="1"/>
    <col min="3551" max="3551" width="13.5" style="550" customWidth="1"/>
    <col min="3552" max="3584" width="8.875" style="550"/>
    <col min="3585" max="3585" width="0" style="550" hidden="1" customWidth="1"/>
    <col min="3586" max="3586" width="6.625" style="550" customWidth="1"/>
    <col min="3587" max="3587" width="22.625" style="550" customWidth="1"/>
    <col min="3588" max="3588" width="7.625" style="550" customWidth="1"/>
    <col min="3589" max="3589" width="24.125" style="550" customWidth="1"/>
    <col min="3590" max="3590" width="25.125" style="550" customWidth="1"/>
    <col min="3591" max="3591" width="9.875" style="550" customWidth="1"/>
    <col min="3592" max="3592" width="15.625" style="550" customWidth="1"/>
    <col min="3593" max="3593" width="7.625" style="550" customWidth="1"/>
    <col min="3594" max="3595" width="9.625" style="550" customWidth="1"/>
    <col min="3596" max="3596" width="6.5" style="550" customWidth="1"/>
    <col min="3597" max="3597" width="8.125" style="550" customWidth="1"/>
    <col min="3598" max="3798" width="8.875" style="550"/>
    <col min="3799" max="3799" width="5" style="550" customWidth="1"/>
    <col min="3800" max="3800" width="33.375" style="550" customWidth="1"/>
    <col min="3801" max="3801" width="6.5" style="550" customWidth="1"/>
    <col min="3802" max="3802" width="29.5" style="550" customWidth="1"/>
    <col min="3803" max="3803" width="23.625" style="550" customWidth="1"/>
    <col min="3804" max="3804" width="8" style="550" customWidth="1"/>
    <col min="3805" max="3805" width="9.125" style="550" customWidth="1"/>
    <col min="3806" max="3806" width="13.875" style="550" customWidth="1"/>
    <col min="3807" max="3807" width="13.5" style="550" customWidth="1"/>
    <col min="3808" max="3840" width="8.875" style="550"/>
    <col min="3841" max="3841" width="0" style="550" hidden="1" customWidth="1"/>
    <col min="3842" max="3842" width="6.625" style="550" customWidth="1"/>
    <col min="3843" max="3843" width="22.625" style="550" customWidth="1"/>
    <col min="3844" max="3844" width="7.625" style="550" customWidth="1"/>
    <col min="3845" max="3845" width="24.125" style="550" customWidth="1"/>
    <col min="3846" max="3846" width="25.125" style="550" customWidth="1"/>
    <col min="3847" max="3847" width="9.875" style="550" customWidth="1"/>
    <col min="3848" max="3848" width="15.625" style="550" customWidth="1"/>
    <col min="3849" max="3849" width="7.625" style="550" customWidth="1"/>
    <col min="3850" max="3851" width="9.625" style="550" customWidth="1"/>
    <col min="3852" max="3852" width="6.5" style="550" customWidth="1"/>
    <col min="3853" max="3853" width="8.125" style="550" customWidth="1"/>
    <col min="3854" max="4054" width="8.875" style="550"/>
    <col min="4055" max="4055" width="5" style="550" customWidth="1"/>
    <col min="4056" max="4056" width="33.375" style="550" customWidth="1"/>
    <col min="4057" max="4057" width="6.5" style="550" customWidth="1"/>
    <col min="4058" max="4058" width="29.5" style="550" customWidth="1"/>
    <col min="4059" max="4059" width="23.625" style="550" customWidth="1"/>
    <col min="4060" max="4060" width="8" style="550" customWidth="1"/>
    <col min="4061" max="4061" width="9.125" style="550" customWidth="1"/>
    <col min="4062" max="4062" width="13.875" style="550" customWidth="1"/>
    <col min="4063" max="4063" width="13.5" style="550" customWidth="1"/>
    <col min="4064" max="4096" width="8.875" style="550"/>
    <col min="4097" max="4097" width="0" style="550" hidden="1" customWidth="1"/>
    <col min="4098" max="4098" width="6.625" style="550" customWidth="1"/>
    <col min="4099" max="4099" width="22.625" style="550" customWidth="1"/>
    <col min="4100" max="4100" width="7.625" style="550" customWidth="1"/>
    <col min="4101" max="4101" width="24.125" style="550" customWidth="1"/>
    <col min="4102" max="4102" width="25.125" style="550" customWidth="1"/>
    <col min="4103" max="4103" width="9.875" style="550" customWidth="1"/>
    <col min="4104" max="4104" width="15.625" style="550" customWidth="1"/>
    <col min="4105" max="4105" width="7.625" style="550" customWidth="1"/>
    <col min="4106" max="4107" width="9.625" style="550" customWidth="1"/>
    <col min="4108" max="4108" width="6.5" style="550" customWidth="1"/>
    <col min="4109" max="4109" width="8.125" style="550" customWidth="1"/>
    <col min="4110" max="4310" width="8.875" style="550"/>
    <col min="4311" max="4311" width="5" style="550" customWidth="1"/>
    <col min="4312" max="4312" width="33.375" style="550" customWidth="1"/>
    <col min="4313" max="4313" width="6.5" style="550" customWidth="1"/>
    <col min="4314" max="4314" width="29.5" style="550" customWidth="1"/>
    <col min="4315" max="4315" width="23.625" style="550" customWidth="1"/>
    <col min="4316" max="4316" width="8" style="550" customWidth="1"/>
    <col min="4317" max="4317" width="9.125" style="550" customWidth="1"/>
    <col min="4318" max="4318" width="13.875" style="550" customWidth="1"/>
    <col min="4319" max="4319" width="13.5" style="550" customWidth="1"/>
    <col min="4320" max="4352" width="8.875" style="550"/>
    <col min="4353" max="4353" width="0" style="550" hidden="1" customWidth="1"/>
    <col min="4354" max="4354" width="6.625" style="550" customWidth="1"/>
    <col min="4355" max="4355" width="22.625" style="550" customWidth="1"/>
    <col min="4356" max="4356" width="7.625" style="550" customWidth="1"/>
    <col min="4357" max="4357" width="24.125" style="550" customWidth="1"/>
    <col min="4358" max="4358" width="25.125" style="550" customWidth="1"/>
    <col min="4359" max="4359" width="9.875" style="550" customWidth="1"/>
    <col min="4360" max="4360" width="15.625" style="550" customWidth="1"/>
    <col min="4361" max="4361" width="7.625" style="550" customWidth="1"/>
    <col min="4362" max="4363" width="9.625" style="550" customWidth="1"/>
    <col min="4364" max="4364" width="6.5" style="550" customWidth="1"/>
    <col min="4365" max="4365" width="8.125" style="550" customWidth="1"/>
    <col min="4366" max="4566" width="8.875" style="550"/>
    <col min="4567" max="4567" width="5" style="550" customWidth="1"/>
    <col min="4568" max="4568" width="33.375" style="550" customWidth="1"/>
    <col min="4569" max="4569" width="6.5" style="550" customWidth="1"/>
    <col min="4570" max="4570" width="29.5" style="550" customWidth="1"/>
    <col min="4571" max="4571" width="23.625" style="550" customWidth="1"/>
    <col min="4572" max="4572" width="8" style="550" customWidth="1"/>
    <col min="4573" max="4573" width="9.125" style="550" customWidth="1"/>
    <col min="4574" max="4574" width="13.875" style="550" customWidth="1"/>
    <col min="4575" max="4575" width="13.5" style="550" customWidth="1"/>
    <col min="4576" max="4608" width="8.875" style="550"/>
    <col min="4609" max="4609" width="0" style="550" hidden="1" customWidth="1"/>
    <col min="4610" max="4610" width="6.625" style="550" customWidth="1"/>
    <col min="4611" max="4611" width="22.625" style="550" customWidth="1"/>
    <col min="4612" max="4612" width="7.625" style="550" customWidth="1"/>
    <col min="4613" max="4613" width="24.125" style="550" customWidth="1"/>
    <col min="4614" max="4614" width="25.125" style="550" customWidth="1"/>
    <col min="4615" max="4615" width="9.875" style="550" customWidth="1"/>
    <col min="4616" max="4616" width="15.625" style="550" customWidth="1"/>
    <col min="4617" max="4617" width="7.625" style="550" customWidth="1"/>
    <col min="4618" max="4619" width="9.625" style="550" customWidth="1"/>
    <col min="4620" max="4620" width="6.5" style="550" customWidth="1"/>
    <col min="4621" max="4621" width="8.125" style="550" customWidth="1"/>
    <col min="4622" max="4822" width="8.875" style="550"/>
    <col min="4823" max="4823" width="5" style="550" customWidth="1"/>
    <col min="4824" max="4824" width="33.375" style="550" customWidth="1"/>
    <col min="4825" max="4825" width="6.5" style="550" customWidth="1"/>
    <col min="4826" max="4826" width="29.5" style="550" customWidth="1"/>
    <col min="4827" max="4827" width="23.625" style="550" customWidth="1"/>
    <col min="4828" max="4828" width="8" style="550" customWidth="1"/>
    <col min="4829" max="4829" width="9.125" style="550" customWidth="1"/>
    <col min="4830" max="4830" width="13.875" style="550" customWidth="1"/>
    <col min="4831" max="4831" width="13.5" style="550" customWidth="1"/>
    <col min="4832" max="4864" width="8.875" style="550"/>
    <col min="4865" max="4865" width="0" style="550" hidden="1" customWidth="1"/>
    <col min="4866" max="4866" width="6.625" style="550" customWidth="1"/>
    <col min="4867" max="4867" width="22.625" style="550" customWidth="1"/>
    <col min="4868" max="4868" width="7.625" style="550" customWidth="1"/>
    <col min="4869" max="4869" width="24.125" style="550" customWidth="1"/>
    <col min="4870" max="4870" width="25.125" style="550" customWidth="1"/>
    <col min="4871" max="4871" width="9.875" style="550" customWidth="1"/>
    <col min="4872" max="4872" width="15.625" style="550" customWidth="1"/>
    <col min="4873" max="4873" width="7.625" style="550" customWidth="1"/>
    <col min="4874" max="4875" width="9.625" style="550" customWidth="1"/>
    <col min="4876" max="4876" width="6.5" style="550" customWidth="1"/>
    <col min="4877" max="4877" width="8.125" style="550" customWidth="1"/>
    <col min="4878" max="5078" width="8.875" style="550"/>
    <col min="5079" max="5079" width="5" style="550" customWidth="1"/>
    <col min="5080" max="5080" width="33.375" style="550" customWidth="1"/>
    <col min="5081" max="5081" width="6.5" style="550" customWidth="1"/>
    <col min="5082" max="5082" width="29.5" style="550" customWidth="1"/>
    <col min="5083" max="5083" width="23.625" style="550" customWidth="1"/>
    <col min="5084" max="5084" width="8" style="550" customWidth="1"/>
    <col min="5085" max="5085" width="9.125" style="550" customWidth="1"/>
    <col min="5086" max="5086" width="13.875" style="550" customWidth="1"/>
    <col min="5087" max="5087" width="13.5" style="550" customWidth="1"/>
    <col min="5088" max="5120" width="8.875" style="550"/>
    <col min="5121" max="5121" width="0" style="550" hidden="1" customWidth="1"/>
    <col min="5122" max="5122" width="6.625" style="550" customWidth="1"/>
    <col min="5123" max="5123" width="22.625" style="550" customWidth="1"/>
    <col min="5124" max="5124" width="7.625" style="550" customWidth="1"/>
    <col min="5125" max="5125" width="24.125" style="550" customWidth="1"/>
    <col min="5126" max="5126" width="25.125" style="550" customWidth="1"/>
    <col min="5127" max="5127" width="9.875" style="550" customWidth="1"/>
    <col min="5128" max="5128" width="15.625" style="550" customWidth="1"/>
    <col min="5129" max="5129" width="7.625" style="550" customWidth="1"/>
    <col min="5130" max="5131" width="9.625" style="550" customWidth="1"/>
    <col min="5132" max="5132" width="6.5" style="550" customWidth="1"/>
    <col min="5133" max="5133" width="8.125" style="550" customWidth="1"/>
    <col min="5134" max="5334" width="8.875" style="550"/>
    <col min="5335" max="5335" width="5" style="550" customWidth="1"/>
    <col min="5336" max="5336" width="33.375" style="550" customWidth="1"/>
    <col min="5337" max="5337" width="6.5" style="550" customWidth="1"/>
    <col min="5338" max="5338" width="29.5" style="550" customWidth="1"/>
    <col min="5339" max="5339" width="23.625" style="550" customWidth="1"/>
    <col min="5340" max="5340" width="8" style="550" customWidth="1"/>
    <col min="5341" max="5341" width="9.125" style="550" customWidth="1"/>
    <col min="5342" max="5342" width="13.875" style="550" customWidth="1"/>
    <col min="5343" max="5343" width="13.5" style="550" customWidth="1"/>
    <col min="5344" max="5376" width="8.875" style="550"/>
    <col min="5377" max="5377" width="0" style="550" hidden="1" customWidth="1"/>
    <col min="5378" max="5378" width="6.625" style="550" customWidth="1"/>
    <col min="5379" max="5379" width="22.625" style="550" customWidth="1"/>
    <col min="5380" max="5380" width="7.625" style="550" customWidth="1"/>
    <col min="5381" max="5381" width="24.125" style="550" customWidth="1"/>
    <col min="5382" max="5382" width="25.125" style="550" customWidth="1"/>
    <col min="5383" max="5383" width="9.875" style="550" customWidth="1"/>
    <col min="5384" max="5384" width="15.625" style="550" customWidth="1"/>
    <col min="5385" max="5385" width="7.625" style="550" customWidth="1"/>
    <col min="5386" max="5387" width="9.625" style="550" customWidth="1"/>
    <col min="5388" max="5388" width="6.5" style="550" customWidth="1"/>
    <col min="5389" max="5389" width="8.125" style="550" customWidth="1"/>
    <col min="5390" max="5590" width="8.875" style="550"/>
    <col min="5591" max="5591" width="5" style="550" customWidth="1"/>
    <col min="5592" max="5592" width="33.375" style="550" customWidth="1"/>
    <col min="5593" max="5593" width="6.5" style="550" customWidth="1"/>
    <col min="5594" max="5594" width="29.5" style="550" customWidth="1"/>
    <col min="5595" max="5595" width="23.625" style="550" customWidth="1"/>
    <col min="5596" max="5596" width="8" style="550" customWidth="1"/>
    <col min="5597" max="5597" width="9.125" style="550" customWidth="1"/>
    <col min="5598" max="5598" width="13.875" style="550" customWidth="1"/>
    <col min="5599" max="5599" width="13.5" style="550" customWidth="1"/>
    <col min="5600" max="5632" width="8.875" style="550"/>
    <col min="5633" max="5633" width="0" style="550" hidden="1" customWidth="1"/>
    <col min="5634" max="5634" width="6.625" style="550" customWidth="1"/>
    <col min="5635" max="5635" width="22.625" style="550" customWidth="1"/>
    <col min="5636" max="5636" width="7.625" style="550" customWidth="1"/>
    <col min="5637" max="5637" width="24.125" style="550" customWidth="1"/>
    <col min="5638" max="5638" width="25.125" style="550" customWidth="1"/>
    <col min="5639" max="5639" width="9.875" style="550" customWidth="1"/>
    <col min="5640" max="5640" width="15.625" style="550" customWidth="1"/>
    <col min="5641" max="5641" width="7.625" style="550" customWidth="1"/>
    <col min="5642" max="5643" width="9.625" style="550" customWidth="1"/>
    <col min="5644" max="5644" width="6.5" style="550" customWidth="1"/>
    <col min="5645" max="5645" width="8.125" style="550" customWidth="1"/>
    <col min="5646" max="5846" width="8.875" style="550"/>
    <col min="5847" max="5847" width="5" style="550" customWidth="1"/>
    <col min="5848" max="5848" width="33.375" style="550" customWidth="1"/>
    <col min="5849" max="5849" width="6.5" style="550" customWidth="1"/>
    <col min="5850" max="5850" width="29.5" style="550" customWidth="1"/>
    <col min="5851" max="5851" width="23.625" style="550" customWidth="1"/>
    <col min="5852" max="5852" width="8" style="550" customWidth="1"/>
    <col min="5853" max="5853" width="9.125" style="550" customWidth="1"/>
    <col min="5854" max="5854" width="13.875" style="550" customWidth="1"/>
    <col min="5855" max="5855" width="13.5" style="550" customWidth="1"/>
    <col min="5856" max="5888" width="8.875" style="550"/>
    <col min="5889" max="5889" width="0" style="550" hidden="1" customWidth="1"/>
    <col min="5890" max="5890" width="6.625" style="550" customWidth="1"/>
    <col min="5891" max="5891" width="22.625" style="550" customWidth="1"/>
    <col min="5892" max="5892" width="7.625" style="550" customWidth="1"/>
    <col min="5893" max="5893" width="24.125" style="550" customWidth="1"/>
    <col min="5894" max="5894" width="25.125" style="550" customWidth="1"/>
    <col min="5895" max="5895" width="9.875" style="550" customWidth="1"/>
    <col min="5896" max="5896" width="15.625" style="550" customWidth="1"/>
    <col min="5897" max="5897" width="7.625" style="550" customWidth="1"/>
    <col min="5898" max="5899" width="9.625" style="550" customWidth="1"/>
    <col min="5900" max="5900" width="6.5" style="550" customWidth="1"/>
    <col min="5901" max="5901" width="8.125" style="550" customWidth="1"/>
    <col min="5902" max="6102" width="8.875" style="550"/>
    <col min="6103" max="6103" width="5" style="550" customWidth="1"/>
    <col min="6104" max="6104" width="33.375" style="550" customWidth="1"/>
    <col min="6105" max="6105" width="6.5" style="550" customWidth="1"/>
    <col min="6106" max="6106" width="29.5" style="550" customWidth="1"/>
    <col min="6107" max="6107" width="23.625" style="550" customWidth="1"/>
    <col min="6108" max="6108" width="8" style="550" customWidth="1"/>
    <col min="6109" max="6109" width="9.125" style="550" customWidth="1"/>
    <col min="6110" max="6110" width="13.875" style="550" customWidth="1"/>
    <col min="6111" max="6111" width="13.5" style="550" customWidth="1"/>
    <col min="6112" max="6144" width="8.875" style="550"/>
    <col min="6145" max="6145" width="0" style="550" hidden="1" customWidth="1"/>
    <col min="6146" max="6146" width="6.625" style="550" customWidth="1"/>
    <col min="6147" max="6147" width="22.625" style="550" customWidth="1"/>
    <col min="6148" max="6148" width="7.625" style="550" customWidth="1"/>
    <col min="6149" max="6149" width="24.125" style="550" customWidth="1"/>
    <col min="6150" max="6150" width="25.125" style="550" customWidth="1"/>
    <col min="6151" max="6151" width="9.875" style="550" customWidth="1"/>
    <col min="6152" max="6152" width="15.625" style="550" customWidth="1"/>
    <col min="6153" max="6153" width="7.625" style="550" customWidth="1"/>
    <col min="6154" max="6155" width="9.625" style="550" customWidth="1"/>
    <col min="6156" max="6156" width="6.5" style="550" customWidth="1"/>
    <col min="6157" max="6157" width="8.125" style="550" customWidth="1"/>
    <col min="6158" max="6358" width="8.875" style="550"/>
    <col min="6359" max="6359" width="5" style="550" customWidth="1"/>
    <col min="6360" max="6360" width="33.375" style="550" customWidth="1"/>
    <col min="6361" max="6361" width="6.5" style="550" customWidth="1"/>
    <col min="6362" max="6362" width="29.5" style="550" customWidth="1"/>
    <col min="6363" max="6363" width="23.625" style="550" customWidth="1"/>
    <col min="6364" max="6364" width="8" style="550" customWidth="1"/>
    <col min="6365" max="6365" width="9.125" style="550" customWidth="1"/>
    <col min="6366" max="6366" width="13.875" style="550" customWidth="1"/>
    <col min="6367" max="6367" width="13.5" style="550" customWidth="1"/>
    <col min="6368" max="6400" width="8.875" style="550"/>
    <col min="6401" max="6401" width="0" style="550" hidden="1" customWidth="1"/>
    <col min="6402" max="6402" width="6.625" style="550" customWidth="1"/>
    <col min="6403" max="6403" width="22.625" style="550" customWidth="1"/>
    <col min="6404" max="6404" width="7.625" style="550" customWidth="1"/>
    <col min="6405" max="6405" width="24.125" style="550" customWidth="1"/>
    <col min="6406" max="6406" width="25.125" style="550" customWidth="1"/>
    <col min="6407" max="6407" width="9.875" style="550" customWidth="1"/>
    <col min="6408" max="6408" width="15.625" style="550" customWidth="1"/>
    <col min="6409" max="6409" width="7.625" style="550" customWidth="1"/>
    <col min="6410" max="6411" width="9.625" style="550" customWidth="1"/>
    <col min="6412" max="6412" width="6.5" style="550" customWidth="1"/>
    <col min="6413" max="6413" width="8.125" style="550" customWidth="1"/>
    <col min="6414" max="6614" width="8.875" style="550"/>
    <col min="6615" max="6615" width="5" style="550" customWidth="1"/>
    <col min="6616" max="6616" width="33.375" style="550" customWidth="1"/>
    <col min="6617" max="6617" width="6.5" style="550" customWidth="1"/>
    <col min="6618" max="6618" width="29.5" style="550" customWidth="1"/>
    <col min="6619" max="6619" width="23.625" style="550" customWidth="1"/>
    <col min="6620" max="6620" width="8" style="550" customWidth="1"/>
    <col min="6621" max="6621" width="9.125" style="550" customWidth="1"/>
    <col min="6622" max="6622" width="13.875" style="550" customWidth="1"/>
    <col min="6623" max="6623" width="13.5" style="550" customWidth="1"/>
    <col min="6624" max="6656" width="8.875" style="550"/>
    <col min="6657" max="6657" width="0" style="550" hidden="1" customWidth="1"/>
    <col min="6658" max="6658" width="6.625" style="550" customWidth="1"/>
    <col min="6659" max="6659" width="22.625" style="550" customWidth="1"/>
    <col min="6660" max="6660" width="7.625" style="550" customWidth="1"/>
    <col min="6661" max="6661" width="24.125" style="550" customWidth="1"/>
    <col min="6662" max="6662" width="25.125" style="550" customWidth="1"/>
    <col min="6663" max="6663" width="9.875" style="550" customWidth="1"/>
    <col min="6664" max="6664" width="15.625" style="550" customWidth="1"/>
    <col min="6665" max="6665" width="7.625" style="550" customWidth="1"/>
    <col min="6666" max="6667" width="9.625" style="550" customWidth="1"/>
    <col min="6668" max="6668" width="6.5" style="550" customWidth="1"/>
    <col min="6669" max="6669" width="8.125" style="550" customWidth="1"/>
    <col min="6670" max="6870" width="8.875" style="550"/>
    <col min="6871" max="6871" width="5" style="550" customWidth="1"/>
    <col min="6872" max="6872" width="33.375" style="550" customWidth="1"/>
    <col min="6873" max="6873" width="6.5" style="550" customWidth="1"/>
    <col min="6874" max="6874" width="29.5" style="550" customWidth="1"/>
    <col min="6875" max="6875" width="23.625" style="550" customWidth="1"/>
    <col min="6876" max="6876" width="8" style="550" customWidth="1"/>
    <col min="6877" max="6877" width="9.125" style="550" customWidth="1"/>
    <col min="6878" max="6878" width="13.875" style="550" customWidth="1"/>
    <col min="6879" max="6879" width="13.5" style="550" customWidth="1"/>
    <col min="6880" max="6912" width="8.875" style="550"/>
    <col min="6913" max="6913" width="0" style="550" hidden="1" customWidth="1"/>
    <col min="6914" max="6914" width="6.625" style="550" customWidth="1"/>
    <col min="6915" max="6915" width="22.625" style="550" customWidth="1"/>
    <col min="6916" max="6916" width="7.625" style="550" customWidth="1"/>
    <col min="6917" max="6917" width="24.125" style="550" customWidth="1"/>
    <col min="6918" max="6918" width="25.125" style="550" customWidth="1"/>
    <col min="6919" max="6919" width="9.875" style="550" customWidth="1"/>
    <col min="6920" max="6920" width="15.625" style="550" customWidth="1"/>
    <col min="6921" max="6921" width="7.625" style="550" customWidth="1"/>
    <col min="6922" max="6923" width="9.625" style="550" customWidth="1"/>
    <col min="6924" max="6924" width="6.5" style="550" customWidth="1"/>
    <col min="6925" max="6925" width="8.125" style="550" customWidth="1"/>
    <col min="6926" max="7126" width="8.875" style="550"/>
    <col min="7127" max="7127" width="5" style="550" customWidth="1"/>
    <col min="7128" max="7128" width="33.375" style="550" customWidth="1"/>
    <col min="7129" max="7129" width="6.5" style="550" customWidth="1"/>
    <col min="7130" max="7130" width="29.5" style="550" customWidth="1"/>
    <col min="7131" max="7131" width="23.625" style="550" customWidth="1"/>
    <col min="7132" max="7132" width="8" style="550" customWidth="1"/>
    <col min="7133" max="7133" width="9.125" style="550" customWidth="1"/>
    <col min="7134" max="7134" width="13.875" style="550" customWidth="1"/>
    <col min="7135" max="7135" width="13.5" style="550" customWidth="1"/>
    <col min="7136" max="7168" width="8.875" style="550"/>
    <col min="7169" max="7169" width="0" style="550" hidden="1" customWidth="1"/>
    <col min="7170" max="7170" width="6.625" style="550" customWidth="1"/>
    <col min="7171" max="7171" width="22.625" style="550" customWidth="1"/>
    <col min="7172" max="7172" width="7.625" style="550" customWidth="1"/>
    <col min="7173" max="7173" width="24.125" style="550" customWidth="1"/>
    <col min="7174" max="7174" width="25.125" style="550" customWidth="1"/>
    <col min="7175" max="7175" width="9.875" style="550" customWidth="1"/>
    <col min="7176" max="7176" width="15.625" style="550" customWidth="1"/>
    <col min="7177" max="7177" width="7.625" style="550" customWidth="1"/>
    <col min="7178" max="7179" width="9.625" style="550" customWidth="1"/>
    <col min="7180" max="7180" width="6.5" style="550" customWidth="1"/>
    <col min="7181" max="7181" width="8.125" style="550" customWidth="1"/>
    <col min="7182" max="7382" width="8.875" style="550"/>
    <col min="7383" max="7383" width="5" style="550" customWidth="1"/>
    <col min="7384" max="7384" width="33.375" style="550" customWidth="1"/>
    <col min="7385" max="7385" width="6.5" style="550" customWidth="1"/>
    <col min="7386" max="7386" width="29.5" style="550" customWidth="1"/>
    <col min="7387" max="7387" width="23.625" style="550" customWidth="1"/>
    <col min="7388" max="7388" width="8" style="550" customWidth="1"/>
    <col min="7389" max="7389" width="9.125" style="550" customWidth="1"/>
    <col min="7390" max="7390" width="13.875" style="550" customWidth="1"/>
    <col min="7391" max="7391" width="13.5" style="550" customWidth="1"/>
    <col min="7392" max="7424" width="8.875" style="550"/>
    <col min="7425" max="7425" width="0" style="550" hidden="1" customWidth="1"/>
    <col min="7426" max="7426" width="6.625" style="550" customWidth="1"/>
    <col min="7427" max="7427" width="22.625" style="550" customWidth="1"/>
    <col min="7428" max="7428" width="7.625" style="550" customWidth="1"/>
    <col min="7429" max="7429" width="24.125" style="550" customWidth="1"/>
    <col min="7430" max="7430" width="25.125" style="550" customWidth="1"/>
    <col min="7431" max="7431" width="9.875" style="550" customWidth="1"/>
    <col min="7432" max="7432" width="15.625" style="550" customWidth="1"/>
    <col min="7433" max="7433" width="7.625" style="550" customWidth="1"/>
    <col min="7434" max="7435" width="9.625" style="550" customWidth="1"/>
    <col min="7436" max="7436" width="6.5" style="550" customWidth="1"/>
    <col min="7437" max="7437" width="8.125" style="550" customWidth="1"/>
    <col min="7438" max="7638" width="8.875" style="550"/>
    <col min="7639" max="7639" width="5" style="550" customWidth="1"/>
    <col min="7640" max="7640" width="33.375" style="550" customWidth="1"/>
    <col min="7641" max="7641" width="6.5" style="550" customWidth="1"/>
    <col min="7642" max="7642" width="29.5" style="550" customWidth="1"/>
    <col min="7643" max="7643" width="23.625" style="550" customWidth="1"/>
    <col min="7644" max="7644" width="8" style="550" customWidth="1"/>
    <col min="7645" max="7645" width="9.125" style="550" customWidth="1"/>
    <col min="7646" max="7646" width="13.875" style="550" customWidth="1"/>
    <col min="7647" max="7647" width="13.5" style="550" customWidth="1"/>
    <col min="7648" max="7680" width="8.875" style="550"/>
    <col min="7681" max="7681" width="0" style="550" hidden="1" customWidth="1"/>
    <col min="7682" max="7682" width="6.625" style="550" customWidth="1"/>
    <col min="7683" max="7683" width="22.625" style="550" customWidth="1"/>
    <col min="7684" max="7684" width="7.625" style="550" customWidth="1"/>
    <col min="7685" max="7685" width="24.125" style="550" customWidth="1"/>
    <col min="7686" max="7686" width="25.125" style="550" customWidth="1"/>
    <col min="7687" max="7687" width="9.875" style="550" customWidth="1"/>
    <col min="7688" max="7688" width="15.625" style="550" customWidth="1"/>
    <col min="7689" max="7689" width="7.625" style="550" customWidth="1"/>
    <col min="7690" max="7691" width="9.625" style="550" customWidth="1"/>
    <col min="7692" max="7692" width="6.5" style="550" customWidth="1"/>
    <col min="7693" max="7693" width="8.125" style="550" customWidth="1"/>
    <col min="7694" max="7894" width="8.875" style="550"/>
    <col min="7895" max="7895" width="5" style="550" customWidth="1"/>
    <col min="7896" max="7896" width="33.375" style="550" customWidth="1"/>
    <col min="7897" max="7897" width="6.5" style="550" customWidth="1"/>
    <col min="7898" max="7898" width="29.5" style="550" customWidth="1"/>
    <col min="7899" max="7899" width="23.625" style="550" customWidth="1"/>
    <col min="7900" max="7900" width="8" style="550" customWidth="1"/>
    <col min="7901" max="7901" width="9.125" style="550" customWidth="1"/>
    <col min="7902" max="7902" width="13.875" style="550" customWidth="1"/>
    <col min="7903" max="7903" width="13.5" style="550" customWidth="1"/>
    <col min="7904" max="7936" width="8.875" style="550"/>
    <col min="7937" max="7937" width="0" style="550" hidden="1" customWidth="1"/>
    <col min="7938" max="7938" width="6.625" style="550" customWidth="1"/>
    <col min="7939" max="7939" width="22.625" style="550" customWidth="1"/>
    <col min="7940" max="7940" width="7.625" style="550" customWidth="1"/>
    <col min="7941" max="7941" width="24.125" style="550" customWidth="1"/>
    <col min="7942" max="7942" width="25.125" style="550" customWidth="1"/>
    <col min="7943" max="7943" width="9.875" style="550" customWidth="1"/>
    <col min="7944" max="7944" width="15.625" style="550" customWidth="1"/>
    <col min="7945" max="7945" width="7.625" style="550" customWidth="1"/>
    <col min="7946" max="7947" width="9.625" style="550" customWidth="1"/>
    <col min="7948" max="7948" width="6.5" style="550" customWidth="1"/>
    <col min="7949" max="7949" width="8.125" style="550" customWidth="1"/>
    <col min="7950" max="8150" width="8.875" style="550"/>
    <col min="8151" max="8151" width="5" style="550" customWidth="1"/>
    <col min="8152" max="8152" width="33.375" style="550" customWidth="1"/>
    <col min="8153" max="8153" width="6.5" style="550" customWidth="1"/>
    <col min="8154" max="8154" width="29.5" style="550" customWidth="1"/>
    <col min="8155" max="8155" width="23.625" style="550" customWidth="1"/>
    <col min="8156" max="8156" width="8" style="550" customWidth="1"/>
    <col min="8157" max="8157" width="9.125" style="550" customWidth="1"/>
    <col min="8158" max="8158" width="13.875" style="550" customWidth="1"/>
    <col min="8159" max="8159" width="13.5" style="550" customWidth="1"/>
    <col min="8160" max="8192" width="8.875" style="550"/>
    <col min="8193" max="8193" width="0" style="550" hidden="1" customWidth="1"/>
    <col min="8194" max="8194" width="6.625" style="550" customWidth="1"/>
    <col min="8195" max="8195" width="22.625" style="550" customWidth="1"/>
    <col min="8196" max="8196" width="7.625" style="550" customWidth="1"/>
    <col min="8197" max="8197" width="24.125" style="550" customWidth="1"/>
    <col min="8198" max="8198" width="25.125" style="550" customWidth="1"/>
    <col min="8199" max="8199" width="9.875" style="550" customWidth="1"/>
    <col min="8200" max="8200" width="15.625" style="550" customWidth="1"/>
    <col min="8201" max="8201" width="7.625" style="550" customWidth="1"/>
    <col min="8202" max="8203" width="9.625" style="550" customWidth="1"/>
    <col min="8204" max="8204" width="6.5" style="550" customWidth="1"/>
    <col min="8205" max="8205" width="8.125" style="550" customWidth="1"/>
    <col min="8206" max="8406" width="8.875" style="550"/>
    <col min="8407" max="8407" width="5" style="550" customWidth="1"/>
    <col min="8408" max="8408" width="33.375" style="550" customWidth="1"/>
    <col min="8409" max="8409" width="6.5" style="550" customWidth="1"/>
    <col min="8410" max="8410" width="29.5" style="550" customWidth="1"/>
    <col min="8411" max="8411" width="23.625" style="550" customWidth="1"/>
    <col min="8412" max="8412" width="8" style="550" customWidth="1"/>
    <col min="8413" max="8413" width="9.125" style="550" customWidth="1"/>
    <col min="8414" max="8414" width="13.875" style="550" customWidth="1"/>
    <col min="8415" max="8415" width="13.5" style="550" customWidth="1"/>
    <col min="8416" max="8448" width="8.875" style="550"/>
    <col min="8449" max="8449" width="0" style="550" hidden="1" customWidth="1"/>
    <col min="8450" max="8450" width="6.625" style="550" customWidth="1"/>
    <col min="8451" max="8451" width="22.625" style="550" customWidth="1"/>
    <col min="8452" max="8452" width="7.625" style="550" customWidth="1"/>
    <col min="8453" max="8453" width="24.125" style="550" customWidth="1"/>
    <col min="8454" max="8454" width="25.125" style="550" customWidth="1"/>
    <col min="8455" max="8455" width="9.875" style="550" customWidth="1"/>
    <col min="8456" max="8456" width="15.625" style="550" customWidth="1"/>
    <col min="8457" max="8457" width="7.625" style="550" customWidth="1"/>
    <col min="8458" max="8459" width="9.625" style="550" customWidth="1"/>
    <col min="8460" max="8460" width="6.5" style="550" customWidth="1"/>
    <col min="8461" max="8461" width="8.125" style="550" customWidth="1"/>
    <col min="8462" max="8662" width="8.875" style="550"/>
    <col min="8663" max="8663" width="5" style="550" customWidth="1"/>
    <col min="8664" max="8664" width="33.375" style="550" customWidth="1"/>
    <col min="8665" max="8665" width="6.5" style="550" customWidth="1"/>
    <col min="8666" max="8666" width="29.5" style="550" customWidth="1"/>
    <col min="8667" max="8667" width="23.625" style="550" customWidth="1"/>
    <col min="8668" max="8668" width="8" style="550" customWidth="1"/>
    <col min="8669" max="8669" width="9.125" style="550" customWidth="1"/>
    <col min="8670" max="8670" width="13.875" style="550" customWidth="1"/>
    <col min="8671" max="8671" width="13.5" style="550" customWidth="1"/>
    <col min="8672" max="8704" width="8.875" style="550"/>
    <col min="8705" max="8705" width="0" style="550" hidden="1" customWidth="1"/>
    <col min="8706" max="8706" width="6.625" style="550" customWidth="1"/>
    <col min="8707" max="8707" width="22.625" style="550" customWidth="1"/>
    <col min="8708" max="8708" width="7.625" style="550" customWidth="1"/>
    <col min="8709" max="8709" width="24.125" style="550" customWidth="1"/>
    <col min="8710" max="8710" width="25.125" style="550" customWidth="1"/>
    <col min="8711" max="8711" width="9.875" style="550" customWidth="1"/>
    <col min="8712" max="8712" width="15.625" style="550" customWidth="1"/>
    <col min="8713" max="8713" width="7.625" style="550" customWidth="1"/>
    <col min="8714" max="8715" width="9.625" style="550" customWidth="1"/>
    <col min="8716" max="8716" width="6.5" style="550" customWidth="1"/>
    <col min="8717" max="8717" width="8.125" style="550" customWidth="1"/>
    <col min="8718" max="8918" width="8.875" style="550"/>
    <col min="8919" max="8919" width="5" style="550" customWidth="1"/>
    <col min="8920" max="8920" width="33.375" style="550" customWidth="1"/>
    <col min="8921" max="8921" width="6.5" style="550" customWidth="1"/>
    <col min="8922" max="8922" width="29.5" style="550" customWidth="1"/>
    <col min="8923" max="8923" width="23.625" style="550" customWidth="1"/>
    <col min="8924" max="8924" width="8" style="550" customWidth="1"/>
    <col min="8925" max="8925" width="9.125" style="550" customWidth="1"/>
    <col min="8926" max="8926" width="13.875" style="550" customWidth="1"/>
    <col min="8927" max="8927" width="13.5" style="550" customWidth="1"/>
    <col min="8928" max="8960" width="8.875" style="550"/>
    <col min="8961" max="8961" width="0" style="550" hidden="1" customWidth="1"/>
    <col min="8962" max="8962" width="6.625" style="550" customWidth="1"/>
    <col min="8963" max="8963" width="22.625" style="550" customWidth="1"/>
    <col min="8964" max="8964" width="7.625" style="550" customWidth="1"/>
    <col min="8965" max="8965" width="24.125" style="550" customWidth="1"/>
    <col min="8966" max="8966" width="25.125" style="550" customWidth="1"/>
    <col min="8967" max="8967" width="9.875" style="550" customWidth="1"/>
    <col min="8968" max="8968" width="15.625" style="550" customWidth="1"/>
    <col min="8969" max="8969" width="7.625" style="550" customWidth="1"/>
    <col min="8970" max="8971" width="9.625" style="550" customWidth="1"/>
    <col min="8972" max="8972" width="6.5" style="550" customWidth="1"/>
    <col min="8973" max="8973" width="8.125" style="550" customWidth="1"/>
    <col min="8974" max="9174" width="8.875" style="550"/>
    <col min="9175" max="9175" width="5" style="550" customWidth="1"/>
    <col min="9176" max="9176" width="33.375" style="550" customWidth="1"/>
    <col min="9177" max="9177" width="6.5" style="550" customWidth="1"/>
    <col min="9178" max="9178" width="29.5" style="550" customWidth="1"/>
    <col min="9179" max="9179" width="23.625" style="550" customWidth="1"/>
    <col min="9180" max="9180" width="8" style="550" customWidth="1"/>
    <col min="9181" max="9181" width="9.125" style="550" customWidth="1"/>
    <col min="9182" max="9182" width="13.875" style="550" customWidth="1"/>
    <col min="9183" max="9183" width="13.5" style="550" customWidth="1"/>
    <col min="9184" max="9216" width="8.875" style="550"/>
    <col min="9217" max="9217" width="0" style="550" hidden="1" customWidth="1"/>
    <col min="9218" max="9218" width="6.625" style="550" customWidth="1"/>
    <col min="9219" max="9219" width="22.625" style="550" customWidth="1"/>
    <col min="9220" max="9220" width="7.625" style="550" customWidth="1"/>
    <col min="9221" max="9221" width="24.125" style="550" customWidth="1"/>
    <col min="9222" max="9222" width="25.125" style="550" customWidth="1"/>
    <col min="9223" max="9223" width="9.875" style="550" customWidth="1"/>
    <col min="9224" max="9224" width="15.625" style="550" customWidth="1"/>
    <col min="9225" max="9225" width="7.625" style="550" customWidth="1"/>
    <col min="9226" max="9227" width="9.625" style="550" customWidth="1"/>
    <col min="9228" max="9228" width="6.5" style="550" customWidth="1"/>
    <col min="9229" max="9229" width="8.125" style="550" customWidth="1"/>
    <col min="9230" max="9430" width="8.875" style="550"/>
    <col min="9431" max="9431" width="5" style="550" customWidth="1"/>
    <col min="9432" max="9432" width="33.375" style="550" customWidth="1"/>
    <col min="9433" max="9433" width="6.5" style="550" customWidth="1"/>
    <col min="9434" max="9434" width="29.5" style="550" customWidth="1"/>
    <col min="9435" max="9435" width="23.625" style="550" customWidth="1"/>
    <col min="9436" max="9436" width="8" style="550" customWidth="1"/>
    <col min="9437" max="9437" width="9.125" style="550" customWidth="1"/>
    <col min="9438" max="9438" width="13.875" style="550" customWidth="1"/>
    <col min="9439" max="9439" width="13.5" style="550" customWidth="1"/>
    <col min="9440" max="9472" width="8.875" style="550"/>
    <col min="9473" max="9473" width="0" style="550" hidden="1" customWidth="1"/>
    <col min="9474" max="9474" width="6.625" style="550" customWidth="1"/>
    <col min="9475" max="9475" width="22.625" style="550" customWidth="1"/>
    <col min="9476" max="9476" width="7.625" style="550" customWidth="1"/>
    <col min="9477" max="9477" width="24.125" style="550" customWidth="1"/>
    <col min="9478" max="9478" width="25.125" style="550" customWidth="1"/>
    <col min="9479" max="9479" width="9.875" style="550" customWidth="1"/>
    <col min="9480" max="9480" width="15.625" style="550" customWidth="1"/>
    <col min="9481" max="9481" width="7.625" style="550" customWidth="1"/>
    <col min="9482" max="9483" width="9.625" style="550" customWidth="1"/>
    <col min="9484" max="9484" width="6.5" style="550" customWidth="1"/>
    <col min="9485" max="9485" width="8.125" style="550" customWidth="1"/>
    <col min="9486" max="9686" width="8.875" style="550"/>
    <col min="9687" max="9687" width="5" style="550" customWidth="1"/>
    <col min="9688" max="9688" width="33.375" style="550" customWidth="1"/>
    <col min="9689" max="9689" width="6.5" style="550" customWidth="1"/>
    <col min="9690" max="9690" width="29.5" style="550" customWidth="1"/>
    <col min="9691" max="9691" width="23.625" style="550" customWidth="1"/>
    <col min="9692" max="9692" width="8" style="550" customWidth="1"/>
    <col min="9693" max="9693" width="9.125" style="550" customWidth="1"/>
    <col min="9694" max="9694" width="13.875" style="550" customWidth="1"/>
    <col min="9695" max="9695" width="13.5" style="550" customWidth="1"/>
    <col min="9696" max="9728" width="8.875" style="550"/>
    <col min="9729" max="9729" width="0" style="550" hidden="1" customWidth="1"/>
    <col min="9730" max="9730" width="6.625" style="550" customWidth="1"/>
    <col min="9731" max="9731" width="22.625" style="550" customWidth="1"/>
    <col min="9732" max="9732" width="7.625" style="550" customWidth="1"/>
    <col min="9733" max="9733" width="24.125" style="550" customWidth="1"/>
    <col min="9734" max="9734" width="25.125" style="550" customWidth="1"/>
    <col min="9735" max="9735" width="9.875" style="550" customWidth="1"/>
    <col min="9736" max="9736" width="15.625" style="550" customWidth="1"/>
    <col min="9737" max="9737" width="7.625" style="550" customWidth="1"/>
    <col min="9738" max="9739" width="9.625" style="550" customWidth="1"/>
    <col min="9740" max="9740" width="6.5" style="550" customWidth="1"/>
    <col min="9741" max="9741" width="8.125" style="550" customWidth="1"/>
    <col min="9742" max="9942" width="8.875" style="550"/>
    <col min="9943" max="9943" width="5" style="550" customWidth="1"/>
    <col min="9944" max="9944" width="33.375" style="550" customWidth="1"/>
    <col min="9945" max="9945" width="6.5" style="550" customWidth="1"/>
    <col min="9946" max="9946" width="29.5" style="550" customWidth="1"/>
    <col min="9947" max="9947" width="23.625" style="550" customWidth="1"/>
    <col min="9948" max="9948" width="8" style="550" customWidth="1"/>
    <col min="9949" max="9949" width="9.125" style="550" customWidth="1"/>
    <col min="9950" max="9950" width="13.875" style="550" customWidth="1"/>
    <col min="9951" max="9951" width="13.5" style="550" customWidth="1"/>
    <col min="9952" max="9984" width="8.875" style="550"/>
    <col min="9985" max="9985" width="0" style="550" hidden="1" customWidth="1"/>
    <col min="9986" max="9986" width="6.625" style="550" customWidth="1"/>
    <col min="9987" max="9987" width="22.625" style="550" customWidth="1"/>
    <col min="9988" max="9988" width="7.625" style="550" customWidth="1"/>
    <col min="9989" max="9989" width="24.125" style="550" customWidth="1"/>
    <col min="9990" max="9990" width="25.125" style="550" customWidth="1"/>
    <col min="9991" max="9991" width="9.875" style="550" customWidth="1"/>
    <col min="9992" max="9992" width="15.625" style="550" customWidth="1"/>
    <col min="9993" max="9993" width="7.625" style="550" customWidth="1"/>
    <col min="9994" max="9995" width="9.625" style="550" customWidth="1"/>
    <col min="9996" max="9996" width="6.5" style="550" customWidth="1"/>
    <col min="9997" max="9997" width="8.125" style="550" customWidth="1"/>
    <col min="9998" max="10198" width="8.875" style="550"/>
    <col min="10199" max="10199" width="5" style="550" customWidth="1"/>
    <col min="10200" max="10200" width="33.375" style="550" customWidth="1"/>
    <col min="10201" max="10201" width="6.5" style="550" customWidth="1"/>
    <col min="10202" max="10202" width="29.5" style="550" customWidth="1"/>
    <col min="10203" max="10203" width="23.625" style="550" customWidth="1"/>
    <col min="10204" max="10204" width="8" style="550" customWidth="1"/>
    <col min="10205" max="10205" width="9.125" style="550" customWidth="1"/>
    <col min="10206" max="10206" width="13.875" style="550" customWidth="1"/>
    <col min="10207" max="10207" width="13.5" style="550" customWidth="1"/>
    <col min="10208" max="10240" width="8.875" style="550"/>
    <col min="10241" max="10241" width="0" style="550" hidden="1" customWidth="1"/>
    <col min="10242" max="10242" width="6.625" style="550" customWidth="1"/>
    <col min="10243" max="10243" width="22.625" style="550" customWidth="1"/>
    <col min="10244" max="10244" width="7.625" style="550" customWidth="1"/>
    <col min="10245" max="10245" width="24.125" style="550" customWidth="1"/>
    <col min="10246" max="10246" width="25.125" style="550" customWidth="1"/>
    <col min="10247" max="10247" width="9.875" style="550" customWidth="1"/>
    <col min="10248" max="10248" width="15.625" style="550" customWidth="1"/>
    <col min="10249" max="10249" width="7.625" style="550" customWidth="1"/>
    <col min="10250" max="10251" width="9.625" style="550" customWidth="1"/>
    <col min="10252" max="10252" width="6.5" style="550" customWidth="1"/>
    <col min="10253" max="10253" width="8.125" style="550" customWidth="1"/>
    <col min="10254" max="10454" width="8.875" style="550"/>
    <col min="10455" max="10455" width="5" style="550" customWidth="1"/>
    <col min="10456" max="10456" width="33.375" style="550" customWidth="1"/>
    <col min="10457" max="10457" width="6.5" style="550" customWidth="1"/>
    <col min="10458" max="10458" width="29.5" style="550" customWidth="1"/>
    <col min="10459" max="10459" width="23.625" style="550" customWidth="1"/>
    <col min="10460" max="10460" width="8" style="550" customWidth="1"/>
    <col min="10461" max="10461" width="9.125" style="550" customWidth="1"/>
    <col min="10462" max="10462" width="13.875" style="550" customWidth="1"/>
    <col min="10463" max="10463" width="13.5" style="550" customWidth="1"/>
    <col min="10464" max="10496" width="8.875" style="550"/>
    <col min="10497" max="10497" width="0" style="550" hidden="1" customWidth="1"/>
    <col min="10498" max="10498" width="6.625" style="550" customWidth="1"/>
    <col min="10499" max="10499" width="22.625" style="550" customWidth="1"/>
    <col min="10500" max="10500" width="7.625" style="550" customWidth="1"/>
    <col min="10501" max="10501" width="24.125" style="550" customWidth="1"/>
    <col min="10502" max="10502" width="25.125" style="550" customWidth="1"/>
    <col min="10503" max="10503" width="9.875" style="550" customWidth="1"/>
    <col min="10504" max="10504" width="15.625" style="550" customWidth="1"/>
    <col min="10505" max="10505" width="7.625" style="550" customWidth="1"/>
    <col min="10506" max="10507" width="9.625" style="550" customWidth="1"/>
    <col min="10508" max="10508" width="6.5" style="550" customWidth="1"/>
    <col min="10509" max="10509" width="8.125" style="550" customWidth="1"/>
    <col min="10510" max="10710" width="8.875" style="550"/>
    <col min="10711" max="10711" width="5" style="550" customWidth="1"/>
    <col min="10712" max="10712" width="33.375" style="550" customWidth="1"/>
    <col min="10713" max="10713" width="6.5" style="550" customWidth="1"/>
    <col min="10714" max="10714" width="29.5" style="550" customWidth="1"/>
    <col min="10715" max="10715" width="23.625" style="550" customWidth="1"/>
    <col min="10716" max="10716" width="8" style="550" customWidth="1"/>
    <col min="10717" max="10717" width="9.125" style="550" customWidth="1"/>
    <col min="10718" max="10718" width="13.875" style="550" customWidth="1"/>
    <col min="10719" max="10719" width="13.5" style="550" customWidth="1"/>
    <col min="10720" max="10752" width="8.875" style="550"/>
    <col min="10753" max="10753" width="0" style="550" hidden="1" customWidth="1"/>
    <col min="10754" max="10754" width="6.625" style="550" customWidth="1"/>
    <col min="10755" max="10755" width="22.625" style="550" customWidth="1"/>
    <col min="10756" max="10756" width="7.625" style="550" customWidth="1"/>
    <col min="10757" max="10757" width="24.125" style="550" customWidth="1"/>
    <col min="10758" max="10758" width="25.125" style="550" customWidth="1"/>
    <col min="10759" max="10759" width="9.875" style="550" customWidth="1"/>
    <col min="10760" max="10760" width="15.625" style="550" customWidth="1"/>
    <col min="10761" max="10761" width="7.625" style="550" customWidth="1"/>
    <col min="10762" max="10763" width="9.625" style="550" customWidth="1"/>
    <col min="10764" max="10764" width="6.5" style="550" customWidth="1"/>
    <col min="10765" max="10765" width="8.125" style="550" customWidth="1"/>
    <col min="10766" max="10966" width="8.875" style="550"/>
    <col min="10967" max="10967" width="5" style="550" customWidth="1"/>
    <col min="10968" max="10968" width="33.375" style="550" customWidth="1"/>
    <col min="10969" max="10969" width="6.5" style="550" customWidth="1"/>
    <col min="10970" max="10970" width="29.5" style="550" customWidth="1"/>
    <col min="10971" max="10971" width="23.625" style="550" customWidth="1"/>
    <col min="10972" max="10972" width="8" style="550" customWidth="1"/>
    <col min="10973" max="10973" width="9.125" style="550" customWidth="1"/>
    <col min="10974" max="10974" width="13.875" style="550" customWidth="1"/>
    <col min="10975" max="10975" width="13.5" style="550" customWidth="1"/>
    <col min="10976" max="11008" width="8.875" style="550"/>
    <col min="11009" max="11009" width="0" style="550" hidden="1" customWidth="1"/>
    <col min="11010" max="11010" width="6.625" style="550" customWidth="1"/>
    <col min="11011" max="11011" width="22.625" style="550" customWidth="1"/>
    <col min="11012" max="11012" width="7.625" style="550" customWidth="1"/>
    <col min="11013" max="11013" width="24.125" style="550" customWidth="1"/>
    <col min="11014" max="11014" width="25.125" style="550" customWidth="1"/>
    <col min="11015" max="11015" width="9.875" style="550" customWidth="1"/>
    <col min="11016" max="11016" width="15.625" style="550" customWidth="1"/>
    <col min="11017" max="11017" width="7.625" style="550" customWidth="1"/>
    <col min="11018" max="11019" width="9.625" style="550" customWidth="1"/>
    <col min="11020" max="11020" width="6.5" style="550" customWidth="1"/>
    <col min="11021" max="11021" width="8.125" style="550" customWidth="1"/>
    <col min="11022" max="11222" width="8.875" style="550"/>
    <col min="11223" max="11223" width="5" style="550" customWidth="1"/>
    <col min="11224" max="11224" width="33.375" style="550" customWidth="1"/>
    <col min="11225" max="11225" width="6.5" style="550" customWidth="1"/>
    <col min="11226" max="11226" width="29.5" style="550" customWidth="1"/>
    <col min="11227" max="11227" width="23.625" style="550" customWidth="1"/>
    <col min="11228" max="11228" width="8" style="550" customWidth="1"/>
    <col min="11229" max="11229" width="9.125" style="550" customWidth="1"/>
    <col min="11230" max="11230" width="13.875" style="550" customWidth="1"/>
    <col min="11231" max="11231" width="13.5" style="550" customWidth="1"/>
    <col min="11232" max="11264" width="8.875" style="550"/>
    <col min="11265" max="11265" width="0" style="550" hidden="1" customWidth="1"/>
    <col min="11266" max="11266" width="6.625" style="550" customWidth="1"/>
    <col min="11267" max="11267" width="22.625" style="550" customWidth="1"/>
    <col min="11268" max="11268" width="7.625" style="550" customWidth="1"/>
    <col min="11269" max="11269" width="24.125" style="550" customWidth="1"/>
    <col min="11270" max="11270" width="25.125" style="550" customWidth="1"/>
    <col min="11271" max="11271" width="9.875" style="550" customWidth="1"/>
    <col min="11272" max="11272" width="15.625" style="550" customWidth="1"/>
    <col min="11273" max="11273" width="7.625" style="550" customWidth="1"/>
    <col min="11274" max="11275" width="9.625" style="550" customWidth="1"/>
    <col min="11276" max="11276" width="6.5" style="550" customWidth="1"/>
    <col min="11277" max="11277" width="8.125" style="550" customWidth="1"/>
    <col min="11278" max="11478" width="8.875" style="550"/>
    <col min="11479" max="11479" width="5" style="550" customWidth="1"/>
    <col min="11480" max="11480" width="33.375" style="550" customWidth="1"/>
    <col min="11481" max="11481" width="6.5" style="550" customWidth="1"/>
    <col min="11482" max="11482" width="29.5" style="550" customWidth="1"/>
    <col min="11483" max="11483" width="23.625" style="550" customWidth="1"/>
    <col min="11484" max="11484" width="8" style="550" customWidth="1"/>
    <col min="11485" max="11485" width="9.125" style="550" customWidth="1"/>
    <col min="11486" max="11486" width="13.875" style="550" customWidth="1"/>
    <col min="11487" max="11487" width="13.5" style="550" customWidth="1"/>
    <col min="11488" max="11520" width="8.875" style="550"/>
    <col min="11521" max="11521" width="0" style="550" hidden="1" customWidth="1"/>
    <col min="11522" max="11522" width="6.625" style="550" customWidth="1"/>
    <col min="11523" max="11523" width="22.625" style="550" customWidth="1"/>
    <col min="11524" max="11524" width="7.625" style="550" customWidth="1"/>
    <col min="11525" max="11525" width="24.125" style="550" customWidth="1"/>
    <col min="11526" max="11526" width="25.125" style="550" customWidth="1"/>
    <col min="11527" max="11527" width="9.875" style="550" customWidth="1"/>
    <col min="11528" max="11528" width="15.625" style="550" customWidth="1"/>
    <col min="11529" max="11529" width="7.625" style="550" customWidth="1"/>
    <col min="11530" max="11531" width="9.625" style="550" customWidth="1"/>
    <col min="11532" max="11532" width="6.5" style="550" customWidth="1"/>
    <col min="11533" max="11533" width="8.125" style="550" customWidth="1"/>
    <col min="11534" max="11734" width="8.875" style="550"/>
    <col min="11735" max="11735" width="5" style="550" customWidth="1"/>
    <col min="11736" max="11736" width="33.375" style="550" customWidth="1"/>
    <col min="11737" max="11737" width="6.5" style="550" customWidth="1"/>
    <col min="11738" max="11738" width="29.5" style="550" customWidth="1"/>
    <col min="11739" max="11739" width="23.625" style="550" customWidth="1"/>
    <col min="11740" max="11740" width="8" style="550" customWidth="1"/>
    <col min="11741" max="11741" width="9.125" style="550" customWidth="1"/>
    <col min="11742" max="11742" width="13.875" style="550" customWidth="1"/>
    <col min="11743" max="11743" width="13.5" style="550" customWidth="1"/>
    <col min="11744" max="11776" width="8.875" style="550"/>
    <col min="11777" max="11777" width="0" style="550" hidden="1" customWidth="1"/>
    <col min="11778" max="11778" width="6.625" style="550" customWidth="1"/>
    <col min="11779" max="11779" width="22.625" style="550" customWidth="1"/>
    <col min="11780" max="11780" width="7.625" style="550" customWidth="1"/>
    <col min="11781" max="11781" width="24.125" style="550" customWidth="1"/>
    <col min="11782" max="11782" width="25.125" style="550" customWidth="1"/>
    <col min="11783" max="11783" width="9.875" style="550" customWidth="1"/>
    <col min="11784" max="11784" width="15.625" style="550" customWidth="1"/>
    <col min="11785" max="11785" width="7.625" style="550" customWidth="1"/>
    <col min="11786" max="11787" width="9.625" style="550" customWidth="1"/>
    <col min="11788" max="11788" width="6.5" style="550" customWidth="1"/>
    <col min="11789" max="11789" width="8.125" style="550" customWidth="1"/>
    <col min="11790" max="11990" width="8.875" style="550"/>
    <col min="11991" max="11991" width="5" style="550" customWidth="1"/>
    <col min="11992" max="11992" width="33.375" style="550" customWidth="1"/>
    <col min="11993" max="11993" width="6.5" style="550" customWidth="1"/>
    <col min="11994" max="11994" width="29.5" style="550" customWidth="1"/>
    <col min="11995" max="11995" width="23.625" style="550" customWidth="1"/>
    <col min="11996" max="11996" width="8" style="550" customWidth="1"/>
    <col min="11997" max="11997" width="9.125" style="550" customWidth="1"/>
    <col min="11998" max="11998" width="13.875" style="550" customWidth="1"/>
    <col min="11999" max="11999" width="13.5" style="550" customWidth="1"/>
    <col min="12000" max="12032" width="8.875" style="550"/>
    <col min="12033" max="12033" width="0" style="550" hidden="1" customWidth="1"/>
    <col min="12034" max="12034" width="6.625" style="550" customWidth="1"/>
    <col min="12035" max="12035" width="22.625" style="550" customWidth="1"/>
    <col min="12036" max="12036" width="7.625" style="550" customWidth="1"/>
    <col min="12037" max="12037" width="24.125" style="550" customWidth="1"/>
    <col min="12038" max="12038" width="25.125" style="550" customWidth="1"/>
    <col min="12039" max="12039" width="9.875" style="550" customWidth="1"/>
    <col min="12040" max="12040" width="15.625" style="550" customWidth="1"/>
    <col min="12041" max="12041" width="7.625" style="550" customWidth="1"/>
    <col min="12042" max="12043" width="9.625" style="550" customWidth="1"/>
    <col min="12044" max="12044" width="6.5" style="550" customWidth="1"/>
    <col min="12045" max="12045" width="8.125" style="550" customWidth="1"/>
    <col min="12046" max="12246" width="8.875" style="550"/>
    <col min="12247" max="12247" width="5" style="550" customWidth="1"/>
    <col min="12248" max="12248" width="33.375" style="550" customWidth="1"/>
    <col min="12249" max="12249" width="6.5" style="550" customWidth="1"/>
    <col min="12250" max="12250" width="29.5" style="550" customWidth="1"/>
    <col min="12251" max="12251" width="23.625" style="550" customWidth="1"/>
    <col min="12252" max="12252" width="8" style="550" customWidth="1"/>
    <col min="12253" max="12253" width="9.125" style="550" customWidth="1"/>
    <col min="12254" max="12254" width="13.875" style="550" customWidth="1"/>
    <col min="12255" max="12255" width="13.5" style="550" customWidth="1"/>
    <col min="12256" max="12288" width="8.875" style="550"/>
    <col min="12289" max="12289" width="0" style="550" hidden="1" customWidth="1"/>
    <col min="12290" max="12290" width="6.625" style="550" customWidth="1"/>
    <col min="12291" max="12291" width="22.625" style="550" customWidth="1"/>
    <col min="12292" max="12292" width="7.625" style="550" customWidth="1"/>
    <col min="12293" max="12293" width="24.125" style="550" customWidth="1"/>
    <col min="12294" max="12294" width="25.125" style="550" customWidth="1"/>
    <col min="12295" max="12295" width="9.875" style="550" customWidth="1"/>
    <col min="12296" max="12296" width="15.625" style="550" customWidth="1"/>
    <col min="12297" max="12297" width="7.625" style="550" customWidth="1"/>
    <col min="12298" max="12299" width="9.625" style="550" customWidth="1"/>
    <col min="12300" max="12300" width="6.5" style="550" customWidth="1"/>
    <col min="12301" max="12301" width="8.125" style="550" customWidth="1"/>
    <col min="12302" max="12502" width="8.875" style="550"/>
    <col min="12503" max="12503" width="5" style="550" customWidth="1"/>
    <col min="12504" max="12504" width="33.375" style="550" customWidth="1"/>
    <col min="12505" max="12505" width="6.5" style="550" customWidth="1"/>
    <col min="12506" max="12506" width="29.5" style="550" customWidth="1"/>
    <col min="12507" max="12507" width="23.625" style="550" customWidth="1"/>
    <col min="12508" max="12508" width="8" style="550" customWidth="1"/>
    <col min="12509" max="12509" width="9.125" style="550" customWidth="1"/>
    <col min="12510" max="12510" width="13.875" style="550" customWidth="1"/>
    <col min="12511" max="12511" width="13.5" style="550" customWidth="1"/>
    <col min="12512" max="12544" width="8.875" style="550"/>
    <col min="12545" max="12545" width="0" style="550" hidden="1" customWidth="1"/>
    <col min="12546" max="12546" width="6.625" style="550" customWidth="1"/>
    <col min="12547" max="12547" width="22.625" style="550" customWidth="1"/>
    <col min="12548" max="12548" width="7.625" style="550" customWidth="1"/>
    <col min="12549" max="12549" width="24.125" style="550" customWidth="1"/>
    <col min="12550" max="12550" width="25.125" style="550" customWidth="1"/>
    <col min="12551" max="12551" width="9.875" style="550" customWidth="1"/>
    <col min="12552" max="12552" width="15.625" style="550" customWidth="1"/>
    <col min="12553" max="12553" width="7.625" style="550" customWidth="1"/>
    <col min="12554" max="12555" width="9.625" style="550" customWidth="1"/>
    <col min="12556" max="12556" width="6.5" style="550" customWidth="1"/>
    <col min="12557" max="12557" width="8.125" style="550" customWidth="1"/>
    <col min="12558" max="12758" width="8.875" style="550"/>
    <col min="12759" max="12759" width="5" style="550" customWidth="1"/>
    <col min="12760" max="12760" width="33.375" style="550" customWidth="1"/>
    <col min="12761" max="12761" width="6.5" style="550" customWidth="1"/>
    <col min="12762" max="12762" width="29.5" style="550" customWidth="1"/>
    <col min="12763" max="12763" width="23.625" style="550" customWidth="1"/>
    <col min="12764" max="12764" width="8" style="550" customWidth="1"/>
    <col min="12765" max="12765" width="9.125" style="550" customWidth="1"/>
    <col min="12766" max="12766" width="13.875" style="550" customWidth="1"/>
    <col min="12767" max="12767" width="13.5" style="550" customWidth="1"/>
    <col min="12768" max="12800" width="8.875" style="550"/>
    <col min="12801" max="12801" width="0" style="550" hidden="1" customWidth="1"/>
    <col min="12802" max="12802" width="6.625" style="550" customWidth="1"/>
    <col min="12803" max="12803" width="22.625" style="550" customWidth="1"/>
    <col min="12804" max="12804" width="7.625" style="550" customWidth="1"/>
    <col min="12805" max="12805" width="24.125" style="550" customWidth="1"/>
    <col min="12806" max="12806" width="25.125" style="550" customWidth="1"/>
    <col min="12807" max="12807" width="9.875" style="550" customWidth="1"/>
    <col min="12808" max="12808" width="15.625" style="550" customWidth="1"/>
    <col min="12809" max="12809" width="7.625" style="550" customWidth="1"/>
    <col min="12810" max="12811" width="9.625" style="550" customWidth="1"/>
    <col min="12812" max="12812" width="6.5" style="550" customWidth="1"/>
    <col min="12813" max="12813" width="8.125" style="550" customWidth="1"/>
    <col min="12814" max="13014" width="8.875" style="550"/>
    <col min="13015" max="13015" width="5" style="550" customWidth="1"/>
    <col min="13016" max="13016" width="33.375" style="550" customWidth="1"/>
    <col min="13017" max="13017" width="6.5" style="550" customWidth="1"/>
    <col min="13018" max="13018" width="29.5" style="550" customWidth="1"/>
    <col min="13019" max="13019" width="23.625" style="550" customWidth="1"/>
    <col min="13020" max="13020" width="8" style="550" customWidth="1"/>
    <col min="13021" max="13021" width="9.125" style="550" customWidth="1"/>
    <col min="13022" max="13022" width="13.875" style="550" customWidth="1"/>
    <col min="13023" max="13023" width="13.5" style="550" customWidth="1"/>
    <col min="13024" max="13056" width="8.875" style="550"/>
    <col min="13057" max="13057" width="0" style="550" hidden="1" customWidth="1"/>
    <col min="13058" max="13058" width="6.625" style="550" customWidth="1"/>
    <col min="13059" max="13059" width="22.625" style="550" customWidth="1"/>
    <col min="13060" max="13060" width="7.625" style="550" customWidth="1"/>
    <col min="13061" max="13061" width="24.125" style="550" customWidth="1"/>
    <col min="13062" max="13062" width="25.125" style="550" customWidth="1"/>
    <col min="13063" max="13063" width="9.875" style="550" customWidth="1"/>
    <col min="13064" max="13064" width="15.625" style="550" customWidth="1"/>
    <col min="13065" max="13065" width="7.625" style="550" customWidth="1"/>
    <col min="13066" max="13067" width="9.625" style="550" customWidth="1"/>
    <col min="13068" max="13068" width="6.5" style="550" customWidth="1"/>
    <col min="13069" max="13069" width="8.125" style="550" customWidth="1"/>
    <col min="13070" max="13270" width="8.875" style="550"/>
    <col min="13271" max="13271" width="5" style="550" customWidth="1"/>
    <col min="13272" max="13272" width="33.375" style="550" customWidth="1"/>
    <col min="13273" max="13273" width="6.5" style="550" customWidth="1"/>
    <col min="13274" max="13274" width="29.5" style="550" customWidth="1"/>
    <col min="13275" max="13275" width="23.625" style="550" customWidth="1"/>
    <col min="13276" max="13276" width="8" style="550" customWidth="1"/>
    <col min="13277" max="13277" width="9.125" style="550" customWidth="1"/>
    <col min="13278" max="13278" width="13.875" style="550" customWidth="1"/>
    <col min="13279" max="13279" width="13.5" style="550" customWidth="1"/>
    <col min="13280" max="13312" width="8.875" style="550"/>
    <col min="13313" max="13313" width="0" style="550" hidden="1" customWidth="1"/>
    <col min="13314" max="13314" width="6.625" style="550" customWidth="1"/>
    <col min="13315" max="13315" width="22.625" style="550" customWidth="1"/>
    <col min="13316" max="13316" width="7.625" style="550" customWidth="1"/>
    <col min="13317" max="13317" width="24.125" style="550" customWidth="1"/>
    <col min="13318" max="13318" width="25.125" style="550" customWidth="1"/>
    <col min="13319" max="13319" width="9.875" style="550" customWidth="1"/>
    <col min="13320" max="13320" width="15.625" style="550" customWidth="1"/>
    <col min="13321" max="13321" width="7.625" style="550" customWidth="1"/>
    <col min="13322" max="13323" width="9.625" style="550" customWidth="1"/>
    <col min="13324" max="13324" width="6.5" style="550" customWidth="1"/>
    <col min="13325" max="13325" width="8.125" style="550" customWidth="1"/>
    <col min="13326" max="13526" width="8.875" style="550"/>
    <col min="13527" max="13527" width="5" style="550" customWidth="1"/>
    <col min="13528" max="13528" width="33.375" style="550" customWidth="1"/>
    <col min="13529" max="13529" width="6.5" style="550" customWidth="1"/>
    <col min="13530" max="13530" width="29.5" style="550" customWidth="1"/>
    <col min="13531" max="13531" width="23.625" style="550" customWidth="1"/>
    <col min="13532" max="13532" width="8" style="550" customWidth="1"/>
    <col min="13533" max="13533" width="9.125" style="550" customWidth="1"/>
    <col min="13534" max="13534" width="13.875" style="550" customWidth="1"/>
    <col min="13535" max="13535" width="13.5" style="550" customWidth="1"/>
    <col min="13536" max="13568" width="8.875" style="550"/>
    <col min="13569" max="13569" width="0" style="550" hidden="1" customWidth="1"/>
    <col min="13570" max="13570" width="6.625" style="550" customWidth="1"/>
    <col min="13571" max="13571" width="22.625" style="550" customWidth="1"/>
    <col min="13572" max="13572" width="7.625" style="550" customWidth="1"/>
    <col min="13573" max="13573" width="24.125" style="550" customWidth="1"/>
    <col min="13574" max="13574" width="25.125" style="550" customWidth="1"/>
    <col min="13575" max="13575" width="9.875" style="550" customWidth="1"/>
    <col min="13576" max="13576" width="15.625" style="550" customWidth="1"/>
    <col min="13577" max="13577" width="7.625" style="550" customWidth="1"/>
    <col min="13578" max="13579" width="9.625" style="550" customWidth="1"/>
    <col min="13580" max="13580" width="6.5" style="550" customWidth="1"/>
    <col min="13581" max="13581" width="8.125" style="550" customWidth="1"/>
    <col min="13582" max="13782" width="8.875" style="550"/>
    <col min="13783" max="13783" width="5" style="550" customWidth="1"/>
    <col min="13784" max="13784" width="33.375" style="550" customWidth="1"/>
    <col min="13785" max="13785" width="6.5" style="550" customWidth="1"/>
    <col min="13786" max="13786" width="29.5" style="550" customWidth="1"/>
    <col min="13787" max="13787" width="23.625" style="550" customWidth="1"/>
    <col min="13788" max="13788" width="8" style="550" customWidth="1"/>
    <col min="13789" max="13789" width="9.125" style="550" customWidth="1"/>
    <col min="13790" max="13790" width="13.875" style="550" customWidth="1"/>
    <col min="13791" max="13791" width="13.5" style="550" customWidth="1"/>
    <col min="13792" max="13824" width="8.875" style="550"/>
    <col min="13825" max="13825" width="0" style="550" hidden="1" customWidth="1"/>
    <col min="13826" max="13826" width="6.625" style="550" customWidth="1"/>
    <col min="13827" max="13827" width="22.625" style="550" customWidth="1"/>
    <col min="13828" max="13828" width="7.625" style="550" customWidth="1"/>
    <col min="13829" max="13829" width="24.125" style="550" customWidth="1"/>
    <col min="13830" max="13830" width="25.125" style="550" customWidth="1"/>
    <col min="13831" max="13831" width="9.875" style="550" customWidth="1"/>
    <col min="13832" max="13832" width="15.625" style="550" customWidth="1"/>
    <col min="13833" max="13833" width="7.625" style="550" customWidth="1"/>
    <col min="13834" max="13835" width="9.625" style="550" customWidth="1"/>
    <col min="13836" max="13836" width="6.5" style="550" customWidth="1"/>
    <col min="13837" max="13837" width="8.125" style="550" customWidth="1"/>
    <col min="13838" max="14038" width="8.875" style="550"/>
    <col min="14039" max="14039" width="5" style="550" customWidth="1"/>
    <col min="14040" max="14040" width="33.375" style="550" customWidth="1"/>
    <col min="14041" max="14041" width="6.5" style="550" customWidth="1"/>
    <col min="14042" max="14042" width="29.5" style="550" customWidth="1"/>
    <col min="14043" max="14043" width="23.625" style="550" customWidth="1"/>
    <col min="14044" max="14044" width="8" style="550" customWidth="1"/>
    <col min="14045" max="14045" width="9.125" style="550" customWidth="1"/>
    <col min="14046" max="14046" width="13.875" style="550" customWidth="1"/>
    <col min="14047" max="14047" width="13.5" style="550" customWidth="1"/>
    <col min="14048" max="14080" width="8.875" style="550"/>
    <col min="14081" max="14081" width="0" style="550" hidden="1" customWidth="1"/>
    <col min="14082" max="14082" width="6.625" style="550" customWidth="1"/>
    <col min="14083" max="14083" width="22.625" style="550" customWidth="1"/>
    <col min="14084" max="14084" width="7.625" style="550" customWidth="1"/>
    <col min="14085" max="14085" width="24.125" style="550" customWidth="1"/>
    <col min="14086" max="14086" width="25.125" style="550" customWidth="1"/>
    <col min="14087" max="14087" width="9.875" style="550" customWidth="1"/>
    <col min="14088" max="14088" width="15.625" style="550" customWidth="1"/>
    <col min="14089" max="14089" width="7.625" style="550" customWidth="1"/>
    <col min="14090" max="14091" width="9.625" style="550" customWidth="1"/>
    <col min="14092" max="14092" width="6.5" style="550" customWidth="1"/>
    <col min="14093" max="14093" width="8.125" style="550" customWidth="1"/>
    <col min="14094" max="14294" width="8.875" style="550"/>
    <col min="14295" max="14295" width="5" style="550" customWidth="1"/>
    <col min="14296" max="14296" width="33.375" style="550" customWidth="1"/>
    <col min="14297" max="14297" width="6.5" style="550" customWidth="1"/>
    <col min="14298" max="14298" width="29.5" style="550" customWidth="1"/>
    <col min="14299" max="14299" width="23.625" style="550" customWidth="1"/>
    <col min="14300" max="14300" width="8" style="550" customWidth="1"/>
    <col min="14301" max="14301" width="9.125" style="550" customWidth="1"/>
    <col min="14302" max="14302" width="13.875" style="550" customWidth="1"/>
    <col min="14303" max="14303" width="13.5" style="550" customWidth="1"/>
    <col min="14304" max="14336" width="8.875" style="550"/>
    <col min="14337" max="14337" width="0" style="550" hidden="1" customWidth="1"/>
    <col min="14338" max="14338" width="6.625" style="550" customWidth="1"/>
    <col min="14339" max="14339" width="22.625" style="550" customWidth="1"/>
    <col min="14340" max="14340" width="7.625" style="550" customWidth="1"/>
    <col min="14341" max="14341" width="24.125" style="550" customWidth="1"/>
    <col min="14342" max="14342" width="25.125" style="550" customWidth="1"/>
    <col min="14343" max="14343" width="9.875" style="550" customWidth="1"/>
    <col min="14344" max="14344" width="15.625" style="550" customWidth="1"/>
    <col min="14345" max="14345" width="7.625" style="550" customWidth="1"/>
    <col min="14346" max="14347" width="9.625" style="550" customWidth="1"/>
    <col min="14348" max="14348" width="6.5" style="550" customWidth="1"/>
    <col min="14349" max="14349" width="8.125" style="550" customWidth="1"/>
    <col min="14350" max="14550" width="8.875" style="550"/>
    <col min="14551" max="14551" width="5" style="550" customWidth="1"/>
    <col min="14552" max="14552" width="33.375" style="550" customWidth="1"/>
    <col min="14553" max="14553" width="6.5" style="550" customWidth="1"/>
    <col min="14554" max="14554" width="29.5" style="550" customWidth="1"/>
    <col min="14555" max="14555" width="23.625" style="550" customWidth="1"/>
    <col min="14556" max="14556" width="8" style="550" customWidth="1"/>
    <col min="14557" max="14557" width="9.125" style="550" customWidth="1"/>
    <col min="14558" max="14558" width="13.875" style="550" customWidth="1"/>
    <col min="14559" max="14559" width="13.5" style="550" customWidth="1"/>
    <col min="14560" max="14592" width="8.875" style="550"/>
    <col min="14593" max="14593" width="0" style="550" hidden="1" customWidth="1"/>
    <col min="14594" max="14594" width="6.625" style="550" customWidth="1"/>
    <col min="14595" max="14595" width="22.625" style="550" customWidth="1"/>
    <col min="14596" max="14596" width="7.625" style="550" customWidth="1"/>
    <col min="14597" max="14597" width="24.125" style="550" customWidth="1"/>
    <col min="14598" max="14598" width="25.125" style="550" customWidth="1"/>
    <col min="14599" max="14599" width="9.875" style="550" customWidth="1"/>
    <col min="14600" max="14600" width="15.625" style="550" customWidth="1"/>
    <col min="14601" max="14601" width="7.625" style="550" customWidth="1"/>
    <col min="14602" max="14603" width="9.625" style="550" customWidth="1"/>
    <col min="14604" max="14604" width="6.5" style="550" customWidth="1"/>
    <col min="14605" max="14605" width="8.125" style="550" customWidth="1"/>
    <col min="14606" max="14806" width="8.875" style="550"/>
    <col min="14807" max="14807" width="5" style="550" customWidth="1"/>
    <col min="14808" max="14808" width="33.375" style="550" customWidth="1"/>
    <col min="14809" max="14809" width="6.5" style="550" customWidth="1"/>
    <col min="14810" max="14810" width="29.5" style="550" customWidth="1"/>
    <col min="14811" max="14811" width="23.625" style="550" customWidth="1"/>
    <col min="14812" max="14812" width="8" style="550" customWidth="1"/>
    <col min="14813" max="14813" width="9.125" style="550" customWidth="1"/>
    <col min="14814" max="14814" width="13.875" style="550" customWidth="1"/>
    <col min="14815" max="14815" width="13.5" style="550" customWidth="1"/>
    <col min="14816" max="14848" width="8.875" style="550"/>
    <col min="14849" max="14849" width="0" style="550" hidden="1" customWidth="1"/>
    <col min="14850" max="14850" width="6.625" style="550" customWidth="1"/>
    <col min="14851" max="14851" width="22.625" style="550" customWidth="1"/>
    <col min="14852" max="14852" width="7.625" style="550" customWidth="1"/>
    <col min="14853" max="14853" width="24.125" style="550" customWidth="1"/>
    <col min="14854" max="14854" width="25.125" style="550" customWidth="1"/>
    <col min="14855" max="14855" width="9.875" style="550" customWidth="1"/>
    <col min="14856" max="14856" width="15.625" style="550" customWidth="1"/>
    <col min="14857" max="14857" width="7.625" style="550" customWidth="1"/>
    <col min="14858" max="14859" width="9.625" style="550" customWidth="1"/>
    <col min="14860" max="14860" width="6.5" style="550" customWidth="1"/>
    <col min="14861" max="14861" width="8.125" style="550" customWidth="1"/>
    <col min="14862" max="15062" width="8.875" style="550"/>
    <col min="15063" max="15063" width="5" style="550" customWidth="1"/>
    <col min="15064" max="15064" width="33.375" style="550" customWidth="1"/>
    <col min="15065" max="15065" width="6.5" style="550" customWidth="1"/>
    <col min="15066" max="15066" width="29.5" style="550" customWidth="1"/>
    <col min="15067" max="15067" width="23.625" style="550" customWidth="1"/>
    <col min="15068" max="15068" width="8" style="550" customWidth="1"/>
    <col min="15069" max="15069" width="9.125" style="550" customWidth="1"/>
    <col min="15070" max="15070" width="13.875" style="550" customWidth="1"/>
    <col min="15071" max="15071" width="13.5" style="550" customWidth="1"/>
    <col min="15072" max="15104" width="8.875" style="550"/>
    <col min="15105" max="15105" width="0" style="550" hidden="1" customWidth="1"/>
    <col min="15106" max="15106" width="6.625" style="550" customWidth="1"/>
    <col min="15107" max="15107" width="22.625" style="550" customWidth="1"/>
    <col min="15108" max="15108" width="7.625" style="550" customWidth="1"/>
    <col min="15109" max="15109" width="24.125" style="550" customWidth="1"/>
    <col min="15110" max="15110" width="25.125" style="550" customWidth="1"/>
    <col min="15111" max="15111" width="9.875" style="550" customWidth="1"/>
    <col min="15112" max="15112" width="15.625" style="550" customWidth="1"/>
    <col min="15113" max="15113" width="7.625" style="550" customWidth="1"/>
    <col min="15114" max="15115" width="9.625" style="550" customWidth="1"/>
    <col min="15116" max="15116" width="6.5" style="550" customWidth="1"/>
    <col min="15117" max="15117" width="8.125" style="550" customWidth="1"/>
    <col min="15118" max="15318" width="8.875" style="550"/>
    <col min="15319" max="15319" width="5" style="550" customWidth="1"/>
    <col min="15320" max="15320" width="33.375" style="550" customWidth="1"/>
    <col min="15321" max="15321" width="6.5" style="550" customWidth="1"/>
    <col min="15322" max="15322" width="29.5" style="550" customWidth="1"/>
    <col min="15323" max="15323" width="23.625" style="550" customWidth="1"/>
    <col min="15324" max="15324" width="8" style="550" customWidth="1"/>
    <col min="15325" max="15325" width="9.125" style="550" customWidth="1"/>
    <col min="15326" max="15326" width="13.875" style="550" customWidth="1"/>
    <col min="15327" max="15327" width="13.5" style="550" customWidth="1"/>
    <col min="15328" max="15360" width="8.875" style="550"/>
    <col min="15361" max="15361" width="0" style="550" hidden="1" customWidth="1"/>
    <col min="15362" max="15362" width="6.625" style="550" customWidth="1"/>
    <col min="15363" max="15363" width="22.625" style="550" customWidth="1"/>
    <col min="15364" max="15364" width="7.625" style="550" customWidth="1"/>
    <col min="15365" max="15365" width="24.125" style="550" customWidth="1"/>
    <col min="15366" max="15366" width="25.125" style="550" customWidth="1"/>
    <col min="15367" max="15367" width="9.875" style="550" customWidth="1"/>
    <col min="15368" max="15368" width="15.625" style="550" customWidth="1"/>
    <col min="15369" max="15369" width="7.625" style="550" customWidth="1"/>
    <col min="15370" max="15371" width="9.625" style="550" customWidth="1"/>
    <col min="15372" max="15372" width="6.5" style="550" customWidth="1"/>
    <col min="15373" max="15373" width="8.125" style="550" customWidth="1"/>
    <col min="15374" max="15574" width="8.875" style="550"/>
    <col min="15575" max="15575" width="5" style="550" customWidth="1"/>
    <col min="15576" max="15576" width="33.375" style="550" customWidth="1"/>
    <col min="15577" max="15577" width="6.5" style="550" customWidth="1"/>
    <col min="15578" max="15578" width="29.5" style="550" customWidth="1"/>
    <col min="15579" max="15579" width="23.625" style="550" customWidth="1"/>
    <col min="15580" max="15580" width="8" style="550" customWidth="1"/>
    <col min="15581" max="15581" width="9.125" style="550" customWidth="1"/>
    <col min="15582" max="15582" width="13.875" style="550" customWidth="1"/>
    <col min="15583" max="15583" width="13.5" style="550" customWidth="1"/>
    <col min="15584" max="15616" width="8.875" style="550"/>
    <col min="15617" max="15617" width="0" style="550" hidden="1" customWidth="1"/>
    <col min="15618" max="15618" width="6.625" style="550" customWidth="1"/>
    <col min="15619" max="15619" width="22.625" style="550" customWidth="1"/>
    <col min="15620" max="15620" width="7.625" style="550" customWidth="1"/>
    <col min="15621" max="15621" width="24.125" style="550" customWidth="1"/>
    <col min="15622" max="15622" width="25.125" style="550" customWidth="1"/>
    <col min="15623" max="15623" width="9.875" style="550" customWidth="1"/>
    <col min="15624" max="15624" width="15.625" style="550" customWidth="1"/>
    <col min="15625" max="15625" width="7.625" style="550" customWidth="1"/>
    <col min="15626" max="15627" width="9.625" style="550" customWidth="1"/>
    <col min="15628" max="15628" width="6.5" style="550" customWidth="1"/>
    <col min="15629" max="15629" width="8.125" style="550" customWidth="1"/>
    <col min="15630" max="15830" width="8.875" style="550"/>
    <col min="15831" max="15831" width="5" style="550" customWidth="1"/>
    <col min="15832" max="15832" width="33.375" style="550" customWidth="1"/>
    <col min="15833" max="15833" width="6.5" style="550" customWidth="1"/>
    <col min="15834" max="15834" width="29.5" style="550" customWidth="1"/>
    <col min="15835" max="15835" width="23.625" style="550" customWidth="1"/>
    <col min="15836" max="15836" width="8" style="550" customWidth="1"/>
    <col min="15837" max="15837" width="9.125" style="550" customWidth="1"/>
    <col min="15838" max="15838" width="13.875" style="550" customWidth="1"/>
    <col min="15839" max="15839" width="13.5" style="550" customWidth="1"/>
    <col min="15840" max="15872" width="8.875" style="550"/>
    <col min="15873" max="15873" width="0" style="550" hidden="1" customWidth="1"/>
    <col min="15874" max="15874" width="6.625" style="550" customWidth="1"/>
    <col min="15875" max="15875" width="22.625" style="550" customWidth="1"/>
    <col min="15876" max="15876" width="7.625" style="550" customWidth="1"/>
    <col min="15877" max="15877" width="24.125" style="550" customWidth="1"/>
    <col min="15878" max="15878" width="25.125" style="550" customWidth="1"/>
    <col min="15879" max="15879" width="9.875" style="550" customWidth="1"/>
    <col min="15880" max="15880" width="15.625" style="550" customWidth="1"/>
    <col min="15881" max="15881" width="7.625" style="550" customWidth="1"/>
    <col min="15882" max="15883" width="9.625" style="550" customWidth="1"/>
    <col min="15884" max="15884" width="6.5" style="550" customWidth="1"/>
    <col min="15885" max="15885" width="8.125" style="550" customWidth="1"/>
    <col min="15886" max="16086" width="8.875" style="550"/>
    <col min="16087" max="16087" width="5" style="550" customWidth="1"/>
    <col min="16088" max="16088" width="33.375" style="550" customWidth="1"/>
    <col min="16089" max="16089" width="6.5" style="550" customWidth="1"/>
    <col min="16090" max="16090" width="29.5" style="550" customWidth="1"/>
    <col min="16091" max="16091" width="23.625" style="550" customWidth="1"/>
    <col min="16092" max="16092" width="8" style="550" customWidth="1"/>
    <col min="16093" max="16093" width="9.125" style="550" customWidth="1"/>
    <col min="16094" max="16094" width="13.875" style="550" customWidth="1"/>
    <col min="16095" max="16095" width="13.5" style="550" customWidth="1"/>
    <col min="16096" max="16128" width="8.875" style="550"/>
    <col min="16129" max="16129" width="0" style="550" hidden="1" customWidth="1"/>
    <col min="16130" max="16130" width="6.625" style="550" customWidth="1"/>
    <col min="16131" max="16131" width="22.625" style="550" customWidth="1"/>
    <col min="16132" max="16132" width="7.625" style="550" customWidth="1"/>
    <col min="16133" max="16133" width="24.125" style="550" customWidth="1"/>
    <col min="16134" max="16134" width="25.125" style="550" customWidth="1"/>
    <col min="16135" max="16135" width="9.875" style="550" customWidth="1"/>
    <col min="16136" max="16136" width="15.625" style="550" customWidth="1"/>
    <col min="16137" max="16137" width="7.625" style="550" customWidth="1"/>
    <col min="16138" max="16139" width="9.625" style="550" customWidth="1"/>
    <col min="16140" max="16140" width="6.5" style="550" customWidth="1"/>
    <col min="16141" max="16141" width="8.125" style="550" customWidth="1"/>
    <col min="16142" max="16342" width="8.875" style="550"/>
    <col min="16343" max="16343" width="5" style="550" customWidth="1"/>
    <col min="16344" max="16344" width="33.375" style="550" customWidth="1"/>
    <col min="16345" max="16345" width="6.5" style="550" customWidth="1"/>
    <col min="16346" max="16346" width="29.5" style="550" customWidth="1"/>
    <col min="16347" max="16347" width="23.625" style="550" customWidth="1"/>
    <col min="16348" max="16348" width="8" style="550" customWidth="1"/>
    <col min="16349" max="16349" width="9.125" style="550" customWidth="1"/>
    <col min="16350" max="16350" width="13.875" style="550" customWidth="1"/>
    <col min="16351" max="16351" width="13.5" style="550" customWidth="1"/>
    <col min="16352" max="16384" width="8.875" style="550"/>
  </cols>
  <sheetData>
    <row r="1" spans="2:14" s="560" customFormat="1" hidden="1">
      <c r="B1" s="646"/>
      <c r="C1" s="646"/>
      <c r="F1" s="646"/>
      <c r="I1" s="646"/>
      <c r="J1" s="646"/>
      <c r="K1" s="646"/>
      <c r="L1" s="646"/>
      <c r="M1" s="646"/>
    </row>
    <row r="2" spans="2:14" s="647" customFormat="1" hidden="1">
      <c r="B2" s="547" t="s">
        <v>253</v>
      </c>
      <c r="C2" s="547" t="s">
        <v>132</v>
      </c>
    </row>
    <row r="3" spans="2:14" s="647" customFormat="1" hidden="1">
      <c r="B3" s="549" t="s">
        <v>648</v>
      </c>
      <c r="C3" s="549" t="s">
        <v>255</v>
      </c>
    </row>
    <row r="4" spans="2:14" s="647" customFormat="1" hidden="1">
      <c r="B4" s="547" t="s">
        <v>256</v>
      </c>
      <c r="C4" s="547" t="s">
        <v>133</v>
      </c>
      <c r="L4" s="648"/>
    </row>
    <row r="5" spans="2:14" s="560" customFormat="1" ht="8.1" customHeight="1">
      <c r="B5" s="646"/>
      <c r="C5" s="646"/>
      <c r="F5" s="646"/>
      <c r="I5" s="646"/>
      <c r="J5" s="646"/>
      <c r="K5" s="646"/>
      <c r="L5" s="646"/>
      <c r="M5" s="646"/>
    </row>
    <row r="6" spans="2:14" s="651" customFormat="1" ht="18.75" customHeight="1">
      <c r="B6" s="649" t="s">
        <v>38</v>
      </c>
      <c r="C6" s="964" t="s">
        <v>578</v>
      </c>
      <c r="D6" s="965"/>
      <c r="E6" s="965"/>
      <c r="F6" s="650"/>
      <c r="G6" s="650"/>
      <c r="H6" s="650"/>
      <c r="I6" s="650"/>
      <c r="J6" s="650"/>
      <c r="K6" s="650"/>
      <c r="L6" s="650"/>
      <c r="M6" s="650"/>
    </row>
    <row r="7" spans="2:14" s="651" customFormat="1" ht="15.95" customHeight="1">
      <c r="B7" s="652"/>
      <c r="C7" s="653"/>
      <c r="D7" s="653"/>
      <c r="E7" s="653"/>
      <c r="F7" s="650"/>
      <c r="G7" s="650"/>
      <c r="H7" s="650"/>
      <c r="I7" s="650"/>
      <c r="J7" s="650"/>
      <c r="K7" s="650"/>
      <c r="L7" s="650"/>
      <c r="M7" s="650"/>
    </row>
    <row r="8" spans="2:14" s="556" customFormat="1" ht="11.1" hidden="1" customHeight="1">
      <c r="C8" s="651"/>
      <c r="D8" s="555"/>
      <c r="E8" s="555"/>
      <c r="F8" s="555"/>
      <c r="G8" s="555"/>
      <c r="H8" s="555"/>
      <c r="I8" s="555"/>
      <c r="J8" s="555"/>
      <c r="K8" s="555"/>
      <c r="L8" s="555"/>
      <c r="M8" s="555"/>
    </row>
    <row r="9" spans="2:14" s="575" customFormat="1" ht="25.5">
      <c r="B9" s="475" t="s">
        <v>1</v>
      </c>
      <c r="C9" s="475" t="s">
        <v>31</v>
      </c>
      <c r="D9" s="475" t="s">
        <v>151</v>
      </c>
      <c r="E9" s="475" t="s">
        <v>165</v>
      </c>
      <c r="F9" s="475" t="s">
        <v>17</v>
      </c>
      <c r="G9" s="475" t="s">
        <v>36</v>
      </c>
      <c r="H9" s="475" t="s">
        <v>116</v>
      </c>
      <c r="I9" s="475" t="s">
        <v>19</v>
      </c>
      <c r="J9" s="475" t="s">
        <v>170</v>
      </c>
      <c r="K9" s="475" t="s">
        <v>164</v>
      </c>
      <c r="L9" s="475" t="s">
        <v>32</v>
      </c>
      <c r="M9" s="475" t="s">
        <v>20</v>
      </c>
    </row>
    <row r="10" spans="2:14" s="590" customFormat="1" ht="21" customHeight="1">
      <c r="B10" s="514"/>
      <c r="C10" s="514" t="s">
        <v>6</v>
      </c>
      <c r="D10" s="515">
        <v>0.4</v>
      </c>
      <c r="E10" s="516"/>
      <c r="F10" s="518"/>
      <c r="G10" s="518"/>
      <c r="H10" s="654"/>
      <c r="I10" s="518"/>
      <c r="J10" s="514"/>
      <c r="K10" s="514"/>
      <c r="L10" s="655"/>
      <c r="M10" s="656"/>
    </row>
    <row r="11" spans="2:14" ht="60.75" customHeight="1">
      <c r="B11" s="481">
        <v>1</v>
      </c>
      <c r="C11" s="665" t="s">
        <v>507</v>
      </c>
      <c r="D11" s="577">
        <v>0.2</v>
      </c>
      <c r="E11" s="666" t="s">
        <v>408</v>
      </c>
      <c r="F11" s="657" t="s">
        <v>330</v>
      </c>
      <c r="G11" s="677">
        <v>46387</v>
      </c>
      <c r="H11" s="658" t="s">
        <v>508</v>
      </c>
      <c r="I11" s="667" t="s">
        <v>326</v>
      </c>
      <c r="J11" s="578">
        <v>0.95</v>
      </c>
      <c r="K11" s="625"/>
      <c r="L11" s="620" t="str">
        <f>IF(LEN(K11)=0,"",IF(K11&gt;=J11,100%,0%))</f>
        <v/>
      </c>
      <c r="M11" s="577" t="str">
        <f>IFERROR(L11*D11,"")</f>
        <v/>
      </c>
    </row>
    <row r="12" spans="2:14" ht="63" customHeight="1">
      <c r="B12" s="659">
        <v>2</v>
      </c>
      <c r="C12" s="679" t="s">
        <v>579</v>
      </c>
      <c r="D12" s="577">
        <v>0.2</v>
      </c>
      <c r="E12" s="666" t="s">
        <v>412</v>
      </c>
      <c r="F12" s="645" t="s">
        <v>580</v>
      </c>
      <c r="G12" s="677">
        <v>46387</v>
      </c>
      <c r="H12" s="658" t="s">
        <v>509</v>
      </c>
      <c r="I12" s="667" t="s">
        <v>326</v>
      </c>
      <c r="J12" s="578">
        <v>0.9</v>
      </c>
      <c r="K12" s="625"/>
      <c r="L12" s="596" t="str">
        <f>IF(LEN(K12)=0,"",IF(K12&lt;80%,0,MIN(120%,K12/J12*100%)))</f>
        <v/>
      </c>
      <c r="M12" s="577" t="str">
        <f>IFERROR(L12*D12,"")</f>
        <v/>
      </c>
      <c r="N12" s="550" t="str">
        <f>IF(LEN(M12)=0,"",IF(AND(M12&gt;=L12,M12&lt;100%),100%,IF(M12=100%,120%,0%)))</f>
        <v/>
      </c>
    </row>
    <row r="13" spans="2:14" ht="54.75" customHeight="1">
      <c r="B13" s="481">
        <v>3</v>
      </c>
      <c r="C13" s="665" t="s">
        <v>429</v>
      </c>
      <c r="D13" s="577">
        <v>0.2</v>
      </c>
      <c r="E13" s="668" t="s">
        <v>430</v>
      </c>
      <c r="F13" s="657" t="s">
        <v>413</v>
      </c>
      <c r="G13" s="677">
        <v>46387</v>
      </c>
      <c r="H13" s="658" t="s">
        <v>510</v>
      </c>
      <c r="I13" s="669" t="s">
        <v>414</v>
      </c>
      <c r="J13" s="680">
        <v>0</v>
      </c>
      <c r="K13" s="626"/>
      <c r="L13" s="593" t="str">
        <f>IF(LEN(K13)=0,"",IF(K13=J13,1,0))</f>
        <v/>
      </c>
      <c r="M13" s="577" t="str">
        <f>IFERROR(L13*D13,"")</f>
        <v/>
      </c>
    </row>
    <row r="14" spans="2:14" ht="66" customHeight="1">
      <c r="B14" s="481">
        <v>4</v>
      </c>
      <c r="C14" s="665" t="s">
        <v>418</v>
      </c>
      <c r="D14" s="577">
        <v>0.15</v>
      </c>
      <c r="E14" s="666" t="s">
        <v>431</v>
      </c>
      <c r="F14" s="657" t="s">
        <v>413</v>
      </c>
      <c r="G14" s="677">
        <v>46387</v>
      </c>
      <c r="H14" s="658" t="s">
        <v>511</v>
      </c>
      <c r="I14" s="669" t="s">
        <v>414</v>
      </c>
      <c r="J14" s="680">
        <v>0</v>
      </c>
      <c r="K14" s="626"/>
      <c r="L14" s="593" t="str">
        <f>IF(LEN(K14)=0,"",IF(K14=J14,1,0))</f>
        <v/>
      </c>
      <c r="M14" s="577" t="str">
        <f>IFERROR(L14*D14,"")</f>
        <v/>
      </c>
    </row>
    <row r="15" spans="2:14" ht="57.75" customHeight="1">
      <c r="B15" s="481">
        <v>5</v>
      </c>
      <c r="C15" s="665" t="s">
        <v>581</v>
      </c>
      <c r="D15" s="577">
        <v>0.25</v>
      </c>
      <c r="E15" s="668" t="s">
        <v>582</v>
      </c>
      <c r="F15" s="657" t="s">
        <v>342</v>
      </c>
      <c r="G15" s="677">
        <v>46112</v>
      </c>
      <c r="H15" s="658" t="s">
        <v>511</v>
      </c>
      <c r="I15" s="667" t="s">
        <v>343</v>
      </c>
      <c r="J15" s="681">
        <v>46112</v>
      </c>
      <c r="K15" s="670"/>
      <c r="L15" s="660" t="str">
        <f>IF(LEN(K15)=0,"",IF(K15&lt;=J15,1,0))</f>
        <v/>
      </c>
      <c r="M15" s="577" t="str">
        <f>IFERROR(L15*D15,"")</f>
        <v/>
      </c>
    </row>
    <row r="16" spans="2:14" s="590" customFormat="1" ht="21" customHeight="1">
      <c r="B16" s="514"/>
      <c r="C16" s="514" t="s">
        <v>5</v>
      </c>
      <c r="D16" s="515">
        <v>0.25</v>
      </c>
      <c r="E16" s="516"/>
      <c r="F16" s="518"/>
      <c r="G16" s="518"/>
      <c r="H16" s="654"/>
      <c r="I16" s="518"/>
      <c r="J16" s="514"/>
      <c r="K16" s="514"/>
      <c r="L16" s="655"/>
      <c r="M16" s="656"/>
    </row>
    <row r="17" spans="2:14" ht="53.25" customHeight="1">
      <c r="B17" s="481">
        <v>1</v>
      </c>
      <c r="C17" s="665" t="s">
        <v>583</v>
      </c>
      <c r="D17" s="577">
        <v>0.4</v>
      </c>
      <c r="E17" s="668" t="s">
        <v>584</v>
      </c>
      <c r="F17" s="657" t="s">
        <v>341</v>
      </c>
      <c r="G17" s="677">
        <v>46387</v>
      </c>
      <c r="H17" s="658" t="s">
        <v>585</v>
      </c>
      <c r="I17" s="667" t="s">
        <v>326</v>
      </c>
      <c r="J17" s="623">
        <v>0.02</v>
      </c>
      <c r="K17" s="671"/>
      <c r="L17" s="625" t="str">
        <f>IF(LEN(K17)=0,"",MAX(0%,IF(K17&lt;J17,0,(MIN(120%,K17/J17*100%)))))</f>
        <v/>
      </c>
      <c r="M17" s="577" t="str">
        <f>IFERROR(L17*D17,"")</f>
        <v/>
      </c>
    </row>
    <row r="18" spans="2:14" ht="44.25" customHeight="1">
      <c r="B18" s="481">
        <v>2</v>
      </c>
      <c r="C18" s="665" t="s">
        <v>421</v>
      </c>
      <c r="D18" s="577">
        <v>0.4</v>
      </c>
      <c r="E18" s="668" t="s">
        <v>436</v>
      </c>
      <c r="F18" s="657" t="s">
        <v>435</v>
      </c>
      <c r="G18" s="677">
        <v>46387</v>
      </c>
      <c r="H18" s="658" t="s">
        <v>511</v>
      </c>
      <c r="I18" s="667" t="s">
        <v>326</v>
      </c>
      <c r="J18" s="619">
        <v>1</v>
      </c>
      <c r="K18" s="619"/>
      <c r="L18" s="660" t="str">
        <f>IF(LEN(K18)=0,"",IF(K18&lt;=J18,1,0))</f>
        <v/>
      </c>
      <c r="M18" s="577" t="str">
        <f>IFERROR(L18*D18,"")</f>
        <v/>
      </c>
    </row>
    <row r="19" spans="2:14" ht="44.25" customHeight="1">
      <c r="B19" s="481">
        <v>3</v>
      </c>
      <c r="C19" s="665" t="s">
        <v>609</v>
      </c>
      <c r="D19" s="577">
        <v>0.2</v>
      </c>
      <c r="E19" s="668" t="s">
        <v>615</v>
      </c>
      <c r="F19" s="657" t="s">
        <v>613</v>
      </c>
      <c r="G19" s="677">
        <v>46387</v>
      </c>
      <c r="H19" s="658" t="s">
        <v>511</v>
      </c>
      <c r="I19" s="667" t="s">
        <v>612</v>
      </c>
      <c r="J19" s="619" t="s">
        <v>649</v>
      </c>
      <c r="K19" s="619"/>
      <c r="L19" s="660" t="str">
        <f>IF(LEN(K19)=0,"",IF(K19&gt;J19,0,MIN(120%,J19/K19*100%)))</f>
        <v/>
      </c>
      <c r="M19" s="577" t="str">
        <f>IFERROR(L19*D19,"")</f>
        <v/>
      </c>
    </row>
    <row r="20" spans="2:14" s="590" customFormat="1" ht="21" customHeight="1">
      <c r="B20" s="514"/>
      <c r="C20" s="514" t="s">
        <v>7</v>
      </c>
      <c r="D20" s="515">
        <v>0.15</v>
      </c>
      <c r="E20" s="516"/>
      <c r="F20" s="518"/>
      <c r="G20" s="518"/>
      <c r="H20" s="654"/>
      <c r="I20" s="518"/>
      <c r="J20" s="514"/>
      <c r="K20" s="514"/>
      <c r="L20" s="655"/>
      <c r="M20" s="656"/>
    </row>
    <row r="21" spans="2:14" ht="63.75">
      <c r="B21" s="481">
        <v>1</v>
      </c>
      <c r="C21" s="665" t="s">
        <v>638</v>
      </c>
      <c r="D21" s="577">
        <v>0.25</v>
      </c>
      <c r="E21" s="668" t="s">
        <v>432</v>
      </c>
      <c r="F21" s="657" t="s">
        <v>589</v>
      </c>
      <c r="G21" s="677">
        <v>46387</v>
      </c>
      <c r="H21" s="658" t="s">
        <v>590</v>
      </c>
      <c r="I21" s="669" t="s">
        <v>414</v>
      </c>
      <c r="J21" s="680">
        <v>4</v>
      </c>
      <c r="K21" s="626"/>
      <c r="L21" s="593" t="str">
        <f>IF(LEN(K21)=0,"",IF(K21&lt;=J21,1,0))</f>
        <v/>
      </c>
      <c r="M21" s="577" t="str">
        <f>IFERROR(L21*D21,"")</f>
        <v/>
      </c>
    </row>
    <row r="22" spans="2:14" ht="57" customHeight="1">
      <c r="B22" s="481">
        <v>2</v>
      </c>
      <c r="C22" s="665" t="s">
        <v>424</v>
      </c>
      <c r="D22" s="577">
        <v>0.15</v>
      </c>
      <c r="E22" s="668" t="s">
        <v>518</v>
      </c>
      <c r="F22" s="657" t="s">
        <v>413</v>
      </c>
      <c r="G22" s="677">
        <v>46387</v>
      </c>
      <c r="H22" s="658" t="s">
        <v>513</v>
      </c>
      <c r="I22" s="667" t="s">
        <v>343</v>
      </c>
      <c r="J22" s="682">
        <v>46387</v>
      </c>
      <c r="K22" s="626"/>
      <c r="L22" s="593" t="str">
        <f>IF(LEN(K22)=0,"",IF(K22=J22,1,0))</f>
        <v/>
      </c>
      <c r="M22" s="577" t="str">
        <f>IFERROR(L22*D22,"")</f>
        <v/>
      </c>
    </row>
    <row r="23" spans="2:14" ht="68.25" customHeight="1">
      <c r="B23" s="481">
        <v>3</v>
      </c>
      <c r="C23" s="665" t="s">
        <v>391</v>
      </c>
      <c r="D23" s="577">
        <v>0.2</v>
      </c>
      <c r="E23" s="668" t="s">
        <v>340</v>
      </c>
      <c r="F23" s="657" t="s">
        <v>333</v>
      </c>
      <c r="G23" s="677">
        <v>46387</v>
      </c>
      <c r="H23" s="658" t="s">
        <v>514</v>
      </c>
      <c r="I23" s="667" t="s">
        <v>343</v>
      </c>
      <c r="J23" s="687">
        <v>5</v>
      </c>
      <c r="K23" s="630"/>
      <c r="L23" s="625" t="str">
        <f>IF(LEN(K23)=0,"",IF(K23&gt;J23,0,MIN(120%,J23/K23*100%)))</f>
        <v/>
      </c>
      <c r="M23" s="577" t="str">
        <f>IFERROR(L23*D23,"")</f>
        <v/>
      </c>
    </row>
    <row r="24" spans="2:14" ht="54.75" customHeight="1">
      <c r="B24" s="481">
        <v>4</v>
      </c>
      <c r="C24" s="673" t="s">
        <v>652</v>
      </c>
      <c r="D24" s="577">
        <v>0.15</v>
      </c>
      <c r="E24" s="674" t="s">
        <v>354</v>
      </c>
      <c r="F24" s="661" t="s">
        <v>319</v>
      </c>
      <c r="G24" s="678">
        <v>46387</v>
      </c>
      <c r="H24" s="662" t="s">
        <v>514</v>
      </c>
      <c r="I24" s="675" t="s">
        <v>326</v>
      </c>
      <c r="J24" s="683">
        <v>5</v>
      </c>
      <c r="K24" s="663"/>
      <c r="L24" s="596" t="str">
        <f>IF(LEN(K24)=0,"",IF(K24=J24,1,0))</f>
        <v/>
      </c>
      <c r="M24" s="676" t="str">
        <f>IFERROR(L24*D24,"")</f>
        <v/>
      </c>
      <c r="N24" s="560"/>
    </row>
    <row r="25" spans="2:14" ht="38.25">
      <c r="B25" s="481">
        <v>5</v>
      </c>
      <c r="C25" s="665" t="s">
        <v>591</v>
      </c>
      <c r="D25" s="577">
        <v>0.25</v>
      </c>
      <c r="E25" s="668" t="s">
        <v>434</v>
      </c>
      <c r="F25" s="657" t="s">
        <v>592</v>
      </c>
      <c r="G25" s="677">
        <v>46387</v>
      </c>
      <c r="H25" s="658" t="s">
        <v>515</v>
      </c>
      <c r="I25" s="667" t="s">
        <v>326</v>
      </c>
      <c r="J25" s="684">
        <v>0.8</v>
      </c>
      <c r="K25" s="601"/>
      <c r="L25" s="625" t="str">
        <f>IF(LEN(K25)=0,"",IF(K25&lt;J25,0,MIN(120%,K25/J25*100%)))</f>
        <v/>
      </c>
      <c r="M25" s="577" t="str">
        <f>IFERROR(L25*D25,"")</f>
        <v/>
      </c>
    </row>
    <row r="26" spans="2:14" s="590" customFormat="1" ht="21" customHeight="1">
      <c r="B26" s="514"/>
      <c r="C26" s="514" t="s">
        <v>406</v>
      </c>
      <c r="D26" s="515">
        <v>0.2</v>
      </c>
      <c r="E26" s="516"/>
      <c r="F26" s="518"/>
      <c r="G26" s="518"/>
      <c r="H26" s="654"/>
      <c r="I26" s="518"/>
      <c r="J26" s="514"/>
      <c r="K26" s="514"/>
      <c r="L26" s="655"/>
      <c r="M26" s="656"/>
    </row>
    <row r="27" spans="2:14" ht="27" customHeight="1">
      <c r="B27" s="481">
        <v>1</v>
      </c>
      <c r="C27" s="665" t="s">
        <v>593</v>
      </c>
      <c r="D27" s="577">
        <v>0.4</v>
      </c>
      <c r="E27" s="668" t="s">
        <v>594</v>
      </c>
      <c r="F27" s="657" t="s">
        <v>342</v>
      </c>
      <c r="G27" s="677">
        <v>46387</v>
      </c>
      <c r="H27" s="658" t="s">
        <v>88</v>
      </c>
      <c r="I27" s="667" t="s">
        <v>343</v>
      </c>
      <c r="J27" s="685">
        <v>46387</v>
      </c>
      <c r="K27" s="599"/>
      <c r="L27" s="660" t="str">
        <f>IF(LEN(K27)=0,"",IF(K27&lt;=J27,1,0))</f>
        <v/>
      </c>
      <c r="M27" s="577" t="str">
        <f>IFERROR(L27*D27,"")</f>
        <v/>
      </c>
    </row>
    <row r="28" spans="2:14" ht="80.25" customHeight="1">
      <c r="B28" s="481">
        <v>2</v>
      </c>
      <c r="C28" s="665" t="s">
        <v>595</v>
      </c>
      <c r="D28" s="577">
        <v>0.15</v>
      </c>
      <c r="E28" s="666" t="s">
        <v>433</v>
      </c>
      <c r="F28" s="657" t="s">
        <v>342</v>
      </c>
      <c r="G28" s="677">
        <v>46387</v>
      </c>
      <c r="H28" s="658" t="s">
        <v>516</v>
      </c>
      <c r="I28" s="667" t="s">
        <v>343</v>
      </c>
      <c r="J28" s="685">
        <v>46387</v>
      </c>
      <c r="K28" s="599"/>
      <c r="L28" s="660" t="str">
        <f>IF(LEN(K28)=0,"",IF(K28&lt;=J28,1,0))</f>
        <v/>
      </c>
      <c r="M28" s="577" t="str">
        <f>IFERROR(L28*D28,"")</f>
        <v/>
      </c>
    </row>
    <row r="29" spans="2:14" ht="35.25" customHeight="1">
      <c r="B29" s="481">
        <v>3</v>
      </c>
      <c r="C29" s="665" t="s">
        <v>398</v>
      </c>
      <c r="D29" s="577">
        <v>0.2</v>
      </c>
      <c r="E29" s="668" t="s">
        <v>317</v>
      </c>
      <c r="F29" s="657" t="s">
        <v>330</v>
      </c>
      <c r="G29" s="677">
        <v>46387</v>
      </c>
      <c r="H29" s="658" t="s">
        <v>517</v>
      </c>
      <c r="I29" s="667" t="s">
        <v>346</v>
      </c>
      <c r="J29" s="576">
        <v>3</v>
      </c>
      <c r="K29" s="631"/>
      <c r="L29" s="620" t="str">
        <f>IF(LEN(K29)=0,"",IF(K29&gt;=J29,100%,0%))</f>
        <v/>
      </c>
      <c r="M29" s="577" t="str">
        <f>IFERROR(L29*D29,"")</f>
        <v/>
      </c>
    </row>
    <row r="30" spans="2:14" ht="39.75" customHeight="1">
      <c r="B30" s="481">
        <v>4</v>
      </c>
      <c r="C30" s="665" t="s">
        <v>596</v>
      </c>
      <c r="D30" s="577">
        <v>0.25</v>
      </c>
      <c r="E30" s="668" t="s">
        <v>597</v>
      </c>
      <c r="F30" s="657" t="s">
        <v>330</v>
      </c>
      <c r="G30" s="677">
        <v>46387</v>
      </c>
      <c r="H30" s="658" t="s">
        <v>515</v>
      </c>
      <c r="I30" s="667" t="s">
        <v>414</v>
      </c>
      <c r="J30" s="686">
        <v>1</v>
      </c>
      <c r="K30" s="627"/>
      <c r="L30" s="620" t="str">
        <f>IF(LEN(K30)=0,"",IF(K30&gt;=J30,100%,0%))</f>
        <v/>
      </c>
      <c r="M30" s="577" t="str">
        <f>IFERROR(L30*D30,"")</f>
        <v/>
      </c>
    </row>
    <row r="31" spans="2:14" s="590" customFormat="1" ht="20.100000000000001" customHeight="1">
      <c r="B31" s="514" t="s">
        <v>33</v>
      </c>
      <c r="C31" s="514"/>
      <c r="D31" s="515">
        <v>1</v>
      </c>
      <c r="E31" s="516"/>
      <c r="F31" s="518"/>
      <c r="G31" s="518"/>
      <c r="H31" s="654"/>
      <c r="I31" s="518"/>
      <c r="J31" s="514"/>
      <c r="K31" s="514"/>
      <c r="L31" s="655"/>
      <c r="M31" s="664"/>
    </row>
    <row r="32" spans="2:14">
      <c r="B32" s="611"/>
      <c r="C32" s="611"/>
      <c r="D32" s="611"/>
      <c r="E32" s="611"/>
      <c r="F32" s="612"/>
      <c r="G32" s="612"/>
      <c r="H32" s="611"/>
      <c r="I32" s="611"/>
      <c r="J32" s="611"/>
      <c r="K32" s="611"/>
      <c r="L32" s="611"/>
      <c r="M32" s="612"/>
    </row>
    <row r="33" spans="2:13" ht="15.95" customHeight="1">
      <c r="B33" s="611"/>
      <c r="C33" s="966" t="s">
        <v>536</v>
      </c>
      <c r="D33" s="966"/>
      <c r="E33" s="615"/>
      <c r="F33" s="966" t="s">
        <v>650</v>
      </c>
      <c r="G33" s="966"/>
      <c r="H33" s="966"/>
      <c r="I33" s="613"/>
      <c r="J33" s="966" t="s">
        <v>538</v>
      </c>
      <c r="K33" s="966"/>
      <c r="L33" s="966"/>
      <c r="M33" s="966"/>
    </row>
    <row r="34" spans="2:13" ht="15.95" customHeight="1">
      <c r="B34" s="611"/>
      <c r="C34" s="966"/>
      <c r="D34" s="966"/>
      <c r="E34" s="611"/>
      <c r="I34" s="612"/>
      <c r="J34" s="966"/>
      <c r="K34" s="966"/>
      <c r="L34" s="966"/>
      <c r="M34" s="966"/>
    </row>
    <row r="35" spans="2:13">
      <c r="B35" s="611"/>
      <c r="C35" s="611"/>
      <c r="D35" s="611"/>
      <c r="E35" s="611"/>
      <c r="F35" s="612"/>
      <c r="G35" s="612"/>
      <c r="H35" s="611"/>
      <c r="I35" s="611"/>
      <c r="J35" s="611"/>
      <c r="K35" s="611"/>
      <c r="L35" s="611"/>
      <c r="M35" s="612"/>
    </row>
    <row r="36" spans="2:13">
      <c r="B36" s="611"/>
      <c r="C36" s="611"/>
      <c r="D36" s="611"/>
      <c r="E36" s="611"/>
      <c r="F36" s="612"/>
      <c r="G36" s="612"/>
      <c r="H36" s="611"/>
      <c r="I36" s="611"/>
      <c r="J36" s="611"/>
      <c r="K36" s="611"/>
      <c r="L36" s="611"/>
      <c r="M36" s="612"/>
    </row>
    <row r="37" spans="2:13">
      <c r="B37" s="611"/>
      <c r="C37" s="611"/>
      <c r="D37" s="611"/>
      <c r="E37" s="611"/>
      <c r="F37" s="612"/>
      <c r="G37" s="612"/>
      <c r="H37" s="611"/>
      <c r="I37" s="611"/>
      <c r="J37" s="611"/>
      <c r="K37" s="611"/>
      <c r="L37" s="611"/>
      <c r="M37" s="612"/>
    </row>
    <row r="38" spans="2:13">
      <c r="B38" s="611"/>
      <c r="C38" s="611"/>
      <c r="D38" s="611"/>
      <c r="E38" s="611"/>
      <c r="F38" s="612"/>
      <c r="G38" s="612"/>
      <c r="H38" s="611"/>
      <c r="I38" s="611"/>
      <c r="J38" s="611"/>
      <c r="K38" s="611"/>
      <c r="L38" s="611"/>
      <c r="M38" s="612"/>
    </row>
    <row r="39" spans="2:13">
      <c r="B39" s="611"/>
      <c r="C39" s="611"/>
      <c r="D39" s="611"/>
      <c r="E39" s="611"/>
      <c r="F39" s="612"/>
      <c r="G39" s="612"/>
      <c r="H39" s="611"/>
      <c r="I39" s="611"/>
      <c r="J39" s="611"/>
      <c r="K39" s="611"/>
      <c r="L39" s="611"/>
      <c r="M39" s="612"/>
    </row>
    <row r="40" spans="2:13" ht="15.95" customHeight="1">
      <c r="B40" s="611"/>
      <c r="C40" s="963" t="s">
        <v>29</v>
      </c>
      <c r="D40" s="963"/>
      <c r="E40" s="611"/>
      <c r="F40" s="963" t="s">
        <v>29</v>
      </c>
      <c r="G40" s="963"/>
      <c r="H40" s="963"/>
      <c r="I40" s="612"/>
      <c r="J40" s="611"/>
      <c r="K40" s="611" t="s">
        <v>29</v>
      </c>
      <c r="L40" s="611"/>
      <c r="M40" s="611"/>
    </row>
    <row r="41" spans="2:13">
      <c r="B41" s="611"/>
      <c r="C41" s="611"/>
      <c r="D41" s="611"/>
      <c r="E41" s="611"/>
      <c r="F41" s="612"/>
      <c r="G41" s="612"/>
      <c r="H41" s="611"/>
      <c r="I41" s="611"/>
      <c r="J41" s="611"/>
      <c r="K41" s="611"/>
      <c r="L41" s="611"/>
      <c r="M41" s="612"/>
    </row>
  </sheetData>
  <mergeCells count="8">
    <mergeCell ref="J33:M33"/>
    <mergeCell ref="C34:D34"/>
    <mergeCell ref="J34:M34"/>
    <mergeCell ref="C40:D40"/>
    <mergeCell ref="F40:H40"/>
    <mergeCell ref="C6:E6"/>
    <mergeCell ref="C33:D33"/>
    <mergeCell ref="F33:H33"/>
  </mergeCells>
  <pageMargins left="0.2" right="0.17" top="0.17" bottom="0.17" header="0.17" footer="0.17"/>
  <pageSetup paperSize="9" scale="85"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B2:R60"/>
  <sheetViews>
    <sheetView showGridLines="0" topLeftCell="A7" zoomScaleNormal="100" workbookViewId="0">
      <selection activeCell="L18" sqref="L18:M18"/>
    </sheetView>
  </sheetViews>
  <sheetFormatPr defaultColWidth="8.875" defaultRowHeight="12.75"/>
  <cols>
    <col min="1" max="1" width="1.125" style="738" customWidth="1"/>
    <col min="2" max="2" width="12.875" style="738" bestFit="1" customWidth="1"/>
    <col min="3" max="3" width="29.5" style="738" customWidth="1"/>
    <col min="4" max="4" width="9" style="738" customWidth="1"/>
    <col min="5" max="5" width="10.125" style="738" customWidth="1"/>
    <col min="6" max="6" width="14.5" style="738" customWidth="1"/>
    <col min="7" max="7" width="6.625" style="731" customWidth="1"/>
    <col min="8" max="8" width="20.625" style="731" customWidth="1"/>
    <col min="9" max="9" width="2.5" style="738" customWidth="1"/>
    <col min="10" max="10" width="5.5" style="738" customWidth="1"/>
    <col min="11" max="11" width="7.625" style="738" customWidth="1"/>
    <col min="12" max="12" width="7.5" style="738" customWidth="1"/>
    <col min="13" max="13" width="7.625" style="738" customWidth="1"/>
    <col min="14" max="14" width="9.625" style="738" customWidth="1"/>
    <col min="15" max="16" width="10.125" style="738" customWidth="1"/>
    <col min="17" max="17" width="10.875" style="731" customWidth="1"/>
    <col min="18" max="18" width="11.375" style="738" customWidth="1"/>
    <col min="19" max="19" width="6.875" style="738" customWidth="1"/>
    <col min="20" max="238" width="8.875" style="738"/>
    <col min="239" max="239" width="5" style="738" customWidth="1"/>
    <col min="240" max="240" width="33.375" style="738" customWidth="1"/>
    <col min="241" max="241" width="6.5" style="738" customWidth="1"/>
    <col min="242" max="242" width="29.5" style="738" customWidth="1"/>
    <col min="243" max="243" width="23.625" style="738" customWidth="1"/>
    <col min="244" max="244" width="8" style="738" customWidth="1"/>
    <col min="245" max="245" width="9.125" style="738" customWidth="1"/>
    <col min="246" max="246" width="13.875" style="738" customWidth="1"/>
    <col min="247" max="247" width="13.5" style="738" customWidth="1"/>
    <col min="248" max="494" width="8.875" style="738"/>
    <col min="495" max="495" width="5" style="738" customWidth="1"/>
    <col min="496" max="496" width="33.375" style="738" customWidth="1"/>
    <col min="497" max="497" width="6.5" style="738" customWidth="1"/>
    <col min="498" max="498" width="29.5" style="738" customWidth="1"/>
    <col min="499" max="499" width="23.625" style="738" customWidth="1"/>
    <col min="500" max="500" width="8" style="738" customWidth="1"/>
    <col min="501" max="501" width="9.125" style="738" customWidth="1"/>
    <col min="502" max="502" width="13.875" style="738" customWidth="1"/>
    <col min="503" max="503" width="13.5" style="738" customWidth="1"/>
    <col min="504" max="750" width="8.875" style="738"/>
    <col min="751" max="751" width="5" style="738" customWidth="1"/>
    <col min="752" max="752" width="33.375" style="738" customWidth="1"/>
    <col min="753" max="753" width="6.5" style="738" customWidth="1"/>
    <col min="754" max="754" width="29.5" style="738" customWidth="1"/>
    <col min="755" max="755" width="23.625" style="738" customWidth="1"/>
    <col min="756" max="756" width="8" style="738" customWidth="1"/>
    <col min="757" max="757" width="9.125" style="738" customWidth="1"/>
    <col min="758" max="758" width="13.875" style="738" customWidth="1"/>
    <col min="759" max="759" width="13.5" style="738" customWidth="1"/>
    <col min="760" max="1006" width="8.875" style="738"/>
    <col min="1007" max="1007" width="5" style="738" customWidth="1"/>
    <col min="1008" max="1008" width="33.375" style="738" customWidth="1"/>
    <col min="1009" max="1009" width="6.5" style="738" customWidth="1"/>
    <col min="1010" max="1010" width="29.5" style="738" customWidth="1"/>
    <col min="1011" max="1011" width="23.625" style="738" customWidth="1"/>
    <col min="1012" max="1012" width="8" style="738" customWidth="1"/>
    <col min="1013" max="1013" width="9.125" style="738" customWidth="1"/>
    <col min="1014" max="1014" width="13.875" style="738" customWidth="1"/>
    <col min="1015" max="1015" width="13.5" style="738" customWidth="1"/>
    <col min="1016" max="1262" width="8.875" style="738"/>
    <col min="1263" max="1263" width="5" style="738" customWidth="1"/>
    <col min="1264" max="1264" width="33.375" style="738" customWidth="1"/>
    <col min="1265" max="1265" width="6.5" style="738" customWidth="1"/>
    <col min="1266" max="1266" width="29.5" style="738" customWidth="1"/>
    <col min="1267" max="1267" width="23.625" style="738" customWidth="1"/>
    <col min="1268" max="1268" width="8" style="738" customWidth="1"/>
    <col min="1269" max="1269" width="9.125" style="738" customWidth="1"/>
    <col min="1270" max="1270" width="13.875" style="738" customWidth="1"/>
    <col min="1271" max="1271" width="13.5" style="738" customWidth="1"/>
    <col min="1272" max="1518" width="8.875" style="738"/>
    <col min="1519" max="1519" width="5" style="738" customWidth="1"/>
    <col min="1520" max="1520" width="33.375" style="738" customWidth="1"/>
    <col min="1521" max="1521" width="6.5" style="738" customWidth="1"/>
    <col min="1522" max="1522" width="29.5" style="738" customWidth="1"/>
    <col min="1523" max="1523" width="23.625" style="738" customWidth="1"/>
    <col min="1524" max="1524" width="8" style="738" customWidth="1"/>
    <col min="1525" max="1525" width="9.125" style="738" customWidth="1"/>
    <col min="1526" max="1526" width="13.875" style="738" customWidth="1"/>
    <col min="1527" max="1527" width="13.5" style="738" customWidth="1"/>
    <col min="1528" max="1774" width="8.875" style="738"/>
    <col min="1775" max="1775" width="5" style="738" customWidth="1"/>
    <col min="1776" max="1776" width="33.375" style="738" customWidth="1"/>
    <col min="1777" max="1777" width="6.5" style="738" customWidth="1"/>
    <col min="1778" max="1778" width="29.5" style="738" customWidth="1"/>
    <col min="1779" max="1779" width="23.625" style="738" customWidth="1"/>
    <col min="1780" max="1780" width="8" style="738" customWidth="1"/>
    <col min="1781" max="1781" width="9.125" style="738" customWidth="1"/>
    <col min="1782" max="1782" width="13.875" style="738" customWidth="1"/>
    <col min="1783" max="1783" width="13.5" style="738" customWidth="1"/>
    <col min="1784" max="2030" width="8.875" style="738"/>
    <col min="2031" max="2031" width="5" style="738" customWidth="1"/>
    <col min="2032" max="2032" width="33.375" style="738" customWidth="1"/>
    <col min="2033" max="2033" width="6.5" style="738" customWidth="1"/>
    <col min="2034" max="2034" width="29.5" style="738" customWidth="1"/>
    <col min="2035" max="2035" width="23.625" style="738" customWidth="1"/>
    <col min="2036" max="2036" width="8" style="738" customWidth="1"/>
    <col min="2037" max="2037" width="9.125" style="738" customWidth="1"/>
    <col min="2038" max="2038" width="13.875" style="738" customWidth="1"/>
    <col min="2039" max="2039" width="13.5" style="738" customWidth="1"/>
    <col min="2040" max="2286" width="8.875" style="738"/>
    <col min="2287" max="2287" width="5" style="738" customWidth="1"/>
    <col min="2288" max="2288" width="33.375" style="738" customWidth="1"/>
    <col min="2289" max="2289" width="6.5" style="738" customWidth="1"/>
    <col min="2290" max="2290" width="29.5" style="738" customWidth="1"/>
    <col min="2291" max="2291" width="23.625" style="738" customWidth="1"/>
    <col min="2292" max="2292" width="8" style="738" customWidth="1"/>
    <col min="2293" max="2293" width="9.125" style="738" customWidth="1"/>
    <col min="2294" max="2294" width="13.875" style="738" customWidth="1"/>
    <col min="2295" max="2295" width="13.5" style="738" customWidth="1"/>
    <col min="2296" max="2542" width="8.875" style="738"/>
    <col min="2543" max="2543" width="5" style="738" customWidth="1"/>
    <col min="2544" max="2544" width="33.375" style="738" customWidth="1"/>
    <col min="2545" max="2545" width="6.5" style="738" customWidth="1"/>
    <col min="2546" max="2546" width="29.5" style="738" customWidth="1"/>
    <col min="2547" max="2547" width="23.625" style="738" customWidth="1"/>
    <col min="2548" max="2548" width="8" style="738" customWidth="1"/>
    <col min="2549" max="2549" width="9.125" style="738" customWidth="1"/>
    <col min="2550" max="2550" width="13.875" style="738" customWidth="1"/>
    <col min="2551" max="2551" width="13.5" style="738" customWidth="1"/>
    <col min="2552" max="2798" width="8.875" style="738"/>
    <col min="2799" max="2799" width="5" style="738" customWidth="1"/>
    <col min="2800" max="2800" width="33.375" style="738" customWidth="1"/>
    <col min="2801" max="2801" width="6.5" style="738" customWidth="1"/>
    <col min="2802" max="2802" width="29.5" style="738" customWidth="1"/>
    <col min="2803" max="2803" width="23.625" style="738" customWidth="1"/>
    <col min="2804" max="2804" width="8" style="738" customWidth="1"/>
    <col min="2805" max="2805" width="9.125" style="738" customWidth="1"/>
    <col min="2806" max="2806" width="13.875" style="738" customWidth="1"/>
    <col min="2807" max="2807" width="13.5" style="738" customWidth="1"/>
    <col min="2808" max="3054" width="8.875" style="738"/>
    <col min="3055" max="3055" width="5" style="738" customWidth="1"/>
    <col min="3056" max="3056" width="33.375" style="738" customWidth="1"/>
    <col min="3057" max="3057" width="6.5" style="738" customWidth="1"/>
    <col min="3058" max="3058" width="29.5" style="738" customWidth="1"/>
    <col min="3059" max="3059" width="23.625" style="738" customWidth="1"/>
    <col min="3060" max="3060" width="8" style="738" customWidth="1"/>
    <col min="3061" max="3061" width="9.125" style="738" customWidth="1"/>
    <col min="3062" max="3062" width="13.875" style="738" customWidth="1"/>
    <col min="3063" max="3063" width="13.5" style="738" customWidth="1"/>
    <col min="3064" max="3310" width="8.875" style="738"/>
    <col min="3311" max="3311" width="5" style="738" customWidth="1"/>
    <col min="3312" max="3312" width="33.375" style="738" customWidth="1"/>
    <col min="3313" max="3313" width="6.5" style="738" customWidth="1"/>
    <col min="3314" max="3314" width="29.5" style="738" customWidth="1"/>
    <col min="3315" max="3315" width="23.625" style="738" customWidth="1"/>
    <col min="3316" max="3316" width="8" style="738" customWidth="1"/>
    <col min="3317" max="3317" width="9.125" style="738" customWidth="1"/>
    <col min="3318" max="3318" width="13.875" style="738" customWidth="1"/>
    <col min="3319" max="3319" width="13.5" style="738" customWidth="1"/>
    <col min="3320" max="3566" width="8.875" style="738"/>
    <col min="3567" max="3567" width="5" style="738" customWidth="1"/>
    <col min="3568" max="3568" width="33.375" style="738" customWidth="1"/>
    <col min="3569" max="3569" width="6.5" style="738" customWidth="1"/>
    <col min="3570" max="3570" width="29.5" style="738" customWidth="1"/>
    <col min="3571" max="3571" width="23.625" style="738" customWidth="1"/>
    <col min="3572" max="3572" width="8" style="738" customWidth="1"/>
    <col min="3573" max="3573" width="9.125" style="738" customWidth="1"/>
    <col min="3574" max="3574" width="13.875" style="738" customWidth="1"/>
    <col min="3575" max="3575" width="13.5" style="738" customWidth="1"/>
    <col min="3576" max="3822" width="8.875" style="738"/>
    <col min="3823" max="3823" width="5" style="738" customWidth="1"/>
    <col min="3824" max="3824" width="33.375" style="738" customWidth="1"/>
    <col min="3825" max="3825" width="6.5" style="738" customWidth="1"/>
    <col min="3826" max="3826" width="29.5" style="738" customWidth="1"/>
    <col min="3827" max="3827" width="23.625" style="738" customWidth="1"/>
    <col min="3828" max="3828" width="8" style="738" customWidth="1"/>
    <col min="3829" max="3829" width="9.125" style="738" customWidth="1"/>
    <col min="3830" max="3830" width="13.875" style="738" customWidth="1"/>
    <col min="3831" max="3831" width="13.5" style="738" customWidth="1"/>
    <col min="3832" max="4078" width="8.875" style="738"/>
    <col min="4079" max="4079" width="5" style="738" customWidth="1"/>
    <col min="4080" max="4080" width="33.375" style="738" customWidth="1"/>
    <col min="4081" max="4081" width="6.5" style="738" customWidth="1"/>
    <col min="4082" max="4082" width="29.5" style="738" customWidth="1"/>
    <col min="4083" max="4083" width="23.625" style="738" customWidth="1"/>
    <col min="4084" max="4084" width="8" style="738" customWidth="1"/>
    <col min="4085" max="4085" width="9.125" style="738" customWidth="1"/>
    <col min="4086" max="4086" width="13.875" style="738" customWidth="1"/>
    <col min="4087" max="4087" width="13.5" style="738" customWidth="1"/>
    <col min="4088" max="4334" width="8.875" style="738"/>
    <col min="4335" max="4335" width="5" style="738" customWidth="1"/>
    <col min="4336" max="4336" width="33.375" style="738" customWidth="1"/>
    <col min="4337" max="4337" width="6.5" style="738" customWidth="1"/>
    <col min="4338" max="4338" width="29.5" style="738" customWidth="1"/>
    <col min="4339" max="4339" width="23.625" style="738" customWidth="1"/>
    <col min="4340" max="4340" width="8" style="738" customWidth="1"/>
    <col min="4341" max="4341" width="9.125" style="738" customWidth="1"/>
    <col min="4342" max="4342" width="13.875" style="738" customWidth="1"/>
    <col min="4343" max="4343" width="13.5" style="738" customWidth="1"/>
    <col min="4344" max="4590" width="8.875" style="738"/>
    <col min="4591" max="4591" width="5" style="738" customWidth="1"/>
    <col min="4592" max="4592" width="33.375" style="738" customWidth="1"/>
    <col min="4593" max="4593" width="6.5" style="738" customWidth="1"/>
    <col min="4594" max="4594" width="29.5" style="738" customWidth="1"/>
    <col min="4595" max="4595" width="23.625" style="738" customWidth="1"/>
    <col min="4596" max="4596" width="8" style="738" customWidth="1"/>
    <col min="4597" max="4597" width="9.125" style="738" customWidth="1"/>
    <col min="4598" max="4598" width="13.875" style="738" customWidth="1"/>
    <col min="4599" max="4599" width="13.5" style="738" customWidth="1"/>
    <col min="4600" max="4846" width="8.875" style="738"/>
    <col min="4847" max="4847" width="5" style="738" customWidth="1"/>
    <col min="4848" max="4848" width="33.375" style="738" customWidth="1"/>
    <col min="4849" max="4849" width="6.5" style="738" customWidth="1"/>
    <col min="4850" max="4850" width="29.5" style="738" customWidth="1"/>
    <col min="4851" max="4851" width="23.625" style="738" customWidth="1"/>
    <col min="4852" max="4852" width="8" style="738" customWidth="1"/>
    <col min="4853" max="4853" width="9.125" style="738" customWidth="1"/>
    <col min="4854" max="4854" width="13.875" style="738" customWidth="1"/>
    <col min="4855" max="4855" width="13.5" style="738" customWidth="1"/>
    <col min="4856" max="5102" width="8.875" style="738"/>
    <col min="5103" max="5103" width="5" style="738" customWidth="1"/>
    <col min="5104" max="5104" width="33.375" style="738" customWidth="1"/>
    <col min="5105" max="5105" width="6.5" style="738" customWidth="1"/>
    <col min="5106" max="5106" width="29.5" style="738" customWidth="1"/>
    <col min="5107" max="5107" width="23.625" style="738" customWidth="1"/>
    <col min="5108" max="5108" width="8" style="738" customWidth="1"/>
    <col min="5109" max="5109" width="9.125" style="738" customWidth="1"/>
    <col min="5110" max="5110" width="13.875" style="738" customWidth="1"/>
    <col min="5111" max="5111" width="13.5" style="738" customWidth="1"/>
    <col min="5112" max="5358" width="8.875" style="738"/>
    <col min="5359" max="5359" width="5" style="738" customWidth="1"/>
    <col min="5360" max="5360" width="33.375" style="738" customWidth="1"/>
    <col min="5361" max="5361" width="6.5" style="738" customWidth="1"/>
    <col min="5362" max="5362" width="29.5" style="738" customWidth="1"/>
    <col min="5363" max="5363" width="23.625" style="738" customWidth="1"/>
    <col min="5364" max="5364" width="8" style="738" customWidth="1"/>
    <col min="5365" max="5365" width="9.125" style="738" customWidth="1"/>
    <col min="5366" max="5366" width="13.875" style="738" customWidth="1"/>
    <col min="5367" max="5367" width="13.5" style="738" customWidth="1"/>
    <col min="5368" max="5614" width="8.875" style="738"/>
    <col min="5615" max="5615" width="5" style="738" customWidth="1"/>
    <col min="5616" max="5616" width="33.375" style="738" customWidth="1"/>
    <col min="5617" max="5617" width="6.5" style="738" customWidth="1"/>
    <col min="5618" max="5618" width="29.5" style="738" customWidth="1"/>
    <col min="5619" max="5619" width="23.625" style="738" customWidth="1"/>
    <col min="5620" max="5620" width="8" style="738" customWidth="1"/>
    <col min="5621" max="5621" width="9.125" style="738" customWidth="1"/>
    <col min="5622" max="5622" width="13.875" style="738" customWidth="1"/>
    <col min="5623" max="5623" width="13.5" style="738" customWidth="1"/>
    <col min="5624" max="5870" width="8.875" style="738"/>
    <col min="5871" max="5871" width="5" style="738" customWidth="1"/>
    <col min="5872" max="5872" width="33.375" style="738" customWidth="1"/>
    <col min="5873" max="5873" width="6.5" style="738" customWidth="1"/>
    <col min="5874" max="5874" width="29.5" style="738" customWidth="1"/>
    <col min="5875" max="5875" width="23.625" style="738" customWidth="1"/>
    <col min="5876" max="5876" width="8" style="738" customWidth="1"/>
    <col min="5877" max="5877" width="9.125" style="738" customWidth="1"/>
    <col min="5878" max="5878" width="13.875" style="738" customWidth="1"/>
    <col min="5879" max="5879" width="13.5" style="738" customWidth="1"/>
    <col min="5880" max="6126" width="8.875" style="738"/>
    <col min="6127" max="6127" width="5" style="738" customWidth="1"/>
    <col min="6128" max="6128" width="33.375" style="738" customWidth="1"/>
    <col min="6129" max="6129" width="6.5" style="738" customWidth="1"/>
    <col min="6130" max="6130" width="29.5" style="738" customWidth="1"/>
    <col min="6131" max="6131" width="23.625" style="738" customWidth="1"/>
    <col min="6132" max="6132" width="8" style="738" customWidth="1"/>
    <col min="6133" max="6133" width="9.125" style="738" customWidth="1"/>
    <col min="6134" max="6134" width="13.875" style="738" customWidth="1"/>
    <col min="6135" max="6135" width="13.5" style="738" customWidth="1"/>
    <col min="6136" max="6382" width="8.875" style="738"/>
    <col min="6383" max="6383" width="5" style="738" customWidth="1"/>
    <col min="6384" max="6384" width="33.375" style="738" customWidth="1"/>
    <col min="6385" max="6385" width="6.5" style="738" customWidth="1"/>
    <col min="6386" max="6386" width="29.5" style="738" customWidth="1"/>
    <col min="6387" max="6387" width="23.625" style="738" customWidth="1"/>
    <col min="6388" max="6388" width="8" style="738" customWidth="1"/>
    <col min="6389" max="6389" width="9.125" style="738" customWidth="1"/>
    <col min="6390" max="6390" width="13.875" style="738" customWidth="1"/>
    <col min="6391" max="6391" width="13.5" style="738" customWidth="1"/>
    <col min="6392" max="6638" width="8.875" style="738"/>
    <col min="6639" max="6639" width="5" style="738" customWidth="1"/>
    <col min="6640" max="6640" width="33.375" style="738" customWidth="1"/>
    <col min="6641" max="6641" width="6.5" style="738" customWidth="1"/>
    <col min="6642" max="6642" width="29.5" style="738" customWidth="1"/>
    <col min="6643" max="6643" width="23.625" style="738" customWidth="1"/>
    <col min="6644" max="6644" width="8" style="738" customWidth="1"/>
    <col min="6645" max="6645" width="9.125" style="738" customWidth="1"/>
    <col min="6646" max="6646" width="13.875" style="738" customWidth="1"/>
    <col min="6647" max="6647" width="13.5" style="738" customWidth="1"/>
    <col min="6648" max="6894" width="8.875" style="738"/>
    <col min="6895" max="6895" width="5" style="738" customWidth="1"/>
    <col min="6896" max="6896" width="33.375" style="738" customWidth="1"/>
    <col min="6897" max="6897" width="6.5" style="738" customWidth="1"/>
    <col min="6898" max="6898" width="29.5" style="738" customWidth="1"/>
    <col min="6899" max="6899" width="23.625" style="738" customWidth="1"/>
    <col min="6900" max="6900" width="8" style="738" customWidth="1"/>
    <col min="6901" max="6901" width="9.125" style="738" customWidth="1"/>
    <col min="6902" max="6902" width="13.875" style="738" customWidth="1"/>
    <col min="6903" max="6903" width="13.5" style="738" customWidth="1"/>
    <col min="6904" max="7150" width="8.875" style="738"/>
    <col min="7151" max="7151" width="5" style="738" customWidth="1"/>
    <col min="7152" max="7152" width="33.375" style="738" customWidth="1"/>
    <col min="7153" max="7153" width="6.5" style="738" customWidth="1"/>
    <col min="7154" max="7154" width="29.5" style="738" customWidth="1"/>
    <col min="7155" max="7155" width="23.625" style="738" customWidth="1"/>
    <col min="7156" max="7156" width="8" style="738" customWidth="1"/>
    <col min="7157" max="7157" width="9.125" style="738" customWidth="1"/>
    <col min="7158" max="7158" width="13.875" style="738" customWidth="1"/>
    <col min="7159" max="7159" width="13.5" style="738" customWidth="1"/>
    <col min="7160" max="7406" width="8.875" style="738"/>
    <col min="7407" max="7407" width="5" style="738" customWidth="1"/>
    <col min="7408" max="7408" width="33.375" style="738" customWidth="1"/>
    <col min="7409" max="7409" width="6.5" style="738" customWidth="1"/>
    <col min="7410" max="7410" width="29.5" style="738" customWidth="1"/>
    <col min="7411" max="7411" width="23.625" style="738" customWidth="1"/>
    <col min="7412" max="7412" width="8" style="738" customWidth="1"/>
    <col min="7413" max="7413" width="9.125" style="738" customWidth="1"/>
    <col min="7414" max="7414" width="13.875" style="738" customWidth="1"/>
    <col min="7415" max="7415" width="13.5" style="738" customWidth="1"/>
    <col min="7416" max="7662" width="8.875" style="738"/>
    <col min="7663" max="7663" width="5" style="738" customWidth="1"/>
    <col min="7664" max="7664" width="33.375" style="738" customWidth="1"/>
    <col min="7665" max="7665" width="6.5" style="738" customWidth="1"/>
    <col min="7666" max="7666" width="29.5" style="738" customWidth="1"/>
    <col min="7667" max="7667" width="23.625" style="738" customWidth="1"/>
    <col min="7668" max="7668" width="8" style="738" customWidth="1"/>
    <col min="7669" max="7669" width="9.125" style="738" customWidth="1"/>
    <col min="7670" max="7670" width="13.875" style="738" customWidth="1"/>
    <col min="7671" max="7671" width="13.5" style="738" customWidth="1"/>
    <col min="7672" max="7918" width="8.875" style="738"/>
    <col min="7919" max="7919" width="5" style="738" customWidth="1"/>
    <col min="7920" max="7920" width="33.375" style="738" customWidth="1"/>
    <col min="7921" max="7921" width="6.5" style="738" customWidth="1"/>
    <col min="7922" max="7922" width="29.5" style="738" customWidth="1"/>
    <col min="7923" max="7923" width="23.625" style="738" customWidth="1"/>
    <col min="7924" max="7924" width="8" style="738" customWidth="1"/>
    <col min="7925" max="7925" width="9.125" style="738" customWidth="1"/>
    <col min="7926" max="7926" width="13.875" style="738" customWidth="1"/>
    <col min="7927" max="7927" width="13.5" style="738" customWidth="1"/>
    <col min="7928" max="8174" width="8.875" style="738"/>
    <col min="8175" max="8175" width="5" style="738" customWidth="1"/>
    <col min="8176" max="8176" width="33.375" style="738" customWidth="1"/>
    <col min="8177" max="8177" width="6.5" style="738" customWidth="1"/>
    <col min="8178" max="8178" width="29.5" style="738" customWidth="1"/>
    <col min="8179" max="8179" width="23.625" style="738" customWidth="1"/>
    <col min="8180" max="8180" width="8" style="738" customWidth="1"/>
    <col min="8181" max="8181" width="9.125" style="738" customWidth="1"/>
    <col min="8182" max="8182" width="13.875" style="738" customWidth="1"/>
    <col min="8183" max="8183" width="13.5" style="738" customWidth="1"/>
    <col min="8184" max="8430" width="8.875" style="738"/>
    <col min="8431" max="8431" width="5" style="738" customWidth="1"/>
    <col min="8432" max="8432" width="33.375" style="738" customWidth="1"/>
    <col min="8433" max="8433" width="6.5" style="738" customWidth="1"/>
    <col min="8434" max="8434" width="29.5" style="738" customWidth="1"/>
    <col min="8435" max="8435" width="23.625" style="738" customWidth="1"/>
    <col min="8436" max="8436" width="8" style="738" customWidth="1"/>
    <col min="8437" max="8437" width="9.125" style="738" customWidth="1"/>
    <col min="8438" max="8438" width="13.875" style="738" customWidth="1"/>
    <col min="8439" max="8439" width="13.5" style="738" customWidth="1"/>
    <col min="8440" max="8686" width="8.875" style="738"/>
    <col min="8687" max="8687" width="5" style="738" customWidth="1"/>
    <col min="8688" max="8688" width="33.375" style="738" customWidth="1"/>
    <col min="8689" max="8689" width="6.5" style="738" customWidth="1"/>
    <col min="8690" max="8690" width="29.5" style="738" customWidth="1"/>
    <col min="8691" max="8691" width="23.625" style="738" customWidth="1"/>
    <col min="8692" max="8692" width="8" style="738" customWidth="1"/>
    <col min="8693" max="8693" width="9.125" style="738" customWidth="1"/>
    <col min="8694" max="8694" width="13.875" style="738" customWidth="1"/>
    <col min="8695" max="8695" width="13.5" style="738" customWidth="1"/>
    <col min="8696" max="8942" width="8.875" style="738"/>
    <col min="8943" max="8943" width="5" style="738" customWidth="1"/>
    <col min="8944" max="8944" width="33.375" style="738" customWidth="1"/>
    <col min="8945" max="8945" width="6.5" style="738" customWidth="1"/>
    <col min="8946" max="8946" width="29.5" style="738" customWidth="1"/>
    <col min="8947" max="8947" width="23.625" style="738" customWidth="1"/>
    <col min="8948" max="8948" width="8" style="738" customWidth="1"/>
    <col min="8949" max="8949" width="9.125" style="738" customWidth="1"/>
    <col min="8950" max="8950" width="13.875" style="738" customWidth="1"/>
    <col min="8951" max="8951" width="13.5" style="738" customWidth="1"/>
    <col min="8952" max="9198" width="8.875" style="738"/>
    <col min="9199" max="9199" width="5" style="738" customWidth="1"/>
    <col min="9200" max="9200" width="33.375" style="738" customWidth="1"/>
    <col min="9201" max="9201" width="6.5" style="738" customWidth="1"/>
    <col min="9202" max="9202" width="29.5" style="738" customWidth="1"/>
    <col min="9203" max="9203" width="23.625" style="738" customWidth="1"/>
    <col min="9204" max="9204" width="8" style="738" customWidth="1"/>
    <col min="9205" max="9205" width="9.125" style="738" customWidth="1"/>
    <col min="9206" max="9206" width="13.875" style="738" customWidth="1"/>
    <col min="9207" max="9207" width="13.5" style="738" customWidth="1"/>
    <col min="9208" max="9454" width="8.875" style="738"/>
    <col min="9455" max="9455" width="5" style="738" customWidth="1"/>
    <col min="9456" max="9456" width="33.375" style="738" customWidth="1"/>
    <col min="9457" max="9457" width="6.5" style="738" customWidth="1"/>
    <col min="9458" max="9458" width="29.5" style="738" customWidth="1"/>
    <col min="9459" max="9459" width="23.625" style="738" customWidth="1"/>
    <col min="9460" max="9460" width="8" style="738" customWidth="1"/>
    <col min="9461" max="9461" width="9.125" style="738" customWidth="1"/>
    <col min="9462" max="9462" width="13.875" style="738" customWidth="1"/>
    <col min="9463" max="9463" width="13.5" style="738" customWidth="1"/>
    <col min="9464" max="9710" width="8.875" style="738"/>
    <col min="9711" max="9711" width="5" style="738" customWidth="1"/>
    <col min="9712" max="9712" width="33.375" style="738" customWidth="1"/>
    <col min="9713" max="9713" width="6.5" style="738" customWidth="1"/>
    <col min="9714" max="9714" width="29.5" style="738" customWidth="1"/>
    <col min="9715" max="9715" width="23.625" style="738" customWidth="1"/>
    <col min="9716" max="9716" width="8" style="738" customWidth="1"/>
    <col min="9717" max="9717" width="9.125" style="738" customWidth="1"/>
    <col min="9718" max="9718" width="13.875" style="738" customWidth="1"/>
    <col min="9719" max="9719" width="13.5" style="738" customWidth="1"/>
    <col min="9720" max="9966" width="8.875" style="738"/>
    <col min="9967" max="9967" width="5" style="738" customWidth="1"/>
    <col min="9968" max="9968" width="33.375" style="738" customWidth="1"/>
    <col min="9969" max="9969" width="6.5" style="738" customWidth="1"/>
    <col min="9970" max="9970" width="29.5" style="738" customWidth="1"/>
    <col min="9971" max="9971" width="23.625" style="738" customWidth="1"/>
    <col min="9972" max="9972" width="8" style="738" customWidth="1"/>
    <col min="9973" max="9973" width="9.125" style="738" customWidth="1"/>
    <col min="9974" max="9974" width="13.875" style="738" customWidth="1"/>
    <col min="9975" max="9975" width="13.5" style="738" customWidth="1"/>
    <col min="9976" max="10222" width="8.875" style="738"/>
    <col min="10223" max="10223" width="5" style="738" customWidth="1"/>
    <col min="10224" max="10224" width="33.375" style="738" customWidth="1"/>
    <col min="10225" max="10225" width="6.5" style="738" customWidth="1"/>
    <col min="10226" max="10226" width="29.5" style="738" customWidth="1"/>
    <col min="10227" max="10227" width="23.625" style="738" customWidth="1"/>
    <col min="10228" max="10228" width="8" style="738" customWidth="1"/>
    <col min="10229" max="10229" width="9.125" style="738" customWidth="1"/>
    <col min="10230" max="10230" width="13.875" style="738" customWidth="1"/>
    <col min="10231" max="10231" width="13.5" style="738" customWidth="1"/>
    <col min="10232" max="10478" width="8.875" style="738"/>
    <col min="10479" max="10479" width="5" style="738" customWidth="1"/>
    <col min="10480" max="10480" width="33.375" style="738" customWidth="1"/>
    <col min="10481" max="10481" width="6.5" style="738" customWidth="1"/>
    <col min="10482" max="10482" width="29.5" style="738" customWidth="1"/>
    <col min="10483" max="10483" width="23.625" style="738" customWidth="1"/>
    <col min="10484" max="10484" width="8" style="738" customWidth="1"/>
    <col min="10485" max="10485" width="9.125" style="738" customWidth="1"/>
    <col min="10486" max="10486" width="13.875" style="738" customWidth="1"/>
    <col min="10487" max="10487" width="13.5" style="738" customWidth="1"/>
    <col min="10488" max="10734" width="8.875" style="738"/>
    <col min="10735" max="10735" width="5" style="738" customWidth="1"/>
    <col min="10736" max="10736" width="33.375" style="738" customWidth="1"/>
    <col min="10737" max="10737" width="6.5" style="738" customWidth="1"/>
    <col min="10738" max="10738" width="29.5" style="738" customWidth="1"/>
    <col min="10739" max="10739" width="23.625" style="738" customWidth="1"/>
    <col min="10740" max="10740" width="8" style="738" customWidth="1"/>
    <col min="10741" max="10741" width="9.125" style="738" customWidth="1"/>
    <col min="10742" max="10742" width="13.875" style="738" customWidth="1"/>
    <col min="10743" max="10743" width="13.5" style="738" customWidth="1"/>
    <col min="10744" max="10990" width="8.875" style="738"/>
    <col min="10991" max="10991" width="5" style="738" customWidth="1"/>
    <col min="10992" max="10992" width="33.375" style="738" customWidth="1"/>
    <col min="10993" max="10993" width="6.5" style="738" customWidth="1"/>
    <col min="10994" max="10994" width="29.5" style="738" customWidth="1"/>
    <col min="10995" max="10995" width="23.625" style="738" customWidth="1"/>
    <col min="10996" max="10996" width="8" style="738" customWidth="1"/>
    <col min="10997" max="10997" width="9.125" style="738" customWidth="1"/>
    <col min="10998" max="10998" width="13.875" style="738" customWidth="1"/>
    <col min="10999" max="10999" width="13.5" style="738" customWidth="1"/>
    <col min="11000" max="11246" width="8.875" style="738"/>
    <col min="11247" max="11247" width="5" style="738" customWidth="1"/>
    <col min="11248" max="11248" width="33.375" style="738" customWidth="1"/>
    <col min="11249" max="11249" width="6.5" style="738" customWidth="1"/>
    <col min="11250" max="11250" width="29.5" style="738" customWidth="1"/>
    <col min="11251" max="11251" width="23.625" style="738" customWidth="1"/>
    <col min="11252" max="11252" width="8" style="738" customWidth="1"/>
    <col min="11253" max="11253" width="9.125" style="738" customWidth="1"/>
    <col min="11254" max="11254" width="13.875" style="738" customWidth="1"/>
    <col min="11255" max="11255" width="13.5" style="738" customWidth="1"/>
    <col min="11256" max="11502" width="8.875" style="738"/>
    <col min="11503" max="11503" width="5" style="738" customWidth="1"/>
    <col min="11504" max="11504" width="33.375" style="738" customWidth="1"/>
    <col min="11505" max="11505" width="6.5" style="738" customWidth="1"/>
    <col min="11506" max="11506" width="29.5" style="738" customWidth="1"/>
    <col min="11507" max="11507" width="23.625" style="738" customWidth="1"/>
    <col min="11508" max="11508" width="8" style="738" customWidth="1"/>
    <col min="11509" max="11509" width="9.125" style="738" customWidth="1"/>
    <col min="11510" max="11510" width="13.875" style="738" customWidth="1"/>
    <col min="11511" max="11511" width="13.5" style="738" customWidth="1"/>
    <col min="11512" max="11758" width="8.875" style="738"/>
    <col min="11759" max="11759" width="5" style="738" customWidth="1"/>
    <col min="11760" max="11760" width="33.375" style="738" customWidth="1"/>
    <col min="11761" max="11761" width="6.5" style="738" customWidth="1"/>
    <col min="11762" max="11762" width="29.5" style="738" customWidth="1"/>
    <col min="11763" max="11763" width="23.625" style="738" customWidth="1"/>
    <col min="11764" max="11764" width="8" style="738" customWidth="1"/>
    <col min="11765" max="11765" width="9.125" style="738" customWidth="1"/>
    <col min="11766" max="11766" width="13.875" style="738" customWidth="1"/>
    <col min="11767" max="11767" width="13.5" style="738" customWidth="1"/>
    <col min="11768" max="12014" width="8.875" style="738"/>
    <col min="12015" max="12015" width="5" style="738" customWidth="1"/>
    <col min="12016" max="12016" width="33.375" style="738" customWidth="1"/>
    <col min="12017" max="12017" width="6.5" style="738" customWidth="1"/>
    <col min="12018" max="12018" width="29.5" style="738" customWidth="1"/>
    <col min="12019" max="12019" width="23.625" style="738" customWidth="1"/>
    <col min="12020" max="12020" width="8" style="738" customWidth="1"/>
    <col min="12021" max="12021" width="9.125" style="738" customWidth="1"/>
    <col min="12022" max="12022" width="13.875" style="738" customWidth="1"/>
    <col min="12023" max="12023" width="13.5" style="738" customWidth="1"/>
    <col min="12024" max="12270" width="8.875" style="738"/>
    <col min="12271" max="12271" width="5" style="738" customWidth="1"/>
    <col min="12272" max="12272" width="33.375" style="738" customWidth="1"/>
    <col min="12273" max="12273" width="6.5" style="738" customWidth="1"/>
    <col min="12274" max="12274" width="29.5" style="738" customWidth="1"/>
    <col min="12275" max="12275" width="23.625" style="738" customWidth="1"/>
    <col min="12276" max="12276" width="8" style="738" customWidth="1"/>
    <col min="12277" max="12277" width="9.125" style="738" customWidth="1"/>
    <col min="12278" max="12278" width="13.875" style="738" customWidth="1"/>
    <col min="12279" max="12279" width="13.5" style="738" customWidth="1"/>
    <col min="12280" max="12526" width="8.875" style="738"/>
    <col min="12527" max="12527" width="5" style="738" customWidth="1"/>
    <col min="12528" max="12528" width="33.375" style="738" customWidth="1"/>
    <col min="12529" max="12529" width="6.5" style="738" customWidth="1"/>
    <col min="12530" max="12530" width="29.5" style="738" customWidth="1"/>
    <col min="12531" max="12531" width="23.625" style="738" customWidth="1"/>
    <col min="12532" max="12532" width="8" style="738" customWidth="1"/>
    <col min="12533" max="12533" width="9.125" style="738" customWidth="1"/>
    <col min="12534" max="12534" width="13.875" style="738" customWidth="1"/>
    <col min="12535" max="12535" width="13.5" style="738" customWidth="1"/>
    <col min="12536" max="12782" width="8.875" style="738"/>
    <col min="12783" max="12783" width="5" style="738" customWidth="1"/>
    <col min="12784" max="12784" width="33.375" style="738" customWidth="1"/>
    <col min="12785" max="12785" width="6.5" style="738" customWidth="1"/>
    <col min="12786" max="12786" width="29.5" style="738" customWidth="1"/>
    <col min="12787" max="12787" width="23.625" style="738" customWidth="1"/>
    <col min="12788" max="12788" width="8" style="738" customWidth="1"/>
    <col min="12789" max="12789" width="9.125" style="738" customWidth="1"/>
    <col min="12790" max="12790" width="13.875" style="738" customWidth="1"/>
    <col min="12791" max="12791" width="13.5" style="738" customWidth="1"/>
    <col min="12792" max="13038" width="8.875" style="738"/>
    <col min="13039" max="13039" width="5" style="738" customWidth="1"/>
    <col min="13040" max="13040" width="33.375" style="738" customWidth="1"/>
    <col min="13041" max="13041" width="6.5" style="738" customWidth="1"/>
    <col min="13042" max="13042" width="29.5" style="738" customWidth="1"/>
    <col min="13043" max="13043" width="23.625" style="738" customWidth="1"/>
    <col min="13044" max="13044" width="8" style="738" customWidth="1"/>
    <col min="13045" max="13045" width="9.125" style="738" customWidth="1"/>
    <col min="13046" max="13046" width="13.875" style="738" customWidth="1"/>
    <col min="13047" max="13047" width="13.5" style="738" customWidth="1"/>
    <col min="13048" max="13294" width="8.875" style="738"/>
    <col min="13295" max="13295" width="5" style="738" customWidth="1"/>
    <col min="13296" max="13296" width="33.375" style="738" customWidth="1"/>
    <col min="13297" max="13297" width="6.5" style="738" customWidth="1"/>
    <col min="13298" max="13298" width="29.5" style="738" customWidth="1"/>
    <col min="13299" max="13299" width="23.625" style="738" customWidth="1"/>
    <col min="13300" max="13300" width="8" style="738" customWidth="1"/>
    <col min="13301" max="13301" width="9.125" style="738" customWidth="1"/>
    <col min="13302" max="13302" width="13.875" style="738" customWidth="1"/>
    <col min="13303" max="13303" width="13.5" style="738" customWidth="1"/>
    <col min="13304" max="13550" width="8.875" style="738"/>
    <col min="13551" max="13551" width="5" style="738" customWidth="1"/>
    <col min="13552" max="13552" width="33.375" style="738" customWidth="1"/>
    <col min="13553" max="13553" width="6.5" style="738" customWidth="1"/>
    <col min="13554" max="13554" width="29.5" style="738" customWidth="1"/>
    <col min="13555" max="13555" width="23.625" style="738" customWidth="1"/>
    <col min="13556" max="13556" width="8" style="738" customWidth="1"/>
    <col min="13557" max="13557" width="9.125" style="738" customWidth="1"/>
    <col min="13558" max="13558" width="13.875" style="738" customWidth="1"/>
    <col min="13559" max="13559" width="13.5" style="738" customWidth="1"/>
    <col min="13560" max="13806" width="8.875" style="738"/>
    <col min="13807" max="13807" width="5" style="738" customWidth="1"/>
    <col min="13808" max="13808" width="33.375" style="738" customWidth="1"/>
    <col min="13809" max="13809" width="6.5" style="738" customWidth="1"/>
    <col min="13810" max="13810" width="29.5" style="738" customWidth="1"/>
    <col min="13811" max="13811" width="23.625" style="738" customWidth="1"/>
    <col min="13812" max="13812" width="8" style="738" customWidth="1"/>
    <col min="13813" max="13813" width="9.125" style="738" customWidth="1"/>
    <col min="13814" max="13814" width="13.875" style="738" customWidth="1"/>
    <col min="13815" max="13815" width="13.5" style="738" customWidth="1"/>
    <col min="13816" max="14062" width="8.875" style="738"/>
    <col min="14063" max="14063" width="5" style="738" customWidth="1"/>
    <col min="14064" max="14064" width="33.375" style="738" customWidth="1"/>
    <col min="14065" max="14065" width="6.5" style="738" customWidth="1"/>
    <col min="14066" max="14066" width="29.5" style="738" customWidth="1"/>
    <col min="14067" max="14067" width="23.625" style="738" customWidth="1"/>
    <col min="14068" max="14068" width="8" style="738" customWidth="1"/>
    <col min="14069" max="14069" width="9.125" style="738" customWidth="1"/>
    <col min="14070" max="14070" width="13.875" style="738" customWidth="1"/>
    <col min="14071" max="14071" width="13.5" style="738" customWidth="1"/>
    <col min="14072" max="14318" width="8.875" style="738"/>
    <col min="14319" max="14319" width="5" style="738" customWidth="1"/>
    <col min="14320" max="14320" width="33.375" style="738" customWidth="1"/>
    <col min="14321" max="14321" width="6.5" style="738" customWidth="1"/>
    <col min="14322" max="14322" width="29.5" style="738" customWidth="1"/>
    <col min="14323" max="14323" width="23.625" style="738" customWidth="1"/>
    <col min="14324" max="14324" width="8" style="738" customWidth="1"/>
    <col min="14325" max="14325" width="9.125" style="738" customWidth="1"/>
    <col min="14326" max="14326" width="13.875" style="738" customWidth="1"/>
    <col min="14327" max="14327" width="13.5" style="738" customWidth="1"/>
    <col min="14328" max="14574" width="8.875" style="738"/>
    <col min="14575" max="14575" width="5" style="738" customWidth="1"/>
    <col min="14576" max="14576" width="33.375" style="738" customWidth="1"/>
    <col min="14577" max="14577" width="6.5" style="738" customWidth="1"/>
    <col min="14578" max="14578" width="29.5" style="738" customWidth="1"/>
    <col min="14579" max="14579" width="23.625" style="738" customWidth="1"/>
    <col min="14580" max="14580" width="8" style="738" customWidth="1"/>
    <col min="14581" max="14581" width="9.125" style="738" customWidth="1"/>
    <col min="14582" max="14582" width="13.875" style="738" customWidth="1"/>
    <col min="14583" max="14583" width="13.5" style="738" customWidth="1"/>
    <col min="14584" max="14830" width="8.875" style="738"/>
    <col min="14831" max="14831" width="5" style="738" customWidth="1"/>
    <col min="14832" max="14832" width="33.375" style="738" customWidth="1"/>
    <col min="14833" max="14833" width="6.5" style="738" customWidth="1"/>
    <col min="14834" max="14834" width="29.5" style="738" customWidth="1"/>
    <col min="14835" max="14835" width="23.625" style="738" customWidth="1"/>
    <col min="14836" max="14836" width="8" style="738" customWidth="1"/>
    <col min="14837" max="14837" width="9.125" style="738" customWidth="1"/>
    <col min="14838" max="14838" width="13.875" style="738" customWidth="1"/>
    <col min="14839" max="14839" width="13.5" style="738" customWidth="1"/>
    <col min="14840" max="15086" width="8.875" style="738"/>
    <col min="15087" max="15087" width="5" style="738" customWidth="1"/>
    <col min="15088" max="15088" width="33.375" style="738" customWidth="1"/>
    <col min="15089" max="15089" width="6.5" style="738" customWidth="1"/>
    <col min="15090" max="15090" width="29.5" style="738" customWidth="1"/>
    <col min="15091" max="15091" width="23.625" style="738" customWidth="1"/>
    <col min="15092" max="15092" width="8" style="738" customWidth="1"/>
    <col min="15093" max="15093" width="9.125" style="738" customWidth="1"/>
    <col min="15094" max="15094" width="13.875" style="738" customWidth="1"/>
    <col min="15095" max="15095" width="13.5" style="738" customWidth="1"/>
    <col min="15096" max="15342" width="8.875" style="738"/>
    <col min="15343" max="15343" width="5" style="738" customWidth="1"/>
    <col min="15344" max="15344" width="33.375" style="738" customWidth="1"/>
    <col min="15345" max="15345" width="6.5" style="738" customWidth="1"/>
    <col min="15346" max="15346" width="29.5" style="738" customWidth="1"/>
    <col min="15347" max="15347" width="23.625" style="738" customWidth="1"/>
    <col min="15348" max="15348" width="8" style="738" customWidth="1"/>
    <col min="15349" max="15349" width="9.125" style="738" customWidth="1"/>
    <col min="15350" max="15350" width="13.875" style="738" customWidth="1"/>
    <col min="15351" max="15351" width="13.5" style="738" customWidth="1"/>
    <col min="15352" max="15598" width="8.875" style="738"/>
    <col min="15599" max="15599" width="5" style="738" customWidth="1"/>
    <col min="15600" max="15600" width="33.375" style="738" customWidth="1"/>
    <col min="15601" max="15601" width="6.5" style="738" customWidth="1"/>
    <col min="15602" max="15602" width="29.5" style="738" customWidth="1"/>
    <col min="15603" max="15603" width="23.625" style="738" customWidth="1"/>
    <col min="15604" max="15604" width="8" style="738" customWidth="1"/>
    <col min="15605" max="15605" width="9.125" style="738" customWidth="1"/>
    <col min="15606" max="15606" width="13.875" style="738" customWidth="1"/>
    <col min="15607" max="15607" width="13.5" style="738" customWidth="1"/>
    <col min="15608" max="15854" width="8.875" style="738"/>
    <col min="15855" max="15855" width="5" style="738" customWidth="1"/>
    <col min="15856" max="15856" width="33.375" style="738" customWidth="1"/>
    <col min="15857" max="15857" width="6.5" style="738" customWidth="1"/>
    <col min="15858" max="15858" width="29.5" style="738" customWidth="1"/>
    <col min="15859" max="15859" width="23.625" style="738" customWidth="1"/>
    <col min="15860" max="15860" width="8" style="738" customWidth="1"/>
    <col min="15861" max="15861" width="9.125" style="738" customWidth="1"/>
    <col min="15862" max="15862" width="13.875" style="738" customWidth="1"/>
    <col min="15863" max="15863" width="13.5" style="738" customWidth="1"/>
    <col min="15864" max="16384" width="8.875" style="738"/>
  </cols>
  <sheetData>
    <row r="2" spans="2:18" s="737" customFormat="1">
      <c r="B2" s="546" t="s">
        <v>464</v>
      </c>
      <c r="C2" s="725" t="s">
        <v>132</v>
      </c>
    </row>
    <row r="3" spans="2:18" s="737" customFormat="1" ht="13.5">
      <c r="B3" s="546" t="s">
        <v>465</v>
      </c>
      <c r="C3" s="726" t="s">
        <v>255</v>
      </c>
    </row>
    <row r="4" spans="2:18" s="737" customFormat="1">
      <c r="B4" s="546" t="s">
        <v>466</v>
      </c>
      <c r="C4" s="725" t="s">
        <v>133</v>
      </c>
    </row>
    <row r="5" spans="2:18">
      <c r="E5" s="731"/>
      <c r="G5" s="738"/>
      <c r="H5" s="738"/>
      <c r="M5" s="731"/>
      <c r="Q5" s="738"/>
    </row>
    <row r="6" spans="2:18" s="743" customFormat="1" ht="23.1" customHeight="1">
      <c r="B6" s="739" t="s">
        <v>61</v>
      </c>
      <c r="C6" s="740" t="s">
        <v>616</v>
      </c>
      <c r="D6" s="741"/>
      <c r="E6" s="741"/>
      <c r="F6" s="742"/>
      <c r="G6" s="742"/>
      <c r="H6" s="742"/>
      <c r="I6" s="742"/>
      <c r="J6" s="742"/>
      <c r="K6" s="742"/>
      <c r="L6" s="742"/>
      <c r="M6" s="742"/>
    </row>
    <row r="7" spans="2:18" s="743" customFormat="1" ht="3.95" customHeight="1">
      <c r="M7" s="744"/>
    </row>
    <row r="8" spans="2:18" s="743" customFormat="1" ht="20.100000000000001" customHeight="1">
      <c r="B8" s="745" t="s">
        <v>279</v>
      </c>
      <c r="C8" s="745" t="s">
        <v>541</v>
      </c>
      <c r="D8" s="746"/>
      <c r="E8" s="746" t="s">
        <v>405</v>
      </c>
      <c r="F8" s="746" t="s">
        <v>438</v>
      </c>
      <c r="G8" s="746"/>
      <c r="H8" s="746"/>
      <c r="I8" s="747"/>
    </row>
    <row r="9" spans="2:18" s="743" customFormat="1" ht="18.95" customHeight="1">
      <c r="B9" s="745" t="s">
        <v>280</v>
      </c>
      <c r="C9" s="748" t="s">
        <v>542</v>
      </c>
      <c r="D9" s="746"/>
      <c r="E9" s="746" t="s">
        <v>467</v>
      </c>
      <c r="F9" s="749" t="s">
        <v>471</v>
      </c>
      <c r="G9" s="749"/>
      <c r="H9" s="749"/>
      <c r="I9" s="747"/>
    </row>
    <row r="10" spans="2:18" s="743" customFormat="1">
      <c r="M10" s="744"/>
    </row>
    <row r="11" spans="2:18" ht="20.100000000000001" customHeight="1">
      <c r="B11" s="750" t="s">
        <v>21</v>
      </c>
      <c r="C11" s="751" t="s">
        <v>468</v>
      </c>
      <c r="D11" s="752"/>
      <c r="E11" s="753"/>
      <c r="F11" s="753"/>
      <c r="G11" s="754"/>
      <c r="H11" s="754"/>
      <c r="I11" s="753"/>
      <c r="J11" s="753"/>
      <c r="K11" s="753"/>
      <c r="L11" s="755"/>
      <c r="M11" s="755"/>
      <c r="N11" s="755"/>
      <c r="O11" s="756"/>
      <c r="P11" s="757"/>
      <c r="Q11" s="758">
        <f>Q13+Q14</f>
        <v>0</v>
      </c>
    </row>
    <row r="12" spans="2:18" s="762" customFormat="1" ht="27.95" customHeight="1">
      <c r="B12" s="759"/>
      <c r="C12" s="1013" t="s">
        <v>8</v>
      </c>
      <c r="D12" s="1012"/>
      <c r="E12" s="1012"/>
      <c r="F12" s="1012"/>
      <c r="G12" s="1012"/>
      <c r="H12" s="1012"/>
      <c r="I12" s="999" t="s">
        <v>154</v>
      </c>
      <c r="J12" s="999"/>
      <c r="K12" s="999"/>
      <c r="L12" s="999" t="s">
        <v>174</v>
      </c>
      <c r="M12" s="999"/>
      <c r="N12" s="760" t="s">
        <v>173</v>
      </c>
      <c r="O12" s="761" t="s">
        <v>32</v>
      </c>
      <c r="P12" s="761" t="s">
        <v>2</v>
      </c>
      <c r="Q12" s="759" t="s">
        <v>20</v>
      </c>
    </row>
    <row r="13" spans="2:18" ht="21" customHeight="1">
      <c r="B13" s="763">
        <v>1</v>
      </c>
      <c r="C13" s="1024" t="s">
        <v>185</v>
      </c>
      <c r="D13" s="1024"/>
      <c r="E13" s="1024"/>
      <c r="F13" s="1024"/>
      <c r="G13" s="1024"/>
      <c r="H13" s="1024"/>
      <c r="I13" s="1006">
        <v>0.4</v>
      </c>
      <c r="J13" s="1006"/>
      <c r="K13" s="1006"/>
      <c r="L13" s="1025">
        <v>1</v>
      </c>
      <c r="M13" s="1025"/>
      <c r="N13" s="521"/>
      <c r="O13" s="521">
        <f>N13/L13</f>
        <v>0</v>
      </c>
      <c r="P13" s="521"/>
      <c r="Q13" s="764">
        <f>I13*O13</f>
        <v>0</v>
      </c>
      <c r="R13" s="765"/>
    </row>
    <row r="14" spans="2:18" ht="21" customHeight="1">
      <c r="B14" s="763">
        <v>2</v>
      </c>
      <c r="C14" s="1026" t="s">
        <v>469</v>
      </c>
      <c r="D14" s="1026"/>
      <c r="E14" s="1026"/>
      <c r="F14" s="1026"/>
      <c r="G14" s="1026"/>
      <c r="H14" s="1026"/>
      <c r="I14" s="994">
        <v>0.6</v>
      </c>
      <c r="J14" s="994"/>
      <c r="K14" s="994"/>
      <c r="L14" s="1027">
        <v>1</v>
      </c>
      <c r="M14" s="1027"/>
      <c r="N14" s="690"/>
      <c r="O14" s="690">
        <f>N14/L14</f>
        <v>0</v>
      </c>
      <c r="P14" s="690"/>
      <c r="Q14" s="764">
        <f>I14*O14</f>
        <v>0</v>
      </c>
      <c r="R14" s="765"/>
    </row>
    <row r="15" spans="2:18" ht="21" customHeight="1">
      <c r="B15" s="750" t="s">
        <v>22</v>
      </c>
      <c r="C15" s="766" t="s">
        <v>54</v>
      </c>
      <c r="D15" s="752"/>
      <c r="E15" s="753"/>
      <c r="F15" s="753"/>
      <c r="G15" s="754"/>
      <c r="H15" s="754"/>
      <c r="I15" s="753"/>
      <c r="J15" s="753"/>
      <c r="K15" s="753"/>
      <c r="L15" s="986"/>
      <c r="M15" s="986"/>
      <c r="N15" s="986"/>
      <c r="O15" s="756"/>
      <c r="P15" s="757"/>
      <c r="Q15" s="767">
        <f>SUM(Q17:Q21)</f>
        <v>0</v>
      </c>
      <c r="R15" s="765"/>
    </row>
    <row r="16" spans="2:18" s="762" customFormat="1" ht="29.1" customHeight="1">
      <c r="B16" s="759"/>
      <c r="C16" s="761" t="s">
        <v>31</v>
      </c>
      <c r="D16" s="761" t="s">
        <v>152</v>
      </c>
      <c r="E16" s="999" t="s">
        <v>39</v>
      </c>
      <c r="F16" s="1032"/>
      <c r="G16" s="999" t="s">
        <v>17</v>
      </c>
      <c r="H16" s="1032"/>
      <c r="I16" s="999" t="s">
        <v>116</v>
      </c>
      <c r="J16" s="999"/>
      <c r="K16" s="999"/>
      <c r="L16" s="999" t="s">
        <v>19</v>
      </c>
      <c r="M16" s="999"/>
      <c r="N16" s="760" t="s">
        <v>174</v>
      </c>
      <c r="O16" s="761" t="s">
        <v>164</v>
      </c>
      <c r="P16" s="761" t="s">
        <v>32</v>
      </c>
      <c r="Q16" s="759" t="s">
        <v>20</v>
      </c>
    </row>
    <row r="17" spans="2:17" ht="48.95" customHeight="1">
      <c r="B17" s="763">
        <v>1</v>
      </c>
      <c r="C17" s="529" t="s">
        <v>579</v>
      </c>
      <c r="D17" s="530">
        <v>0.15</v>
      </c>
      <c r="E17" s="1022" t="s">
        <v>412</v>
      </c>
      <c r="F17" s="1023"/>
      <c r="G17" s="1029" t="s">
        <v>580</v>
      </c>
      <c r="H17" s="985"/>
      <c r="I17" s="1017" t="s">
        <v>509</v>
      </c>
      <c r="J17" s="1018"/>
      <c r="K17" s="1019"/>
      <c r="L17" s="1015" t="s">
        <v>326</v>
      </c>
      <c r="M17" s="1016"/>
      <c r="N17" s="768">
        <v>0.9</v>
      </c>
      <c r="O17" s="598"/>
      <c r="P17" s="769" t="str">
        <f>IF(LEN(O17)=0,"",IF(O17&lt;80%,0,MIN(120%,O17/N17*100%)))</f>
        <v/>
      </c>
      <c r="Q17" s="770" t="str">
        <f>IFERROR(P17*D17,"")</f>
        <v/>
      </c>
    </row>
    <row r="18" spans="2:17" ht="51" customHeight="1">
      <c r="B18" s="763">
        <v>3</v>
      </c>
      <c r="C18" s="522" t="s">
        <v>647</v>
      </c>
      <c r="D18" s="530">
        <v>0.2</v>
      </c>
      <c r="E18" s="1024" t="s">
        <v>483</v>
      </c>
      <c r="F18" s="1024"/>
      <c r="G18" s="1029" t="s">
        <v>413</v>
      </c>
      <c r="H18" s="985"/>
      <c r="I18" s="1017" t="s">
        <v>522</v>
      </c>
      <c r="J18" s="1018"/>
      <c r="K18" s="1019"/>
      <c r="L18" s="1028" t="s">
        <v>414</v>
      </c>
      <c r="M18" s="1028"/>
      <c r="N18" s="771">
        <v>0</v>
      </c>
      <c r="O18" s="771"/>
      <c r="P18" s="772" t="str">
        <f>IF(LEN(O18)=0,"",IF(O18=N18,1,0))</f>
        <v/>
      </c>
      <c r="Q18" s="770" t="str">
        <f t="shared" ref="Q18:Q22" si="0">IFERROR(P18*D18,"")</f>
        <v/>
      </c>
    </row>
    <row r="19" spans="2:17" ht="51" customHeight="1">
      <c r="B19" s="763">
        <v>4</v>
      </c>
      <c r="C19" s="528" t="s">
        <v>614</v>
      </c>
      <c r="D19" s="530">
        <v>0.15</v>
      </c>
      <c r="E19" s="1026" t="s">
        <v>615</v>
      </c>
      <c r="F19" s="1026"/>
      <c r="G19" s="1020" t="s">
        <v>613</v>
      </c>
      <c r="H19" s="1021"/>
      <c r="I19" s="1017" t="s">
        <v>511</v>
      </c>
      <c r="J19" s="1018"/>
      <c r="K19" s="1019"/>
      <c r="L19" s="1028" t="s">
        <v>612</v>
      </c>
      <c r="M19" s="1028"/>
      <c r="N19" s="802" t="s">
        <v>662</v>
      </c>
      <c r="O19" s="773"/>
      <c r="P19" s="774" t="str">
        <f>IF(LEN(O19)=0,"",IF(O19&gt;N19,0,MIN(120%,N19/O19*100%)))</f>
        <v/>
      </c>
      <c r="Q19" s="770" t="str">
        <f t="shared" si="0"/>
        <v/>
      </c>
    </row>
    <row r="20" spans="2:17" ht="42" customHeight="1">
      <c r="B20" s="763">
        <v>5</v>
      </c>
      <c r="C20" s="522" t="s">
        <v>452</v>
      </c>
      <c r="D20" s="530">
        <v>0.2</v>
      </c>
      <c r="E20" s="1022" t="s">
        <v>484</v>
      </c>
      <c r="F20" s="1023"/>
      <c r="G20" s="1020" t="s">
        <v>413</v>
      </c>
      <c r="H20" s="1021"/>
      <c r="I20" s="1017" t="s">
        <v>522</v>
      </c>
      <c r="J20" s="1018"/>
      <c r="K20" s="1019"/>
      <c r="L20" s="1015" t="s">
        <v>414</v>
      </c>
      <c r="M20" s="1016"/>
      <c r="N20" s="775">
        <v>0</v>
      </c>
      <c r="O20" s="624"/>
      <c r="P20" s="598" t="str">
        <f>IF(LEN(O20)=0,"",IF(O20=N20,1,0))</f>
        <v/>
      </c>
      <c r="Q20" s="770" t="str">
        <f t="shared" si="0"/>
        <v/>
      </c>
    </row>
    <row r="21" spans="2:17" ht="51.95" customHeight="1">
      <c r="B21" s="763">
        <v>6</v>
      </c>
      <c r="C21" s="539" t="s">
        <v>437</v>
      </c>
      <c r="D21" s="530">
        <v>0.1</v>
      </c>
      <c r="E21" s="1022" t="s">
        <v>494</v>
      </c>
      <c r="F21" s="1023"/>
      <c r="G21" s="1020" t="s">
        <v>330</v>
      </c>
      <c r="H21" s="1021"/>
      <c r="I21" s="1017" t="s">
        <v>323</v>
      </c>
      <c r="J21" s="1018"/>
      <c r="K21" s="1019"/>
      <c r="L21" s="1015" t="s">
        <v>346</v>
      </c>
      <c r="M21" s="1016"/>
      <c r="N21" s="776">
        <v>1</v>
      </c>
      <c r="O21" s="776"/>
      <c r="P21" s="774" t="str">
        <f>IF(LEN(O21)=0,"",IF(O21&gt;=N21,100%,0%))</f>
        <v/>
      </c>
      <c r="Q21" s="770" t="str">
        <f t="shared" si="0"/>
        <v/>
      </c>
    </row>
    <row r="22" spans="2:17" ht="51.95" customHeight="1">
      <c r="B22" s="763">
        <v>7</v>
      </c>
      <c r="C22" s="539" t="s">
        <v>596</v>
      </c>
      <c r="D22" s="530">
        <v>0.2</v>
      </c>
      <c r="E22" s="1022" t="s">
        <v>597</v>
      </c>
      <c r="F22" s="1023"/>
      <c r="G22" s="1020" t="s">
        <v>330</v>
      </c>
      <c r="H22" s="1021"/>
      <c r="I22" s="1017" t="s">
        <v>515</v>
      </c>
      <c r="J22" s="1018"/>
      <c r="K22" s="1019"/>
      <c r="L22" s="1015" t="s">
        <v>414</v>
      </c>
      <c r="M22" s="1016"/>
      <c r="N22" s="777">
        <v>1</v>
      </c>
      <c r="O22" s="776"/>
      <c r="P22" s="774" t="str">
        <f>IF(LEN(O22)=0,"",IF(O22&gt;=N22,100%,0%))</f>
        <v/>
      </c>
      <c r="Q22" s="770" t="str">
        <f t="shared" si="0"/>
        <v/>
      </c>
    </row>
    <row r="23" spans="2:17" ht="20.100000000000001" customHeight="1">
      <c r="B23" s="750" t="s">
        <v>40</v>
      </c>
      <c r="C23" s="751" t="s">
        <v>186</v>
      </c>
      <c r="D23" s="752"/>
      <c r="E23" s="753"/>
      <c r="F23" s="753"/>
      <c r="G23" s="754"/>
      <c r="H23" s="754"/>
      <c r="I23" s="753"/>
      <c r="J23" s="753"/>
      <c r="K23" s="753"/>
      <c r="L23" s="986"/>
      <c r="M23" s="986"/>
      <c r="N23" s="986"/>
      <c r="O23" s="756"/>
      <c r="P23" s="757"/>
      <c r="Q23" s="758" t="e">
        <f>SUM(Q26:Q30)/5</f>
        <v>#DIV/0!</v>
      </c>
    </row>
    <row r="24" spans="2:17" s="762" customFormat="1" ht="26.1" customHeight="1">
      <c r="B24" s="1004"/>
      <c r="C24" s="1013" t="s">
        <v>8</v>
      </c>
      <c r="D24" s="1013"/>
      <c r="E24" s="1013"/>
      <c r="F24" s="1013"/>
      <c r="G24" s="1013"/>
      <c r="H24" s="1013"/>
      <c r="I24" s="989" t="s">
        <v>118</v>
      </c>
      <c r="J24" s="989"/>
      <c r="K24" s="989"/>
      <c r="L24" s="989"/>
      <c r="M24" s="989"/>
      <c r="N24" s="989"/>
      <c r="O24" s="991" t="s">
        <v>123</v>
      </c>
      <c r="P24" s="989" t="s">
        <v>125</v>
      </c>
      <c r="Q24" s="1004" t="s">
        <v>102</v>
      </c>
    </row>
    <row r="25" spans="2:17" s="762" customFormat="1" ht="39" customHeight="1">
      <c r="B25" s="1004"/>
      <c r="C25" s="1014"/>
      <c r="D25" s="1014"/>
      <c r="E25" s="1014"/>
      <c r="F25" s="1014"/>
      <c r="G25" s="1014"/>
      <c r="H25" s="1014"/>
      <c r="I25" s="1011" t="s">
        <v>119</v>
      </c>
      <c r="J25" s="1011"/>
      <c r="K25" s="778" t="s">
        <v>120</v>
      </c>
      <c r="L25" s="778" t="s">
        <v>153</v>
      </c>
      <c r="M25" s="778" t="s">
        <v>121</v>
      </c>
      <c r="N25" s="778" t="s">
        <v>122</v>
      </c>
      <c r="O25" s="992"/>
      <c r="P25" s="990"/>
      <c r="Q25" s="1004"/>
    </row>
    <row r="26" spans="2:17" s="782" customFormat="1" ht="32.1" customHeight="1">
      <c r="B26" s="763">
        <v>1</v>
      </c>
      <c r="C26" s="987" t="s">
        <v>62</v>
      </c>
      <c r="D26" s="987"/>
      <c r="E26" s="987"/>
      <c r="F26" s="987"/>
      <c r="G26" s="987"/>
      <c r="H26" s="987"/>
      <c r="I26" s="988">
        <v>1</v>
      </c>
      <c r="J26" s="988"/>
      <c r="K26" s="779">
        <v>2</v>
      </c>
      <c r="L26" s="780">
        <v>3</v>
      </c>
      <c r="M26" s="779">
        <v>4</v>
      </c>
      <c r="N26" s="780">
        <v>5</v>
      </c>
      <c r="O26" s="781"/>
      <c r="P26" s="780"/>
      <c r="Q26" s="764" t="e">
        <f>P26/O26</f>
        <v>#DIV/0!</v>
      </c>
    </row>
    <row r="27" spans="2:17" s="782" customFormat="1" ht="32.1" customHeight="1">
      <c r="B27" s="763">
        <f>B26+1</f>
        <v>2</v>
      </c>
      <c r="C27" s="987" t="s">
        <v>63</v>
      </c>
      <c r="D27" s="987"/>
      <c r="E27" s="987"/>
      <c r="F27" s="987"/>
      <c r="G27" s="987"/>
      <c r="H27" s="987"/>
      <c r="I27" s="988">
        <v>1</v>
      </c>
      <c r="J27" s="988"/>
      <c r="K27" s="779">
        <v>2</v>
      </c>
      <c r="L27" s="780">
        <v>3</v>
      </c>
      <c r="M27" s="779">
        <v>4</v>
      </c>
      <c r="N27" s="780">
        <v>5</v>
      </c>
      <c r="O27" s="781"/>
      <c r="P27" s="780"/>
      <c r="Q27" s="764" t="e">
        <f>P27/O27</f>
        <v>#DIV/0!</v>
      </c>
    </row>
    <row r="28" spans="2:17" s="782" customFormat="1" ht="32.1" customHeight="1">
      <c r="B28" s="763">
        <v>3</v>
      </c>
      <c r="C28" s="987" t="s">
        <v>64</v>
      </c>
      <c r="D28" s="987"/>
      <c r="E28" s="987"/>
      <c r="F28" s="987"/>
      <c r="G28" s="987"/>
      <c r="H28" s="987"/>
      <c r="I28" s="988">
        <v>1</v>
      </c>
      <c r="J28" s="988"/>
      <c r="K28" s="779">
        <v>2</v>
      </c>
      <c r="L28" s="780">
        <v>3</v>
      </c>
      <c r="M28" s="779">
        <v>4</v>
      </c>
      <c r="N28" s="780">
        <v>5</v>
      </c>
      <c r="O28" s="781"/>
      <c r="P28" s="780"/>
      <c r="Q28" s="764" t="e">
        <f>P28/O28</f>
        <v>#DIV/0!</v>
      </c>
    </row>
    <row r="29" spans="2:17" s="782" customFormat="1" ht="32.1" customHeight="1">
      <c r="B29" s="763">
        <f>B28+1</f>
        <v>4</v>
      </c>
      <c r="C29" s="987" t="s">
        <v>65</v>
      </c>
      <c r="D29" s="987"/>
      <c r="E29" s="987"/>
      <c r="F29" s="987"/>
      <c r="G29" s="987"/>
      <c r="H29" s="987"/>
      <c r="I29" s="988">
        <v>1</v>
      </c>
      <c r="J29" s="988"/>
      <c r="K29" s="779">
        <v>2</v>
      </c>
      <c r="L29" s="780">
        <v>3</v>
      </c>
      <c r="M29" s="779">
        <v>4</v>
      </c>
      <c r="N29" s="780">
        <v>5</v>
      </c>
      <c r="O29" s="781"/>
      <c r="P29" s="780"/>
      <c r="Q29" s="764" t="e">
        <f>P29/O29</f>
        <v>#DIV/0!</v>
      </c>
    </row>
    <row r="30" spans="2:17" s="782" customFormat="1" ht="32.1" customHeight="1">
      <c r="B30" s="763">
        <v>5</v>
      </c>
      <c r="C30" s="997" t="s">
        <v>66</v>
      </c>
      <c r="D30" s="997"/>
      <c r="E30" s="997"/>
      <c r="F30" s="997"/>
      <c r="G30" s="997"/>
      <c r="H30" s="997"/>
      <c r="I30" s="998">
        <v>1</v>
      </c>
      <c r="J30" s="998"/>
      <c r="K30" s="783">
        <v>2</v>
      </c>
      <c r="L30" s="784">
        <v>3</v>
      </c>
      <c r="M30" s="783">
        <v>4</v>
      </c>
      <c r="N30" s="784">
        <v>5</v>
      </c>
      <c r="O30" s="785"/>
      <c r="P30" s="784"/>
      <c r="Q30" s="764" t="e">
        <f>P30/O30</f>
        <v>#DIV/0!</v>
      </c>
    </row>
    <row r="31" spans="2:17" ht="20.100000000000001" customHeight="1">
      <c r="B31" s="750" t="s">
        <v>41</v>
      </c>
      <c r="C31" s="751" t="s">
        <v>42</v>
      </c>
      <c r="D31" s="752"/>
      <c r="E31" s="753"/>
      <c r="F31" s="753"/>
      <c r="G31" s="754"/>
      <c r="H31" s="754"/>
      <c r="I31" s="753"/>
      <c r="J31" s="753"/>
      <c r="K31" s="753"/>
      <c r="L31" s="755"/>
      <c r="M31" s="755"/>
      <c r="N31" s="755"/>
      <c r="O31" s="756"/>
      <c r="P31" s="757"/>
      <c r="Q31" s="758" t="e">
        <f>SUM(N33:N35)</f>
        <v>#DIV/0!</v>
      </c>
    </row>
    <row r="32" spans="2:17" s="762" customFormat="1" ht="18.95" customHeight="1">
      <c r="B32" s="759"/>
      <c r="C32" s="1012" t="s">
        <v>8</v>
      </c>
      <c r="D32" s="1012"/>
      <c r="E32" s="1012"/>
      <c r="F32" s="1012"/>
      <c r="G32" s="1012"/>
      <c r="H32" s="1012"/>
      <c r="I32" s="999" t="s">
        <v>43</v>
      </c>
      <c r="J32" s="999"/>
      <c r="K32" s="999"/>
      <c r="L32" s="999" t="s">
        <v>154</v>
      </c>
      <c r="M32" s="999"/>
      <c r="N32" s="761" t="s">
        <v>67</v>
      </c>
      <c r="O32" s="999" t="s">
        <v>44</v>
      </c>
      <c r="P32" s="999"/>
      <c r="Q32" s="1004"/>
    </row>
    <row r="33" spans="2:17" s="782" customFormat="1" ht="21" customHeight="1">
      <c r="B33" s="763">
        <v>1</v>
      </c>
      <c r="C33" s="1005" t="s">
        <v>470</v>
      </c>
      <c r="D33" s="1005"/>
      <c r="E33" s="1005"/>
      <c r="F33" s="1005"/>
      <c r="G33" s="1005"/>
      <c r="H33" s="1005"/>
      <c r="I33" s="1006">
        <f>Q11</f>
        <v>0</v>
      </c>
      <c r="J33" s="1006"/>
      <c r="K33" s="1006"/>
      <c r="L33" s="1007">
        <v>0.2</v>
      </c>
      <c r="M33" s="1007"/>
      <c r="N33" s="521">
        <f>I33*L33</f>
        <v>0</v>
      </c>
      <c r="O33" s="1008" t="e">
        <f>IF(Q31=0,"",IF(Q31&gt;100%,"XUẤT SẮC",IF(Q31&gt;=90%,"TỐT",IF(Q31&gt;=80%,"HOÀN THÀNH","KHÔNG HOÀN THÀNH"))))</f>
        <v>#DIV/0!</v>
      </c>
      <c r="P33" s="1009"/>
      <c r="Q33" s="1009"/>
    </row>
    <row r="34" spans="2:17" s="782" customFormat="1" ht="21" customHeight="1">
      <c r="B34" s="763">
        <f>B33+1</f>
        <v>2</v>
      </c>
      <c r="C34" s="1005" t="s">
        <v>155</v>
      </c>
      <c r="D34" s="1005"/>
      <c r="E34" s="1005"/>
      <c r="F34" s="1005"/>
      <c r="G34" s="1005"/>
      <c r="H34" s="1005"/>
      <c r="I34" s="1006">
        <f>Q15</f>
        <v>0</v>
      </c>
      <c r="J34" s="1006"/>
      <c r="K34" s="1006"/>
      <c r="L34" s="1007">
        <v>0.7</v>
      </c>
      <c r="M34" s="1007"/>
      <c r="N34" s="521">
        <f>I34*L34</f>
        <v>0</v>
      </c>
      <c r="O34" s="1009"/>
      <c r="P34" s="1009"/>
      <c r="Q34" s="1009"/>
    </row>
    <row r="35" spans="2:17" s="782" customFormat="1" ht="21" customHeight="1">
      <c r="B35" s="763">
        <f>B34+1</f>
        <v>3</v>
      </c>
      <c r="C35" s="993" t="s">
        <v>187</v>
      </c>
      <c r="D35" s="993"/>
      <c r="E35" s="993"/>
      <c r="F35" s="993"/>
      <c r="G35" s="993"/>
      <c r="H35" s="993"/>
      <c r="I35" s="994" t="e">
        <f>Q23</f>
        <v>#DIV/0!</v>
      </c>
      <c r="J35" s="994"/>
      <c r="K35" s="994"/>
      <c r="L35" s="995">
        <v>0.1</v>
      </c>
      <c r="M35" s="995"/>
      <c r="N35" s="690" t="e">
        <f>I35*L35</f>
        <v>#DIV/0!</v>
      </c>
      <c r="O35" s="1010"/>
      <c r="P35" s="1010"/>
      <c r="Q35" s="1010"/>
    </row>
    <row r="36" spans="2:17" ht="18.95" customHeight="1">
      <c r="B36" s="750" t="s">
        <v>45</v>
      </c>
      <c r="C36" s="766" t="s">
        <v>46</v>
      </c>
      <c r="D36" s="753"/>
      <c r="E36" s="753"/>
      <c r="F36" s="753"/>
      <c r="G36" s="754"/>
      <c r="H36" s="754"/>
      <c r="I36" s="753"/>
      <c r="J36" s="753"/>
      <c r="K36" s="753"/>
      <c r="L36" s="753"/>
      <c r="M36" s="753"/>
      <c r="N36" s="753"/>
      <c r="O36" s="753"/>
      <c r="P36" s="753"/>
      <c r="Q36" s="786"/>
    </row>
    <row r="37" spans="2:17" ht="57.95" customHeight="1">
      <c r="B37" s="787">
        <v>1</v>
      </c>
      <c r="C37" s="1030" t="s">
        <v>47</v>
      </c>
      <c r="D37" s="1030"/>
      <c r="E37" s="1030"/>
      <c r="F37" s="1030"/>
      <c r="G37" s="1030"/>
      <c r="H37" s="1030"/>
      <c r="I37" s="1031" t="s">
        <v>48</v>
      </c>
      <c r="J37" s="1031"/>
      <c r="K37" s="1031"/>
      <c r="L37" s="1031"/>
      <c r="M37" s="1031"/>
      <c r="N37" s="996" t="s">
        <v>49</v>
      </c>
      <c r="O37" s="996"/>
      <c r="P37" s="996" t="s">
        <v>50</v>
      </c>
      <c r="Q37" s="996"/>
    </row>
    <row r="38" spans="2:17" ht="105" customHeight="1">
      <c r="B38" s="787">
        <v>2</v>
      </c>
      <c r="C38" s="983" t="s">
        <v>51</v>
      </c>
      <c r="D38" s="983"/>
      <c r="E38" s="983"/>
      <c r="F38" s="983"/>
      <c r="G38" s="983"/>
      <c r="H38" s="983"/>
      <c r="I38" s="984" t="s">
        <v>52</v>
      </c>
      <c r="J38" s="985"/>
      <c r="K38" s="985"/>
      <c r="L38" s="985"/>
      <c r="M38" s="985"/>
      <c r="N38" s="985"/>
      <c r="O38" s="985"/>
      <c r="P38" s="985"/>
      <c r="Q38" s="985"/>
    </row>
    <row r="39" spans="2:17">
      <c r="B39" s="727"/>
      <c r="C39" s="727"/>
      <c r="D39" s="727"/>
      <c r="E39" s="727"/>
      <c r="F39" s="727"/>
      <c r="G39" s="730"/>
      <c r="H39" s="730"/>
      <c r="I39" s="727"/>
      <c r="J39" s="727"/>
      <c r="K39" s="727"/>
      <c r="L39" s="727"/>
      <c r="M39" s="727"/>
      <c r="N39" s="727"/>
      <c r="O39" s="727"/>
      <c r="P39" s="727"/>
      <c r="Q39" s="730"/>
    </row>
    <row r="40" spans="2:17" ht="12.95" customHeight="1">
      <c r="B40" s="728"/>
      <c r="C40" s="788"/>
      <c r="D40" s="729"/>
      <c r="E40" s="729"/>
      <c r="F40" s="729"/>
      <c r="G40" s="728"/>
      <c r="H40" s="728"/>
      <c r="I40" s="729"/>
      <c r="J40" s="729"/>
      <c r="K40" s="729"/>
      <c r="L40" s="729"/>
      <c r="M40" s="729"/>
      <c r="N40" s="729"/>
      <c r="O40" s="729"/>
      <c r="P40" s="729"/>
      <c r="Q40" s="728"/>
    </row>
    <row r="41" spans="2:17" s="790" customFormat="1" ht="32.1" customHeight="1">
      <c r="B41" s="1000" t="s">
        <v>539</v>
      </c>
      <c r="C41" s="1001"/>
      <c r="D41" s="1000" t="s">
        <v>537</v>
      </c>
      <c r="E41" s="1001"/>
      <c r="F41" s="1001"/>
      <c r="G41" s="1001"/>
      <c r="H41" s="1001"/>
      <c r="I41" s="789"/>
      <c r="J41" s="1000" t="s">
        <v>540</v>
      </c>
      <c r="K41" s="1000"/>
      <c r="L41" s="1000"/>
      <c r="M41" s="1000"/>
      <c r="N41" s="1000"/>
      <c r="O41" s="1000"/>
      <c r="P41" s="1000"/>
      <c r="Q41" s="1000"/>
    </row>
    <row r="42" spans="2:17">
      <c r="B42" s="730"/>
      <c r="C42" s="727"/>
      <c r="D42" s="727"/>
      <c r="E42" s="727"/>
      <c r="F42" s="727"/>
      <c r="G42" s="730"/>
      <c r="I42" s="730"/>
      <c r="J42" s="730"/>
      <c r="K42" s="730"/>
      <c r="L42" s="727"/>
      <c r="M42" s="727"/>
      <c r="N42" s="727"/>
      <c r="O42" s="727"/>
      <c r="P42" s="727"/>
      <c r="Q42" s="727"/>
    </row>
    <row r="43" spans="2:17">
      <c r="B43" s="730"/>
      <c r="C43" s="727"/>
      <c r="D43" s="727"/>
      <c r="E43" s="727"/>
      <c r="F43" s="727"/>
      <c r="G43" s="730"/>
      <c r="I43" s="727"/>
      <c r="J43" s="730"/>
      <c r="K43" s="727"/>
      <c r="L43" s="727"/>
      <c r="M43" s="727"/>
      <c r="N43" s="727"/>
      <c r="O43" s="727"/>
      <c r="P43" s="727"/>
      <c r="Q43" s="730"/>
    </row>
    <row r="44" spans="2:17">
      <c r="B44" s="730"/>
      <c r="C44" s="727"/>
      <c r="D44" s="727"/>
      <c r="E44" s="727"/>
      <c r="F44" s="727"/>
      <c r="G44" s="730"/>
      <c r="I44" s="727"/>
      <c r="J44" s="730"/>
      <c r="K44" s="727"/>
      <c r="L44" s="727"/>
      <c r="M44" s="727"/>
      <c r="N44" s="727"/>
      <c r="O44" s="727"/>
      <c r="P44" s="727"/>
      <c r="Q44" s="730"/>
    </row>
    <row r="45" spans="2:17">
      <c r="B45" s="730"/>
      <c r="C45" s="727"/>
      <c r="D45" s="727"/>
      <c r="E45" s="727"/>
      <c r="F45" s="727"/>
      <c r="G45" s="730"/>
      <c r="I45" s="727"/>
      <c r="J45" s="730"/>
      <c r="K45" s="727"/>
      <c r="L45" s="727"/>
      <c r="M45" s="727"/>
      <c r="N45" s="727"/>
      <c r="O45" s="727"/>
      <c r="P45" s="727"/>
      <c r="Q45" s="730"/>
    </row>
    <row r="46" spans="2:17">
      <c r="B46" s="730"/>
      <c r="C46" s="727"/>
      <c r="D46" s="727"/>
      <c r="E46" s="727"/>
      <c r="F46" s="727"/>
      <c r="G46" s="730"/>
      <c r="I46" s="727"/>
      <c r="J46" s="730"/>
      <c r="K46" s="727"/>
      <c r="L46" s="727"/>
      <c r="M46" s="727"/>
      <c r="N46" s="727"/>
      <c r="O46" s="727"/>
      <c r="P46" s="727"/>
      <c r="Q46" s="730"/>
    </row>
    <row r="47" spans="2:17">
      <c r="B47" s="730"/>
      <c r="C47" s="727"/>
      <c r="D47" s="727"/>
      <c r="E47" s="727"/>
      <c r="F47" s="727"/>
      <c r="G47" s="730"/>
      <c r="I47" s="727"/>
      <c r="J47" s="730"/>
      <c r="K47" s="727"/>
      <c r="L47" s="727"/>
      <c r="M47" s="727"/>
      <c r="N47" s="727"/>
      <c r="O47" s="727"/>
      <c r="P47" s="727"/>
      <c r="Q47" s="730"/>
    </row>
    <row r="48" spans="2:17">
      <c r="B48" s="1002" t="s">
        <v>29</v>
      </c>
      <c r="C48" s="1002"/>
      <c r="D48" s="1002" t="s">
        <v>29</v>
      </c>
      <c r="E48" s="1002"/>
      <c r="F48" s="1002"/>
      <c r="G48" s="1002"/>
      <c r="H48" s="1002"/>
      <c r="I48" s="727"/>
      <c r="J48" s="1002" t="s">
        <v>29</v>
      </c>
      <c r="K48" s="1002"/>
      <c r="L48" s="1002"/>
      <c r="M48" s="1002"/>
      <c r="N48" s="1002"/>
      <c r="O48" s="1002"/>
      <c r="P48" s="1002"/>
      <c r="Q48" s="1002"/>
    </row>
    <row r="49" spans="2:17">
      <c r="B49" s="730"/>
      <c r="C49" s="727"/>
      <c r="D49" s="727"/>
      <c r="E49" s="727"/>
      <c r="F49" s="727"/>
      <c r="G49" s="730"/>
      <c r="I49" s="727"/>
      <c r="J49" s="730"/>
      <c r="K49" s="727"/>
      <c r="L49" s="727"/>
      <c r="M49" s="727"/>
      <c r="N49" s="727"/>
      <c r="O49" s="727"/>
      <c r="P49" s="727"/>
      <c r="Q49" s="730"/>
    </row>
    <row r="50" spans="2:17" ht="13.5">
      <c r="B50" s="728"/>
      <c r="C50" s="788"/>
      <c r="D50" s="729"/>
      <c r="E50" s="729"/>
      <c r="F50" s="729"/>
      <c r="G50" s="728"/>
      <c r="I50" s="729"/>
      <c r="J50" s="728"/>
      <c r="K50" s="729"/>
      <c r="L50" s="729"/>
      <c r="M50" s="729"/>
      <c r="N50" s="729"/>
      <c r="O50" s="729"/>
      <c r="P50" s="729"/>
      <c r="Q50" s="728"/>
    </row>
    <row r="51" spans="2:17" ht="24" customHeight="1">
      <c r="B51" s="1003"/>
      <c r="C51" s="1002"/>
      <c r="D51" s="1003"/>
      <c r="E51" s="1002"/>
      <c r="F51" s="1002"/>
      <c r="G51" s="1002"/>
      <c r="H51" s="1002"/>
      <c r="I51" s="791"/>
      <c r="J51" s="1002"/>
      <c r="K51" s="1002"/>
      <c r="L51" s="1002"/>
      <c r="M51" s="1002"/>
      <c r="N51" s="791"/>
      <c r="O51" s="1003"/>
      <c r="P51" s="1002"/>
      <c r="Q51" s="1002"/>
    </row>
    <row r="52" spans="2:17">
      <c r="B52" s="730"/>
      <c r="C52" s="727"/>
      <c r="D52" s="727"/>
      <c r="E52" s="727"/>
      <c r="F52" s="727"/>
      <c r="G52" s="730"/>
      <c r="I52" s="730"/>
      <c r="J52" s="730"/>
      <c r="K52" s="730"/>
      <c r="L52" s="727"/>
      <c r="M52" s="727"/>
      <c r="N52" s="727"/>
      <c r="O52" s="727"/>
      <c r="P52" s="727"/>
      <c r="Q52" s="727"/>
    </row>
    <row r="53" spans="2:17">
      <c r="B53" s="730"/>
      <c r="C53" s="727"/>
      <c r="D53" s="727"/>
      <c r="E53" s="727"/>
      <c r="F53" s="727"/>
      <c r="G53" s="730"/>
      <c r="I53" s="727"/>
      <c r="J53" s="730"/>
      <c r="K53" s="727"/>
      <c r="L53" s="727"/>
      <c r="M53" s="727"/>
      <c r="N53" s="727"/>
      <c r="O53" s="727"/>
      <c r="P53" s="727"/>
      <c r="Q53" s="730"/>
    </row>
    <row r="54" spans="2:17">
      <c r="B54" s="730"/>
      <c r="C54" s="727"/>
      <c r="D54" s="727"/>
      <c r="E54" s="727"/>
      <c r="F54" s="727"/>
      <c r="G54" s="730"/>
      <c r="I54" s="727"/>
      <c r="J54" s="730"/>
      <c r="K54" s="727"/>
      <c r="L54" s="727"/>
      <c r="M54" s="727"/>
      <c r="N54" s="727"/>
      <c r="O54" s="727"/>
      <c r="P54" s="727"/>
      <c r="Q54" s="730"/>
    </row>
    <row r="55" spans="2:17">
      <c r="B55" s="730"/>
      <c r="C55" s="727"/>
      <c r="D55" s="727"/>
      <c r="E55" s="727"/>
      <c r="F55" s="727"/>
      <c r="G55" s="730"/>
      <c r="I55" s="727"/>
      <c r="J55" s="730"/>
      <c r="K55" s="727"/>
      <c r="L55" s="727"/>
      <c r="M55" s="727"/>
      <c r="N55" s="727"/>
      <c r="O55" s="727"/>
      <c r="P55" s="727"/>
      <c r="Q55" s="730"/>
    </row>
    <row r="56" spans="2:17">
      <c r="B56" s="730"/>
      <c r="C56" s="727"/>
      <c r="D56" s="727"/>
      <c r="E56" s="727"/>
      <c r="F56" s="727"/>
      <c r="G56" s="730"/>
      <c r="I56" s="727"/>
      <c r="J56" s="730"/>
      <c r="K56" s="727"/>
      <c r="L56" s="727"/>
      <c r="M56" s="727"/>
      <c r="N56" s="727"/>
      <c r="O56" s="727"/>
      <c r="P56" s="727"/>
      <c r="Q56" s="730"/>
    </row>
    <row r="57" spans="2:17">
      <c r="B57" s="730"/>
      <c r="C57" s="727"/>
      <c r="D57" s="727"/>
      <c r="E57" s="727"/>
      <c r="F57" s="727"/>
      <c r="G57" s="730"/>
      <c r="I57" s="727"/>
      <c r="J57" s="730"/>
      <c r="K57" s="727"/>
      <c r="L57" s="727"/>
      <c r="M57" s="727"/>
      <c r="N57" s="727"/>
      <c r="O57" s="727"/>
      <c r="P57" s="727"/>
      <c r="Q57" s="730"/>
    </row>
    <row r="58" spans="2:17">
      <c r="B58" s="1002"/>
      <c r="C58" s="1002"/>
      <c r="D58" s="1002"/>
      <c r="E58" s="1002"/>
      <c r="F58" s="1002"/>
      <c r="G58" s="1002"/>
      <c r="H58" s="1002"/>
      <c r="I58" s="727"/>
      <c r="J58" s="1002"/>
      <c r="K58" s="1002"/>
      <c r="L58" s="1002"/>
      <c r="M58" s="1002"/>
      <c r="N58" s="727"/>
      <c r="O58" s="1002"/>
      <c r="P58" s="1002"/>
      <c r="Q58" s="1002"/>
    </row>
    <row r="59" spans="2:17">
      <c r="B59" s="731"/>
    </row>
    <row r="60" spans="2:17">
      <c r="B60" s="731"/>
    </row>
  </sheetData>
  <mergeCells count="90">
    <mergeCell ref="C37:H37"/>
    <mergeCell ref="I37:M37"/>
    <mergeCell ref="N37:O37"/>
    <mergeCell ref="E16:F16"/>
    <mergeCell ref="G16:H16"/>
    <mergeCell ref="I16:K16"/>
    <mergeCell ref="L16:M16"/>
    <mergeCell ref="E17:F17"/>
    <mergeCell ref="G17:H17"/>
    <mergeCell ref="I17:K17"/>
    <mergeCell ref="L17:M17"/>
    <mergeCell ref="E19:F19"/>
    <mergeCell ref="G19:H19"/>
    <mergeCell ref="I19:K19"/>
    <mergeCell ref="L19:M19"/>
    <mergeCell ref="C27:H27"/>
    <mergeCell ref="Q24:Q25"/>
    <mergeCell ref="C12:H12"/>
    <mergeCell ref="I12:K12"/>
    <mergeCell ref="L12:M12"/>
    <mergeCell ref="C13:H13"/>
    <mergeCell ref="I13:K13"/>
    <mergeCell ref="L13:M13"/>
    <mergeCell ref="C14:H14"/>
    <mergeCell ref="I14:K14"/>
    <mergeCell ref="L14:M14"/>
    <mergeCell ref="L15:N15"/>
    <mergeCell ref="I18:K18"/>
    <mergeCell ref="L18:M18"/>
    <mergeCell ref="E18:F18"/>
    <mergeCell ref="G18:H18"/>
    <mergeCell ref="B24:B25"/>
    <mergeCell ref="C24:H25"/>
    <mergeCell ref="I24:N24"/>
    <mergeCell ref="L20:M20"/>
    <mergeCell ref="I20:K20"/>
    <mergeCell ref="G20:H20"/>
    <mergeCell ref="E20:F20"/>
    <mergeCell ref="E22:F22"/>
    <mergeCell ref="G22:H22"/>
    <mergeCell ref="I22:K22"/>
    <mergeCell ref="L22:M22"/>
    <mergeCell ref="L21:M21"/>
    <mergeCell ref="I21:K21"/>
    <mergeCell ref="G21:H21"/>
    <mergeCell ref="E21:F21"/>
    <mergeCell ref="I27:J27"/>
    <mergeCell ref="I25:J25"/>
    <mergeCell ref="C26:H26"/>
    <mergeCell ref="I26:J26"/>
    <mergeCell ref="C32:H32"/>
    <mergeCell ref="I32:K32"/>
    <mergeCell ref="O32:Q32"/>
    <mergeCell ref="C33:H33"/>
    <mergeCell ref="I33:K33"/>
    <mergeCell ref="L33:M33"/>
    <mergeCell ref="O33:Q35"/>
    <mergeCell ref="C34:H34"/>
    <mergeCell ref="I34:K34"/>
    <mergeCell ref="L34:M34"/>
    <mergeCell ref="B41:C41"/>
    <mergeCell ref="D41:H41"/>
    <mergeCell ref="B58:C58"/>
    <mergeCell ref="D58:H58"/>
    <mergeCell ref="J58:M58"/>
    <mergeCell ref="J48:Q48"/>
    <mergeCell ref="B48:C48"/>
    <mergeCell ref="D48:H48"/>
    <mergeCell ref="B51:C51"/>
    <mergeCell ref="D51:H51"/>
    <mergeCell ref="J51:M51"/>
    <mergeCell ref="O51:Q51"/>
    <mergeCell ref="J41:Q41"/>
    <mergeCell ref="O58:Q58"/>
    <mergeCell ref="C38:H38"/>
    <mergeCell ref="I38:Q38"/>
    <mergeCell ref="L23:N23"/>
    <mergeCell ref="C28:H28"/>
    <mergeCell ref="I28:J28"/>
    <mergeCell ref="P24:P25"/>
    <mergeCell ref="O24:O25"/>
    <mergeCell ref="C35:H35"/>
    <mergeCell ref="I35:K35"/>
    <mergeCell ref="L35:M35"/>
    <mergeCell ref="P37:Q37"/>
    <mergeCell ref="C29:H29"/>
    <mergeCell ref="I29:J29"/>
    <mergeCell ref="C30:H30"/>
    <mergeCell ref="I30:J30"/>
    <mergeCell ref="L32:M32"/>
  </mergeCells>
  <phoneticPr fontId="6" type="noConversion"/>
  <pageMargins left="0.7" right="0.7" top="0.75" bottom="0.75" header="0.3" footer="0.3"/>
  <pageSetup paperSize="9" orientation="portrait" horizontalDpi="0" verticalDpi="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B2:R61"/>
  <sheetViews>
    <sheetView showGridLines="0" workbookViewId="0">
      <selection activeCell="D21" sqref="D21"/>
    </sheetView>
  </sheetViews>
  <sheetFormatPr defaultColWidth="8.875" defaultRowHeight="12.75"/>
  <cols>
    <col min="1" max="1" width="1.125" style="550" customWidth="1"/>
    <col min="2" max="2" width="12.875" style="550" bestFit="1" customWidth="1"/>
    <col min="3" max="3" width="35.875" style="550" customWidth="1"/>
    <col min="4" max="4" width="9" style="550" customWidth="1"/>
    <col min="5" max="5" width="10.125" style="550" customWidth="1"/>
    <col min="6" max="6" width="14.5" style="550" customWidth="1"/>
    <col min="7" max="7" width="6.625" style="551" customWidth="1"/>
    <col min="8" max="8" width="20.625" style="551" customWidth="1"/>
    <col min="9" max="9" width="2.5" style="550" customWidth="1"/>
    <col min="10" max="10" width="5.5" style="550" customWidth="1"/>
    <col min="11" max="11" width="7.625" style="550" customWidth="1"/>
    <col min="12" max="12" width="7.5" style="550" customWidth="1"/>
    <col min="13" max="13" width="7.625" style="550" customWidth="1"/>
    <col min="14" max="14" width="13.625" style="550" customWidth="1"/>
    <col min="15" max="16" width="10.125" style="550" customWidth="1"/>
    <col min="17" max="17" width="10.875" style="551" customWidth="1"/>
    <col min="18" max="18" width="11.375" style="550" customWidth="1"/>
    <col min="19" max="19" width="6.875" style="550" customWidth="1"/>
    <col min="20" max="238" width="8.875" style="550"/>
    <col min="239" max="239" width="5" style="550" customWidth="1"/>
    <col min="240" max="240" width="33.375" style="550" customWidth="1"/>
    <col min="241" max="241" width="6.5" style="550" customWidth="1"/>
    <col min="242" max="242" width="29.5" style="550" customWidth="1"/>
    <col min="243" max="243" width="23.625" style="550" customWidth="1"/>
    <col min="244" max="244" width="8" style="550" customWidth="1"/>
    <col min="245" max="245" width="9.125" style="550" customWidth="1"/>
    <col min="246" max="246" width="13.875" style="550" customWidth="1"/>
    <col min="247" max="247" width="13.5" style="550" customWidth="1"/>
    <col min="248" max="494" width="8.875" style="550"/>
    <col min="495" max="495" width="5" style="550" customWidth="1"/>
    <col min="496" max="496" width="33.375" style="550" customWidth="1"/>
    <col min="497" max="497" width="6.5" style="550" customWidth="1"/>
    <col min="498" max="498" width="29.5" style="550" customWidth="1"/>
    <col min="499" max="499" width="23.625" style="550" customWidth="1"/>
    <col min="500" max="500" width="8" style="550" customWidth="1"/>
    <col min="501" max="501" width="9.125" style="550" customWidth="1"/>
    <col min="502" max="502" width="13.875" style="550" customWidth="1"/>
    <col min="503" max="503" width="13.5" style="550" customWidth="1"/>
    <col min="504" max="750" width="8.875" style="550"/>
    <col min="751" max="751" width="5" style="550" customWidth="1"/>
    <col min="752" max="752" width="33.375" style="550" customWidth="1"/>
    <col min="753" max="753" width="6.5" style="550" customWidth="1"/>
    <col min="754" max="754" width="29.5" style="550" customWidth="1"/>
    <col min="755" max="755" width="23.625" style="550" customWidth="1"/>
    <col min="756" max="756" width="8" style="550" customWidth="1"/>
    <col min="757" max="757" width="9.125" style="550" customWidth="1"/>
    <col min="758" max="758" width="13.875" style="550" customWidth="1"/>
    <col min="759" max="759" width="13.5" style="550" customWidth="1"/>
    <col min="760" max="1006" width="8.875" style="550"/>
    <col min="1007" max="1007" width="5" style="550" customWidth="1"/>
    <col min="1008" max="1008" width="33.375" style="550" customWidth="1"/>
    <col min="1009" max="1009" width="6.5" style="550" customWidth="1"/>
    <col min="1010" max="1010" width="29.5" style="550" customWidth="1"/>
    <col min="1011" max="1011" width="23.625" style="550" customWidth="1"/>
    <col min="1012" max="1012" width="8" style="550" customWidth="1"/>
    <col min="1013" max="1013" width="9.125" style="550" customWidth="1"/>
    <col min="1014" max="1014" width="13.875" style="550" customWidth="1"/>
    <col min="1015" max="1015" width="13.5" style="550" customWidth="1"/>
    <col min="1016" max="1262" width="8.875" style="550"/>
    <col min="1263" max="1263" width="5" style="550" customWidth="1"/>
    <col min="1264" max="1264" width="33.375" style="550" customWidth="1"/>
    <col min="1265" max="1265" width="6.5" style="550" customWidth="1"/>
    <col min="1266" max="1266" width="29.5" style="550" customWidth="1"/>
    <col min="1267" max="1267" width="23.625" style="550" customWidth="1"/>
    <col min="1268" max="1268" width="8" style="550" customWidth="1"/>
    <col min="1269" max="1269" width="9.125" style="550" customWidth="1"/>
    <col min="1270" max="1270" width="13.875" style="550" customWidth="1"/>
    <col min="1271" max="1271" width="13.5" style="550" customWidth="1"/>
    <col min="1272" max="1518" width="8.875" style="550"/>
    <col min="1519" max="1519" width="5" style="550" customWidth="1"/>
    <col min="1520" max="1520" width="33.375" style="550" customWidth="1"/>
    <col min="1521" max="1521" width="6.5" style="550" customWidth="1"/>
    <col min="1522" max="1522" width="29.5" style="550" customWidth="1"/>
    <col min="1523" max="1523" width="23.625" style="550" customWidth="1"/>
    <col min="1524" max="1524" width="8" style="550" customWidth="1"/>
    <col min="1525" max="1525" width="9.125" style="550" customWidth="1"/>
    <col min="1526" max="1526" width="13.875" style="550" customWidth="1"/>
    <col min="1527" max="1527" width="13.5" style="550" customWidth="1"/>
    <col min="1528" max="1774" width="8.875" style="550"/>
    <col min="1775" max="1775" width="5" style="550" customWidth="1"/>
    <col min="1776" max="1776" width="33.375" style="550" customWidth="1"/>
    <col min="1777" max="1777" width="6.5" style="550" customWidth="1"/>
    <col min="1778" max="1778" width="29.5" style="550" customWidth="1"/>
    <col min="1779" max="1779" width="23.625" style="550" customWidth="1"/>
    <col min="1780" max="1780" width="8" style="550" customWidth="1"/>
    <col min="1781" max="1781" width="9.125" style="550" customWidth="1"/>
    <col min="1782" max="1782" width="13.875" style="550" customWidth="1"/>
    <col min="1783" max="1783" width="13.5" style="550" customWidth="1"/>
    <col min="1784" max="2030" width="8.875" style="550"/>
    <col min="2031" max="2031" width="5" style="550" customWidth="1"/>
    <col min="2032" max="2032" width="33.375" style="550" customWidth="1"/>
    <col min="2033" max="2033" width="6.5" style="550" customWidth="1"/>
    <col min="2034" max="2034" width="29.5" style="550" customWidth="1"/>
    <col min="2035" max="2035" width="23.625" style="550" customWidth="1"/>
    <col min="2036" max="2036" width="8" style="550" customWidth="1"/>
    <col min="2037" max="2037" width="9.125" style="550" customWidth="1"/>
    <col min="2038" max="2038" width="13.875" style="550" customWidth="1"/>
    <col min="2039" max="2039" width="13.5" style="550" customWidth="1"/>
    <col min="2040" max="2286" width="8.875" style="550"/>
    <col min="2287" max="2287" width="5" style="550" customWidth="1"/>
    <col min="2288" max="2288" width="33.375" style="550" customWidth="1"/>
    <col min="2289" max="2289" width="6.5" style="550" customWidth="1"/>
    <col min="2290" max="2290" width="29.5" style="550" customWidth="1"/>
    <col min="2291" max="2291" width="23.625" style="550" customWidth="1"/>
    <col min="2292" max="2292" width="8" style="550" customWidth="1"/>
    <col min="2293" max="2293" width="9.125" style="550" customWidth="1"/>
    <col min="2294" max="2294" width="13.875" style="550" customWidth="1"/>
    <col min="2295" max="2295" width="13.5" style="550" customWidth="1"/>
    <col min="2296" max="2542" width="8.875" style="550"/>
    <col min="2543" max="2543" width="5" style="550" customWidth="1"/>
    <col min="2544" max="2544" width="33.375" style="550" customWidth="1"/>
    <col min="2545" max="2545" width="6.5" style="550" customWidth="1"/>
    <col min="2546" max="2546" width="29.5" style="550" customWidth="1"/>
    <col min="2547" max="2547" width="23.625" style="550" customWidth="1"/>
    <col min="2548" max="2548" width="8" style="550" customWidth="1"/>
    <col min="2549" max="2549" width="9.125" style="550" customWidth="1"/>
    <col min="2550" max="2550" width="13.875" style="550" customWidth="1"/>
    <col min="2551" max="2551" width="13.5" style="550" customWidth="1"/>
    <col min="2552" max="2798" width="8.875" style="550"/>
    <col min="2799" max="2799" width="5" style="550" customWidth="1"/>
    <col min="2800" max="2800" width="33.375" style="550" customWidth="1"/>
    <col min="2801" max="2801" width="6.5" style="550" customWidth="1"/>
    <col min="2802" max="2802" width="29.5" style="550" customWidth="1"/>
    <col min="2803" max="2803" width="23.625" style="550" customWidth="1"/>
    <col min="2804" max="2804" width="8" style="550" customWidth="1"/>
    <col min="2805" max="2805" width="9.125" style="550" customWidth="1"/>
    <col min="2806" max="2806" width="13.875" style="550" customWidth="1"/>
    <col min="2807" max="2807" width="13.5" style="550" customWidth="1"/>
    <col min="2808" max="3054" width="8.875" style="550"/>
    <col min="3055" max="3055" width="5" style="550" customWidth="1"/>
    <col min="3056" max="3056" width="33.375" style="550" customWidth="1"/>
    <col min="3057" max="3057" width="6.5" style="550" customWidth="1"/>
    <col min="3058" max="3058" width="29.5" style="550" customWidth="1"/>
    <col min="3059" max="3059" width="23.625" style="550" customWidth="1"/>
    <col min="3060" max="3060" width="8" style="550" customWidth="1"/>
    <col min="3061" max="3061" width="9.125" style="550" customWidth="1"/>
    <col min="3062" max="3062" width="13.875" style="550" customWidth="1"/>
    <col min="3063" max="3063" width="13.5" style="550" customWidth="1"/>
    <col min="3064" max="3310" width="8.875" style="550"/>
    <col min="3311" max="3311" width="5" style="550" customWidth="1"/>
    <col min="3312" max="3312" width="33.375" style="550" customWidth="1"/>
    <col min="3313" max="3313" width="6.5" style="550" customWidth="1"/>
    <col min="3314" max="3314" width="29.5" style="550" customWidth="1"/>
    <col min="3315" max="3315" width="23.625" style="550" customWidth="1"/>
    <col min="3316" max="3316" width="8" style="550" customWidth="1"/>
    <col min="3317" max="3317" width="9.125" style="550" customWidth="1"/>
    <col min="3318" max="3318" width="13.875" style="550" customWidth="1"/>
    <col min="3319" max="3319" width="13.5" style="550" customWidth="1"/>
    <col min="3320" max="3566" width="8.875" style="550"/>
    <col min="3567" max="3567" width="5" style="550" customWidth="1"/>
    <col min="3568" max="3568" width="33.375" style="550" customWidth="1"/>
    <col min="3569" max="3569" width="6.5" style="550" customWidth="1"/>
    <col min="3570" max="3570" width="29.5" style="550" customWidth="1"/>
    <col min="3571" max="3571" width="23.625" style="550" customWidth="1"/>
    <col min="3572" max="3572" width="8" style="550" customWidth="1"/>
    <col min="3573" max="3573" width="9.125" style="550" customWidth="1"/>
    <col min="3574" max="3574" width="13.875" style="550" customWidth="1"/>
    <col min="3575" max="3575" width="13.5" style="550" customWidth="1"/>
    <col min="3576" max="3822" width="8.875" style="550"/>
    <col min="3823" max="3823" width="5" style="550" customWidth="1"/>
    <col min="3824" max="3824" width="33.375" style="550" customWidth="1"/>
    <col min="3825" max="3825" width="6.5" style="550" customWidth="1"/>
    <col min="3826" max="3826" width="29.5" style="550" customWidth="1"/>
    <col min="3827" max="3827" width="23.625" style="550" customWidth="1"/>
    <col min="3828" max="3828" width="8" style="550" customWidth="1"/>
    <col min="3829" max="3829" width="9.125" style="550" customWidth="1"/>
    <col min="3830" max="3830" width="13.875" style="550" customWidth="1"/>
    <col min="3831" max="3831" width="13.5" style="550" customWidth="1"/>
    <col min="3832" max="4078" width="8.875" style="550"/>
    <col min="4079" max="4079" width="5" style="550" customWidth="1"/>
    <col min="4080" max="4080" width="33.375" style="550" customWidth="1"/>
    <col min="4081" max="4081" width="6.5" style="550" customWidth="1"/>
    <col min="4082" max="4082" width="29.5" style="550" customWidth="1"/>
    <col min="4083" max="4083" width="23.625" style="550" customWidth="1"/>
    <col min="4084" max="4084" width="8" style="550" customWidth="1"/>
    <col min="4085" max="4085" width="9.125" style="550" customWidth="1"/>
    <col min="4086" max="4086" width="13.875" style="550" customWidth="1"/>
    <col min="4087" max="4087" width="13.5" style="550" customWidth="1"/>
    <col min="4088" max="4334" width="8.875" style="550"/>
    <col min="4335" max="4335" width="5" style="550" customWidth="1"/>
    <col min="4336" max="4336" width="33.375" style="550" customWidth="1"/>
    <col min="4337" max="4337" width="6.5" style="550" customWidth="1"/>
    <col min="4338" max="4338" width="29.5" style="550" customWidth="1"/>
    <col min="4339" max="4339" width="23.625" style="550" customWidth="1"/>
    <col min="4340" max="4340" width="8" style="550" customWidth="1"/>
    <col min="4341" max="4341" width="9.125" style="550" customWidth="1"/>
    <col min="4342" max="4342" width="13.875" style="550" customWidth="1"/>
    <col min="4343" max="4343" width="13.5" style="550" customWidth="1"/>
    <col min="4344" max="4590" width="8.875" style="550"/>
    <col min="4591" max="4591" width="5" style="550" customWidth="1"/>
    <col min="4592" max="4592" width="33.375" style="550" customWidth="1"/>
    <col min="4593" max="4593" width="6.5" style="550" customWidth="1"/>
    <col min="4594" max="4594" width="29.5" style="550" customWidth="1"/>
    <col min="4595" max="4595" width="23.625" style="550" customWidth="1"/>
    <col min="4596" max="4596" width="8" style="550" customWidth="1"/>
    <col min="4597" max="4597" width="9.125" style="550" customWidth="1"/>
    <col min="4598" max="4598" width="13.875" style="550" customWidth="1"/>
    <col min="4599" max="4599" width="13.5" style="550" customWidth="1"/>
    <col min="4600" max="4846" width="8.875" style="550"/>
    <col min="4847" max="4847" width="5" style="550" customWidth="1"/>
    <col min="4848" max="4848" width="33.375" style="550" customWidth="1"/>
    <col min="4849" max="4849" width="6.5" style="550" customWidth="1"/>
    <col min="4850" max="4850" width="29.5" style="550" customWidth="1"/>
    <col min="4851" max="4851" width="23.625" style="550" customWidth="1"/>
    <col min="4852" max="4852" width="8" style="550" customWidth="1"/>
    <col min="4853" max="4853" width="9.125" style="550" customWidth="1"/>
    <col min="4854" max="4854" width="13.875" style="550" customWidth="1"/>
    <col min="4855" max="4855" width="13.5" style="550" customWidth="1"/>
    <col min="4856" max="5102" width="8.875" style="550"/>
    <col min="5103" max="5103" width="5" style="550" customWidth="1"/>
    <col min="5104" max="5104" width="33.375" style="550" customWidth="1"/>
    <col min="5105" max="5105" width="6.5" style="550" customWidth="1"/>
    <col min="5106" max="5106" width="29.5" style="550" customWidth="1"/>
    <col min="5107" max="5107" width="23.625" style="550" customWidth="1"/>
    <col min="5108" max="5108" width="8" style="550" customWidth="1"/>
    <col min="5109" max="5109" width="9.125" style="550" customWidth="1"/>
    <col min="5110" max="5110" width="13.875" style="550" customWidth="1"/>
    <col min="5111" max="5111" width="13.5" style="550" customWidth="1"/>
    <col min="5112" max="5358" width="8.875" style="550"/>
    <col min="5359" max="5359" width="5" style="550" customWidth="1"/>
    <col min="5360" max="5360" width="33.375" style="550" customWidth="1"/>
    <col min="5361" max="5361" width="6.5" style="550" customWidth="1"/>
    <col min="5362" max="5362" width="29.5" style="550" customWidth="1"/>
    <col min="5363" max="5363" width="23.625" style="550" customWidth="1"/>
    <col min="5364" max="5364" width="8" style="550" customWidth="1"/>
    <col min="5365" max="5365" width="9.125" style="550" customWidth="1"/>
    <col min="5366" max="5366" width="13.875" style="550" customWidth="1"/>
    <col min="5367" max="5367" width="13.5" style="550" customWidth="1"/>
    <col min="5368" max="5614" width="8.875" style="550"/>
    <col min="5615" max="5615" width="5" style="550" customWidth="1"/>
    <col min="5616" max="5616" width="33.375" style="550" customWidth="1"/>
    <col min="5617" max="5617" width="6.5" style="550" customWidth="1"/>
    <col min="5618" max="5618" width="29.5" style="550" customWidth="1"/>
    <col min="5619" max="5619" width="23.625" style="550" customWidth="1"/>
    <col min="5620" max="5620" width="8" style="550" customWidth="1"/>
    <col min="5621" max="5621" width="9.125" style="550" customWidth="1"/>
    <col min="5622" max="5622" width="13.875" style="550" customWidth="1"/>
    <col min="5623" max="5623" width="13.5" style="550" customWidth="1"/>
    <col min="5624" max="5870" width="8.875" style="550"/>
    <col min="5871" max="5871" width="5" style="550" customWidth="1"/>
    <col min="5872" max="5872" width="33.375" style="550" customWidth="1"/>
    <col min="5873" max="5873" width="6.5" style="550" customWidth="1"/>
    <col min="5874" max="5874" width="29.5" style="550" customWidth="1"/>
    <col min="5875" max="5875" width="23.625" style="550" customWidth="1"/>
    <col min="5876" max="5876" width="8" style="550" customWidth="1"/>
    <col min="5877" max="5877" width="9.125" style="550" customWidth="1"/>
    <col min="5878" max="5878" width="13.875" style="550" customWidth="1"/>
    <col min="5879" max="5879" width="13.5" style="550" customWidth="1"/>
    <col min="5880" max="6126" width="8.875" style="550"/>
    <col min="6127" max="6127" width="5" style="550" customWidth="1"/>
    <col min="6128" max="6128" width="33.375" style="550" customWidth="1"/>
    <col min="6129" max="6129" width="6.5" style="550" customWidth="1"/>
    <col min="6130" max="6130" width="29.5" style="550" customWidth="1"/>
    <col min="6131" max="6131" width="23.625" style="550" customWidth="1"/>
    <col min="6132" max="6132" width="8" style="550" customWidth="1"/>
    <col min="6133" max="6133" width="9.125" style="550" customWidth="1"/>
    <col min="6134" max="6134" width="13.875" style="550" customWidth="1"/>
    <col min="6135" max="6135" width="13.5" style="550" customWidth="1"/>
    <col min="6136" max="6382" width="8.875" style="550"/>
    <col min="6383" max="6383" width="5" style="550" customWidth="1"/>
    <col min="6384" max="6384" width="33.375" style="550" customWidth="1"/>
    <col min="6385" max="6385" width="6.5" style="550" customWidth="1"/>
    <col min="6386" max="6386" width="29.5" style="550" customWidth="1"/>
    <col min="6387" max="6387" width="23.625" style="550" customWidth="1"/>
    <col min="6388" max="6388" width="8" style="550" customWidth="1"/>
    <col min="6389" max="6389" width="9.125" style="550" customWidth="1"/>
    <col min="6390" max="6390" width="13.875" style="550" customWidth="1"/>
    <col min="6391" max="6391" width="13.5" style="550" customWidth="1"/>
    <col min="6392" max="6638" width="8.875" style="550"/>
    <col min="6639" max="6639" width="5" style="550" customWidth="1"/>
    <col min="6640" max="6640" width="33.375" style="550" customWidth="1"/>
    <col min="6641" max="6641" width="6.5" style="550" customWidth="1"/>
    <col min="6642" max="6642" width="29.5" style="550" customWidth="1"/>
    <col min="6643" max="6643" width="23.625" style="550" customWidth="1"/>
    <col min="6644" max="6644" width="8" style="550" customWidth="1"/>
    <col min="6645" max="6645" width="9.125" style="550" customWidth="1"/>
    <col min="6646" max="6646" width="13.875" style="550" customWidth="1"/>
    <col min="6647" max="6647" width="13.5" style="550" customWidth="1"/>
    <col min="6648" max="6894" width="8.875" style="550"/>
    <col min="6895" max="6895" width="5" style="550" customWidth="1"/>
    <col min="6896" max="6896" width="33.375" style="550" customWidth="1"/>
    <col min="6897" max="6897" width="6.5" style="550" customWidth="1"/>
    <col min="6898" max="6898" width="29.5" style="550" customWidth="1"/>
    <col min="6899" max="6899" width="23.625" style="550" customWidth="1"/>
    <col min="6900" max="6900" width="8" style="550" customWidth="1"/>
    <col min="6901" max="6901" width="9.125" style="550" customWidth="1"/>
    <col min="6902" max="6902" width="13.875" style="550" customWidth="1"/>
    <col min="6903" max="6903" width="13.5" style="550" customWidth="1"/>
    <col min="6904" max="7150" width="8.875" style="550"/>
    <col min="7151" max="7151" width="5" style="550" customWidth="1"/>
    <col min="7152" max="7152" width="33.375" style="550" customWidth="1"/>
    <col min="7153" max="7153" width="6.5" style="550" customWidth="1"/>
    <col min="7154" max="7154" width="29.5" style="550" customWidth="1"/>
    <col min="7155" max="7155" width="23.625" style="550" customWidth="1"/>
    <col min="7156" max="7156" width="8" style="550" customWidth="1"/>
    <col min="7157" max="7157" width="9.125" style="550" customWidth="1"/>
    <col min="7158" max="7158" width="13.875" style="550" customWidth="1"/>
    <col min="7159" max="7159" width="13.5" style="550" customWidth="1"/>
    <col min="7160" max="7406" width="8.875" style="550"/>
    <col min="7407" max="7407" width="5" style="550" customWidth="1"/>
    <col min="7408" max="7408" width="33.375" style="550" customWidth="1"/>
    <col min="7409" max="7409" width="6.5" style="550" customWidth="1"/>
    <col min="7410" max="7410" width="29.5" style="550" customWidth="1"/>
    <col min="7411" max="7411" width="23.625" style="550" customWidth="1"/>
    <col min="7412" max="7412" width="8" style="550" customWidth="1"/>
    <col min="7413" max="7413" width="9.125" style="550" customWidth="1"/>
    <col min="7414" max="7414" width="13.875" style="550" customWidth="1"/>
    <col min="7415" max="7415" width="13.5" style="550" customWidth="1"/>
    <col min="7416" max="7662" width="8.875" style="550"/>
    <col min="7663" max="7663" width="5" style="550" customWidth="1"/>
    <col min="7664" max="7664" width="33.375" style="550" customWidth="1"/>
    <col min="7665" max="7665" width="6.5" style="550" customWidth="1"/>
    <col min="7666" max="7666" width="29.5" style="550" customWidth="1"/>
    <col min="7667" max="7667" width="23.625" style="550" customWidth="1"/>
    <col min="7668" max="7668" width="8" style="550" customWidth="1"/>
    <col min="7669" max="7669" width="9.125" style="550" customWidth="1"/>
    <col min="7670" max="7670" width="13.875" style="550" customWidth="1"/>
    <col min="7671" max="7671" width="13.5" style="550" customWidth="1"/>
    <col min="7672" max="7918" width="8.875" style="550"/>
    <col min="7919" max="7919" width="5" style="550" customWidth="1"/>
    <col min="7920" max="7920" width="33.375" style="550" customWidth="1"/>
    <col min="7921" max="7921" width="6.5" style="550" customWidth="1"/>
    <col min="7922" max="7922" width="29.5" style="550" customWidth="1"/>
    <col min="7923" max="7923" width="23.625" style="550" customWidth="1"/>
    <col min="7924" max="7924" width="8" style="550" customWidth="1"/>
    <col min="7925" max="7925" width="9.125" style="550" customWidth="1"/>
    <col min="7926" max="7926" width="13.875" style="550" customWidth="1"/>
    <col min="7927" max="7927" width="13.5" style="550" customWidth="1"/>
    <col min="7928" max="8174" width="8.875" style="550"/>
    <col min="8175" max="8175" width="5" style="550" customWidth="1"/>
    <col min="8176" max="8176" width="33.375" style="550" customWidth="1"/>
    <col min="8177" max="8177" width="6.5" style="550" customWidth="1"/>
    <col min="8178" max="8178" width="29.5" style="550" customWidth="1"/>
    <col min="8179" max="8179" width="23.625" style="550" customWidth="1"/>
    <col min="8180" max="8180" width="8" style="550" customWidth="1"/>
    <col min="8181" max="8181" width="9.125" style="550" customWidth="1"/>
    <col min="8182" max="8182" width="13.875" style="550" customWidth="1"/>
    <col min="8183" max="8183" width="13.5" style="550" customWidth="1"/>
    <col min="8184" max="8430" width="8.875" style="550"/>
    <col min="8431" max="8431" width="5" style="550" customWidth="1"/>
    <col min="8432" max="8432" width="33.375" style="550" customWidth="1"/>
    <col min="8433" max="8433" width="6.5" style="550" customWidth="1"/>
    <col min="8434" max="8434" width="29.5" style="550" customWidth="1"/>
    <col min="8435" max="8435" width="23.625" style="550" customWidth="1"/>
    <col min="8436" max="8436" width="8" style="550" customWidth="1"/>
    <col min="8437" max="8437" width="9.125" style="550" customWidth="1"/>
    <col min="8438" max="8438" width="13.875" style="550" customWidth="1"/>
    <col min="8439" max="8439" width="13.5" style="550" customWidth="1"/>
    <col min="8440" max="8686" width="8.875" style="550"/>
    <col min="8687" max="8687" width="5" style="550" customWidth="1"/>
    <col min="8688" max="8688" width="33.375" style="550" customWidth="1"/>
    <col min="8689" max="8689" width="6.5" style="550" customWidth="1"/>
    <col min="8690" max="8690" width="29.5" style="550" customWidth="1"/>
    <col min="8691" max="8691" width="23.625" style="550" customWidth="1"/>
    <col min="8692" max="8692" width="8" style="550" customWidth="1"/>
    <col min="8693" max="8693" width="9.125" style="550" customWidth="1"/>
    <col min="8694" max="8694" width="13.875" style="550" customWidth="1"/>
    <col min="8695" max="8695" width="13.5" style="550" customWidth="1"/>
    <col min="8696" max="8942" width="8.875" style="550"/>
    <col min="8943" max="8943" width="5" style="550" customWidth="1"/>
    <col min="8944" max="8944" width="33.375" style="550" customWidth="1"/>
    <col min="8945" max="8945" width="6.5" style="550" customWidth="1"/>
    <col min="8946" max="8946" width="29.5" style="550" customWidth="1"/>
    <col min="8947" max="8947" width="23.625" style="550" customWidth="1"/>
    <col min="8948" max="8948" width="8" style="550" customWidth="1"/>
    <col min="8949" max="8949" width="9.125" style="550" customWidth="1"/>
    <col min="8950" max="8950" width="13.875" style="550" customWidth="1"/>
    <col min="8951" max="8951" width="13.5" style="550" customWidth="1"/>
    <col min="8952" max="9198" width="8.875" style="550"/>
    <col min="9199" max="9199" width="5" style="550" customWidth="1"/>
    <col min="9200" max="9200" width="33.375" style="550" customWidth="1"/>
    <col min="9201" max="9201" width="6.5" style="550" customWidth="1"/>
    <col min="9202" max="9202" width="29.5" style="550" customWidth="1"/>
    <col min="9203" max="9203" width="23.625" style="550" customWidth="1"/>
    <col min="9204" max="9204" width="8" style="550" customWidth="1"/>
    <col min="9205" max="9205" width="9.125" style="550" customWidth="1"/>
    <col min="9206" max="9206" width="13.875" style="550" customWidth="1"/>
    <col min="9207" max="9207" width="13.5" style="550" customWidth="1"/>
    <col min="9208" max="9454" width="8.875" style="550"/>
    <col min="9455" max="9455" width="5" style="550" customWidth="1"/>
    <col min="9456" max="9456" width="33.375" style="550" customWidth="1"/>
    <col min="9457" max="9457" width="6.5" style="550" customWidth="1"/>
    <col min="9458" max="9458" width="29.5" style="550" customWidth="1"/>
    <col min="9459" max="9459" width="23.625" style="550" customWidth="1"/>
    <col min="9460" max="9460" width="8" style="550" customWidth="1"/>
    <col min="9461" max="9461" width="9.125" style="550" customWidth="1"/>
    <col min="9462" max="9462" width="13.875" style="550" customWidth="1"/>
    <col min="9463" max="9463" width="13.5" style="550" customWidth="1"/>
    <col min="9464" max="9710" width="8.875" style="550"/>
    <col min="9711" max="9711" width="5" style="550" customWidth="1"/>
    <col min="9712" max="9712" width="33.375" style="550" customWidth="1"/>
    <col min="9713" max="9713" width="6.5" style="550" customWidth="1"/>
    <col min="9714" max="9714" width="29.5" style="550" customWidth="1"/>
    <col min="9715" max="9715" width="23.625" style="550" customWidth="1"/>
    <col min="9716" max="9716" width="8" style="550" customWidth="1"/>
    <col min="9717" max="9717" width="9.125" style="550" customWidth="1"/>
    <col min="9718" max="9718" width="13.875" style="550" customWidth="1"/>
    <col min="9719" max="9719" width="13.5" style="550" customWidth="1"/>
    <col min="9720" max="9966" width="8.875" style="550"/>
    <col min="9967" max="9967" width="5" style="550" customWidth="1"/>
    <col min="9968" max="9968" width="33.375" style="550" customWidth="1"/>
    <col min="9969" max="9969" width="6.5" style="550" customWidth="1"/>
    <col min="9970" max="9970" width="29.5" style="550" customWidth="1"/>
    <col min="9971" max="9971" width="23.625" style="550" customWidth="1"/>
    <col min="9972" max="9972" width="8" style="550" customWidth="1"/>
    <col min="9973" max="9973" width="9.125" style="550" customWidth="1"/>
    <col min="9974" max="9974" width="13.875" style="550" customWidth="1"/>
    <col min="9975" max="9975" width="13.5" style="550" customWidth="1"/>
    <col min="9976" max="10222" width="8.875" style="550"/>
    <col min="10223" max="10223" width="5" style="550" customWidth="1"/>
    <col min="10224" max="10224" width="33.375" style="550" customWidth="1"/>
    <col min="10225" max="10225" width="6.5" style="550" customWidth="1"/>
    <col min="10226" max="10226" width="29.5" style="550" customWidth="1"/>
    <col min="10227" max="10227" width="23.625" style="550" customWidth="1"/>
    <col min="10228" max="10228" width="8" style="550" customWidth="1"/>
    <col min="10229" max="10229" width="9.125" style="550" customWidth="1"/>
    <col min="10230" max="10230" width="13.875" style="550" customWidth="1"/>
    <col min="10231" max="10231" width="13.5" style="550" customWidth="1"/>
    <col min="10232" max="10478" width="8.875" style="550"/>
    <col min="10479" max="10479" width="5" style="550" customWidth="1"/>
    <col min="10480" max="10480" width="33.375" style="550" customWidth="1"/>
    <col min="10481" max="10481" width="6.5" style="550" customWidth="1"/>
    <col min="10482" max="10482" width="29.5" style="550" customWidth="1"/>
    <col min="10483" max="10483" width="23.625" style="550" customWidth="1"/>
    <col min="10484" max="10484" width="8" style="550" customWidth="1"/>
    <col min="10485" max="10485" width="9.125" style="550" customWidth="1"/>
    <col min="10486" max="10486" width="13.875" style="550" customWidth="1"/>
    <col min="10487" max="10487" width="13.5" style="550" customWidth="1"/>
    <col min="10488" max="10734" width="8.875" style="550"/>
    <col min="10735" max="10735" width="5" style="550" customWidth="1"/>
    <col min="10736" max="10736" width="33.375" style="550" customWidth="1"/>
    <col min="10737" max="10737" width="6.5" style="550" customWidth="1"/>
    <col min="10738" max="10738" width="29.5" style="550" customWidth="1"/>
    <col min="10739" max="10739" width="23.625" style="550" customWidth="1"/>
    <col min="10740" max="10740" width="8" style="550" customWidth="1"/>
    <col min="10741" max="10741" width="9.125" style="550" customWidth="1"/>
    <col min="10742" max="10742" width="13.875" style="550" customWidth="1"/>
    <col min="10743" max="10743" width="13.5" style="550" customWidth="1"/>
    <col min="10744" max="10990" width="8.875" style="550"/>
    <col min="10991" max="10991" width="5" style="550" customWidth="1"/>
    <col min="10992" max="10992" width="33.375" style="550" customWidth="1"/>
    <col min="10993" max="10993" width="6.5" style="550" customWidth="1"/>
    <col min="10994" max="10994" width="29.5" style="550" customWidth="1"/>
    <col min="10995" max="10995" width="23.625" style="550" customWidth="1"/>
    <col min="10996" max="10996" width="8" style="550" customWidth="1"/>
    <col min="10997" max="10997" width="9.125" style="550" customWidth="1"/>
    <col min="10998" max="10998" width="13.875" style="550" customWidth="1"/>
    <col min="10999" max="10999" width="13.5" style="550" customWidth="1"/>
    <col min="11000" max="11246" width="8.875" style="550"/>
    <col min="11247" max="11247" width="5" style="550" customWidth="1"/>
    <col min="11248" max="11248" width="33.375" style="550" customWidth="1"/>
    <col min="11249" max="11249" width="6.5" style="550" customWidth="1"/>
    <col min="11250" max="11250" width="29.5" style="550" customWidth="1"/>
    <col min="11251" max="11251" width="23.625" style="550" customWidth="1"/>
    <col min="11252" max="11252" width="8" style="550" customWidth="1"/>
    <col min="11253" max="11253" width="9.125" style="550" customWidth="1"/>
    <col min="11254" max="11254" width="13.875" style="550" customWidth="1"/>
    <col min="11255" max="11255" width="13.5" style="550" customWidth="1"/>
    <col min="11256" max="11502" width="8.875" style="550"/>
    <col min="11503" max="11503" width="5" style="550" customWidth="1"/>
    <col min="11504" max="11504" width="33.375" style="550" customWidth="1"/>
    <col min="11505" max="11505" width="6.5" style="550" customWidth="1"/>
    <col min="11506" max="11506" width="29.5" style="550" customWidth="1"/>
    <col min="11507" max="11507" width="23.625" style="550" customWidth="1"/>
    <col min="11508" max="11508" width="8" style="550" customWidth="1"/>
    <col min="11509" max="11509" width="9.125" style="550" customWidth="1"/>
    <col min="11510" max="11510" width="13.875" style="550" customWidth="1"/>
    <col min="11511" max="11511" width="13.5" style="550" customWidth="1"/>
    <col min="11512" max="11758" width="8.875" style="550"/>
    <col min="11759" max="11759" width="5" style="550" customWidth="1"/>
    <col min="11760" max="11760" width="33.375" style="550" customWidth="1"/>
    <col min="11761" max="11761" width="6.5" style="550" customWidth="1"/>
    <col min="11762" max="11762" width="29.5" style="550" customWidth="1"/>
    <col min="11763" max="11763" width="23.625" style="550" customWidth="1"/>
    <col min="11764" max="11764" width="8" style="550" customWidth="1"/>
    <col min="11765" max="11765" width="9.125" style="550" customWidth="1"/>
    <col min="11766" max="11766" width="13.875" style="550" customWidth="1"/>
    <col min="11767" max="11767" width="13.5" style="550" customWidth="1"/>
    <col min="11768" max="12014" width="8.875" style="550"/>
    <col min="12015" max="12015" width="5" style="550" customWidth="1"/>
    <col min="12016" max="12016" width="33.375" style="550" customWidth="1"/>
    <col min="12017" max="12017" width="6.5" style="550" customWidth="1"/>
    <col min="12018" max="12018" width="29.5" style="550" customWidth="1"/>
    <col min="12019" max="12019" width="23.625" style="550" customWidth="1"/>
    <col min="12020" max="12020" width="8" style="550" customWidth="1"/>
    <col min="12021" max="12021" width="9.125" style="550" customWidth="1"/>
    <col min="12022" max="12022" width="13.875" style="550" customWidth="1"/>
    <col min="12023" max="12023" width="13.5" style="550" customWidth="1"/>
    <col min="12024" max="12270" width="8.875" style="550"/>
    <col min="12271" max="12271" width="5" style="550" customWidth="1"/>
    <col min="12272" max="12272" width="33.375" style="550" customWidth="1"/>
    <col min="12273" max="12273" width="6.5" style="550" customWidth="1"/>
    <col min="12274" max="12274" width="29.5" style="550" customWidth="1"/>
    <col min="12275" max="12275" width="23.625" style="550" customWidth="1"/>
    <col min="12276" max="12276" width="8" style="550" customWidth="1"/>
    <col min="12277" max="12277" width="9.125" style="550" customWidth="1"/>
    <col min="12278" max="12278" width="13.875" style="550" customWidth="1"/>
    <col min="12279" max="12279" width="13.5" style="550" customWidth="1"/>
    <col min="12280" max="12526" width="8.875" style="550"/>
    <col min="12527" max="12527" width="5" style="550" customWidth="1"/>
    <col min="12528" max="12528" width="33.375" style="550" customWidth="1"/>
    <col min="12529" max="12529" width="6.5" style="550" customWidth="1"/>
    <col min="12530" max="12530" width="29.5" style="550" customWidth="1"/>
    <col min="12531" max="12531" width="23.625" style="550" customWidth="1"/>
    <col min="12532" max="12532" width="8" style="550" customWidth="1"/>
    <col min="12533" max="12533" width="9.125" style="550" customWidth="1"/>
    <col min="12534" max="12534" width="13.875" style="550" customWidth="1"/>
    <col min="12535" max="12535" width="13.5" style="550" customWidth="1"/>
    <col min="12536" max="12782" width="8.875" style="550"/>
    <col min="12783" max="12783" width="5" style="550" customWidth="1"/>
    <col min="12784" max="12784" width="33.375" style="550" customWidth="1"/>
    <col min="12785" max="12785" width="6.5" style="550" customWidth="1"/>
    <col min="12786" max="12786" width="29.5" style="550" customWidth="1"/>
    <col min="12787" max="12787" width="23.625" style="550" customWidth="1"/>
    <col min="12788" max="12788" width="8" style="550" customWidth="1"/>
    <col min="12789" max="12789" width="9.125" style="550" customWidth="1"/>
    <col min="12790" max="12790" width="13.875" style="550" customWidth="1"/>
    <col min="12791" max="12791" width="13.5" style="550" customWidth="1"/>
    <col min="12792" max="13038" width="8.875" style="550"/>
    <col min="13039" max="13039" width="5" style="550" customWidth="1"/>
    <col min="13040" max="13040" width="33.375" style="550" customWidth="1"/>
    <col min="13041" max="13041" width="6.5" style="550" customWidth="1"/>
    <col min="13042" max="13042" width="29.5" style="550" customWidth="1"/>
    <col min="13043" max="13043" width="23.625" style="550" customWidth="1"/>
    <col min="13044" max="13044" width="8" style="550" customWidth="1"/>
    <col min="13045" max="13045" width="9.125" style="550" customWidth="1"/>
    <col min="13046" max="13046" width="13.875" style="550" customWidth="1"/>
    <col min="13047" max="13047" width="13.5" style="550" customWidth="1"/>
    <col min="13048" max="13294" width="8.875" style="550"/>
    <col min="13295" max="13295" width="5" style="550" customWidth="1"/>
    <col min="13296" max="13296" width="33.375" style="550" customWidth="1"/>
    <col min="13297" max="13297" width="6.5" style="550" customWidth="1"/>
    <col min="13298" max="13298" width="29.5" style="550" customWidth="1"/>
    <col min="13299" max="13299" width="23.625" style="550" customWidth="1"/>
    <col min="13300" max="13300" width="8" style="550" customWidth="1"/>
    <col min="13301" max="13301" width="9.125" style="550" customWidth="1"/>
    <col min="13302" max="13302" width="13.875" style="550" customWidth="1"/>
    <col min="13303" max="13303" width="13.5" style="550" customWidth="1"/>
    <col min="13304" max="13550" width="8.875" style="550"/>
    <col min="13551" max="13551" width="5" style="550" customWidth="1"/>
    <col min="13552" max="13552" width="33.375" style="550" customWidth="1"/>
    <col min="13553" max="13553" width="6.5" style="550" customWidth="1"/>
    <col min="13554" max="13554" width="29.5" style="550" customWidth="1"/>
    <col min="13555" max="13555" width="23.625" style="550" customWidth="1"/>
    <col min="13556" max="13556" width="8" style="550" customWidth="1"/>
    <col min="13557" max="13557" width="9.125" style="550" customWidth="1"/>
    <col min="13558" max="13558" width="13.875" style="550" customWidth="1"/>
    <col min="13559" max="13559" width="13.5" style="550" customWidth="1"/>
    <col min="13560" max="13806" width="8.875" style="550"/>
    <col min="13807" max="13807" width="5" style="550" customWidth="1"/>
    <col min="13808" max="13808" width="33.375" style="550" customWidth="1"/>
    <col min="13809" max="13809" width="6.5" style="550" customWidth="1"/>
    <col min="13810" max="13810" width="29.5" style="550" customWidth="1"/>
    <col min="13811" max="13811" width="23.625" style="550" customWidth="1"/>
    <col min="13812" max="13812" width="8" style="550" customWidth="1"/>
    <col min="13813" max="13813" width="9.125" style="550" customWidth="1"/>
    <col min="13814" max="13814" width="13.875" style="550" customWidth="1"/>
    <col min="13815" max="13815" width="13.5" style="550" customWidth="1"/>
    <col min="13816" max="14062" width="8.875" style="550"/>
    <col min="14063" max="14063" width="5" style="550" customWidth="1"/>
    <col min="14064" max="14064" width="33.375" style="550" customWidth="1"/>
    <col min="14065" max="14065" width="6.5" style="550" customWidth="1"/>
    <col min="14066" max="14066" width="29.5" style="550" customWidth="1"/>
    <col min="14067" max="14067" width="23.625" style="550" customWidth="1"/>
    <col min="14068" max="14068" width="8" style="550" customWidth="1"/>
    <col min="14069" max="14069" width="9.125" style="550" customWidth="1"/>
    <col min="14070" max="14070" width="13.875" style="550" customWidth="1"/>
    <col min="14071" max="14071" width="13.5" style="550" customWidth="1"/>
    <col min="14072" max="14318" width="8.875" style="550"/>
    <col min="14319" max="14319" width="5" style="550" customWidth="1"/>
    <col min="14320" max="14320" width="33.375" style="550" customWidth="1"/>
    <col min="14321" max="14321" width="6.5" style="550" customWidth="1"/>
    <col min="14322" max="14322" width="29.5" style="550" customWidth="1"/>
    <col min="14323" max="14323" width="23.625" style="550" customWidth="1"/>
    <col min="14324" max="14324" width="8" style="550" customWidth="1"/>
    <col min="14325" max="14325" width="9.125" style="550" customWidth="1"/>
    <col min="14326" max="14326" width="13.875" style="550" customWidth="1"/>
    <col min="14327" max="14327" width="13.5" style="550" customWidth="1"/>
    <col min="14328" max="14574" width="8.875" style="550"/>
    <col min="14575" max="14575" width="5" style="550" customWidth="1"/>
    <col min="14576" max="14576" width="33.375" style="550" customWidth="1"/>
    <col min="14577" max="14577" width="6.5" style="550" customWidth="1"/>
    <col min="14578" max="14578" width="29.5" style="550" customWidth="1"/>
    <col min="14579" max="14579" width="23.625" style="550" customWidth="1"/>
    <col min="14580" max="14580" width="8" style="550" customWidth="1"/>
    <col min="14581" max="14581" width="9.125" style="550" customWidth="1"/>
    <col min="14582" max="14582" width="13.875" style="550" customWidth="1"/>
    <col min="14583" max="14583" width="13.5" style="550" customWidth="1"/>
    <col min="14584" max="14830" width="8.875" style="550"/>
    <col min="14831" max="14831" width="5" style="550" customWidth="1"/>
    <col min="14832" max="14832" width="33.375" style="550" customWidth="1"/>
    <col min="14833" max="14833" width="6.5" style="550" customWidth="1"/>
    <col min="14834" max="14834" width="29.5" style="550" customWidth="1"/>
    <col min="14835" max="14835" width="23.625" style="550" customWidth="1"/>
    <col min="14836" max="14836" width="8" style="550" customWidth="1"/>
    <col min="14837" max="14837" width="9.125" style="550" customWidth="1"/>
    <col min="14838" max="14838" width="13.875" style="550" customWidth="1"/>
    <col min="14839" max="14839" width="13.5" style="550" customWidth="1"/>
    <col min="14840" max="15086" width="8.875" style="550"/>
    <col min="15087" max="15087" width="5" style="550" customWidth="1"/>
    <col min="15088" max="15088" width="33.375" style="550" customWidth="1"/>
    <col min="15089" max="15089" width="6.5" style="550" customWidth="1"/>
    <col min="15090" max="15090" width="29.5" style="550" customWidth="1"/>
    <col min="15091" max="15091" width="23.625" style="550" customWidth="1"/>
    <col min="15092" max="15092" width="8" style="550" customWidth="1"/>
    <col min="15093" max="15093" width="9.125" style="550" customWidth="1"/>
    <col min="15094" max="15094" width="13.875" style="550" customWidth="1"/>
    <col min="15095" max="15095" width="13.5" style="550" customWidth="1"/>
    <col min="15096" max="15342" width="8.875" style="550"/>
    <col min="15343" max="15343" width="5" style="550" customWidth="1"/>
    <col min="15344" max="15344" width="33.375" style="550" customWidth="1"/>
    <col min="15345" max="15345" width="6.5" style="550" customWidth="1"/>
    <col min="15346" max="15346" width="29.5" style="550" customWidth="1"/>
    <col min="15347" max="15347" width="23.625" style="550" customWidth="1"/>
    <col min="15348" max="15348" width="8" style="550" customWidth="1"/>
    <col min="15349" max="15349" width="9.125" style="550" customWidth="1"/>
    <col min="15350" max="15350" width="13.875" style="550" customWidth="1"/>
    <col min="15351" max="15351" width="13.5" style="550" customWidth="1"/>
    <col min="15352" max="15598" width="8.875" style="550"/>
    <col min="15599" max="15599" width="5" style="550" customWidth="1"/>
    <col min="15600" max="15600" width="33.375" style="550" customWidth="1"/>
    <col min="15601" max="15601" width="6.5" style="550" customWidth="1"/>
    <col min="15602" max="15602" width="29.5" style="550" customWidth="1"/>
    <col min="15603" max="15603" width="23.625" style="550" customWidth="1"/>
    <col min="15604" max="15604" width="8" style="550" customWidth="1"/>
    <col min="15605" max="15605" width="9.125" style="550" customWidth="1"/>
    <col min="15606" max="15606" width="13.875" style="550" customWidth="1"/>
    <col min="15607" max="15607" width="13.5" style="550" customWidth="1"/>
    <col min="15608" max="15854" width="8.875" style="550"/>
    <col min="15855" max="15855" width="5" style="550" customWidth="1"/>
    <col min="15856" max="15856" width="33.375" style="550" customWidth="1"/>
    <col min="15857" max="15857" width="6.5" style="550" customWidth="1"/>
    <col min="15858" max="15858" width="29.5" style="550" customWidth="1"/>
    <col min="15859" max="15859" width="23.625" style="550" customWidth="1"/>
    <col min="15860" max="15860" width="8" style="550" customWidth="1"/>
    <col min="15861" max="15861" width="9.125" style="550" customWidth="1"/>
    <col min="15862" max="15862" width="13.875" style="550" customWidth="1"/>
    <col min="15863" max="15863" width="13.5" style="550" customWidth="1"/>
    <col min="15864" max="16384" width="8.875" style="550"/>
  </cols>
  <sheetData>
    <row r="2" spans="2:18" s="548" customFormat="1">
      <c r="B2" s="546" t="s">
        <v>464</v>
      </c>
      <c r="C2" s="547" t="s">
        <v>132</v>
      </c>
    </row>
    <row r="3" spans="2:18" s="548" customFormat="1">
      <c r="B3" s="546" t="s">
        <v>465</v>
      </c>
      <c r="C3" s="549" t="s">
        <v>255</v>
      </c>
    </row>
    <row r="4" spans="2:18" s="548" customFormat="1">
      <c r="B4" s="546" t="s">
        <v>466</v>
      </c>
      <c r="C4" s="547" t="s">
        <v>133</v>
      </c>
    </row>
    <row r="5" spans="2:18">
      <c r="E5" s="551"/>
      <c r="G5" s="550"/>
      <c r="H5" s="550"/>
      <c r="M5" s="551"/>
      <c r="Q5" s="550"/>
    </row>
    <row r="6" spans="2:18" s="556" customFormat="1" ht="23.1" customHeight="1">
      <c r="B6" s="552" t="s">
        <v>61</v>
      </c>
      <c r="C6" s="553" t="s">
        <v>616</v>
      </c>
      <c r="D6" s="554"/>
      <c r="E6" s="554"/>
      <c r="F6" s="555"/>
      <c r="G6" s="555"/>
      <c r="H6" s="555"/>
      <c r="I6" s="555"/>
      <c r="J6" s="555"/>
      <c r="K6" s="555"/>
      <c r="L6" s="555"/>
      <c r="M6" s="555"/>
    </row>
    <row r="7" spans="2:18" s="556" customFormat="1" ht="3.95" customHeight="1">
      <c r="M7" s="557"/>
    </row>
    <row r="8" spans="2:18" s="556" customFormat="1" ht="20.100000000000001" customHeight="1">
      <c r="B8" s="558" t="s">
        <v>279</v>
      </c>
      <c r="C8" s="558" t="s">
        <v>543</v>
      </c>
      <c r="D8" s="559"/>
      <c r="E8" s="559" t="s">
        <v>405</v>
      </c>
      <c r="F8" s="559" t="s">
        <v>439</v>
      </c>
      <c r="G8" s="559"/>
      <c r="H8" s="559"/>
      <c r="I8" s="560"/>
    </row>
    <row r="9" spans="2:18" s="556" customFormat="1" ht="18.95" customHeight="1">
      <c r="B9" s="558" t="s">
        <v>280</v>
      </c>
      <c r="C9" s="561" t="s">
        <v>544</v>
      </c>
      <c r="D9" s="559"/>
      <c r="E9" s="559" t="s">
        <v>467</v>
      </c>
      <c r="F9" s="562" t="s">
        <v>471</v>
      </c>
      <c r="G9" s="562"/>
      <c r="H9" s="562"/>
      <c r="I9" s="560"/>
    </row>
    <row r="10" spans="2:18" s="556" customFormat="1">
      <c r="M10" s="557"/>
    </row>
    <row r="11" spans="2:18" ht="20.100000000000001" customHeight="1">
      <c r="B11" s="563" t="s">
        <v>21</v>
      </c>
      <c r="C11" s="564" t="s">
        <v>468</v>
      </c>
      <c r="D11" s="565"/>
      <c r="E11" s="566"/>
      <c r="F11" s="566"/>
      <c r="G11" s="567"/>
      <c r="H11" s="567"/>
      <c r="I11" s="566"/>
      <c r="J11" s="566"/>
      <c r="K11" s="566"/>
      <c r="L11" s="568"/>
      <c r="M11" s="568"/>
      <c r="N11" s="568"/>
      <c r="O11" s="569"/>
      <c r="P11" s="570"/>
      <c r="Q11" s="571">
        <f>Q13+Q14</f>
        <v>0</v>
      </c>
    </row>
    <row r="12" spans="2:18" s="575" customFormat="1" ht="27.95" customHeight="1">
      <c r="B12" s="572"/>
      <c r="C12" s="1045" t="s">
        <v>8</v>
      </c>
      <c r="D12" s="1046"/>
      <c r="E12" s="1046"/>
      <c r="F12" s="1046"/>
      <c r="G12" s="1046"/>
      <c r="H12" s="1046"/>
      <c r="I12" s="1043" t="s">
        <v>154</v>
      </c>
      <c r="J12" s="1043"/>
      <c r="K12" s="1043"/>
      <c r="L12" s="1043" t="s">
        <v>174</v>
      </c>
      <c r="M12" s="1043"/>
      <c r="N12" s="573" t="s">
        <v>173</v>
      </c>
      <c r="O12" s="574" t="s">
        <v>32</v>
      </c>
      <c r="P12" s="574" t="s">
        <v>2</v>
      </c>
      <c r="Q12" s="572" t="s">
        <v>20</v>
      </c>
    </row>
    <row r="13" spans="2:18" ht="21" customHeight="1">
      <c r="B13" s="576">
        <v>1</v>
      </c>
      <c r="C13" s="1024" t="s">
        <v>185</v>
      </c>
      <c r="D13" s="1024"/>
      <c r="E13" s="1024"/>
      <c r="F13" s="1024"/>
      <c r="G13" s="1024"/>
      <c r="H13" s="1024"/>
      <c r="I13" s="1047">
        <v>0.4</v>
      </c>
      <c r="J13" s="1047"/>
      <c r="K13" s="1047"/>
      <c r="L13" s="1048">
        <v>1</v>
      </c>
      <c r="M13" s="1048"/>
      <c r="N13" s="577"/>
      <c r="O13" s="577">
        <f>N13/L13</f>
        <v>0</v>
      </c>
      <c r="P13" s="577"/>
      <c r="Q13" s="578">
        <f>I13*O13</f>
        <v>0</v>
      </c>
      <c r="R13" s="579"/>
    </row>
    <row r="14" spans="2:18" ht="21" customHeight="1">
      <c r="B14" s="576">
        <v>2</v>
      </c>
      <c r="C14" s="1026" t="s">
        <v>469</v>
      </c>
      <c r="D14" s="1026"/>
      <c r="E14" s="1026"/>
      <c r="F14" s="1026"/>
      <c r="G14" s="1026"/>
      <c r="H14" s="1026"/>
      <c r="I14" s="1040">
        <v>0.6</v>
      </c>
      <c r="J14" s="1040"/>
      <c r="K14" s="1040"/>
      <c r="L14" s="1041">
        <v>1</v>
      </c>
      <c r="M14" s="1041"/>
      <c r="N14" s="580"/>
      <c r="O14" s="580">
        <f>N14/L14</f>
        <v>0</v>
      </c>
      <c r="P14" s="580"/>
      <c r="Q14" s="578">
        <f>I14*O14</f>
        <v>0</v>
      </c>
      <c r="R14" s="579"/>
    </row>
    <row r="15" spans="2:18" ht="21" customHeight="1">
      <c r="B15" s="563" t="s">
        <v>22</v>
      </c>
      <c r="C15" s="581" t="s">
        <v>54</v>
      </c>
      <c r="D15" s="565"/>
      <c r="E15" s="566"/>
      <c r="F15" s="566"/>
      <c r="G15" s="567"/>
      <c r="H15" s="567"/>
      <c r="I15" s="566"/>
      <c r="J15" s="566"/>
      <c r="K15" s="566"/>
      <c r="L15" s="1042"/>
      <c r="M15" s="1042"/>
      <c r="N15" s="1042"/>
      <c r="O15" s="569"/>
      <c r="P15" s="570"/>
      <c r="Q15" s="582">
        <f>SUM(Q18:Q23)</f>
        <v>0</v>
      </c>
      <c r="R15" s="579"/>
    </row>
    <row r="16" spans="2:18" s="575" customFormat="1" ht="29.1" customHeight="1">
      <c r="B16" s="572"/>
      <c r="C16" s="574" t="s">
        <v>31</v>
      </c>
      <c r="D16" s="574" t="s">
        <v>152</v>
      </c>
      <c r="E16" s="1043" t="s">
        <v>39</v>
      </c>
      <c r="F16" s="1044"/>
      <c r="G16" s="1043" t="s">
        <v>17</v>
      </c>
      <c r="H16" s="1044"/>
      <c r="I16" s="1043" t="s">
        <v>116</v>
      </c>
      <c r="J16" s="1043"/>
      <c r="K16" s="1043"/>
      <c r="L16" s="1043" t="s">
        <v>19</v>
      </c>
      <c r="M16" s="1043"/>
      <c r="N16" s="573" t="s">
        <v>174</v>
      </c>
      <c r="O16" s="574" t="s">
        <v>164</v>
      </c>
      <c r="P16" s="574" t="s">
        <v>32</v>
      </c>
      <c r="Q16" s="572" t="s">
        <v>20</v>
      </c>
    </row>
    <row r="17" spans="2:17" s="590" customFormat="1" ht="68.099999999999994" customHeight="1">
      <c r="B17" s="583">
        <v>1</v>
      </c>
      <c r="C17" s="584" t="s">
        <v>507</v>
      </c>
      <c r="D17" s="524">
        <v>0.15</v>
      </c>
      <c r="E17" s="1033" t="s">
        <v>408</v>
      </c>
      <c r="F17" s="1033"/>
      <c r="G17" s="1034" t="s">
        <v>330</v>
      </c>
      <c r="H17" s="1035"/>
      <c r="I17" s="1036" t="s">
        <v>508</v>
      </c>
      <c r="J17" s="1037"/>
      <c r="K17" s="1038"/>
      <c r="L17" s="1039" t="s">
        <v>326</v>
      </c>
      <c r="M17" s="1039"/>
      <c r="N17" s="586">
        <v>0.95</v>
      </c>
      <c r="O17" s="587"/>
      <c r="P17" s="588" t="str">
        <f>IF(LEN(O17)=0,"",IF(O17&gt;=N17,100%,0%))</f>
        <v/>
      </c>
      <c r="Q17" s="589" t="str">
        <f t="shared" ref="Q17:Q23" si="0">IFERROR(P17*D17,"")</f>
        <v/>
      </c>
    </row>
    <row r="18" spans="2:17" s="590" customFormat="1" ht="68.099999999999994" customHeight="1">
      <c r="B18" s="583">
        <v>2</v>
      </c>
      <c r="C18" s="591" t="s">
        <v>637</v>
      </c>
      <c r="D18" s="524">
        <v>0.15</v>
      </c>
      <c r="E18" s="1033" t="s">
        <v>488</v>
      </c>
      <c r="F18" s="1033"/>
      <c r="G18" s="1034" t="s">
        <v>342</v>
      </c>
      <c r="H18" s="1035"/>
      <c r="I18" s="1036" t="s">
        <v>524</v>
      </c>
      <c r="J18" s="1037"/>
      <c r="K18" s="1038"/>
      <c r="L18" s="1039" t="s">
        <v>414</v>
      </c>
      <c r="M18" s="1039"/>
      <c r="N18" s="587">
        <v>4</v>
      </c>
      <c r="O18" s="587"/>
      <c r="P18" s="588" t="str">
        <f>IF(LEN(O18)=0,"",IF(O18&lt;=N18,1,0))</f>
        <v/>
      </c>
      <c r="Q18" s="589" t="str">
        <f t="shared" si="0"/>
        <v/>
      </c>
    </row>
    <row r="19" spans="2:17" s="590" customFormat="1" ht="51" customHeight="1">
      <c r="B19" s="583">
        <v>3</v>
      </c>
      <c r="C19" s="584" t="s">
        <v>418</v>
      </c>
      <c r="D19" s="524">
        <v>0.15</v>
      </c>
      <c r="E19" s="1049" t="s">
        <v>489</v>
      </c>
      <c r="F19" s="1049"/>
      <c r="G19" s="1034" t="s">
        <v>413</v>
      </c>
      <c r="H19" s="1035"/>
      <c r="I19" s="1036" t="s">
        <v>524</v>
      </c>
      <c r="J19" s="1037"/>
      <c r="K19" s="1038"/>
      <c r="L19" s="1039" t="s">
        <v>414</v>
      </c>
      <c r="M19" s="1039"/>
      <c r="N19" s="592">
        <v>0</v>
      </c>
      <c r="O19" s="592"/>
      <c r="P19" s="593" t="str">
        <f>IF(LEN(O19)=0,"",IF(O19=N19,1,0))</f>
        <v/>
      </c>
      <c r="Q19" s="589" t="str">
        <f t="shared" si="0"/>
        <v/>
      </c>
    </row>
    <row r="20" spans="2:17" s="590" customFormat="1" ht="51" customHeight="1">
      <c r="B20" s="583">
        <v>4</v>
      </c>
      <c r="C20" s="584" t="s">
        <v>581</v>
      </c>
      <c r="D20" s="524">
        <v>0.15</v>
      </c>
      <c r="E20" s="1033" t="s">
        <v>485</v>
      </c>
      <c r="F20" s="1033"/>
      <c r="G20" s="1034" t="s">
        <v>342</v>
      </c>
      <c r="H20" s="1035"/>
      <c r="I20" s="1036" t="s">
        <v>471</v>
      </c>
      <c r="J20" s="1037"/>
      <c r="K20" s="1038"/>
      <c r="L20" s="1039" t="s">
        <v>343</v>
      </c>
      <c r="M20" s="1039"/>
      <c r="N20" s="594">
        <v>46112</v>
      </c>
      <c r="O20" s="594"/>
      <c r="P20" s="588" t="str">
        <f>IF(LEN(O20)=0,"",IF(O20&lt;=N20,1,0))</f>
        <v/>
      </c>
      <c r="Q20" s="589" t="str">
        <f t="shared" si="0"/>
        <v/>
      </c>
    </row>
    <row r="21" spans="2:17" s="590" customFormat="1" ht="51" customHeight="1">
      <c r="B21" s="583">
        <v>5</v>
      </c>
      <c r="C21" s="529" t="s">
        <v>588</v>
      </c>
      <c r="D21" s="524">
        <v>0.1</v>
      </c>
      <c r="E21" s="1049" t="s">
        <v>432</v>
      </c>
      <c r="F21" s="1049"/>
      <c r="G21" s="1034" t="s">
        <v>342</v>
      </c>
      <c r="H21" s="1035"/>
      <c r="I21" s="1036" t="s">
        <v>471</v>
      </c>
      <c r="J21" s="1037"/>
      <c r="K21" s="1038"/>
      <c r="L21" s="1039" t="s">
        <v>414</v>
      </c>
      <c r="M21" s="1039"/>
      <c r="N21" s="595">
        <v>4</v>
      </c>
      <c r="O21" s="595"/>
      <c r="P21" s="596" t="str">
        <f>IF(LEN(O21)=0,"",IF(O21&lt;=N21,1,0))</f>
        <v/>
      </c>
      <c r="Q21" s="589" t="str">
        <f t="shared" si="0"/>
        <v/>
      </c>
    </row>
    <row r="22" spans="2:17" ht="42" customHeight="1">
      <c r="B22" s="576">
        <v>6</v>
      </c>
      <c r="C22" s="597" t="s">
        <v>593</v>
      </c>
      <c r="D22" s="521">
        <v>0.15</v>
      </c>
      <c r="E22" s="1026" t="s">
        <v>617</v>
      </c>
      <c r="F22" s="1026"/>
      <c r="G22" s="1050" t="s">
        <v>342</v>
      </c>
      <c r="H22" s="1051"/>
      <c r="I22" s="1052" t="s">
        <v>88</v>
      </c>
      <c r="J22" s="1053"/>
      <c r="K22" s="1054"/>
      <c r="L22" s="1055" t="s">
        <v>343</v>
      </c>
      <c r="M22" s="1055"/>
      <c r="N22" s="599">
        <v>46387</v>
      </c>
      <c r="O22" s="599"/>
      <c r="P22" s="600" t="str">
        <f>IF(LEN(O22)=0,"",IF(O22&lt;=N22,1,0))</f>
        <v/>
      </c>
      <c r="Q22" s="601" t="str">
        <f t="shared" si="0"/>
        <v/>
      </c>
    </row>
    <row r="23" spans="2:17" ht="51.95" customHeight="1">
      <c r="B23" s="576">
        <v>7</v>
      </c>
      <c r="C23" s="597" t="s">
        <v>595</v>
      </c>
      <c r="D23" s="521">
        <v>0.15</v>
      </c>
      <c r="E23" s="1026" t="s">
        <v>487</v>
      </c>
      <c r="F23" s="1026"/>
      <c r="G23" s="1050" t="s">
        <v>342</v>
      </c>
      <c r="H23" s="1051"/>
      <c r="I23" s="1052" t="s">
        <v>525</v>
      </c>
      <c r="J23" s="1053"/>
      <c r="K23" s="1054"/>
      <c r="L23" s="1055" t="s">
        <v>343</v>
      </c>
      <c r="M23" s="1055"/>
      <c r="N23" s="599">
        <v>46387</v>
      </c>
      <c r="O23" s="599"/>
      <c r="P23" s="600" t="str">
        <f>IF(LEN(O23)=0,"",IF(O23&lt;=N23,1,0))</f>
        <v/>
      </c>
      <c r="Q23" s="601" t="str">
        <f t="shared" si="0"/>
        <v/>
      </c>
    </row>
    <row r="24" spans="2:17" ht="20.100000000000001" customHeight="1">
      <c r="B24" s="563" t="s">
        <v>40</v>
      </c>
      <c r="C24" s="564" t="s">
        <v>186</v>
      </c>
      <c r="D24" s="565"/>
      <c r="E24" s="566"/>
      <c r="F24" s="566"/>
      <c r="G24" s="567"/>
      <c r="H24" s="567"/>
      <c r="I24" s="566"/>
      <c r="J24" s="566"/>
      <c r="K24" s="566"/>
      <c r="L24" s="1042"/>
      <c r="M24" s="1042"/>
      <c r="N24" s="1042"/>
      <c r="O24" s="569"/>
      <c r="P24" s="570"/>
      <c r="Q24" s="571" t="e">
        <f>SUM(Q27:Q31)/5</f>
        <v>#DIV/0!</v>
      </c>
    </row>
    <row r="25" spans="2:17" s="575" customFormat="1" ht="26.1" customHeight="1">
      <c r="B25" s="1056"/>
      <c r="C25" s="1045" t="s">
        <v>8</v>
      </c>
      <c r="D25" s="1045"/>
      <c r="E25" s="1045"/>
      <c r="F25" s="1045"/>
      <c r="G25" s="1045"/>
      <c r="H25" s="1045"/>
      <c r="I25" s="1058" t="s">
        <v>118</v>
      </c>
      <c r="J25" s="1058"/>
      <c r="K25" s="1058"/>
      <c r="L25" s="1058"/>
      <c r="M25" s="1058"/>
      <c r="N25" s="1058"/>
      <c r="O25" s="1059" t="s">
        <v>123</v>
      </c>
      <c r="P25" s="1058" t="s">
        <v>125</v>
      </c>
      <c r="Q25" s="1056" t="s">
        <v>102</v>
      </c>
    </row>
    <row r="26" spans="2:17" s="575" customFormat="1" ht="39" customHeight="1">
      <c r="B26" s="1056"/>
      <c r="C26" s="1057"/>
      <c r="D26" s="1057"/>
      <c r="E26" s="1057"/>
      <c r="F26" s="1057"/>
      <c r="G26" s="1057"/>
      <c r="H26" s="1057"/>
      <c r="I26" s="1061" t="s">
        <v>119</v>
      </c>
      <c r="J26" s="1061"/>
      <c r="K26" s="602" t="s">
        <v>120</v>
      </c>
      <c r="L26" s="602" t="s">
        <v>153</v>
      </c>
      <c r="M26" s="602" t="s">
        <v>121</v>
      </c>
      <c r="N26" s="602" t="s">
        <v>122</v>
      </c>
      <c r="O26" s="1060"/>
      <c r="P26" s="1063"/>
      <c r="Q26" s="1056"/>
    </row>
    <row r="27" spans="2:17" s="606" customFormat="1" ht="32.1" customHeight="1">
      <c r="B27" s="576">
        <v>1</v>
      </c>
      <c r="C27" s="987" t="s">
        <v>62</v>
      </c>
      <c r="D27" s="987"/>
      <c r="E27" s="987"/>
      <c r="F27" s="987"/>
      <c r="G27" s="987"/>
      <c r="H27" s="987"/>
      <c r="I27" s="1062">
        <v>1</v>
      </c>
      <c r="J27" s="1062"/>
      <c r="K27" s="603">
        <v>2</v>
      </c>
      <c r="L27" s="604">
        <v>3</v>
      </c>
      <c r="M27" s="603">
        <v>4</v>
      </c>
      <c r="N27" s="604">
        <v>5</v>
      </c>
      <c r="O27" s="605"/>
      <c r="P27" s="604"/>
      <c r="Q27" s="578" t="e">
        <f>P27/O27</f>
        <v>#DIV/0!</v>
      </c>
    </row>
    <row r="28" spans="2:17" s="606" customFormat="1" ht="32.1" customHeight="1">
      <c r="B28" s="576">
        <f>B27+1</f>
        <v>2</v>
      </c>
      <c r="C28" s="987" t="s">
        <v>63</v>
      </c>
      <c r="D28" s="987"/>
      <c r="E28" s="987"/>
      <c r="F28" s="987"/>
      <c r="G28" s="987"/>
      <c r="H28" s="987"/>
      <c r="I28" s="1062">
        <v>1</v>
      </c>
      <c r="J28" s="1062"/>
      <c r="K28" s="603">
        <v>2</v>
      </c>
      <c r="L28" s="604">
        <v>3</v>
      </c>
      <c r="M28" s="603">
        <v>4</v>
      </c>
      <c r="N28" s="604">
        <v>5</v>
      </c>
      <c r="O28" s="605"/>
      <c r="P28" s="604"/>
      <c r="Q28" s="578" t="e">
        <f>P28/O28</f>
        <v>#DIV/0!</v>
      </c>
    </row>
    <row r="29" spans="2:17" s="606" customFormat="1" ht="32.1" customHeight="1">
      <c r="B29" s="576">
        <v>3</v>
      </c>
      <c r="C29" s="987" t="s">
        <v>64</v>
      </c>
      <c r="D29" s="987"/>
      <c r="E29" s="987"/>
      <c r="F29" s="987"/>
      <c r="G29" s="987"/>
      <c r="H29" s="987"/>
      <c r="I29" s="1062">
        <v>1</v>
      </c>
      <c r="J29" s="1062"/>
      <c r="K29" s="603">
        <v>2</v>
      </c>
      <c r="L29" s="604">
        <v>3</v>
      </c>
      <c r="M29" s="603">
        <v>4</v>
      </c>
      <c r="N29" s="604">
        <v>5</v>
      </c>
      <c r="O29" s="605"/>
      <c r="P29" s="604"/>
      <c r="Q29" s="578" t="e">
        <f>P29/O29</f>
        <v>#DIV/0!</v>
      </c>
    </row>
    <row r="30" spans="2:17" s="606" customFormat="1" ht="32.1" customHeight="1">
      <c r="B30" s="576">
        <f>B29+1</f>
        <v>4</v>
      </c>
      <c r="C30" s="987" t="s">
        <v>65</v>
      </c>
      <c r="D30" s="987"/>
      <c r="E30" s="987"/>
      <c r="F30" s="987"/>
      <c r="G30" s="987"/>
      <c r="H30" s="987"/>
      <c r="I30" s="1062">
        <v>1</v>
      </c>
      <c r="J30" s="1062"/>
      <c r="K30" s="603">
        <v>2</v>
      </c>
      <c r="L30" s="604">
        <v>3</v>
      </c>
      <c r="M30" s="603">
        <v>4</v>
      </c>
      <c r="N30" s="604">
        <v>5</v>
      </c>
      <c r="O30" s="605"/>
      <c r="P30" s="604"/>
      <c r="Q30" s="578" t="e">
        <f>P30/O30</f>
        <v>#DIV/0!</v>
      </c>
    </row>
    <row r="31" spans="2:17" s="606" customFormat="1" ht="32.1" customHeight="1">
      <c r="B31" s="576">
        <v>5</v>
      </c>
      <c r="C31" s="997" t="s">
        <v>66</v>
      </c>
      <c r="D31" s="997"/>
      <c r="E31" s="997"/>
      <c r="F31" s="997"/>
      <c r="G31" s="997"/>
      <c r="H31" s="997"/>
      <c r="I31" s="1064">
        <v>1</v>
      </c>
      <c r="J31" s="1064"/>
      <c r="K31" s="607">
        <v>2</v>
      </c>
      <c r="L31" s="608">
        <v>3</v>
      </c>
      <c r="M31" s="607">
        <v>4</v>
      </c>
      <c r="N31" s="608">
        <v>5</v>
      </c>
      <c r="O31" s="609"/>
      <c r="P31" s="608"/>
      <c r="Q31" s="578" t="e">
        <f>P31/O31</f>
        <v>#DIV/0!</v>
      </c>
    </row>
    <row r="32" spans="2:17" ht="20.100000000000001" customHeight="1">
      <c r="B32" s="563" t="s">
        <v>41</v>
      </c>
      <c r="C32" s="564" t="s">
        <v>42</v>
      </c>
      <c r="D32" s="565"/>
      <c r="E32" s="566"/>
      <c r="F32" s="566"/>
      <c r="G32" s="567"/>
      <c r="H32" s="567"/>
      <c r="I32" s="566"/>
      <c r="J32" s="566"/>
      <c r="K32" s="566"/>
      <c r="L32" s="568"/>
      <c r="M32" s="568"/>
      <c r="N32" s="568"/>
      <c r="O32" s="569"/>
      <c r="P32" s="570"/>
      <c r="Q32" s="571" t="e">
        <f>SUM(N34:N36)</f>
        <v>#DIV/0!</v>
      </c>
    </row>
    <row r="33" spans="2:17" s="575" customFormat="1" ht="18.95" customHeight="1">
      <c r="B33" s="572"/>
      <c r="C33" s="1046" t="s">
        <v>8</v>
      </c>
      <c r="D33" s="1046"/>
      <c r="E33" s="1046"/>
      <c r="F33" s="1046"/>
      <c r="G33" s="1046"/>
      <c r="H33" s="1046"/>
      <c r="I33" s="1043" t="s">
        <v>43</v>
      </c>
      <c r="J33" s="1043"/>
      <c r="K33" s="1043"/>
      <c r="L33" s="1043" t="s">
        <v>154</v>
      </c>
      <c r="M33" s="1043"/>
      <c r="N33" s="574" t="s">
        <v>67</v>
      </c>
      <c r="O33" s="1043" t="s">
        <v>44</v>
      </c>
      <c r="P33" s="1043"/>
      <c r="Q33" s="1056"/>
    </row>
    <row r="34" spans="2:17" s="606" customFormat="1" ht="21" customHeight="1">
      <c r="B34" s="576">
        <v>1</v>
      </c>
      <c r="C34" s="1005" t="s">
        <v>470</v>
      </c>
      <c r="D34" s="1005"/>
      <c r="E34" s="1005"/>
      <c r="F34" s="1005"/>
      <c r="G34" s="1005"/>
      <c r="H34" s="1005"/>
      <c r="I34" s="1047">
        <f>Q11</f>
        <v>0</v>
      </c>
      <c r="J34" s="1047"/>
      <c r="K34" s="1047"/>
      <c r="L34" s="1065">
        <v>0.2</v>
      </c>
      <c r="M34" s="1065"/>
      <c r="N34" s="577">
        <f>I34*L34</f>
        <v>0</v>
      </c>
      <c r="O34" s="1066" t="e">
        <f>IF(Q32=0,"",IF(Q32&gt;100%,"XUẤT SẮC",IF(Q32&gt;=90%,"TỐT",IF(Q32&gt;=80%,"HOÀN THÀNH","KHÔNG HOÀN THÀNH"))))</f>
        <v>#DIV/0!</v>
      </c>
      <c r="P34" s="1067"/>
      <c r="Q34" s="1067"/>
    </row>
    <row r="35" spans="2:17" s="606" customFormat="1" ht="21" customHeight="1">
      <c r="B35" s="576">
        <f>B34+1</f>
        <v>2</v>
      </c>
      <c r="C35" s="1005" t="s">
        <v>155</v>
      </c>
      <c r="D35" s="1005"/>
      <c r="E35" s="1005"/>
      <c r="F35" s="1005"/>
      <c r="G35" s="1005"/>
      <c r="H35" s="1005"/>
      <c r="I35" s="1047">
        <f>Q15</f>
        <v>0</v>
      </c>
      <c r="J35" s="1047"/>
      <c r="K35" s="1047"/>
      <c r="L35" s="1065">
        <v>0.7</v>
      </c>
      <c r="M35" s="1065"/>
      <c r="N35" s="577">
        <f>I35*L35</f>
        <v>0</v>
      </c>
      <c r="O35" s="1067"/>
      <c r="P35" s="1067"/>
      <c r="Q35" s="1067"/>
    </row>
    <row r="36" spans="2:17" s="606" customFormat="1" ht="21" customHeight="1">
      <c r="B36" s="576">
        <f>B35+1</f>
        <v>3</v>
      </c>
      <c r="C36" s="993" t="s">
        <v>187</v>
      </c>
      <c r="D36" s="993"/>
      <c r="E36" s="993"/>
      <c r="F36" s="993"/>
      <c r="G36" s="993"/>
      <c r="H36" s="993"/>
      <c r="I36" s="1040" t="e">
        <f>Q24</f>
        <v>#DIV/0!</v>
      </c>
      <c r="J36" s="1040"/>
      <c r="K36" s="1040"/>
      <c r="L36" s="1069">
        <v>0.1</v>
      </c>
      <c r="M36" s="1069"/>
      <c r="N36" s="580" t="e">
        <f>I36*L36</f>
        <v>#DIV/0!</v>
      </c>
      <c r="O36" s="1068"/>
      <c r="P36" s="1068"/>
      <c r="Q36" s="1068"/>
    </row>
    <row r="37" spans="2:17" ht="18.95" customHeight="1">
      <c r="B37" s="563" t="s">
        <v>45</v>
      </c>
      <c r="C37" s="581" t="s">
        <v>46</v>
      </c>
      <c r="D37" s="566"/>
      <c r="E37" s="566"/>
      <c r="F37" s="566"/>
      <c r="G37" s="567"/>
      <c r="H37" s="567"/>
      <c r="I37" s="566"/>
      <c r="J37" s="566"/>
      <c r="K37" s="566"/>
      <c r="L37" s="566"/>
      <c r="M37" s="566"/>
      <c r="N37" s="566"/>
      <c r="O37" s="566"/>
      <c r="P37" s="566"/>
      <c r="Q37" s="610"/>
    </row>
    <row r="38" spans="2:17" ht="57.95" customHeight="1">
      <c r="B38" s="583">
        <v>1</v>
      </c>
      <c r="C38" s="1070" t="s">
        <v>47</v>
      </c>
      <c r="D38" s="1070"/>
      <c r="E38" s="1070"/>
      <c r="F38" s="1070"/>
      <c r="G38" s="1070"/>
      <c r="H38" s="1070"/>
      <c r="I38" s="1071" t="s">
        <v>48</v>
      </c>
      <c r="J38" s="1071"/>
      <c r="K38" s="1071"/>
      <c r="L38" s="1071"/>
      <c r="M38" s="1071"/>
      <c r="N38" s="1072" t="s">
        <v>49</v>
      </c>
      <c r="O38" s="1072"/>
      <c r="P38" s="1072" t="s">
        <v>50</v>
      </c>
      <c r="Q38" s="1072"/>
    </row>
    <row r="39" spans="2:17" ht="105" customHeight="1">
      <c r="B39" s="583">
        <v>2</v>
      </c>
      <c r="C39" s="1073" t="s">
        <v>51</v>
      </c>
      <c r="D39" s="1073"/>
      <c r="E39" s="1073"/>
      <c r="F39" s="1073"/>
      <c r="G39" s="1073"/>
      <c r="H39" s="1073"/>
      <c r="I39" s="1074" t="s">
        <v>52</v>
      </c>
      <c r="J39" s="1051"/>
      <c r="K39" s="1051"/>
      <c r="L39" s="1051"/>
      <c r="M39" s="1051"/>
      <c r="N39" s="1051"/>
      <c r="O39" s="1051"/>
      <c r="P39" s="1051"/>
      <c r="Q39" s="1051"/>
    </row>
    <row r="40" spans="2:17">
      <c r="B40" s="611"/>
      <c r="C40" s="611"/>
      <c r="D40" s="611"/>
      <c r="E40" s="611"/>
      <c r="F40" s="611"/>
      <c r="G40" s="612"/>
      <c r="H40" s="612"/>
      <c r="I40" s="611"/>
      <c r="J40" s="611"/>
      <c r="K40" s="611"/>
      <c r="L40" s="611"/>
      <c r="M40" s="611"/>
      <c r="N40" s="611"/>
      <c r="O40" s="611"/>
      <c r="P40" s="611"/>
      <c r="Q40" s="612"/>
    </row>
    <row r="41" spans="2:17" ht="12.95" customHeight="1">
      <c r="B41" s="613"/>
      <c r="C41" s="614"/>
      <c r="D41" s="615"/>
      <c r="E41" s="615"/>
      <c r="F41" s="615"/>
      <c r="G41" s="613"/>
      <c r="H41" s="613"/>
      <c r="I41" s="615"/>
      <c r="J41" s="615"/>
      <c r="K41" s="615"/>
      <c r="L41" s="615"/>
      <c r="M41" s="615"/>
      <c r="N41" s="615"/>
      <c r="O41" s="615"/>
      <c r="P41" s="615"/>
      <c r="Q41" s="613"/>
    </row>
    <row r="42" spans="2:17" s="617" customFormat="1" ht="32.1" customHeight="1">
      <c r="B42" s="1075" t="s">
        <v>539</v>
      </c>
      <c r="C42" s="966"/>
      <c r="D42" s="1075" t="s">
        <v>537</v>
      </c>
      <c r="E42" s="966"/>
      <c r="F42" s="966"/>
      <c r="G42" s="966"/>
      <c r="H42" s="966"/>
      <c r="I42" s="616"/>
      <c r="J42" s="1075" t="s">
        <v>540</v>
      </c>
      <c r="K42" s="1075"/>
      <c r="L42" s="1075"/>
      <c r="M42" s="1075"/>
      <c r="N42" s="1075"/>
      <c r="O42" s="1075"/>
      <c r="P42" s="1075"/>
      <c r="Q42" s="1075"/>
    </row>
    <row r="43" spans="2:17">
      <c r="B43" s="612"/>
      <c r="C43" s="611"/>
      <c r="D43" s="611"/>
      <c r="E43" s="611"/>
      <c r="F43" s="611"/>
      <c r="G43" s="612"/>
      <c r="I43" s="612"/>
      <c r="J43" s="612"/>
      <c r="K43" s="612"/>
      <c r="L43" s="611"/>
      <c r="M43" s="611"/>
      <c r="N43" s="611"/>
      <c r="O43" s="611"/>
      <c r="P43" s="611"/>
      <c r="Q43" s="611"/>
    </row>
    <row r="44" spans="2:17">
      <c r="B44" s="612"/>
      <c r="C44" s="611"/>
      <c r="D44" s="611"/>
      <c r="E44" s="611"/>
      <c r="F44" s="611"/>
      <c r="G44" s="612"/>
      <c r="I44" s="611"/>
      <c r="J44" s="612"/>
      <c r="K44" s="611"/>
      <c r="L44" s="611"/>
      <c r="M44" s="611"/>
      <c r="N44" s="611"/>
      <c r="O44" s="611"/>
      <c r="P44" s="611"/>
      <c r="Q44" s="612"/>
    </row>
    <row r="45" spans="2:17">
      <c r="B45" s="612"/>
      <c r="C45" s="611"/>
      <c r="D45" s="611"/>
      <c r="E45" s="611"/>
      <c r="F45" s="611"/>
      <c r="G45" s="612"/>
      <c r="I45" s="611"/>
      <c r="J45" s="612"/>
      <c r="K45" s="611"/>
      <c r="L45" s="611"/>
      <c r="M45" s="611"/>
      <c r="N45" s="611"/>
      <c r="O45" s="611"/>
      <c r="P45" s="611"/>
      <c r="Q45" s="612"/>
    </row>
    <row r="46" spans="2:17">
      <c r="B46" s="612"/>
      <c r="C46" s="611"/>
      <c r="D46" s="611"/>
      <c r="E46" s="611"/>
      <c r="F46" s="611"/>
      <c r="G46" s="612"/>
      <c r="I46" s="611"/>
      <c r="J46" s="612"/>
      <c r="K46" s="611"/>
      <c r="L46" s="611"/>
      <c r="M46" s="611"/>
      <c r="N46" s="611"/>
      <c r="O46" s="611"/>
      <c r="P46" s="611"/>
      <c r="Q46" s="612"/>
    </row>
    <row r="47" spans="2:17">
      <c r="B47" s="612"/>
      <c r="C47" s="611"/>
      <c r="D47" s="611"/>
      <c r="E47" s="611"/>
      <c r="F47" s="611"/>
      <c r="G47" s="612"/>
      <c r="I47" s="611"/>
      <c r="J47" s="612"/>
      <c r="K47" s="611"/>
      <c r="L47" s="611"/>
      <c r="M47" s="611"/>
      <c r="N47" s="611"/>
      <c r="O47" s="611"/>
      <c r="P47" s="611"/>
      <c r="Q47" s="612"/>
    </row>
    <row r="48" spans="2:17">
      <c r="B48" s="612"/>
      <c r="C48" s="611"/>
      <c r="D48" s="611"/>
      <c r="E48" s="611"/>
      <c r="F48" s="611"/>
      <c r="G48" s="612"/>
      <c r="I48" s="611"/>
      <c r="J48" s="612"/>
      <c r="K48" s="611"/>
      <c r="L48" s="611"/>
      <c r="M48" s="611"/>
      <c r="N48" s="611"/>
      <c r="O48" s="611"/>
      <c r="P48" s="611"/>
      <c r="Q48" s="612"/>
    </row>
    <row r="49" spans="2:17">
      <c r="B49" s="963" t="s">
        <v>29</v>
      </c>
      <c r="C49" s="963"/>
      <c r="D49" s="963" t="s">
        <v>29</v>
      </c>
      <c r="E49" s="963"/>
      <c r="F49" s="963"/>
      <c r="G49" s="963"/>
      <c r="H49" s="963"/>
      <c r="I49" s="611"/>
      <c r="J49" s="963" t="s">
        <v>29</v>
      </c>
      <c r="K49" s="963"/>
      <c r="L49" s="963"/>
      <c r="M49" s="963"/>
      <c r="N49" s="963"/>
      <c r="O49" s="963"/>
      <c r="P49" s="963"/>
      <c r="Q49" s="963"/>
    </row>
    <row r="50" spans="2:17">
      <c r="B50" s="612"/>
      <c r="C50" s="611"/>
      <c r="D50" s="611"/>
      <c r="E50" s="611"/>
      <c r="F50" s="611"/>
      <c r="G50" s="612"/>
      <c r="I50" s="611"/>
      <c r="J50" s="612"/>
      <c r="K50" s="611"/>
      <c r="L50" s="611"/>
      <c r="M50" s="611"/>
      <c r="N50" s="611"/>
      <c r="O50" s="611"/>
      <c r="P50" s="611"/>
      <c r="Q50" s="612"/>
    </row>
    <row r="51" spans="2:17">
      <c r="B51" s="613"/>
      <c r="C51" s="614"/>
      <c r="D51" s="615"/>
      <c r="E51" s="615"/>
      <c r="F51" s="615"/>
      <c r="G51" s="613"/>
      <c r="I51" s="615"/>
      <c r="J51" s="613"/>
      <c r="K51" s="615"/>
      <c r="L51" s="615"/>
      <c r="M51" s="615"/>
      <c r="N51" s="615"/>
      <c r="O51" s="615"/>
      <c r="P51" s="615"/>
      <c r="Q51" s="613"/>
    </row>
    <row r="52" spans="2:17" ht="24" customHeight="1">
      <c r="B52" s="1076"/>
      <c r="C52" s="963"/>
      <c r="D52" s="1076"/>
      <c r="E52" s="963"/>
      <c r="F52" s="963"/>
      <c r="G52" s="963"/>
      <c r="H52" s="963"/>
      <c r="I52" s="618"/>
      <c r="J52" s="963"/>
      <c r="K52" s="963"/>
      <c r="L52" s="963"/>
      <c r="M52" s="963"/>
      <c r="N52" s="618"/>
      <c r="O52" s="1076"/>
      <c r="P52" s="963"/>
      <c r="Q52" s="963"/>
    </row>
    <row r="53" spans="2:17">
      <c r="B53" s="612"/>
      <c r="C53" s="611"/>
      <c r="D53" s="611"/>
      <c r="E53" s="611"/>
      <c r="F53" s="611"/>
      <c r="G53" s="612"/>
      <c r="I53" s="612"/>
      <c r="J53" s="612"/>
      <c r="K53" s="612"/>
      <c r="L53" s="611"/>
      <c r="M53" s="611"/>
      <c r="N53" s="611"/>
      <c r="O53" s="611"/>
      <c r="P53" s="611"/>
      <c r="Q53" s="611"/>
    </row>
    <row r="54" spans="2:17">
      <c r="B54" s="612"/>
      <c r="C54" s="611"/>
      <c r="D54" s="611"/>
      <c r="E54" s="611"/>
      <c r="F54" s="611"/>
      <c r="G54" s="612"/>
      <c r="I54" s="611"/>
      <c r="J54" s="612"/>
      <c r="K54" s="611"/>
      <c r="L54" s="611"/>
      <c r="M54" s="611"/>
      <c r="N54" s="611"/>
      <c r="O54" s="611"/>
      <c r="P54" s="611"/>
      <c r="Q54" s="612"/>
    </row>
    <row r="55" spans="2:17">
      <c r="B55" s="612"/>
      <c r="C55" s="611"/>
      <c r="D55" s="611"/>
      <c r="E55" s="611"/>
      <c r="F55" s="611"/>
      <c r="G55" s="612"/>
      <c r="I55" s="611"/>
      <c r="J55" s="612"/>
      <c r="K55" s="611"/>
      <c r="L55" s="611"/>
      <c r="M55" s="611"/>
      <c r="N55" s="611"/>
      <c r="O55" s="611"/>
      <c r="P55" s="611"/>
      <c r="Q55" s="612"/>
    </row>
    <row r="56" spans="2:17">
      <c r="B56" s="612"/>
      <c r="C56" s="611"/>
      <c r="D56" s="611"/>
      <c r="E56" s="611"/>
      <c r="F56" s="611"/>
      <c r="G56" s="612"/>
      <c r="I56" s="611"/>
      <c r="J56" s="612"/>
      <c r="K56" s="611"/>
      <c r="L56" s="611"/>
      <c r="M56" s="611"/>
      <c r="N56" s="611"/>
      <c r="O56" s="611"/>
      <c r="P56" s="611"/>
      <c r="Q56" s="612"/>
    </row>
    <row r="57" spans="2:17">
      <c r="B57" s="612"/>
      <c r="C57" s="611"/>
      <c r="D57" s="611"/>
      <c r="E57" s="611"/>
      <c r="F57" s="611"/>
      <c r="G57" s="612"/>
      <c r="I57" s="611"/>
      <c r="J57" s="612"/>
      <c r="K57" s="611"/>
      <c r="L57" s="611"/>
      <c r="M57" s="611"/>
      <c r="N57" s="611"/>
      <c r="O57" s="611"/>
      <c r="P57" s="611"/>
      <c r="Q57" s="612"/>
    </row>
    <row r="58" spans="2:17">
      <c r="B58" s="612"/>
      <c r="C58" s="611"/>
      <c r="D58" s="611"/>
      <c r="E58" s="611"/>
      <c r="F58" s="611"/>
      <c r="G58" s="612"/>
      <c r="I58" s="611"/>
      <c r="J58" s="612"/>
      <c r="K58" s="611"/>
      <c r="L58" s="611"/>
      <c r="M58" s="611"/>
      <c r="N58" s="611"/>
      <c r="O58" s="611"/>
      <c r="P58" s="611"/>
      <c r="Q58" s="612"/>
    </row>
    <row r="59" spans="2:17">
      <c r="B59" s="963"/>
      <c r="C59" s="963"/>
      <c r="D59" s="963"/>
      <c r="E59" s="963"/>
      <c r="F59" s="963"/>
      <c r="G59" s="963"/>
      <c r="H59" s="963"/>
      <c r="I59" s="611"/>
      <c r="J59" s="963"/>
      <c r="K59" s="963"/>
      <c r="L59" s="963"/>
      <c r="M59" s="963"/>
      <c r="N59" s="611"/>
      <c r="O59" s="963"/>
      <c r="P59" s="963"/>
      <c r="Q59" s="963"/>
    </row>
    <row r="60" spans="2:17">
      <c r="B60" s="551"/>
    </row>
    <row r="61" spans="2:17">
      <c r="B61" s="551"/>
    </row>
  </sheetData>
  <mergeCells count="94">
    <mergeCell ref="B42:C42"/>
    <mergeCell ref="D42:H42"/>
    <mergeCell ref="B59:C59"/>
    <mergeCell ref="D59:H59"/>
    <mergeCell ref="J59:M59"/>
    <mergeCell ref="J42:Q42"/>
    <mergeCell ref="J49:Q49"/>
    <mergeCell ref="O59:Q59"/>
    <mergeCell ref="B49:C49"/>
    <mergeCell ref="D49:H49"/>
    <mergeCell ref="B52:C52"/>
    <mergeCell ref="D52:H52"/>
    <mergeCell ref="J52:M52"/>
    <mergeCell ref="O52:Q52"/>
    <mergeCell ref="C38:H38"/>
    <mergeCell ref="I38:M38"/>
    <mergeCell ref="N38:O38"/>
    <mergeCell ref="P38:Q38"/>
    <mergeCell ref="C39:H39"/>
    <mergeCell ref="I39:Q39"/>
    <mergeCell ref="C33:H33"/>
    <mergeCell ref="I33:K33"/>
    <mergeCell ref="L33:M33"/>
    <mergeCell ref="O33:Q33"/>
    <mergeCell ref="C34:H34"/>
    <mergeCell ref="I34:K34"/>
    <mergeCell ref="L34:M34"/>
    <mergeCell ref="O34:Q36"/>
    <mergeCell ref="C35:H35"/>
    <mergeCell ref="I35:K35"/>
    <mergeCell ref="L35:M35"/>
    <mergeCell ref="C36:H36"/>
    <mergeCell ref="I36:K36"/>
    <mergeCell ref="L36:M36"/>
    <mergeCell ref="C29:H29"/>
    <mergeCell ref="I29:J29"/>
    <mergeCell ref="C30:H30"/>
    <mergeCell ref="I30:J30"/>
    <mergeCell ref="C31:H31"/>
    <mergeCell ref="I31:J31"/>
    <mergeCell ref="Q25:Q26"/>
    <mergeCell ref="I26:J26"/>
    <mergeCell ref="C27:H27"/>
    <mergeCell ref="I27:J27"/>
    <mergeCell ref="C28:H28"/>
    <mergeCell ref="I28:J28"/>
    <mergeCell ref="P25:P26"/>
    <mergeCell ref="L24:N24"/>
    <mergeCell ref="B25:B26"/>
    <mergeCell ref="C25:H26"/>
    <mergeCell ref="I25:N25"/>
    <mergeCell ref="O25:O26"/>
    <mergeCell ref="E22:F22"/>
    <mergeCell ref="G22:H22"/>
    <mergeCell ref="I22:K22"/>
    <mergeCell ref="L22:M22"/>
    <mergeCell ref="E23:F23"/>
    <mergeCell ref="G23:H23"/>
    <mergeCell ref="I23:K23"/>
    <mergeCell ref="L23:M23"/>
    <mergeCell ref="E20:F20"/>
    <mergeCell ref="G20:H20"/>
    <mergeCell ref="I20:K20"/>
    <mergeCell ref="L20:M20"/>
    <mergeCell ref="E21:F21"/>
    <mergeCell ref="G21:H21"/>
    <mergeCell ref="I21:K21"/>
    <mergeCell ref="L21:M21"/>
    <mergeCell ref="E18:F18"/>
    <mergeCell ref="G18:H18"/>
    <mergeCell ref="I18:K18"/>
    <mergeCell ref="L18:M18"/>
    <mergeCell ref="E19:F19"/>
    <mergeCell ref="G19:H19"/>
    <mergeCell ref="I19:K19"/>
    <mergeCell ref="L19:M19"/>
    <mergeCell ref="C12:H12"/>
    <mergeCell ref="I12:K12"/>
    <mergeCell ref="L12:M12"/>
    <mergeCell ref="C13:H13"/>
    <mergeCell ref="I13:K13"/>
    <mergeCell ref="L13:M13"/>
    <mergeCell ref="E17:F17"/>
    <mergeCell ref="G17:H17"/>
    <mergeCell ref="I17:K17"/>
    <mergeCell ref="L17:M17"/>
    <mergeCell ref="C14:H14"/>
    <mergeCell ref="I14:K14"/>
    <mergeCell ref="L14:M14"/>
    <mergeCell ref="L15:N15"/>
    <mergeCell ref="E16:F16"/>
    <mergeCell ref="G16:H16"/>
    <mergeCell ref="I16:K16"/>
    <mergeCell ref="L16:M1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B2:R61"/>
  <sheetViews>
    <sheetView showGridLines="0" topLeftCell="A11" zoomScaleNormal="100" workbookViewId="0">
      <selection activeCell="R20" sqref="R20"/>
    </sheetView>
  </sheetViews>
  <sheetFormatPr defaultColWidth="8.875" defaultRowHeight="12.75"/>
  <cols>
    <col min="1" max="1" width="1.125" style="1" customWidth="1"/>
    <col min="2" max="2" width="12.875" style="1" bestFit="1" customWidth="1"/>
    <col min="3" max="3" width="35.875" style="1" customWidth="1"/>
    <col min="4" max="4" width="9" style="1" customWidth="1"/>
    <col min="5" max="5" width="10.125" style="1" customWidth="1"/>
    <col min="6" max="6" width="14.5" style="1" customWidth="1"/>
    <col min="7" max="7" width="6.625" style="2" customWidth="1"/>
    <col min="8" max="8" width="20.625" style="2" customWidth="1"/>
    <col min="9" max="9" width="2.5" style="1" customWidth="1"/>
    <col min="10" max="10" width="5.5" style="1" customWidth="1"/>
    <col min="11" max="11" width="7.625" style="1" customWidth="1"/>
    <col min="12" max="12" width="7.5" style="1" customWidth="1"/>
    <col min="13" max="13" width="7.625" style="1" customWidth="1"/>
    <col min="14" max="14" width="13.625" style="1" customWidth="1"/>
    <col min="15" max="16" width="10.125" style="1" customWidth="1"/>
    <col min="17" max="17" width="10.875" style="2" customWidth="1"/>
    <col min="18" max="18" width="11.375" style="1" customWidth="1"/>
    <col min="19" max="19" width="6.875" style="1" customWidth="1"/>
    <col min="20" max="238" width="8.875" style="1"/>
    <col min="239" max="239" width="5" style="1" customWidth="1"/>
    <col min="240" max="240" width="33.375" style="1" customWidth="1"/>
    <col min="241" max="241" width="6.5" style="1" customWidth="1"/>
    <col min="242" max="242" width="29.5" style="1" customWidth="1"/>
    <col min="243" max="243" width="23.625" style="1" customWidth="1"/>
    <col min="244" max="244" width="8" style="1" customWidth="1"/>
    <col min="245" max="245" width="9.125" style="1" customWidth="1"/>
    <col min="246" max="246" width="13.875" style="1" customWidth="1"/>
    <col min="247" max="247" width="13.5" style="1" customWidth="1"/>
    <col min="248" max="494" width="8.875" style="1"/>
    <col min="495" max="495" width="5" style="1" customWidth="1"/>
    <col min="496" max="496" width="33.375" style="1" customWidth="1"/>
    <col min="497" max="497" width="6.5" style="1" customWidth="1"/>
    <col min="498" max="498" width="29.5" style="1" customWidth="1"/>
    <col min="499" max="499" width="23.625" style="1" customWidth="1"/>
    <col min="500" max="500" width="8" style="1" customWidth="1"/>
    <col min="501" max="501" width="9.125" style="1" customWidth="1"/>
    <col min="502" max="502" width="13.875" style="1" customWidth="1"/>
    <col min="503" max="503" width="13.5" style="1" customWidth="1"/>
    <col min="504" max="750" width="8.875" style="1"/>
    <col min="751" max="751" width="5" style="1" customWidth="1"/>
    <col min="752" max="752" width="33.375" style="1" customWidth="1"/>
    <col min="753" max="753" width="6.5" style="1" customWidth="1"/>
    <col min="754" max="754" width="29.5" style="1" customWidth="1"/>
    <col min="755" max="755" width="23.625" style="1" customWidth="1"/>
    <col min="756" max="756" width="8" style="1" customWidth="1"/>
    <col min="757" max="757" width="9.125" style="1" customWidth="1"/>
    <col min="758" max="758" width="13.875" style="1" customWidth="1"/>
    <col min="759" max="759" width="13.5" style="1" customWidth="1"/>
    <col min="760" max="1006" width="8.875" style="1"/>
    <col min="1007" max="1007" width="5" style="1" customWidth="1"/>
    <col min="1008" max="1008" width="33.375" style="1" customWidth="1"/>
    <col min="1009" max="1009" width="6.5" style="1" customWidth="1"/>
    <col min="1010" max="1010" width="29.5" style="1" customWidth="1"/>
    <col min="1011" max="1011" width="23.625" style="1" customWidth="1"/>
    <col min="1012" max="1012" width="8" style="1" customWidth="1"/>
    <col min="1013" max="1013" width="9.125" style="1" customWidth="1"/>
    <col min="1014" max="1014" width="13.875" style="1" customWidth="1"/>
    <col min="1015" max="1015" width="13.5" style="1" customWidth="1"/>
    <col min="1016" max="1262" width="8.875" style="1"/>
    <col min="1263" max="1263" width="5" style="1" customWidth="1"/>
    <col min="1264" max="1264" width="33.375" style="1" customWidth="1"/>
    <col min="1265" max="1265" width="6.5" style="1" customWidth="1"/>
    <col min="1266" max="1266" width="29.5" style="1" customWidth="1"/>
    <col min="1267" max="1267" width="23.625" style="1" customWidth="1"/>
    <col min="1268" max="1268" width="8" style="1" customWidth="1"/>
    <col min="1269" max="1269" width="9.125" style="1" customWidth="1"/>
    <col min="1270" max="1270" width="13.875" style="1" customWidth="1"/>
    <col min="1271" max="1271" width="13.5" style="1" customWidth="1"/>
    <col min="1272" max="1518" width="8.875" style="1"/>
    <col min="1519" max="1519" width="5" style="1" customWidth="1"/>
    <col min="1520" max="1520" width="33.375" style="1" customWidth="1"/>
    <col min="1521" max="1521" width="6.5" style="1" customWidth="1"/>
    <col min="1522" max="1522" width="29.5" style="1" customWidth="1"/>
    <col min="1523" max="1523" width="23.625" style="1" customWidth="1"/>
    <col min="1524" max="1524" width="8" style="1" customWidth="1"/>
    <col min="1525" max="1525" width="9.125" style="1" customWidth="1"/>
    <col min="1526" max="1526" width="13.875" style="1" customWidth="1"/>
    <col min="1527" max="1527" width="13.5" style="1" customWidth="1"/>
    <col min="1528" max="1774" width="8.875" style="1"/>
    <col min="1775" max="1775" width="5" style="1" customWidth="1"/>
    <col min="1776" max="1776" width="33.375" style="1" customWidth="1"/>
    <col min="1777" max="1777" width="6.5" style="1" customWidth="1"/>
    <col min="1778" max="1778" width="29.5" style="1" customWidth="1"/>
    <col min="1779" max="1779" width="23.625" style="1" customWidth="1"/>
    <col min="1780" max="1780" width="8" style="1" customWidth="1"/>
    <col min="1781" max="1781" width="9.125" style="1" customWidth="1"/>
    <col min="1782" max="1782" width="13.875" style="1" customWidth="1"/>
    <col min="1783" max="1783" width="13.5" style="1" customWidth="1"/>
    <col min="1784" max="2030" width="8.875" style="1"/>
    <col min="2031" max="2031" width="5" style="1" customWidth="1"/>
    <col min="2032" max="2032" width="33.375" style="1" customWidth="1"/>
    <col min="2033" max="2033" width="6.5" style="1" customWidth="1"/>
    <col min="2034" max="2034" width="29.5" style="1" customWidth="1"/>
    <col min="2035" max="2035" width="23.625" style="1" customWidth="1"/>
    <col min="2036" max="2036" width="8" style="1" customWidth="1"/>
    <col min="2037" max="2037" width="9.125" style="1" customWidth="1"/>
    <col min="2038" max="2038" width="13.875" style="1" customWidth="1"/>
    <col min="2039" max="2039" width="13.5" style="1" customWidth="1"/>
    <col min="2040" max="2286" width="8.875" style="1"/>
    <col min="2287" max="2287" width="5" style="1" customWidth="1"/>
    <col min="2288" max="2288" width="33.375" style="1" customWidth="1"/>
    <col min="2289" max="2289" width="6.5" style="1" customWidth="1"/>
    <col min="2290" max="2290" width="29.5" style="1" customWidth="1"/>
    <col min="2291" max="2291" width="23.625" style="1" customWidth="1"/>
    <col min="2292" max="2292" width="8" style="1" customWidth="1"/>
    <col min="2293" max="2293" width="9.125" style="1" customWidth="1"/>
    <col min="2294" max="2294" width="13.875" style="1" customWidth="1"/>
    <col min="2295" max="2295" width="13.5" style="1" customWidth="1"/>
    <col min="2296" max="2542" width="8.875" style="1"/>
    <col min="2543" max="2543" width="5" style="1" customWidth="1"/>
    <col min="2544" max="2544" width="33.375" style="1" customWidth="1"/>
    <col min="2545" max="2545" width="6.5" style="1" customWidth="1"/>
    <col min="2546" max="2546" width="29.5" style="1" customWidth="1"/>
    <col min="2547" max="2547" width="23.625" style="1" customWidth="1"/>
    <col min="2548" max="2548" width="8" style="1" customWidth="1"/>
    <col min="2549" max="2549" width="9.125" style="1" customWidth="1"/>
    <col min="2550" max="2550" width="13.875" style="1" customWidth="1"/>
    <col min="2551" max="2551" width="13.5" style="1" customWidth="1"/>
    <col min="2552" max="2798" width="8.875" style="1"/>
    <col min="2799" max="2799" width="5" style="1" customWidth="1"/>
    <col min="2800" max="2800" width="33.375" style="1" customWidth="1"/>
    <col min="2801" max="2801" width="6.5" style="1" customWidth="1"/>
    <col min="2802" max="2802" width="29.5" style="1" customWidth="1"/>
    <col min="2803" max="2803" width="23.625" style="1" customWidth="1"/>
    <col min="2804" max="2804" width="8" style="1" customWidth="1"/>
    <col min="2805" max="2805" width="9.125" style="1" customWidth="1"/>
    <col min="2806" max="2806" width="13.875" style="1" customWidth="1"/>
    <col min="2807" max="2807" width="13.5" style="1" customWidth="1"/>
    <col min="2808" max="3054" width="8.875" style="1"/>
    <col min="3055" max="3055" width="5" style="1" customWidth="1"/>
    <col min="3056" max="3056" width="33.375" style="1" customWidth="1"/>
    <col min="3057" max="3057" width="6.5" style="1" customWidth="1"/>
    <col min="3058" max="3058" width="29.5" style="1" customWidth="1"/>
    <col min="3059" max="3059" width="23.625" style="1" customWidth="1"/>
    <col min="3060" max="3060" width="8" style="1" customWidth="1"/>
    <col min="3061" max="3061" width="9.125" style="1" customWidth="1"/>
    <col min="3062" max="3062" width="13.875" style="1" customWidth="1"/>
    <col min="3063" max="3063" width="13.5" style="1" customWidth="1"/>
    <col min="3064" max="3310" width="8.875" style="1"/>
    <col min="3311" max="3311" width="5" style="1" customWidth="1"/>
    <col min="3312" max="3312" width="33.375" style="1" customWidth="1"/>
    <col min="3313" max="3313" width="6.5" style="1" customWidth="1"/>
    <col min="3314" max="3314" width="29.5" style="1" customWidth="1"/>
    <col min="3315" max="3315" width="23.625" style="1" customWidth="1"/>
    <col min="3316" max="3316" width="8" style="1" customWidth="1"/>
    <col min="3317" max="3317" width="9.125" style="1" customWidth="1"/>
    <col min="3318" max="3318" width="13.875" style="1" customWidth="1"/>
    <col min="3319" max="3319" width="13.5" style="1" customWidth="1"/>
    <col min="3320" max="3566" width="8.875" style="1"/>
    <col min="3567" max="3567" width="5" style="1" customWidth="1"/>
    <col min="3568" max="3568" width="33.375" style="1" customWidth="1"/>
    <col min="3569" max="3569" width="6.5" style="1" customWidth="1"/>
    <col min="3570" max="3570" width="29.5" style="1" customWidth="1"/>
    <col min="3571" max="3571" width="23.625" style="1" customWidth="1"/>
    <col min="3572" max="3572" width="8" style="1" customWidth="1"/>
    <col min="3573" max="3573" width="9.125" style="1" customWidth="1"/>
    <col min="3574" max="3574" width="13.875" style="1" customWidth="1"/>
    <col min="3575" max="3575" width="13.5" style="1" customWidth="1"/>
    <col min="3576" max="3822" width="8.875" style="1"/>
    <col min="3823" max="3823" width="5" style="1" customWidth="1"/>
    <col min="3824" max="3824" width="33.375" style="1" customWidth="1"/>
    <col min="3825" max="3825" width="6.5" style="1" customWidth="1"/>
    <col min="3826" max="3826" width="29.5" style="1" customWidth="1"/>
    <col min="3827" max="3827" width="23.625" style="1" customWidth="1"/>
    <col min="3828" max="3828" width="8" style="1" customWidth="1"/>
    <col min="3829" max="3829" width="9.125" style="1" customWidth="1"/>
    <col min="3830" max="3830" width="13.875" style="1" customWidth="1"/>
    <col min="3831" max="3831" width="13.5" style="1" customWidth="1"/>
    <col min="3832" max="4078" width="8.875" style="1"/>
    <col min="4079" max="4079" width="5" style="1" customWidth="1"/>
    <col min="4080" max="4080" width="33.375" style="1" customWidth="1"/>
    <col min="4081" max="4081" width="6.5" style="1" customWidth="1"/>
    <col min="4082" max="4082" width="29.5" style="1" customWidth="1"/>
    <col min="4083" max="4083" width="23.625" style="1" customWidth="1"/>
    <col min="4084" max="4084" width="8" style="1" customWidth="1"/>
    <col min="4085" max="4085" width="9.125" style="1" customWidth="1"/>
    <col min="4086" max="4086" width="13.875" style="1" customWidth="1"/>
    <col min="4087" max="4087" width="13.5" style="1" customWidth="1"/>
    <col min="4088" max="4334" width="8.875" style="1"/>
    <col min="4335" max="4335" width="5" style="1" customWidth="1"/>
    <col min="4336" max="4336" width="33.375" style="1" customWidth="1"/>
    <col min="4337" max="4337" width="6.5" style="1" customWidth="1"/>
    <col min="4338" max="4338" width="29.5" style="1" customWidth="1"/>
    <col min="4339" max="4339" width="23.625" style="1" customWidth="1"/>
    <col min="4340" max="4340" width="8" style="1" customWidth="1"/>
    <col min="4341" max="4341" width="9.125" style="1" customWidth="1"/>
    <col min="4342" max="4342" width="13.875" style="1" customWidth="1"/>
    <col min="4343" max="4343" width="13.5" style="1" customWidth="1"/>
    <col min="4344" max="4590" width="8.875" style="1"/>
    <col min="4591" max="4591" width="5" style="1" customWidth="1"/>
    <col min="4592" max="4592" width="33.375" style="1" customWidth="1"/>
    <col min="4593" max="4593" width="6.5" style="1" customWidth="1"/>
    <col min="4594" max="4594" width="29.5" style="1" customWidth="1"/>
    <col min="4595" max="4595" width="23.625" style="1" customWidth="1"/>
    <col min="4596" max="4596" width="8" style="1" customWidth="1"/>
    <col min="4597" max="4597" width="9.125" style="1" customWidth="1"/>
    <col min="4598" max="4598" width="13.875" style="1" customWidth="1"/>
    <col min="4599" max="4599" width="13.5" style="1" customWidth="1"/>
    <col min="4600" max="4846" width="8.875" style="1"/>
    <col min="4847" max="4847" width="5" style="1" customWidth="1"/>
    <col min="4848" max="4848" width="33.375" style="1" customWidth="1"/>
    <col min="4849" max="4849" width="6.5" style="1" customWidth="1"/>
    <col min="4850" max="4850" width="29.5" style="1" customWidth="1"/>
    <col min="4851" max="4851" width="23.625" style="1" customWidth="1"/>
    <col min="4852" max="4852" width="8" style="1" customWidth="1"/>
    <col min="4853" max="4853" width="9.125" style="1" customWidth="1"/>
    <col min="4854" max="4854" width="13.875" style="1" customWidth="1"/>
    <col min="4855" max="4855" width="13.5" style="1" customWidth="1"/>
    <col min="4856" max="5102" width="8.875" style="1"/>
    <col min="5103" max="5103" width="5" style="1" customWidth="1"/>
    <col min="5104" max="5104" width="33.375" style="1" customWidth="1"/>
    <col min="5105" max="5105" width="6.5" style="1" customWidth="1"/>
    <col min="5106" max="5106" width="29.5" style="1" customWidth="1"/>
    <col min="5107" max="5107" width="23.625" style="1" customWidth="1"/>
    <col min="5108" max="5108" width="8" style="1" customWidth="1"/>
    <col min="5109" max="5109" width="9.125" style="1" customWidth="1"/>
    <col min="5110" max="5110" width="13.875" style="1" customWidth="1"/>
    <col min="5111" max="5111" width="13.5" style="1" customWidth="1"/>
    <col min="5112" max="5358" width="8.875" style="1"/>
    <col min="5359" max="5359" width="5" style="1" customWidth="1"/>
    <col min="5360" max="5360" width="33.375" style="1" customWidth="1"/>
    <col min="5361" max="5361" width="6.5" style="1" customWidth="1"/>
    <col min="5362" max="5362" width="29.5" style="1" customWidth="1"/>
    <col min="5363" max="5363" width="23.625" style="1" customWidth="1"/>
    <col min="5364" max="5364" width="8" style="1" customWidth="1"/>
    <col min="5365" max="5365" width="9.125" style="1" customWidth="1"/>
    <col min="5366" max="5366" width="13.875" style="1" customWidth="1"/>
    <col min="5367" max="5367" width="13.5" style="1" customWidth="1"/>
    <col min="5368" max="5614" width="8.875" style="1"/>
    <col min="5615" max="5615" width="5" style="1" customWidth="1"/>
    <col min="5616" max="5616" width="33.375" style="1" customWidth="1"/>
    <col min="5617" max="5617" width="6.5" style="1" customWidth="1"/>
    <col min="5618" max="5618" width="29.5" style="1" customWidth="1"/>
    <col min="5619" max="5619" width="23.625" style="1" customWidth="1"/>
    <col min="5620" max="5620" width="8" style="1" customWidth="1"/>
    <col min="5621" max="5621" width="9.125" style="1" customWidth="1"/>
    <col min="5622" max="5622" width="13.875" style="1" customWidth="1"/>
    <col min="5623" max="5623" width="13.5" style="1" customWidth="1"/>
    <col min="5624" max="5870" width="8.875" style="1"/>
    <col min="5871" max="5871" width="5" style="1" customWidth="1"/>
    <col min="5872" max="5872" width="33.375" style="1" customWidth="1"/>
    <col min="5873" max="5873" width="6.5" style="1" customWidth="1"/>
    <col min="5874" max="5874" width="29.5" style="1" customWidth="1"/>
    <col min="5875" max="5875" width="23.625" style="1" customWidth="1"/>
    <col min="5876" max="5876" width="8" style="1" customWidth="1"/>
    <col min="5877" max="5877" width="9.125" style="1" customWidth="1"/>
    <col min="5878" max="5878" width="13.875" style="1" customWidth="1"/>
    <col min="5879" max="5879" width="13.5" style="1" customWidth="1"/>
    <col min="5880" max="6126" width="8.875" style="1"/>
    <col min="6127" max="6127" width="5" style="1" customWidth="1"/>
    <col min="6128" max="6128" width="33.375" style="1" customWidth="1"/>
    <col min="6129" max="6129" width="6.5" style="1" customWidth="1"/>
    <col min="6130" max="6130" width="29.5" style="1" customWidth="1"/>
    <col min="6131" max="6131" width="23.625" style="1" customWidth="1"/>
    <col min="6132" max="6132" width="8" style="1" customWidth="1"/>
    <col min="6133" max="6133" width="9.125" style="1" customWidth="1"/>
    <col min="6134" max="6134" width="13.875" style="1" customWidth="1"/>
    <col min="6135" max="6135" width="13.5" style="1" customWidth="1"/>
    <col min="6136" max="6382" width="8.875" style="1"/>
    <col min="6383" max="6383" width="5" style="1" customWidth="1"/>
    <col min="6384" max="6384" width="33.375" style="1" customWidth="1"/>
    <col min="6385" max="6385" width="6.5" style="1" customWidth="1"/>
    <col min="6386" max="6386" width="29.5" style="1" customWidth="1"/>
    <col min="6387" max="6387" width="23.625" style="1" customWidth="1"/>
    <col min="6388" max="6388" width="8" style="1" customWidth="1"/>
    <col min="6389" max="6389" width="9.125" style="1" customWidth="1"/>
    <col min="6390" max="6390" width="13.875" style="1" customWidth="1"/>
    <col min="6391" max="6391" width="13.5" style="1" customWidth="1"/>
    <col min="6392" max="6638" width="8.875" style="1"/>
    <col min="6639" max="6639" width="5" style="1" customWidth="1"/>
    <col min="6640" max="6640" width="33.375" style="1" customWidth="1"/>
    <col min="6641" max="6641" width="6.5" style="1" customWidth="1"/>
    <col min="6642" max="6642" width="29.5" style="1" customWidth="1"/>
    <col min="6643" max="6643" width="23.625" style="1" customWidth="1"/>
    <col min="6644" max="6644" width="8" style="1" customWidth="1"/>
    <col min="6645" max="6645" width="9.125" style="1" customWidth="1"/>
    <col min="6646" max="6646" width="13.875" style="1" customWidth="1"/>
    <col min="6647" max="6647" width="13.5" style="1" customWidth="1"/>
    <col min="6648" max="6894" width="8.875" style="1"/>
    <col min="6895" max="6895" width="5" style="1" customWidth="1"/>
    <col min="6896" max="6896" width="33.375" style="1" customWidth="1"/>
    <col min="6897" max="6897" width="6.5" style="1" customWidth="1"/>
    <col min="6898" max="6898" width="29.5" style="1" customWidth="1"/>
    <col min="6899" max="6899" width="23.625" style="1" customWidth="1"/>
    <col min="6900" max="6900" width="8" style="1" customWidth="1"/>
    <col min="6901" max="6901" width="9.125" style="1" customWidth="1"/>
    <col min="6902" max="6902" width="13.875" style="1" customWidth="1"/>
    <col min="6903" max="6903" width="13.5" style="1" customWidth="1"/>
    <col min="6904" max="7150" width="8.875" style="1"/>
    <col min="7151" max="7151" width="5" style="1" customWidth="1"/>
    <col min="7152" max="7152" width="33.375" style="1" customWidth="1"/>
    <col min="7153" max="7153" width="6.5" style="1" customWidth="1"/>
    <col min="7154" max="7154" width="29.5" style="1" customWidth="1"/>
    <col min="7155" max="7155" width="23.625" style="1" customWidth="1"/>
    <col min="7156" max="7156" width="8" style="1" customWidth="1"/>
    <col min="7157" max="7157" width="9.125" style="1" customWidth="1"/>
    <col min="7158" max="7158" width="13.875" style="1" customWidth="1"/>
    <col min="7159" max="7159" width="13.5" style="1" customWidth="1"/>
    <col min="7160" max="7406" width="8.875" style="1"/>
    <col min="7407" max="7407" width="5" style="1" customWidth="1"/>
    <col min="7408" max="7408" width="33.375" style="1" customWidth="1"/>
    <col min="7409" max="7409" width="6.5" style="1" customWidth="1"/>
    <col min="7410" max="7410" width="29.5" style="1" customWidth="1"/>
    <col min="7411" max="7411" width="23.625" style="1" customWidth="1"/>
    <col min="7412" max="7412" width="8" style="1" customWidth="1"/>
    <col min="7413" max="7413" width="9.125" style="1" customWidth="1"/>
    <col min="7414" max="7414" width="13.875" style="1" customWidth="1"/>
    <col min="7415" max="7415" width="13.5" style="1" customWidth="1"/>
    <col min="7416" max="7662" width="8.875" style="1"/>
    <col min="7663" max="7663" width="5" style="1" customWidth="1"/>
    <col min="7664" max="7664" width="33.375" style="1" customWidth="1"/>
    <col min="7665" max="7665" width="6.5" style="1" customWidth="1"/>
    <col min="7666" max="7666" width="29.5" style="1" customWidth="1"/>
    <col min="7667" max="7667" width="23.625" style="1" customWidth="1"/>
    <col min="7668" max="7668" width="8" style="1" customWidth="1"/>
    <col min="7669" max="7669" width="9.125" style="1" customWidth="1"/>
    <col min="7670" max="7670" width="13.875" style="1" customWidth="1"/>
    <col min="7671" max="7671" width="13.5" style="1" customWidth="1"/>
    <col min="7672" max="7918" width="8.875" style="1"/>
    <col min="7919" max="7919" width="5" style="1" customWidth="1"/>
    <col min="7920" max="7920" width="33.375" style="1" customWidth="1"/>
    <col min="7921" max="7921" width="6.5" style="1" customWidth="1"/>
    <col min="7922" max="7922" width="29.5" style="1" customWidth="1"/>
    <col min="7923" max="7923" width="23.625" style="1" customWidth="1"/>
    <col min="7924" max="7924" width="8" style="1" customWidth="1"/>
    <col min="7925" max="7925" width="9.125" style="1" customWidth="1"/>
    <col min="7926" max="7926" width="13.875" style="1" customWidth="1"/>
    <col min="7927" max="7927" width="13.5" style="1" customWidth="1"/>
    <col min="7928" max="8174" width="8.875" style="1"/>
    <col min="8175" max="8175" width="5" style="1" customWidth="1"/>
    <col min="8176" max="8176" width="33.375" style="1" customWidth="1"/>
    <col min="8177" max="8177" width="6.5" style="1" customWidth="1"/>
    <col min="8178" max="8178" width="29.5" style="1" customWidth="1"/>
    <col min="8179" max="8179" width="23.625" style="1" customWidth="1"/>
    <col min="8180" max="8180" width="8" style="1" customWidth="1"/>
    <col min="8181" max="8181" width="9.125" style="1" customWidth="1"/>
    <col min="8182" max="8182" width="13.875" style="1" customWidth="1"/>
    <col min="8183" max="8183" width="13.5" style="1" customWidth="1"/>
    <col min="8184" max="8430" width="8.875" style="1"/>
    <col min="8431" max="8431" width="5" style="1" customWidth="1"/>
    <col min="8432" max="8432" width="33.375" style="1" customWidth="1"/>
    <col min="8433" max="8433" width="6.5" style="1" customWidth="1"/>
    <col min="8434" max="8434" width="29.5" style="1" customWidth="1"/>
    <col min="8435" max="8435" width="23.625" style="1" customWidth="1"/>
    <col min="8436" max="8436" width="8" style="1" customWidth="1"/>
    <col min="8437" max="8437" width="9.125" style="1" customWidth="1"/>
    <col min="8438" max="8438" width="13.875" style="1" customWidth="1"/>
    <col min="8439" max="8439" width="13.5" style="1" customWidth="1"/>
    <col min="8440" max="8686" width="8.875" style="1"/>
    <col min="8687" max="8687" width="5" style="1" customWidth="1"/>
    <col min="8688" max="8688" width="33.375" style="1" customWidth="1"/>
    <col min="8689" max="8689" width="6.5" style="1" customWidth="1"/>
    <col min="8690" max="8690" width="29.5" style="1" customWidth="1"/>
    <col min="8691" max="8691" width="23.625" style="1" customWidth="1"/>
    <col min="8692" max="8692" width="8" style="1" customWidth="1"/>
    <col min="8693" max="8693" width="9.125" style="1" customWidth="1"/>
    <col min="8694" max="8694" width="13.875" style="1" customWidth="1"/>
    <col min="8695" max="8695" width="13.5" style="1" customWidth="1"/>
    <col min="8696" max="8942" width="8.875" style="1"/>
    <col min="8943" max="8943" width="5" style="1" customWidth="1"/>
    <col min="8944" max="8944" width="33.375" style="1" customWidth="1"/>
    <col min="8945" max="8945" width="6.5" style="1" customWidth="1"/>
    <col min="8946" max="8946" width="29.5" style="1" customWidth="1"/>
    <col min="8947" max="8947" width="23.625" style="1" customWidth="1"/>
    <col min="8948" max="8948" width="8" style="1" customWidth="1"/>
    <col min="8949" max="8949" width="9.125" style="1" customWidth="1"/>
    <col min="8950" max="8950" width="13.875" style="1" customWidth="1"/>
    <col min="8951" max="8951" width="13.5" style="1" customWidth="1"/>
    <col min="8952" max="9198" width="8.875" style="1"/>
    <col min="9199" max="9199" width="5" style="1" customWidth="1"/>
    <col min="9200" max="9200" width="33.375" style="1" customWidth="1"/>
    <col min="9201" max="9201" width="6.5" style="1" customWidth="1"/>
    <col min="9202" max="9202" width="29.5" style="1" customWidth="1"/>
    <col min="9203" max="9203" width="23.625" style="1" customWidth="1"/>
    <col min="9204" max="9204" width="8" style="1" customWidth="1"/>
    <col min="9205" max="9205" width="9.125" style="1" customWidth="1"/>
    <col min="9206" max="9206" width="13.875" style="1" customWidth="1"/>
    <col min="9207" max="9207" width="13.5" style="1" customWidth="1"/>
    <col min="9208" max="9454" width="8.875" style="1"/>
    <col min="9455" max="9455" width="5" style="1" customWidth="1"/>
    <col min="9456" max="9456" width="33.375" style="1" customWidth="1"/>
    <col min="9457" max="9457" width="6.5" style="1" customWidth="1"/>
    <col min="9458" max="9458" width="29.5" style="1" customWidth="1"/>
    <col min="9459" max="9459" width="23.625" style="1" customWidth="1"/>
    <col min="9460" max="9460" width="8" style="1" customWidth="1"/>
    <col min="9461" max="9461" width="9.125" style="1" customWidth="1"/>
    <col min="9462" max="9462" width="13.875" style="1" customWidth="1"/>
    <col min="9463" max="9463" width="13.5" style="1" customWidth="1"/>
    <col min="9464" max="9710" width="8.875" style="1"/>
    <col min="9711" max="9711" width="5" style="1" customWidth="1"/>
    <col min="9712" max="9712" width="33.375" style="1" customWidth="1"/>
    <col min="9713" max="9713" width="6.5" style="1" customWidth="1"/>
    <col min="9714" max="9714" width="29.5" style="1" customWidth="1"/>
    <col min="9715" max="9715" width="23.625" style="1" customWidth="1"/>
    <col min="9716" max="9716" width="8" style="1" customWidth="1"/>
    <col min="9717" max="9717" width="9.125" style="1" customWidth="1"/>
    <col min="9718" max="9718" width="13.875" style="1" customWidth="1"/>
    <col min="9719" max="9719" width="13.5" style="1" customWidth="1"/>
    <col min="9720" max="9966" width="8.875" style="1"/>
    <col min="9967" max="9967" width="5" style="1" customWidth="1"/>
    <col min="9968" max="9968" width="33.375" style="1" customWidth="1"/>
    <col min="9969" max="9969" width="6.5" style="1" customWidth="1"/>
    <col min="9970" max="9970" width="29.5" style="1" customWidth="1"/>
    <col min="9971" max="9971" width="23.625" style="1" customWidth="1"/>
    <col min="9972" max="9972" width="8" style="1" customWidth="1"/>
    <col min="9973" max="9973" width="9.125" style="1" customWidth="1"/>
    <col min="9974" max="9974" width="13.875" style="1" customWidth="1"/>
    <col min="9975" max="9975" width="13.5" style="1" customWidth="1"/>
    <col min="9976" max="10222" width="8.875" style="1"/>
    <col min="10223" max="10223" width="5" style="1" customWidth="1"/>
    <col min="10224" max="10224" width="33.375" style="1" customWidth="1"/>
    <col min="10225" max="10225" width="6.5" style="1" customWidth="1"/>
    <col min="10226" max="10226" width="29.5" style="1" customWidth="1"/>
    <col min="10227" max="10227" width="23.625" style="1" customWidth="1"/>
    <col min="10228" max="10228" width="8" style="1" customWidth="1"/>
    <col min="10229" max="10229" width="9.125" style="1" customWidth="1"/>
    <col min="10230" max="10230" width="13.875" style="1" customWidth="1"/>
    <col min="10231" max="10231" width="13.5" style="1" customWidth="1"/>
    <col min="10232" max="10478" width="8.875" style="1"/>
    <col min="10479" max="10479" width="5" style="1" customWidth="1"/>
    <col min="10480" max="10480" width="33.375" style="1" customWidth="1"/>
    <col min="10481" max="10481" width="6.5" style="1" customWidth="1"/>
    <col min="10482" max="10482" width="29.5" style="1" customWidth="1"/>
    <col min="10483" max="10483" width="23.625" style="1" customWidth="1"/>
    <col min="10484" max="10484" width="8" style="1" customWidth="1"/>
    <col min="10485" max="10485" width="9.125" style="1" customWidth="1"/>
    <col min="10486" max="10486" width="13.875" style="1" customWidth="1"/>
    <col min="10487" max="10487" width="13.5" style="1" customWidth="1"/>
    <col min="10488" max="10734" width="8.875" style="1"/>
    <col min="10735" max="10735" width="5" style="1" customWidth="1"/>
    <col min="10736" max="10736" width="33.375" style="1" customWidth="1"/>
    <col min="10737" max="10737" width="6.5" style="1" customWidth="1"/>
    <col min="10738" max="10738" width="29.5" style="1" customWidth="1"/>
    <col min="10739" max="10739" width="23.625" style="1" customWidth="1"/>
    <col min="10740" max="10740" width="8" style="1" customWidth="1"/>
    <col min="10741" max="10741" width="9.125" style="1" customWidth="1"/>
    <col min="10742" max="10742" width="13.875" style="1" customWidth="1"/>
    <col min="10743" max="10743" width="13.5" style="1" customWidth="1"/>
    <col min="10744" max="10990" width="8.875" style="1"/>
    <col min="10991" max="10991" width="5" style="1" customWidth="1"/>
    <col min="10992" max="10992" width="33.375" style="1" customWidth="1"/>
    <col min="10993" max="10993" width="6.5" style="1" customWidth="1"/>
    <col min="10994" max="10994" width="29.5" style="1" customWidth="1"/>
    <col min="10995" max="10995" width="23.625" style="1" customWidth="1"/>
    <col min="10996" max="10996" width="8" style="1" customWidth="1"/>
    <col min="10997" max="10997" width="9.125" style="1" customWidth="1"/>
    <col min="10998" max="10998" width="13.875" style="1" customWidth="1"/>
    <col min="10999" max="10999" width="13.5" style="1" customWidth="1"/>
    <col min="11000" max="11246" width="8.875" style="1"/>
    <col min="11247" max="11247" width="5" style="1" customWidth="1"/>
    <col min="11248" max="11248" width="33.375" style="1" customWidth="1"/>
    <col min="11249" max="11249" width="6.5" style="1" customWidth="1"/>
    <col min="11250" max="11250" width="29.5" style="1" customWidth="1"/>
    <col min="11251" max="11251" width="23.625" style="1" customWidth="1"/>
    <col min="11252" max="11252" width="8" style="1" customWidth="1"/>
    <col min="11253" max="11253" width="9.125" style="1" customWidth="1"/>
    <col min="11254" max="11254" width="13.875" style="1" customWidth="1"/>
    <col min="11255" max="11255" width="13.5" style="1" customWidth="1"/>
    <col min="11256" max="11502" width="8.875" style="1"/>
    <col min="11503" max="11503" width="5" style="1" customWidth="1"/>
    <col min="11504" max="11504" width="33.375" style="1" customWidth="1"/>
    <col min="11505" max="11505" width="6.5" style="1" customWidth="1"/>
    <col min="11506" max="11506" width="29.5" style="1" customWidth="1"/>
    <col min="11507" max="11507" width="23.625" style="1" customWidth="1"/>
    <col min="11508" max="11508" width="8" style="1" customWidth="1"/>
    <col min="11509" max="11509" width="9.125" style="1" customWidth="1"/>
    <col min="11510" max="11510" width="13.875" style="1" customWidth="1"/>
    <col min="11511" max="11511" width="13.5" style="1" customWidth="1"/>
    <col min="11512" max="11758" width="8.875" style="1"/>
    <col min="11759" max="11759" width="5" style="1" customWidth="1"/>
    <col min="11760" max="11760" width="33.375" style="1" customWidth="1"/>
    <col min="11761" max="11761" width="6.5" style="1" customWidth="1"/>
    <col min="11762" max="11762" width="29.5" style="1" customWidth="1"/>
    <col min="11763" max="11763" width="23.625" style="1" customWidth="1"/>
    <col min="11764" max="11764" width="8" style="1" customWidth="1"/>
    <col min="11765" max="11765" width="9.125" style="1" customWidth="1"/>
    <col min="11766" max="11766" width="13.875" style="1" customWidth="1"/>
    <col min="11767" max="11767" width="13.5" style="1" customWidth="1"/>
    <col min="11768" max="12014" width="8.875" style="1"/>
    <col min="12015" max="12015" width="5" style="1" customWidth="1"/>
    <col min="12016" max="12016" width="33.375" style="1" customWidth="1"/>
    <col min="12017" max="12017" width="6.5" style="1" customWidth="1"/>
    <col min="12018" max="12018" width="29.5" style="1" customWidth="1"/>
    <col min="12019" max="12019" width="23.625" style="1" customWidth="1"/>
    <col min="12020" max="12020" width="8" style="1" customWidth="1"/>
    <col min="12021" max="12021" width="9.125" style="1" customWidth="1"/>
    <col min="12022" max="12022" width="13.875" style="1" customWidth="1"/>
    <col min="12023" max="12023" width="13.5" style="1" customWidth="1"/>
    <col min="12024" max="12270" width="8.875" style="1"/>
    <col min="12271" max="12271" width="5" style="1" customWidth="1"/>
    <col min="12272" max="12272" width="33.375" style="1" customWidth="1"/>
    <col min="12273" max="12273" width="6.5" style="1" customWidth="1"/>
    <col min="12274" max="12274" width="29.5" style="1" customWidth="1"/>
    <col min="12275" max="12275" width="23.625" style="1" customWidth="1"/>
    <col min="12276" max="12276" width="8" style="1" customWidth="1"/>
    <col min="12277" max="12277" width="9.125" style="1" customWidth="1"/>
    <col min="12278" max="12278" width="13.875" style="1" customWidth="1"/>
    <col min="12279" max="12279" width="13.5" style="1" customWidth="1"/>
    <col min="12280" max="12526" width="8.875" style="1"/>
    <col min="12527" max="12527" width="5" style="1" customWidth="1"/>
    <col min="12528" max="12528" width="33.375" style="1" customWidth="1"/>
    <col min="12529" max="12529" width="6.5" style="1" customWidth="1"/>
    <col min="12530" max="12530" width="29.5" style="1" customWidth="1"/>
    <col min="12531" max="12531" width="23.625" style="1" customWidth="1"/>
    <col min="12532" max="12532" width="8" style="1" customWidth="1"/>
    <col min="12533" max="12533" width="9.125" style="1" customWidth="1"/>
    <col min="12534" max="12534" width="13.875" style="1" customWidth="1"/>
    <col min="12535" max="12535" width="13.5" style="1" customWidth="1"/>
    <col min="12536" max="12782" width="8.875" style="1"/>
    <col min="12783" max="12783" width="5" style="1" customWidth="1"/>
    <col min="12784" max="12784" width="33.375" style="1" customWidth="1"/>
    <col min="12785" max="12785" width="6.5" style="1" customWidth="1"/>
    <col min="12786" max="12786" width="29.5" style="1" customWidth="1"/>
    <col min="12787" max="12787" width="23.625" style="1" customWidth="1"/>
    <col min="12788" max="12788" width="8" style="1" customWidth="1"/>
    <col min="12789" max="12789" width="9.125" style="1" customWidth="1"/>
    <col min="12790" max="12790" width="13.875" style="1" customWidth="1"/>
    <col min="12791" max="12791" width="13.5" style="1" customWidth="1"/>
    <col min="12792" max="13038" width="8.875" style="1"/>
    <col min="13039" max="13039" width="5" style="1" customWidth="1"/>
    <col min="13040" max="13040" width="33.375" style="1" customWidth="1"/>
    <col min="13041" max="13041" width="6.5" style="1" customWidth="1"/>
    <col min="13042" max="13042" width="29.5" style="1" customWidth="1"/>
    <col min="13043" max="13043" width="23.625" style="1" customWidth="1"/>
    <col min="13044" max="13044" width="8" style="1" customWidth="1"/>
    <col min="13045" max="13045" width="9.125" style="1" customWidth="1"/>
    <col min="13046" max="13046" width="13.875" style="1" customWidth="1"/>
    <col min="13047" max="13047" width="13.5" style="1" customWidth="1"/>
    <col min="13048" max="13294" width="8.875" style="1"/>
    <col min="13295" max="13295" width="5" style="1" customWidth="1"/>
    <col min="13296" max="13296" width="33.375" style="1" customWidth="1"/>
    <col min="13297" max="13297" width="6.5" style="1" customWidth="1"/>
    <col min="13298" max="13298" width="29.5" style="1" customWidth="1"/>
    <col min="13299" max="13299" width="23.625" style="1" customWidth="1"/>
    <col min="13300" max="13300" width="8" style="1" customWidth="1"/>
    <col min="13301" max="13301" width="9.125" style="1" customWidth="1"/>
    <col min="13302" max="13302" width="13.875" style="1" customWidth="1"/>
    <col min="13303" max="13303" width="13.5" style="1" customWidth="1"/>
    <col min="13304" max="13550" width="8.875" style="1"/>
    <col min="13551" max="13551" width="5" style="1" customWidth="1"/>
    <col min="13552" max="13552" width="33.375" style="1" customWidth="1"/>
    <col min="13553" max="13553" width="6.5" style="1" customWidth="1"/>
    <col min="13554" max="13554" width="29.5" style="1" customWidth="1"/>
    <col min="13555" max="13555" width="23.625" style="1" customWidth="1"/>
    <col min="13556" max="13556" width="8" style="1" customWidth="1"/>
    <col min="13557" max="13557" width="9.125" style="1" customWidth="1"/>
    <col min="13558" max="13558" width="13.875" style="1" customWidth="1"/>
    <col min="13559" max="13559" width="13.5" style="1" customWidth="1"/>
    <col min="13560" max="13806" width="8.875" style="1"/>
    <col min="13807" max="13807" width="5" style="1" customWidth="1"/>
    <col min="13808" max="13808" width="33.375" style="1" customWidth="1"/>
    <col min="13809" max="13809" width="6.5" style="1" customWidth="1"/>
    <col min="13810" max="13810" width="29.5" style="1" customWidth="1"/>
    <col min="13811" max="13811" width="23.625" style="1" customWidth="1"/>
    <col min="13812" max="13812" width="8" style="1" customWidth="1"/>
    <col min="13813" max="13813" width="9.125" style="1" customWidth="1"/>
    <col min="13814" max="13814" width="13.875" style="1" customWidth="1"/>
    <col min="13815" max="13815" width="13.5" style="1" customWidth="1"/>
    <col min="13816" max="14062" width="8.875" style="1"/>
    <col min="14063" max="14063" width="5" style="1" customWidth="1"/>
    <col min="14064" max="14064" width="33.375" style="1" customWidth="1"/>
    <col min="14065" max="14065" width="6.5" style="1" customWidth="1"/>
    <col min="14066" max="14066" width="29.5" style="1" customWidth="1"/>
    <col min="14067" max="14067" width="23.625" style="1" customWidth="1"/>
    <col min="14068" max="14068" width="8" style="1" customWidth="1"/>
    <col min="14069" max="14069" width="9.125" style="1" customWidth="1"/>
    <col min="14070" max="14070" width="13.875" style="1" customWidth="1"/>
    <col min="14071" max="14071" width="13.5" style="1" customWidth="1"/>
    <col min="14072" max="14318" width="8.875" style="1"/>
    <col min="14319" max="14319" width="5" style="1" customWidth="1"/>
    <col min="14320" max="14320" width="33.375" style="1" customWidth="1"/>
    <col min="14321" max="14321" width="6.5" style="1" customWidth="1"/>
    <col min="14322" max="14322" width="29.5" style="1" customWidth="1"/>
    <col min="14323" max="14323" width="23.625" style="1" customWidth="1"/>
    <col min="14324" max="14324" width="8" style="1" customWidth="1"/>
    <col min="14325" max="14325" width="9.125" style="1" customWidth="1"/>
    <col min="14326" max="14326" width="13.875" style="1" customWidth="1"/>
    <col min="14327" max="14327" width="13.5" style="1" customWidth="1"/>
    <col min="14328" max="14574" width="8.875" style="1"/>
    <col min="14575" max="14575" width="5" style="1" customWidth="1"/>
    <col min="14576" max="14576" width="33.375" style="1" customWidth="1"/>
    <col min="14577" max="14577" width="6.5" style="1" customWidth="1"/>
    <col min="14578" max="14578" width="29.5" style="1" customWidth="1"/>
    <col min="14579" max="14579" width="23.625" style="1" customWidth="1"/>
    <col min="14580" max="14580" width="8" style="1" customWidth="1"/>
    <col min="14581" max="14581" width="9.125" style="1" customWidth="1"/>
    <col min="14582" max="14582" width="13.875" style="1" customWidth="1"/>
    <col min="14583" max="14583" width="13.5" style="1" customWidth="1"/>
    <col min="14584" max="14830" width="8.875" style="1"/>
    <col min="14831" max="14831" width="5" style="1" customWidth="1"/>
    <col min="14832" max="14832" width="33.375" style="1" customWidth="1"/>
    <col min="14833" max="14833" width="6.5" style="1" customWidth="1"/>
    <col min="14834" max="14834" width="29.5" style="1" customWidth="1"/>
    <col min="14835" max="14835" width="23.625" style="1" customWidth="1"/>
    <col min="14836" max="14836" width="8" style="1" customWidth="1"/>
    <col min="14837" max="14837" width="9.125" style="1" customWidth="1"/>
    <col min="14838" max="14838" width="13.875" style="1" customWidth="1"/>
    <col min="14839" max="14839" width="13.5" style="1" customWidth="1"/>
    <col min="14840" max="15086" width="8.875" style="1"/>
    <col min="15087" max="15087" width="5" style="1" customWidth="1"/>
    <col min="15088" max="15088" width="33.375" style="1" customWidth="1"/>
    <col min="15089" max="15089" width="6.5" style="1" customWidth="1"/>
    <col min="15090" max="15090" width="29.5" style="1" customWidth="1"/>
    <col min="15091" max="15091" width="23.625" style="1" customWidth="1"/>
    <col min="15092" max="15092" width="8" style="1" customWidth="1"/>
    <col min="15093" max="15093" width="9.125" style="1" customWidth="1"/>
    <col min="15094" max="15094" width="13.875" style="1" customWidth="1"/>
    <col min="15095" max="15095" width="13.5" style="1" customWidth="1"/>
    <col min="15096" max="15342" width="8.875" style="1"/>
    <col min="15343" max="15343" width="5" style="1" customWidth="1"/>
    <col min="15344" max="15344" width="33.375" style="1" customWidth="1"/>
    <col min="15345" max="15345" width="6.5" style="1" customWidth="1"/>
    <col min="15346" max="15346" width="29.5" style="1" customWidth="1"/>
    <col min="15347" max="15347" width="23.625" style="1" customWidth="1"/>
    <col min="15348" max="15348" width="8" style="1" customWidth="1"/>
    <col min="15349" max="15349" width="9.125" style="1" customWidth="1"/>
    <col min="15350" max="15350" width="13.875" style="1" customWidth="1"/>
    <col min="15351" max="15351" width="13.5" style="1" customWidth="1"/>
    <col min="15352" max="15598" width="8.875" style="1"/>
    <col min="15599" max="15599" width="5" style="1" customWidth="1"/>
    <col min="15600" max="15600" width="33.375" style="1" customWidth="1"/>
    <col min="15601" max="15601" width="6.5" style="1" customWidth="1"/>
    <col min="15602" max="15602" width="29.5" style="1" customWidth="1"/>
    <col min="15603" max="15603" width="23.625" style="1" customWidth="1"/>
    <col min="15604" max="15604" width="8" style="1" customWidth="1"/>
    <col min="15605" max="15605" width="9.125" style="1" customWidth="1"/>
    <col min="15606" max="15606" width="13.875" style="1" customWidth="1"/>
    <col min="15607" max="15607" width="13.5" style="1" customWidth="1"/>
    <col min="15608" max="15854" width="8.875" style="1"/>
    <col min="15855" max="15855" width="5" style="1" customWidth="1"/>
    <col min="15856" max="15856" width="33.375" style="1" customWidth="1"/>
    <col min="15857" max="15857" width="6.5" style="1" customWidth="1"/>
    <col min="15858" max="15858" width="29.5" style="1" customWidth="1"/>
    <col min="15859" max="15859" width="23.625" style="1" customWidth="1"/>
    <col min="15860" max="15860" width="8" style="1" customWidth="1"/>
    <col min="15861" max="15861" width="9.125" style="1" customWidth="1"/>
    <col min="15862" max="15862" width="13.875" style="1" customWidth="1"/>
    <col min="15863" max="15863" width="13.5" style="1" customWidth="1"/>
    <col min="15864" max="16384" width="8.875" style="1"/>
  </cols>
  <sheetData>
    <row r="2" spans="2:18" s="375" customFormat="1">
      <c r="B2" s="374" t="s">
        <v>464</v>
      </c>
      <c r="C2" s="140" t="s">
        <v>132</v>
      </c>
    </row>
    <row r="3" spans="2:18" s="375" customFormat="1">
      <c r="B3" s="374" t="s">
        <v>465</v>
      </c>
      <c r="C3" s="209" t="s">
        <v>255</v>
      </c>
    </row>
    <row r="4" spans="2:18" s="375" customFormat="1">
      <c r="B4" s="374" t="s">
        <v>466</v>
      </c>
      <c r="C4" s="140" t="s">
        <v>133</v>
      </c>
    </row>
    <row r="5" spans="2:18">
      <c r="E5" s="2"/>
      <c r="G5" s="1"/>
      <c r="H5" s="1"/>
      <c r="M5" s="2"/>
      <c r="Q5" s="1"/>
    </row>
    <row r="6" spans="2:18" s="3" customFormat="1" ht="23.1" customHeight="1">
      <c r="B6" s="99" t="s">
        <v>61</v>
      </c>
      <c r="C6" s="376" t="s">
        <v>616</v>
      </c>
      <c r="D6" s="95"/>
      <c r="E6" s="95"/>
      <c r="F6" s="7"/>
      <c r="G6" s="7"/>
      <c r="H6" s="7"/>
      <c r="I6" s="7"/>
      <c r="J6" s="7"/>
      <c r="K6" s="7"/>
      <c r="L6" s="7"/>
      <c r="M6" s="7"/>
    </row>
    <row r="7" spans="2:18" s="3" customFormat="1" ht="3.95" customHeight="1">
      <c r="M7" s="44"/>
    </row>
    <row r="8" spans="2:18" s="3" customFormat="1" ht="20.100000000000001" customHeight="1">
      <c r="B8" s="213" t="s">
        <v>279</v>
      </c>
      <c r="C8" s="213" t="s">
        <v>545</v>
      </c>
      <c r="D8" s="212"/>
      <c r="E8" s="212" t="s">
        <v>405</v>
      </c>
      <c r="F8" s="212" t="s">
        <v>440</v>
      </c>
      <c r="G8" s="212"/>
      <c r="H8" s="212"/>
      <c r="I8" s="31"/>
    </row>
    <row r="9" spans="2:18" s="3" customFormat="1" ht="18.95" customHeight="1">
      <c r="B9" s="213" t="s">
        <v>280</v>
      </c>
      <c r="C9" s="472" t="s">
        <v>546</v>
      </c>
      <c r="D9" s="212"/>
      <c r="E9" s="212" t="s">
        <v>467</v>
      </c>
      <c r="F9" s="211" t="s">
        <v>471</v>
      </c>
      <c r="G9" s="211"/>
      <c r="H9" s="211"/>
      <c r="I9" s="31"/>
    </row>
    <row r="10" spans="2:18" s="3" customFormat="1">
      <c r="M10" s="44"/>
    </row>
    <row r="11" spans="2:18" ht="20.100000000000001" customHeight="1">
      <c r="B11" s="563" t="s">
        <v>21</v>
      </c>
      <c r="C11" s="564" t="s">
        <v>468</v>
      </c>
      <c r="D11" s="565"/>
      <c r="E11" s="566"/>
      <c r="F11" s="566"/>
      <c r="G11" s="567"/>
      <c r="H11" s="567"/>
      <c r="I11" s="566"/>
      <c r="J11" s="566"/>
      <c r="K11" s="566"/>
      <c r="L11" s="568"/>
      <c r="M11" s="568"/>
      <c r="N11" s="568"/>
      <c r="O11" s="569"/>
      <c r="P11" s="570"/>
      <c r="Q11" s="571">
        <f>Q13+Q14</f>
        <v>0</v>
      </c>
      <c r="R11" s="550"/>
    </row>
    <row r="12" spans="2:18" s="4" customFormat="1" ht="27.95" customHeight="1">
      <c r="B12" s="572"/>
      <c r="C12" s="1045" t="s">
        <v>8</v>
      </c>
      <c r="D12" s="1046"/>
      <c r="E12" s="1046"/>
      <c r="F12" s="1046"/>
      <c r="G12" s="1046"/>
      <c r="H12" s="1046"/>
      <c r="I12" s="1043" t="s">
        <v>154</v>
      </c>
      <c r="J12" s="1043"/>
      <c r="K12" s="1043"/>
      <c r="L12" s="1043" t="s">
        <v>174</v>
      </c>
      <c r="M12" s="1043"/>
      <c r="N12" s="573" t="s">
        <v>173</v>
      </c>
      <c r="O12" s="574" t="s">
        <v>32</v>
      </c>
      <c r="P12" s="574" t="s">
        <v>2</v>
      </c>
      <c r="Q12" s="572" t="s">
        <v>20</v>
      </c>
      <c r="R12" s="575"/>
    </row>
    <row r="13" spans="2:18" ht="21" customHeight="1">
      <c r="B13" s="576">
        <v>1</v>
      </c>
      <c r="C13" s="1024" t="s">
        <v>185</v>
      </c>
      <c r="D13" s="1024"/>
      <c r="E13" s="1024"/>
      <c r="F13" s="1024"/>
      <c r="G13" s="1024"/>
      <c r="H13" s="1024"/>
      <c r="I13" s="1047">
        <v>0.4</v>
      </c>
      <c r="J13" s="1047"/>
      <c r="K13" s="1047"/>
      <c r="L13" s="1048">
        <v>1</v>
      </c>
      <c r="M13" s="1048"/>
      <c r="N13" s="577"/>
      <c r="O13" s="577">
        <f>N13/L13</f>
        <v>0</v>
      </c>
      <c r="P13" s="577"/>
      <c r="Q13" s="578">
        <f>I13*O13</f>
        <v>0</v>
      </c>
      <c r="R13" s="579"/>
    </row>
    <row r="14" spans="2:18" ht="21" customHeight="1">
      <c r="B14" s="576">
        <v>2</v>
      </c>
      <c r="C14" s="1026" t="s">
        <v>469</v>
      </c>
      <c r="D14" s="1026"/>
      <c r="E14" s="1026"/>
      <c r="F14" s="1026"/>
      <c r="G14" s="1026"/>
      <c r="H14" s="1026"/>
      <c r="I14" s="1040">
        <v>0.6</v>
      </c>
      <c r="J14" s="1040"/>
      <c r="K14" s="1040"/>
      <c r="L14" s="1041">
        <v>1</v>
      </c>
      <c r="M14" s="1041"/>
      <c r="N14" s="580"/>
      <c r="O14" s="580">
        <f>N14/L14</f>
        <v>0</v>
      </c>
      <c r="P14" s="580"/>
      <c r="Q14" s="578">
        <f>I14*O14</f>
        <v>0</v>
      </c>
      <c r="R14" s="579"/>
    </row>
    <row r="15" spans="2:18" ht="21" customHeight="1">
      <c r="B15" s="563" t="s">
        <v>22</v>
      </c>
      <c r="C15" s="581" t="s">
        <v>54</v>
      </c>
      <c r="D15" s="565"/>
      <c r="E15" s="566"/>
      <c r="F15" s="566"/>
      <c r="G15" s="567"/>
      <c r="H15" s="567"/>
      <c r="I15" s="566"/>
      <c r="J15" s="566"/>
      <c r="K15" s="566"/>
      <c r="L15" s="1042"/>
      <c r="M15" s="1042"/>
      <c r="N15" s="1042"/>
      <c r="O15" s="569"/>
      <c r="P15" s="570"/>
      <c r="Q15" s="582">
        <f>SUM(Q17:Q23)</f>
        <v>0</v>
      </c>
      <c r="R15" s="579"/>
    </row>
    <row r="16" spans="2:18" s="4" customFormat="1" ht="29.1" customHeight="1">
      <c r="B16" s="572"/>
      <c r="C16" s="574" t="s">
        <v>31</v>
      </c>
      <c r="D16" s="574" t="s">
        <v>152</v>
      </c>
      <c r="E16" s="1043" t="s">
        <v>39</v>
      </c>
      <c r="F16" s="1044"/>
      <c r="G16" s="1043" t="s">
        <v>17</v>
      </c>
      <c r="H16" s="1044"/>
      <c r="I16" s="1043" t="s">
        <v>116</v>
      </c>
      <c r="J16" s="1043"/>
      <c r="K16" s="1043"/>
      <c r="L16" s="1043" t="s">
        <v>19</v>
      </c>
      <c r="M16" s="1043"/>
      <c r="N16" s="573" t="s">
        <v>174</v>
      </c>
      <c r="O16" s="574" t="s">
        <v>164</v>
      </c>
      <c r="P16" s="574" t="s">
        <v>32</v>
      </c>
      <c r="Q16" s="572" t="s">
        <v>20</v>
      </c>
      <c r="R16" s="575"/>
    </row>
    <row r="17" spans="2:18" ht="50.25" customHeight="1">
      <c r="B17" s="576">
        <v>1</v>
      </c>
      <c r="C17" s="628" t="s">
        <v>411</v>
      </c>
      <c r="D17" s="598">
        <v>0.15</v>
      </c>
      <c r="E17" s="1033" t="s">
        <v>408</v>
      </c>
      <c r="F17" s="1033"/>
      <c r="G17" s="1034" t="s">
        <v>330</v>
      </c>
      <c r="H17" s="1035"/>
      <c r="I17" s="1036" t="s">
        <v>508</v>
      </c>
      <c r="J17" s="1037"/>
      <c r="K17" s="1038"/>
      <c r="L17" s="1039" t="s">
        <v>326</v>
      </c>
      <c r="M17" s="1039"/>
      <c r="N17" s="586">
        <v>0.95</v>
      </c>
      <c r="O17" s="587"/>
      <c r="P17" s="588" t="str">
        <f>IF(LEN(O17)=0,"",IF(O17&gt;=N17,100%,0%))</f>
        <v/>
      </c>
      <c r="Q17" s="601" t="str">
        <f t="shared" ref="Q17:Q23" si="0">IFERROR(P17*D17,"")</f>
        <v/>
      </c>
      <c r="R17" s="550"/>
    </row>
    <row r="18" spans="2:18" ht="50.25" customHeight="1">
      <c r="B18" s="576">
        <v>2</v>
      </c>
      <c r="C18" s="628" t="s">
        <v>416</v>
      </c>
      <c r="D18" s="598">
        <v>0.15</v>
      </c>
      <c r="E18" s="1022" t="s">
        <v>412</v>
      </c>
      <c r="F18" s="1023"/>
      <c r="G18" s="1050" t="s">
        <v>580</v>
      </c>
      <c r="H18" s="1051"/>
      <c r="I18" s="1052" t="s">
        <v>509</v>
      </c>
      <c r="J18" s="1053"/>
      <c r="K18" s="1054"/>
      <c r="L18" s="1077" t="s">
        <v>326</v>
      </c>
      <c r="M18" s="1078"/>
      <c r="N18" s="619">
        <v>0.9</v>
      </c>
      <c r="O18" s="598"/>
      <c r="P18" s="620" t="str">
        <f>IF(LEN(O18)=0,"",IF(O18&lt;80%,0,MIN(120%,O18/N18*100%)))</f>
        <v/>
      </c>
      <c r="Q18" s="601" t="str">
        <f t="shared" si="0"/>
        <v/>
      </c>
      <c r="R18" s="550"/>
    </row>
    <row r="19" spans="2:18" s="41" customFormat="1" ht="50.25" customHeight="1">
      <c r="B19" s="583">
        <v>3</v>
      </c>
      <c r="C19" s="529" t="s">
        <v>429</v>
      </c>
      <c r="D19" s="585">
        <v>0.1</v>
      </c>
      <c r="E19" s="1049" t="s">
        <v>496</v>
      </c>
      <c r="F19" s="1049"/>
      <c r="G19" s="1034" t="s">
        <v>413</v>
      </c>
      <c r="H19" s="1035"/>
      <c r="I19" s="1036" t="s">
        <v>471</v>
      </c>
      <c r="J19" s="1037"/>
      <c r="K19" s="1038"/>
      <c r="L19" s="1039" t="s">
        <v>414</v>
      </c>
      <c r="M19" s="1039"/>
      <c r="N19" s="592">
        <v>0</v>
      </c>
      <c r="O19" s="592"/>
      <c r="P19" s="593" t="str">
        <f>IF(LEN(O19)=0,"",IF(O19=N19,1,0))</f>
        <v/>
      </c>
      <c r="Q19" s="601" t="str">
        <f t="shared" si="0"/>
        <v/>
      </c>
      <c r="R19" s="590"/>
    </row>
    <row r="20" spans="2:18" ht="50.25" customHeight="1">
      <c r="B20" s="576">
        <v>4</v>
      </c>
      <c r="C20" s="523" t="s">
        <v>610</v>
      </c>
      <c r="D20" s="530">
        <v>0.2</v>
      </c>
      <c r="E20" s="1026" t="s">
        <v>618</v>
      </c>
      <c r="F20" s="1026"/>
      <c r="G20" s="1050" t="s">
        <v>342</v>
      </c>
      <c r="H20" s="1051"/>
      <c r="I20" s="1036" t="s">
        <v>661</v>
      </c>
      <c r="J20" s="1037"/>
      <c r="K20" s="1038"/>
      <c r="L20" s="1055" t="s">
        <v>343</v>
      </c>
      <c r="M20" s="1055"/>
      <c r="N20" s="621">
        <v>46387</v>
      </c>
      <c r="O20" s="621"/>
      <c r="P20" s="620" t="str">
        <f>IF(LEN(O20)=0,"",IF(O20&lt;=N20,1,0))</f>
        <v/>
      </c>
      <c r="Q20" s="601" t="str">
        <f t="shared" si="0"/>
        <v/>
      </c>
      <c r="R20" s="629"/>
    </row>
    <row r="21" spans="2:18" ht="50.25" customHeight="1">
      <c r="B21" s="576">
        <v>5</v>
      </c>
      <c r="C21" s="539" t="s">
        <v>424</v>
      </c>
      <c r="D21" s="530">
        <v>0.15</v>
      </c>
      <c r="E21" s="1026" t="s">
        <v>504</v>
      </c>
      <c r="F21" s="1026"/>
      <c r="G21" s="1050" t="s">
        <v>413</v>
      </c>
      <c r="H21" s="1051"/>
      <c r="I21" s="1052" t="s">
        <v>529</v>
      </c>
      <c r="J21" s="1053"/>
      <c r="K21" s="1054"/>
      <c r="L21" s="1055" t="s">
        <v>414</v>
      </c>
      <c r="M21" s="1055"/>
      <c r="N21" s="626">
        <v>0</v>
      </c>
      <c r="O21" s="626"/>
      <c r="P21" s="593" t="str">
        <f>IF(LEN(O21)=0,"",IF(O21=N21,1,0))</f>
        <v/>
      </c>
      <c r="Q21" s="601" t="str">
        <f t="shared" si="0"/>
        <v/>
      </c>
      <c r="R21" s="550"/>
    </row>
    <row r="22" spans="2:18" ht="50.25" customHeight="1">
      <c r="B22" s="576">
        <v>6</v>
      </c>
      <c r="C22" s="597" t="s">
        <v>391</v>
      </c>
      <c r="D22" s="598">
        <v>0.15</v>
      </c>
      <c r="E22" s="1026" t="s">
        <v>340</v>
      </c>
      <c r="F22" s="1026"/>
      <c r="G22" s="1050" t="s">
        <v>333</v>
      </c>
      <c r="H22" s="1051"/>
      <c r="I22" s="1052" t="s">
        <v>521</v>
      </c>
      <c r="J22" s="1053"/>
      <c r="K22" s="1054"/>
      <c r="L22" s="1055" t="s">
        <v>343</v>
      </c>
      <c r="M22" s="1055"/>
      <c r="N22" s="630">
        <v>5</v>
      </c>
      <c r="O22" s="630"/>
      <c r="P22" s="625" t="str">
        <f>IF(LEN(O22)=0,"",IF(O22&gt;N22,0,MIN(120%,N22/O22*100%)))</f>
        <v/>
      </c>
      <c r="Q22" s="601" t="str">
        <f t="shared" si="0"/>
        <v/>
      </c>
      <c r="R22" s="550"/>
    </row>
    <row r="23" spans="2:18" ht="50.25" customHeight="1">
      <c r="B23" s="576">
        <v>7</v>
      </c>
      <c r="C23" s="597" t="s">
        <v>593</v>
      </c>
      <c r="D23" s="598">
        <v>0.15</v>
      </c>
      <c r="E23" s="1026" t="s">
        <v>486</v>
      </c>
      <c r="F23" s="1026"/>
      <c r="G23" s="1050" t="s">
        <v>342</v>
      </c>
      <c r="H23" s="1051"/>
      <c r="I23" s="1052" t="s">
        <v>521</v>
      </c>
      <c r="J23" s="1053"/>
      <c r="K23" s="1054"/>
      <c r="L23" s="1055" t="s">
        <v>343</v>
      </c>
      <c r="M23" s="1055"/>
      <c r="N23" s="599">
        <v>46387</v>
      </c>
      <c r="O23" s="599"/>
      <c r="P23" s="600" t="str">
        <f>IF(LEN(O23)=0,"",IF(O23&lt;=N23,1,0))</f>
        <v/>
      </c>
      <c r="Q23" s="601" t="str">
        <f t="shared" si="0"/>
        <v/>
      </c>
      <c r="R23" s="550"/>
    </row>
    <row r="24" spans="2:18" ht="20.100000000000001" customHeight="1">
      <c r="B24" s="563" t="s">
        <v>40</v>
      </c>
      <c r="C24" s="564" t="s">
        <v>186</v>
      </c>
      <c r="D24" s="565"/>
      <c r="E24" s="566"/>
      <c r="F24" s="566"/>
      <c r="G24" s="567"/>
      <c r="H24" s="567"/>
      <c r="I24" s="566"/>
      <c r="J24" s="566"/>
      <c r="K24" s="566"/>
      <c r="L24" s="1042"/>
      <c r="M24" s="1042"/>
      <c r="N24" s="1042"/>
      <c r="O24" s="569"/>
      <c r="P24" s="570"/>
      <c r="Q24" s="571" t="e">
        <f>SUM(Q27:Q31)/5</f>
        <v>#DIV/0!</v>
      </c>
      <c r="R24" s="550"/>
    </row>
    <row r="25" spans="2:18" s="4" customFormat="1" ht="26.1" customHeight="1">
      <c r="B25" s="1056"/>
      <c r="C25" s="1045" t="s">
        <v>8</v>
      </c>
      <c r="D25" s="1045"/>
      <c r="E25" s="1045"/>
      <c r="F25" s="1045"/>
      <c r="G25" s="1045"/>
      <c r="H25" s="1045"/>
      <c r="I25" s="1058" t="s">
        <v>118</v>
      </c>
      <c r="J25" s="1058"/>
      <c r="K25" s="1058"/>
      <c r="L25" s="1058"/>
      <c r="M25" s="1058"/>
      <c r="N25" s="1058"/>
      <c r="O25" s="1059" t="s">
        <v>123</v>
      </c>
      <c r="P25" s="1058" t="s">
        <v>125</v>
      </c>
      <c r="Q25" s="1056" t="s">
        <v>102</v>
      </c>
      <c r="R25" s="575"/>
    </row>
    <row r="26" spans="2:18" s="4" customFormat="1" ht="39" customHeight="1">
      <c r="B26" s="1056"/>
      <c r="C26" s="1057"/>
      <c r="D26" s="1057"/>
      <c r="E26" s="1057"/>
      <c r="F26" s="1057"/>
      <c r="G26" s="1057"/>
      <c r="H26" s="1057"/>
      <c r="I26" s="1061" t="s">
        <v>119</v>
      </c>
      <c r="J26" s="1061"/>
      <c r="K26" s="602" t="s">
        <v>120</v>
      </c>
      <c r="L26" s="602" t="s">
        <v>153</v>
      </c>
      <c r="M26" s="602" t="s">
        <v>121</v>
      </c>
      <c r="N26" s="602" t="s">
        <v>122</v>
      </c>
      <c r="O26" s="1060"/>
      <c r="P26" s="1063"/>
      <c r="Q26" s="1056"/>
      <c r="R26" s="575"/>
    </row>
    <row r="27" spans="2:18" s="45" customFormat="1" ht="32.1" customHeight="1">
      <c r="B27" s="576">
        <v>1</v>
      </c>
      <c r="C27" s="987" t="s">
        <v>62</v>
      </c>
      <c r="D27" s="987"/>
      <c r="E27" s="987"/>
      <c r="F27" s="987"/>
      <c r="G27" s="987"/>
      <c r="H27" s="987"/>
      <c r="I27" s="1062">
        <v>1</v>
      </c>
      <c r="J27" s="1062"/>
      <c r="K27" s="603">
        <v>2</v>
      </c>
      <c r="L27" s="604">
        <v>3</v>
      </c>
      <c r="M27" s="603">
        <v>4</v>
      </c>
      <c r="N27" s="604">
        <v>5</v>
      </c>
      <c r="O27" s="605"/>
      <c r="P27" s="604"/>
      <c r="Q27" s="578" t="e">
        <f>P27/O27</f>
        <v>#DIV/0!</v>
      </c>
      <c r="R27" s="606"/>
    </row>
    <row r="28" spans="2:18" s="45" customFormat="1" ht="32.1" customHeight="1">
      <c r="B28" s="576">
        <f>B27+1</f>
        <v>2</v>
      </c>
      <c r="C28" s="987" t="s">
        <v>63</v>
      </c>
      <c r="D28" s="987"/>
      <c r="E28" s="987"/>
      <c r="F28" s="987"/>
      <c r="G28" s="987"/>
      <c r="H28" s="987"/>
      <c r="I28" s="1062">
        <v>1</v>
      </c>
      <c r="J28" s="1062"/>
      <c r="K28" s="603">
        <v>2</v>
      </c>
      <c r="L28" s="604">
        <v>3</v>
      </c>
      <c r="M28" s="603">
        <v>4</v>
      </c>
      <c r="N28" s="604">
        <v>5</v>
      </c>
      <c r="O28" s="605"/>
      <c r="P28" s="604"/>
      <c r="Q28" s="578" t="e">
        <f>P28/O28</f>
        <v>#DIV/0!</v>
      </c>
      <c r="R28" s="606"/>
    </row>
    <row r="29" spans="2:18" s="45" customFormat="1" ht="32.1" customHeight="1">
      <c r="B29" s="576">
        <v>3</v>
      </c>
      <c r="C29" s="987" t="s">
        <v>64</v>
      </c>
      <c r="D29" s="987"/>
      <c r="E29" s="987"/>
      <c r="F29" s="987"/>
      <c r="G29" s="987"/>
      <c r="H29" s="987"/>
      <c r="I29" s="1062">
        <v>1</v>
      </c>
      <c r="J29" s="1062"/>
      <c r="K29" s="603">
        <v>2</v>
      </c>
      <c r="L29" s="604">
        <v>3</v>
      </c>
      <c r="M29" s="603">
        <v>4</v>
      </c>
      <c r="N29" s="604">
        <v>5</v>
      </c>
      <c r="O29" s="605"/>
      <c r="P29" s="604"/>
      <c r="Q29" s="578" t="e">
        <f>P29/O29</f>
        <v>#DIV/0!</v>
      </c>
      <c r="R29" s="606"/>
    </row>
    <row r="30" spans="2:18" s="45" customFormat="1" ht="32.1" customHeight="1">
      <c r="B30" s="576">
        <f>B29+1</f>
        <v>4</v>
      </c>
      <c r="C30" s="987" t="s">
        <v>65</v>
      </c>
      <c r="D30" s="987"/>
      <c r="E30" s="987"/>
      <c r="F30" s="987"/>
      <c r="G30" s="987"/>
      <c r="H30" s="987"/>
      <c r="I30" s="1062">
        <v>1</v>
      </c>
      <c r="J30" s="1062"/>
      <c r="K30" s="603">
        <v>2</v>
      </c>
      <c r="L30" s="604">
        <v>3</v>
      </c>
      <c r="M30" s="603">
        <v>4</v>
      </c>
      <c r="N30" s="604">
        <v>5</v>
      </c>
      <c r="O30" s="605"/>
      <c r="P30" s="604"/>
      <c r="Q30" s="578" t="e">
        <f>P30/O30</f>
        <v>#DIV/0!</v>
      </c>
      <c r="R30" s="606"/>
    </row>
    <row r="31" spans="2:18" s="45" customFormat="1" ht="32.1" customHeight="1">
      <c r="B31" s="576">
        <v>5</v>
      </c>
      <c r="C31" s="997" t="s">
        <v>66</v>
      </c>
      <c r="D31" s="997"/>
      <c r="E31" s="997"/>
      <c r="F31" s="997"/>
      <c r="G31" s="997"/>
      <c r="H31" s="997"/>
      <c r="I31" s="1064">
        <v>1</v>
      </c>
      <c r="J31" s="1064"/>
      <c r="K31" s="607">
        <v>2</v>
      </c>
      <c r="L31" s="608">
        <v>3</v>
      </c>
      <c r="M31" s="607">
        <v>4</v>
      </c>
      <c r="N31" s="608">
        <v>5</v>
      </c>
      <c r="O31" s="609"/>
      <c r="P31" s="608"/>
      <c r="Q31" s="578" t="e">
        <f>P31/O31</f>
        <v>#DIV/0!</v>
      </c>
      <c r="R31" s="606"/>
    </row>
    <row r="32" spans="2:18" ht="20.100000000000001" customHeight="1">
      <c r="B32" s="563" t="s">
        <v>41</v>
      </c>
      <c r="C32" s="564" t="s">
        <v>42</v>
      </c>
      <c r="D32" s="565"/>
      <c r="E32" s="566"/>
      <c r="F32" s="566"/>
      <c r="G32" s="567"/>
      <c r="H32" s="567"/>
      <c r="I32" s="566"/>
      <c r="J32" s="566"/>
      <c r="K32" s="566"/>
      <c r="L32" s="568"/>
      <c r="M32" s="568"/>
      <c r="N32" s="568"/>
      <c r="O32" s="569"/>
      <c r="P32" s="570"/>
      <c r="Q32" s="571" t="e">
        <f>SUM(N34:N36)</f>
        <v>#DIV/0!</v>
      </c>
      <c r="R32" s="550"/>
    </row>
    <row r="33" spans="2:18" s="4" customFormat="1" ht="18.95" customHeight="1">
      <c r="B33" s="572"/>
      <c r="C33" s="1046" t="s">
        <v>8</v>
      </c>
      <c r="D33" s="1046"/>
      <c r="E33" s="1046"/>
      <c r="F33" s="1046"/>
      <c r="G33" s="1046"/>
      <c r="H33" s="1046"/>
      <c r="I33" s="1043" t="s">
        <v>43</v>
      </c>
      <c r="J33" s="1043"/>
      <c r="K33" s="1043"/>
      <c r="L33" s="1043" t="s">
        <v>154</v>
      </c>
      <c r="M33" s="1043"/>
      <c r="N33" s="574" t="s">
        <v>67</v>
      </c>
      <c r="O33" s="1043" t="s">
        <v>44</v>
      </c>
      <c r="P33" s="1043"/>
      <c r="Q33" s="1056"/>
      <c r="R33" s="575"/>
    </row>
    <row r="34" spans="2:18" s="45" customFormat="1" ht="21" customHeight="1">
      <c r="B34" s="576">
        <v>1</v>
      </c>
      <c r="C34" s="1005" t="s">
        <v>470</v>
      </c>
      <c r="D34" s="1005"/>
      <c r="E34" s="1005"/>
      <c r="F34" s="1005"/>
      <c r="G34" s="1005"/>
      <c r="H34" s="1005"/>
      <c r="I34" s="1047">
        <f>Q11</f>
        <v>0</v>
      </c>
      <c r="J34" s="1047"/>
      <c r="K34" s="1047"/>
      <c r="L34" s="1065">
        <v>0.2</v>
      </c>
      <c r="M34" s="1065"/>
      <c r="N34" s="577">
        <f>I34*L34</f>
        <v>0</v>
      </c>
      <c r="O34" s="1066" t="e">
        <f>IF(Q32=0,"",IF(Q32&gt;100%,"XUẤT SẮC",IF(Q32&gt;=90%,"TỐT",IF(Q32&gt;=80%,"HOÀN THÀNH","KHÔNG HOÀN THÀNH"))))</f>
        <v>#DIV/0!</v>
      </c>
      <c r="P34" s="1067"/>
      <c r="Q34" s="1067"/>
      <c r="R34" s="606"/>
    </row>
    <row r="35" spans="2:18" s="45" customFormat="1" ht="21" customHeight="1">
      <c r="B35" s="576">
        <f>B34+1</f>
        <v>2</v>
      </c>
      <c r="C35" s="1005" t="s">
        <v>155</v>
      </c>
      <c r="D35" s="1005"/>
      <c r="E35" s="1005"/>
      <c r="F35" s="1005"/>
      <c r="G35" s="1005"/>
      <c r="H35" s="1005"/>
      <c r="I35" s="1047">
        <f>Q15</f>
        <v>0</v>
      </c>
      <c r="J35" s="1047"/>
      <c r="K35" s="1047"/>
      <c r="L35" s="1065">
        <v>0.7</v>
      </c>
      <c r="M35" s="1065"/>
      <c r="N35" s="577">
        <f>I35*L35</f>
        <v>0</v>
      </c>
      <c r="O35" s="1067"/>
      <c r="P35" s="1067"/>
      <c r="Q35" s="1067"/>
      <c r="R35" s="606"/>
    </row>
    <row r="36" spans="2:18" s="45" customFormat="1" ht="21" customHeight="1">
      <c r="B36" s="576">
        <f>B35+1</f>
        <v>3</v>
      </c>
      <c r="C36" s="993" t="s">
        <v>187</v>
      </c>
      <c r="D36" s="993"/>
      <c r="E36" s="993"/>
      <c r="F36" s="993"/>
      <c r="G36" s="993"/>
      <c r="H36" s="993"/>
      <c r="I36" s="1040" t="e">
        <f>Q24</f>
        <v>#DIV/0!</v>
      </c>
      <c r="J36" s="1040"/>
      <c r="K36" s="1040"/>
      <c r="L36" s="1069">
        <v>0.1</v>
      </c>
      <c r="M36" s="1069"/>
      <c r="N36" s="580" t="e">
        <f>I36*L36</f>
        <v>#DIV/0!</v>
      </c>
      <c r="O36" s="1068"/>
      <c r="P36" s="1068"/>
      <c r="Q36" s="1068"/>
      <c r="R36" s="606"/>
    </row>
    <row r="37" spans="2:18" ht="18.95" customHeight="1">
      <c r="B37" s="563" t="s">
        <v>45</v>
      </c>
      <c r="C37" s="581" t="s">
        <v>46</v>
      </c>
      <c r="D37" s="566"/>
      <c r="E37" s="566"/>
      <c r="F37" s="566"/>
      <c r="G37" s="567"/>
      <c r="H37" s="567"/>
      <c r="I37" s="566"/>
      <c r="J37" s="566"/>
      <c r="K37" s="566"/>
      <c r="L37" s="566"/>
      <c r="M37" s="566"/>
      <c r="N37" s="566"/>
      <c r="O37" s="566"/>
      <c r="P37" s="566"/>
      <c r="Q37" s="610"/>
      <c r="R37" s="550"/>
    </row>
    <row r="38" spans="2:18" ht="57.95" customHeight="1">
      <c r="B38" s="583">
        <v>1</v>
      </c>
      <c r="C38" s="1070" t="s">
        <v>47</v>
      </c>
      <c r="D38" s="1070"/>
      <c r="E38" s="1070"/>
      <c r="F38" s="1070"/>
      <c r="G38" s="1070"/>
      <c r="H38" s="1070"/>
      <c r="I38" s="1071" t="s">
        <v>48</v>
      </c>
      <c r="J38" s="1071"/>
      <c r="K38" s="1071"/>
      <c r="L38" s="1071"/>
      <c r="M38" s="1071"/>
      <c r="N38" s="1072" t="s">
        <v>49</v>
      </c>
      <c r="O38" s="1072"/>
      <c r="P38" s="1072" t="s">
        <v>50</v>
      </c>
      <c r="Q38" s="1072"/>
      <c r="R38" s="550"/>
    </row>
    <row r="39" spans="2:18" ht="105" customHeight="1">
      <c r="B39" s="583">
        <v>2</v>
      </c>
      <c r="C39" s="1073" t="s">
        <v>51</v>
      </c>
      <c r="D39" s="1073"/>
      <c r="E39" s="1073"/>
      <c r="F39" s="1073"/>
      <c r="G39" s="1073"/>
      <c r="H39" s="1073"/>
      <c r="I39" s="1074" t="s">
        <v>52</v>
      </c>
      <c r="J39" s="1051"/>
      <c r="K39" s="1051"/>
      <c r="L39" s="1051"/>
      <c r="M39" s="1051"/>
      <c r="N39" s="1051"/>
      <c r="O39" s="1051"/>
      <c r="P39" s="1051"/>
      <c r="Q39" s="1051"/>
      <c r="R39" s="550"/>
    </row>
    <row r="40" spans="2:18">
      <c r="B40" s="5"/>
      <c r="C40" s="5"/>
      <c r="D40" s="5"/>
      <c r="E40" s="5"/>
      <c r="F40" s="5"/>
      <c r="G40" s="6"/>
      <c r="H40" s="6"/>
      <c r="I40" s="5"/>
      <c r="J40" s="5"/>
      <c r="K40" s="5"/>
      <c r="L40" s="5"/>
      <c r="M40" s="5"/>
      <c r="N40" s="5"/>
      <c r="O40" s="5"/>
      <c r="P40" s="5"/>
      <c r="Q40" s="6"/>
    </row>
    <row r="41" spans="2:18" ht="12.95" customHeight="1">
      <c r="B41" s="37"/>
      <c r="C41" s="47"/>
      <c r="D41" s="38"/>
      <c r="E41" s="38"/>
      <c r="F41" s="38"/>
      <c r="G41" s="37"/>
      <c r="H41" s="37"/>
      <c r="I41" s="38"/>
      <c r="J41" s="38"/>
      <c r="K41" s="38"/>
      <c r="L41" s="38"/>
      <c r="M41" s="38"/>
      <c r="N41" s="38"/>
      <c r="O41" s="38"/>
      <c r="P41" s="38"/>
      <c r="Q41" s="37"/>
    </row>
    <row r="42" spans="2:18" s="51" customFormat="1" ht="32.1" customHeight="1">
      <c r="B42" s="1079" t="s">
        <v>539</v>
      </c>
      <c r="C42" s="975"/>
      <c r="D42" s="1079" t="s">
        <v>537</v>
      </c>
      <c r="E42" s="975"/>
      <c r="F42" s="975"/>
      <c r="G42" s="975"/>
      <c r="H42" s="975"/>
      <c r="I42" s="471"/>
      <c r="J42" s="1079" t="s">
        <v>540</v>
      </c>
      <c r="K42" s="1079"/>
      <c r="L42" s="1079"/>
      <c r="M42" s="1079"/>
      <c r="N42" s="1079"/>
      <c r="O42" s="1079"/>
      <c r="P42" s="1079"/>
      <c r="Q42" s="1079"/>
    </row>
    <row r="43" spans="2:18">
      <c r="B43" s="6"/>
      <c r="C43" s="5"/>
      <c r="D43" s="5"/>
      <c r="E43" s="5"/>
      <c r="F43" s="5"/>
      <c r="G43" s="6"/>
      <c r="I43" s="6"/>
      <c r="J43" s="6"/>
      <c r="K43" s="6"/>
      <c r="L43" s="5"/>
      <c r="M43" s="5"/>
      <c r="N43" s="5"/>
      <c r="O43" s="5"/>
      <c r="P43" s="5"/>
      <c r="Q43" s="5"/>
    </row>
    <row r="44" spans="2:18">
      <c r="B44" s="6"/>
      <c r="C44" s="5"/>
      <c r="D44" s="5"/>
      <c r="E44" s="5"/>
      <c r="F44" s="5"/>
      <c r="G44" s="6"/>
      <c r="I44" s="5"/>
      <c r="J44" s="6"/>
      <c r="K44" s="5"/>
      <c r="L44" s="5"/>
      <c r="M44" s="5"/>
      <c r="N44" s="5"/>
      <c r="O44" s="5"/>
      <c r="P44" s="5"/>
      <c r="Q44" s="6"/>
    </row>
    <row r="45" spans="2:18">
      <c r="B45" s="6"/>
      <c r="C45" s="5"/>
      <c r="D45" s="5"/>
      <c r="E45" s="5"/>
      <c r="F45" s="5"/>
      <c r="G45" s="6"/>
      <c r="I45" s="5"/>
      <c r="J45" s="6"/>
      <c r="K45" s="5"/>
      <c r="L45" s="5"/>
      <c r="M45" s="5"/>
      <c r="N45" s="5"/>
      <c r="O45" s="5"/>
      <c r="P45" s="5"/>
      <c r="Q45" s="6"/>
    </row>
    <row r="46" spans="2:18">
      <c r="B46" s="6"/>
      <c r="C46" s="5"/>
      <c r="D46" s="5"/>
      <c r="E46" s="5"/>
      <c r="F46" s="5"/>
      <c r="G46" s="6"/>
      <c r="I46" s="5"/>
      <c r="J46" s="6"/>
      <c r="K46" s="5"/>
      <c r="L46" s="5"/>
      <c r="M46" s="5"/>
      <c r="N46" s="5"/>
      <c r="O46" s="5"/>
      <c r="P46" s="5"/>
      <c r="Q46" s="6"/>
    </row>
    <row r="47" spans="2:18">
      <c r="B47" s="6"/>
      <c r="C47" s="5"/>
      <c r="D47" s="5"/>
      <c r="E47" s="5"/>
      <c r="F47" s="5"/>
      <c r="G47" s="6"/>
      <c r="I47" s="5"/>
      <c r="J47" s="6"/>
      <c r="K47" s="5"/>
      <c r="L47" s="5"/>
      <c r="M47" s="5"/>
      <c r="N47" s="5"/>
      <c r="O47" s="5"/>
      <c r="P47" s="5"/>
      <c r="Q47" s="6"/>
    </row>
    <row r="48" spans="2:18">
      <c r="B48" s="6"/>
      <c r="C48" s="5"/>
      <c r="D48" s="5"/>
      <c r="E48" s="5"/>
      <c r="F48" s="5"/>
      <c r="G48" s="6"/>
      <c r="I48" s="5"/>
      <c r="J48" s="6"/>
      <c r="K48" s="5"/>
      <c r="L48" s="5"/>
      <c r="M48" s="5"/>
      <c r="N48" s="5"/>
      <c r="O48" s="5"/>
      <c r="P48" s="5"/>
      <c r="Q48" s="6"/>
    </row>
    <row r="49" spans="2:17">
      <c r="B49" s="972" t="s">
        <v>29</v>
      </c>
      <c r="C49" s="972"/>
      <c r="D49" s="972" t="s">
        <v>29</v>
      </c>
      <c r="E49" s="972"/>
      <c r="F49" s="972"/>
      <c r="G49" s="972"/>
      <c r="H49" s="972"/>
      <c r="I49" s="5"/>
      <c r="J49" s="972" t="s">
        <v>29</v>
      </c>
      <c r="K49" s="972"/>
      <c r="L49" s="972"/>
      <c r="M49" s="972"/>
      <c r="N49" s="972"/>
      <c r="O49" s="972"/>
      <c r="P49" s="972"/>
      <c r="Q49" s="972"/>
    </row>
    <row r="50" spans="2:17">
      <c r="B50" s="6"/>
      <c r="C50" s="5"/>
      <c r="D50" s="5"/>
      <c r="E50" s="5"/>
      <c r="F50" s="5"/>
      <c r="G50" s="6"/>
      <c r="I50" s="5"/>
      <c r="J50" s="6"/>
      <c r="K50" s="5"/>
      <c r="L50" s="5"/>
      <c r="M50" s="5"/>
      <c r="N50" s="5"/>
      <c r="O50" s="5"/>
      <c r="P50" s="5"/>
      <c r="Q50" s="6"/>
    </row>
    <row r="51" spans="2:17">
      <c r="B51" s="37"/>
      <c r="C51" s="47"/>
      <c r="D51" s="38"/>
      <c r="E51" s="38"/>
      <c r="F51" s="38"/>
      <c r="G51" s="37"/>
      <c r="I51" s="38"/>
      <c r="J51" s="37"/>
      <c r="K51" s="38"/>
      <c r="L51" s="38"/>
      <c r="M51" s="38"/>
      <c r="N51" s="38"/>
      <c r="O51" s="38"/>
      <c r="P51" s="38"/>
      <c r="Q51" s="37"/>
    </row>
    <row r="52" spans="2:17" ht="24" customHeight="1">
      <c r="B52" s="1080"/>
      <c r="C52" s="972"/>
      <c r="D52" s="1080"/>
      <c r="E52" s="972"/>
      <c r="F52" s="972"/>
      <c r="G52" s="972"/>
      <c r="H52" s="972"/>
      <c r="I52" s="245"/>
      <c r="J52" s="972"/>
      <c r="K52" s="972"/>
      <c r="L52" s="972"/>
      <c r="M52" s="972"/>
      <c r="N52" s="245"/>
      <c r="O52" s="1080"/>
      <c r="P52" s="972"/>
      <c r="Q52" s="972"/>
    </row>
    <row r="53" spans="2:17">
      <c r="B53" s="6"/>
      <c r="C53" s="5"/>
      <c r="D53" s="5"/>
      <c r="E53" s="5"/>
      <c r="F53" s="5"/>
      <c r="G53" s="6"/>
      <c r="I53" s="6"/>
      <c r="J53" s="6"/>
      <c r="K53" s="6"/>
      <c r="L53" s="5"/>
      <c r="M53" s="5"/>
      <c r="N53" s="5"/>
      <c r="O53" s="5"/>
      <c r="P53" s="5"/>
      <c r="Q53" s="5"/>
    </row>
    <row r="54" spans="2:17">
      <c r="B54" s="6"/>
      <c r="C54" s="5"/>
      <c r="D54" s="5"/>
      <c r="E54" s="5"/>
      <c r="F54" s="5"/>
      <c r="G54" s="6"/>
      <c r="I54" s="5"/>
      <c r="J54" s="6"/>
      <c r="K54" s="5"/>
      <c r="L54" s="5"/>
      <c r="M54" s="5"/>
      <c r="N54" s="5"/>
      <c r="O54" s="5"/>
      <c r="P54" s="5"/>
      <c r="Q54" s="6"/>
    </row>
    <row r="55" spans="2:17">
      <c r="B55" s="6"/>
      <c r="C55" s="5"/>
      <c r="D55" s="5"/>
      <c r="E55" s="5"/>
      <c r="F55" s="5"/>
      <c r="G55" s="6"/>
      <c r="I55" s="5"/>
      <c r="J55" s="6"/>
      <c r="K55" s="5"/>
      <c r="L55" s="5"/>
      <c r="M55" s="5"/>
      <c r="N55" s="5"/>
      <c r="O55" s="5"/>
      <c r="P55" s="5"/>
      <c r="Q55" s="6"/>
    </row>
    <row r="56" spans="2:17">
      <c r="B56" s="6"/>
      <c r="C56" s="5"/>
      <c r="D56" s="5"/>
      <c r="E56" s="5"/>
      <c r="F56" s="5"/>
      <c r="G56" s="6"/>
      <c r="I56" s="5"/>
      <c r="J56" s="6"/>
      <c r="K56" s="5"/>
      <c r="L56" s="5"/>
      <c r="M56" s="5"/>
      <c r="N56" s="5"/>
      <c r="O56" s="5"/>
      <c r="P56" s="5"/>
      <c r="Q56" s="6"/>
    </row>
    <row r="57" spans="2:17">
      <c r="B57" s="6"/>
      <c r="C57" s="5"/>
      <c r="D57" s="5"/>
      <c r="E57" s="5"/>
      <c r="F57" s="5"/>
      <c r="G57" s="6"/>
      <c r="I57" s="5"/>
      <c r="J57" s="6"/>
      <c r="K57" s="5"/>
      <c r="L57" s="5"/>
      <c r="M57" s="5"/>
      <c r="N57" s="5"/>
      <c r="O57" s="5"/>
      <c r="P57" s="5"/>
      <c r="Q57" s="6"/>
    </row>
    <row r="58" spans="2:17">
      <c r="B58" s="6"/>
      <c r="C58" s="5"/>
      <c r="D58" s="5"/>
      <c r="E58" s="5"/>
      <c r="F58" s="5"/>
      <c r="G58" s="6"/>
      <c r="I58" s="5"/>
      <c r="J58" s="6"/>
      <c r="K58" s="5"/>
      <c r="L58" s="5"/>
      <c r="M58" s="5"/>
      <c r="N58" s="5"/>
      <c r="O58" s="5"/>
      <c r="P58" s="5"/>
      <c r="Q58" s="6"/>
    </row>
    <row r="59" spans="2:17">
      <c r="B59" s="972"/>
      <c r="C59" s="972"/>
      <c r="D59" s="972"/>
      <c r="E59" s="972"/>
      <c r="F59" s="972"/>
      <c r="G59" s="972"/>
      <c r="H59" s="972"/>
      <c r="I59" s="5"/>
      <c r="J59" s="972"/>
      <c r="K59" s="972"/>
      <c r="L59" s="972"/>
      <c r="M59" s="972"/>
      <c r="N59" s="5"/>
      <c r="O59" s="972"/>
      <c r="P59" s="972"/>
      <c r="Q59" s="972"/>
    </row>
    <row r="60" spans="2:17">
      <c r="B60" s="2"/>
    </row>
    <row r="61" spans="2:17">
      <c r="B61" s="2"/>
    </row>
  </sheetData>
  <mergeCells count="94">
    <mergeCell ref="B42:C42"/>
    <mergeCell ref="D42:H42"/>
    <mergeCell ref="B59:C59"/>
    <mergeCell ref="D59:H59"/>
    <mergeCell ref="J59:M59"/>
    <mergeCell ref="J42:Q42"/>
    <mergeCell ref="J49:Q49"/>
    <mergeCell ref="O59:Q59"/>
    <mergeCell ref="B49:C49"/>
    <mergeCell ref="D49:H49"/>
    <mergeCell ref="B52:C52"/>
    <mergeCell ref="D52:H52"/>
    <mergeCell ref="J52:M52"/>
    <mergeCell ref="O52:Q52"/>
    <mergeCell ref="C38:H38"/>
    <mergeCell ref="I38:M38"/>
    <mergeCell ref="N38:O38"/>
    <mergeCell ref="P38:Q38"/>
    <mergeCell ref="C39:H39"/>
    <mergeCell ref="I39:Q39"/>
    <mergeCell ref="C33:H33"/>
    <mergeCell ref="I33:K33"/>
    <mergeCell ref="L33:M33"/>
    <mergeCell ref="O33:Q33"/>
    <mergeCell ref="C34:H34"/>
    <mergeCell ref="I34:K34"/>
    <mergeCell ref="L34:M34"/>
    <mergeCell ref="O34:Q36"/>
    <mergeCell ref="C35:H35"/>
    <mergeCell ref="I35:K35"/>
    <mergeCell ref="L35:M35"/>
    <mergeCell ref="C36:H36"/>
    <mergeCell ref="I36:K36"/>
    <mergeCell ref="L36:M36"/>
    <mergeCell ref="C29:H29"/>
    <mergeCell ref="I29:J29"/>
    <mergeCell ref="C30:H30"/>
    <mergeCell ref="I30:J30"/>
    <mergeCell ref="C31:H31"/>
    <mergeCell ref="I31:J31"/>
    <mergeCell ref="C27:H27"/>
    <mergeCell ref="I27:J27"/>
    <mergeCell ref="C28:H28"/>
    <mergeCell ref="I28:J28"/>
    <mergeCell ref="P25:P26"/>
    <mergeCell ref="B25:B26"/>
    <mergeCell ref="C25:H26"/>
    <mergeCell ref="I25:N25"/>
    <mergeCell ref="O25:O26"/>
    <mergeCell ref="Q25:Q26"/>
    <mergeCell ref="I26:J26"/>
    <mergeCell ref="E22:F22"/>
    <mergeCell ref="G22:H22"/>
    <mergeCell ref="I22:K22"/>
    <mergeCell ref="L22:M22"/>
    <mergeCell ref="L24:N24"/>
    <mergeCell ref="E18:F18"/>
    <mergeCell ref="G18:H18"/>
    <mergeCell ref="I18:K18"/>
    <mergeCell ref="L18:M18"/>
    <mergeCell ref="E23:F23"/>
    <mergeCell ref="G23:H23"/>
    <mergeCell ref="I23:K23"/>
    <mergeCell ref="L23:M23"/>
    <mergeCell ref="E19:F19"/>
    <mergeCell ref="G19:H19"/>
    <mergeCell ref="I19:K19"/>
    <mergeCell ref="L19:M19"/>
    <mergeCell ref="E20:F20"/>
    <mergeCell ref="G20:H20"/>
    <mergeCell ref="I20:K20"/>
    <mergeCell ref="L20:M20"/>
    <mergeCell ref="C12:H12"/>
    <mergeCell ref="I12:K12"/>
    <mergeCell ref="L12:M12"/>
    <mergeCell ref="C13:H13"/>
    <mergeCell ref="I13:K13"/>
    <mergeCell ref="L13:M13"/>
    <mergeCell ref="E21:F21"/>
    <mergeCell ref="G21:H21"/>
    <mergeCell ref="I21:K21"/>
    <mergeCell ref="L21:M21"/>
    <mergeCell ref="C14:H14"/>
    <mergeCell ref="I14:K14"/>
    <mergeCell ref="L14:M14"/>
    <mergeCell ref="L15:N15"/>
    <mergeCell ref="E16:F16"/>
    <mergeCell ref="G16:H16"/>
    <mergeCell ref="I16:K16"/>
    <mergeCell ref="L16:M16"/>
    <mergeCell ref="E17:F17"/>
    <mergeCell ref="G17:H17"/>
    <mergeCell ref="I17:K17"/>
    <mergeCell ref="L17:M1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3"/>
  <dimension ref="B2:R59"/>
  <sheetViews>
    <sheetView showGridLines="0" topLeftCell="B13" zoomScale="116" workbookViewId="0">
      <selection activeCell="C23" sqref="C23:H24"/>
    </sheetView>
  </sheetViews>
  <sheetFormatPr defaultColWidth="8.875" defaultRowHeight="12.75"/>
  <cols>
    <col min="1" max="1" width="1.125" style="1" customWidth="1"/>
    <col min="2" max="2" width="12.875" style="1" bestFit="1" customWidth="1"/>
    <col min="3" max="3" width="35.875" style="1" customWidth="1"/>
    <col min="4" max="4" width="9" style="1" customWidth="1"/>
    <col min="5" max="5" width="10.125" style="1" customWidth="1"/>
    <col min="6" max="6" width="14.5" style="1" customWidth="1"/>
    <col min="7" max="7" width="6.625" style="2" customWidth="1"/>
    <col min="8" max="8" width="20.625" style="2" customWidth="1"/>
    <col min="9" max="9" width="2.5" style="1" customWidth="1"/>
    <col min="10" max="10" width="5.5" style="1" customWidth="1"/>
    <col min="11" max="11" width="7.625" style="1" customWidth="1"/>
    <col min="12" max="12" width="7.5" style="1" customWidth="1"/>
    <col min="13" max="13" width="7.625" style="1" customWidth="1"/>
    <col min="14" max="14" width="13.625" style="1" customWidth="1"/>
    <col min="15" max="16" width="10.125" style="1" customWidth="1"/>
    <col min="17" max="17" width="10.875" style="2" customWidth="1"/>
    <col min="18" max="18" width="11.375" style="1" customWidth="1"/>
    <col min="19" max="19" width="6.875" style="1" customWidth="1"/>
    <col min="20" max="238" width="8.875" style="1"/>
    <col min="239" max="239" width="5" style="1" customWidth="1"/>
    <col min="240" max="240" width="33.375" style="1" customWidth="1"/>
    <col min="241" max="241" width="6.5" style="1" customWidth="1"/>
    <col min="242" max="242" width="29.5" style="1" customWidth="1"/>
    <col min="243" max="243" width="23.625" style="1" customWidth="1"/>
    <col min="244" max="244" width="8" style="1" customWidth="1"/>
    <col min="245" max="245" width="9.125" style="1" customWidth="1"/>
    <col min="246" max="246" width="13.875" style="1" customWidth="1"/>
    <col min="247" max="247" width="13.5" style="1" customWidth="1"/>
    <col min="248" max="494" width="8.875" style="1"/>
    <col min="495" max="495" width="5" style="1" customWidth="1"/>
    <col min="496" max="496" width="33.375" style="1" customWidth="1"/>
    <col min="497" max="497" width="6.5" style="1" customWidth="1"/>
    <col min="498" max="498" width="29.5" style="1" customWidth="1"/>
    <col min="499" max="499" width="23.625" style="1" customWidth="1"/>
    <col min="500" max="500" width="8" style="1" customWidth="1"/>
    <col min="501" max="501" width="9.125" style="1" customWidth="1"/>
    <col min="502" max="502" width="13.875" style="1" customWidth="1"/>
    <col min="503" max="503" width="13.5" style="1" customWidth="1"/>
    <col min="504" max="750" width="8.875" style="1"/>
    <col min="751" max="751" width="5" style="1" customWidth="1"/>
    <col min="752" max="752" width="33.375" style="1" customWidth="1"/>
    <col min="753" max="753" width="6.5" style="1" customWidth="1"/>
    <col min="754" max="754" width="29.5" style="1" customWidth="1"/>
    <col min="755" max="755" width="23.625" style="1" customWidth="1"/>
    <col min="756" max="756" width="8" style="1" customWidth="1"/>
    <col min="757" max="757" width="9.125" style="1" customWidth="1"/>
    <col min="758" max="758" width="13.875" style="1" customWidth="1"/>
    <col min="759" max="759" width="13.5" style="1" customWidth="1"/>
    <col min="760" max="1006" width="8.875" style="1"/>
    <col min="1007" max="1007" width="5" style="1" customWidth="1"/>
    <col min="1008" max="1008" width="33.375" style="1" customWidth="1"/>
    <col min="1009" max="1009" width="6.5" style="1" customWidth="1"/>
    <col min="1010" max="1010" width="29.5" style="1" customWidth="1"/>
    <col min="1011" max="1011" width="23.625" style="1" customWidth="1"/>
    <col min="1012" max="1012" width="8" style="1" customWidth="1"/>
    <col min="1013" max="1013" width="9.125" style="1" customWidth="1"/>
    <col min="1014" max="1014" width="13.875" style="1" customWidth="1"/>
    <col min="1015" max="1015" width="13.5" style="1" customWidth="1"/>
    <col min="1016" max="1262" width="8.875" style="1"/>
    <col min="1263" max="1263" width="5" style="1" customWidth="1"/>
    <col min="1264" max="1264" width="33.375" style="1" customWidth="1"/>
    <col min="1265" max="1265" width="6.5" style="1" customWidth="1"/>
    <col min="1266" max="1266" width="29.5" style="1" customWidth="1"/>
    <col min="1267" max="1267" width="23.625" style="1" customWidth="1"/>
    <col min="1268" max="1268" width="8" style="1" customWidth="1"/>
    <col min="1269" max="1269" width="9.125" style="1" customWidth="1"/>
    <col min="1270" max="1270" width="13.875" style="1" customWidth="1"/>
    <col min="1271" max="1271" width="13.5" style="1" customWidth="1"/>
    <col min="1272" max="1518" width="8.875" style="1"/>
    <col min="1519" max="1519" width="5" style="1" customWidth="1"/>
    <col min="1520" max="1520" width="33.375" style="1" customWidth="1"/>
    <col min="1521" max="1521" width="6.5" style="1" customWidth="1"/>
    <col min="1522" max="1522" width="29.5" style="1" customWidth="1"/>
    <col min="1523" max="1523" width="23.625" style="1" customWidth="1"/>
    <col min="1524" max="1524" width="8" style="1" customWidth="1"/>
    <col min="1525" max="1525" width="9.125" style="1" customWidth="1"/>
    <col min="1526" max="1526" width="13.875" style="1" customWidth="1"/>
    <col min="1527" max="1527" width="13.5" style="1" customWidth="1"/>
    <col min="1528" max="1774" width="8.875" style="1"/>
    <col min="1775" max="1775" width="5" style="1" customWidth="1"/>
    <col min="1776" max="1776" width="33.375" style="1" customWidth="1"/>
    <col min="1777" max="1777" width="6.5" style="1" customWidth="1"/>
    <col min="1778" max="1778" width="29.5" style="1" customWidth="1"/>
    <col min="1779" max="1779" width="23.625" style="1" customWidth="1"/>
    <col min="1780" max="1780" width="8" style="1" customWidth="1"/>
    <col min="1781" max="1781" width="9.125" style="1" customWidth="1"/>
    <col min="1782" max="1782" width="13.875" style="1" customWidth="1"/>
    <col min="1783" max="1783" width="13.5" style="1" customWidth="1"/>
    <col min="1784" max="2030" width="8.875" style="1"/>
    <col min="2031" max="2031" width="5" style="1" customWidth="1"/>
    <col min="2032" max="2032" width="33.375" style="1" customWidth="1"/>
    <col min="2033" max="2033" width="6.5" style="1" customWidth="1"/>
    <col min="2034" max="2034" width="29.5" style="1" customWidth="1"/>
    <col min="2035" max="2035" width="23.625" style="1" customWidth="1"/>
    <col min="2036" max="2036" width="8" style="1" customWidth="1"/>
    <col min="2037" max="2037" width="9.125" style="1" customWidth="1"/>
    <col min="2038" max="2038" width="13.875" style="1" customWidth="1"/>
    <col min="2039" max="2039" width="13.5" style="1" customWidth="1"/>
    <col min="2040" max="2286" width="8.875" style="1"/>
    <col min="2287" max="2287" width="5" style="1" customWidth="1"/>
    <col min="2288" max="2288" width="33.375" style="1" customWidth="1"/>
    <col min="2289" max="2289" width="6.5" style="1" customWidth="1"/>
    <col min="2290" max="2290" width="29.5" style="1" customWidth="1"/>
    <col min="2291" max="2291" width="23.625" style="1" customWidth="1"/>
    <col min="2292" max="2292" width="8" style="1" customWidth="1"/>
    <col min="2293" max="2293" width="9.125" style="1" customWidth="1"/>
    <col min="2294" max="2294" width="13.875" style="1" customWidth="1"/>
    <col min="2295" max="2295" width="13.5" style="1" customWidth="1"/>
    <col min="2296" max="2542" width="8.875" style="1"/>
    <col min="2543" max="2543" width="5" style="1" customWidth="1"/>
    <col min="2544" max="2544" width="33.375" style="1" customWidth="1"/>
    <col min="2545" max="2545" width="6.5" style="1" customWidth="1"/>
    <col min="2546" max="2546" width="29.5" style="1" customWidth="1"/>
    <col min="2547" max="2547" width="23.625" style="1" customWidth="1"/>
    <col min="2548" max="2548" width="8" style="1" customWidth="1"/>
    <col min="2549" max="2549" width="9.125" style="1" customWidth="1"/>
    <col min="2550" max="2550" width="13.875" style="1" customWidth="1"/>
    <col min="2551" max="2551" width="13.5" style="1" customWidth="1"/>
    <col min="2552" max="2798" width="8.875" style="1"/>
    <col min="2799" max="2799" width="5" style="1" customWidth="1"/>
    <col min="2800" max="2800" width="33.375" style="1" customWidth="1"/>
    <col min="2801" max="2801" width="6.5" style="1" customWidth="1"/>
    <col min="2802" max="2802" width="29.5" style="1" customWidth="1"/>
    <col min="2803" max="2803" width="23.625" style="1" customWidth="1"/>
    <col min="2804" max="2804" width="8" style="1" customWidth="1"/>
    <col min="2805" max="2805" width="9.125" style="1" customWidth="1"/>
    <col min="2806" max="2806" width="13.875" style="1" customWidth="1"/>
    <col min="2807" max="2807" width="13.5" style="1" customWidth="1"/>
    <col min="2808" max="3054" width="8.875" style="1"/>
    <col min="3055" max="3055" width="5" style="1" customWidth="1"/>
    <col min="3056" max="3056" width="33.375" style="1" customWidth="1"/>
    <col min="3057" max="3057" width="6.5" style="1" customWidth="1"/>
    <col min="3058" max="3058" width="29.5" style="1" customWidth="1"/>
    <col min="3059" max="3059" width="23.625" style="1" customWidth="1"/>
    <col min="3060" max="3060" width="8" style="1" customWidth="1"/>
    <col min="3061" max="3061" width="9.125" style="1" customWidth="1"/>
    <col min="3062" max="3062" width="13.875" style="1" customWidth="1"/>
    <col min="3063" max="3063" width="13.5" style="1" customWidth="1"/>
    <col min="3064" max="3310" width="8.875" style="1"/>
    <col min="3311" max="3311" width="5" style="1" customWidth="1"/>
    <col min="3312" max="3312" width="33.375" style="1" customWidth="1"/>
    <col min="3313" max="3313" width="6.5" style="1" customWidth="1"/>
    <col min="3314" max="3314" width="29.5" style="1" customWidth="1"/>
    <col min="3315" max="3315" width="23.625" style="1" customWidth="1"/>
    <col min="3316" max="3316" width="8" style="1" customWidth="1"/>
    <col min="3317" max="3317" width="9.125" style="1" customWidth="1"/>
    <col min="3318" max="3318" width="13.875" style="1" customWidth="1"/>
    <col min="3319" max="3319" width="13.5" style="1" customWidth="1"/>
    <col min="3320" max="3566" width="8.875" style="1"/>
    <col min="3567" max="3567" width="5" style="1" customWidth="1"/>
    <col min="3568" max="3568" width="33.375" style="1" customWidth="1"/>
    <col min="3569" max="3569" width="6.5" style="1" customWidth="1"/>
    <col min="3570" max="3570" width="29.5" style="1" customWidth="1"/>
    <col min="3571" max="3571" width="23.625" style="1" customWidth="1"/>
    <col min="3572" max="3572" width="8" style="1" customWidth="1"/>
    <col min="3573" max="3573" width="9.125" style="1" customWidth="1"/>
    <col min="3574" max="3574" width="13.875" style="1" customWidth="1"/>
    <col min="3575" max="3575" width="13.5" style="1" customWidth="1"/>
    <col min="3576" max="3822" width="8.875" style="1"/>
    <col min="3823" max="3823" width="5" style="1" customWidth="1"/>
    <col min="3824" max="3824" width="33.375" style="1" customWidth="1"/>
    <col min="3825" max="3825" width="6.5" style="1" customWidth="1"/>
    <col min="3826" max="3826" width="29.5" style="1" customWidth="1"/>
    <col min="3827" max="3827" width="23.625" style="1" customWidth="1"/>
    <col min="3828" max="3828" width="8" style="1" customWidth="1"/>
    <col min="3829" max="3829" width="9.125" style="1" customWidth="1"/>
    <col min="3830" max="3830" width="13.875" style="1" customWidth="1"/>
    <col min="3831" max="3831" width="13.5" style="1" customWidth="1"/>
    <col min="3832" max="4078" width="8.875" style="1"/>
    <col min="4079" max="4079" width="5" style="1" customWidth="1"/>
    <col min="4080" max="4080" width="33.375" style="1" customWidth="1"/>
    <col min="4081" max="4081" width="6.5" style="1" customWidth="1"/>
    <col min="4082" max="4082" width="29.5" style="1" customWidth="1"/>
    <col min="4083" max="4083" width="23.625" style="1" customWidth="1"/>
    <col min="4084" max="4084" width="8" style="1" customWidth="1"/>
    <col min="4085" max="4085" width="9.125" style="1" customWidth="1"/>
    <col min="4086" max="4086" width="13.875" style="1" customWidth="1"/>
    <col min="4087" max="4087" width="13.5" style="1" customWidth="1"/>
    <col min="4088" max="4334" width="8.875" style="1"/>
    <col min="4335" max="4335" width="5" style="1" customWidth="1"/>
    <col min="4336" max="4336" width="33.375" style="1" customWidth="1"/>
    <col min="4337" max="4337" width="6.5" style="1" customWidth="1"/>
    <col min="4338" max="4338" width="29.5" style="1" customWidth="1"/>
    <col min="4339" max="4339" width="23.625" style="1" customWidth="1"/>
    <col min="4340" max="4340" width="8" style="1" customWidth="1"/>
    <col min="4341" max="4341" width="9.125" style="1" customWidth="1"/>
    <col min="4342" max="4342" width="13.875" style="1" customWidth="1"/>
    <col min="4343" max="4343" width="13.5" style="1" customWidth="1"/>
    <col min="4344" max="4590" width="8.875" style="1"/>
    <col min="4591" max="4591" width="5" style="1" customWidth="1"/>
    <col min="4592" max="4592" width="33.375" style="1" customWidth="1"/>
    <col min="4593" max="4593" width="6.5" style="1" customWidth="1"/>
    <col min="4594" max="4594" width="29.5" style="1" customWidth="1"/>
    <col min="4595" max="4595" width="23.625" style="1" customWidth="1"/>
    <col min="4596" max="4596" width="8" style="1" customWidth="1"/>
    <col min="4597" max="4597" width="9.125" style="1" customWidth="1"/>
    <col min="4598" max="4598" width="13.875" style="1" customWidth="1"/>
    <col min="4599" max="4599" width="13.5" style="1" customWidth="1"/>
    <col min="4600" max="4846" width="8.875" style="1"/>
    <col min="4847" max="4847" width="5" style="1" customWidth="1"/>
    <col min="4848" max="4848" width="33.375" style="1" customWidth="1"/>
    <col min="4849" max="4849" width="6.5" style="1" customWidth="1"/>
    <col min="4850" max="4850" width="29.5" style="1" customWidth="1"/>
    <col min="4851" max="4851" width="23.625" style="1" customWidth="1"/>
    <col min="4852" max="4852" width="8" style="1" customWidth="1"/>
    <col min="4853" max="4853" width="9.125" style="1" customWidth="1"/>
    <col min="4854" max="4854" width="13.875" style="1" customWidth="1"/>
    <col min="4855" max="4855" width="13.5" style="1" customWidth="1"/>
    <col min="4856" max="5102" width="8.875" style="1"/>
    <col min="5103" max="5103" width="5" style="1" customWidth="1"/>
    <col min="5104" max="5104" width="33.375" style="1" customWidth="1"/>
    <col min="5105" max="5105" width="6.5" style="1" customWidth="1"/>
    <col min="5106" max="5106" width="29.5" style="1" customWidth="1"/>
    <col min="5107" max="5107" width="23.625" style="1" customWidth="1"/>
    <col min="5108" max="5108" width="8" style="1" customWidth="1"/>
    <col min="5109" max="5109" width="9.125" style="1" customWidth="1"/>
    <col min="5110" max="5110" width="13.875" style="1" customWidth="1"/>
    <col min="5111" max="5111" width="13.5" style="1" customWidth="1"/>
    <col min="5112" max="5358" width="8.875" style="1"/>
    <col min="5359" max="5359" width="5" style="1" customWidth="1"/>
    <col min="5360" max="5360" width="33.375" style="1" customWidth="1"/>
    <col min="5361" max="5361" width="6.5" style="1" customWidth="1"/>
    <col min="5362" max="5362" width="29.5" style="1" customWidth="1"/>
    <col min="5363" max="5363" width="23.625" style="1" customWidth="1"/>
    <col min="5364" max="5364" width="8" style="1" customWidth="1"/>
    <col min="5365" max="5365" width="9.125" style="1" customWidth="1"/>
    <col min="5366" max="5366" width="13.875" style="1" customWidth="1"/>
    <col min="5367" max="5367" width="13.5" style="1" customWidth="1"/>
    <col min="5368" max="5614" width="8.875" style="1"/>
    <col min="5615" max="5615" width="5" style="1" customWidth="1"/>
    <col min="5616" max="5616" width="33.375" style="1" customWidth="1"/>
    <col min="5617" max="5617" width="6.5" style="1" customWidth="1"/>
    <col min="5618" max="5618" width="29.5" style="1" customWidth="1"/>
    <col min="5619" max="5619" width="23.625" style="1" customWidth="1"/>
    <col min="5620" max="5620" width="8" style="1" customWidth="1"/>
    <col min="5621" max="5621" width="9.125" style="1" customWidth="1"/>
    <col min="5622" max="5622" width="13.875" style="1" customWidth="1"/>
    <col min="5623" max="5623" width="13.5" style="1" customWidth="1"/>
    <col min="5624" max="5870" width="8.875" style="1"/>
    <col min="5871" max="5871" width="5" style="1" customWidth="1"/>
    <col min="5872" max="5872" width="33.375" style="1" customWidth="1"/>
    <col min="5873" max="5873" width="6.5" style="1" customWidth="1"/>
    <col min="5874" max="5874" width="29.5" style="1" customWidth="1"/>
    <col min="5875" max="5875" width="23.625" style="1" customWidth="1"/>
    <col min="5876" max="5876" width="8" style="1" customWidth="1"/>
    <col min="5877" max="5877" width="9.125" style="1" customWidth="1"/>
    <col min="5878" max="5878" width="13.875" style="1" customWidth="1"/>
    <col min="5879" max="5879" width="13.5" style="1" customWidth="1"/>
    <col min="5880" max="6126" width="8.875" style="1"/>
    <col min="6127" max="6127" width="5" style="1" customWidth="1"/>
    <col min="6128" max="6128" width="33.375" style="1" customWidth="1"/>
    <col min="6129" max="6129" width="6.5" style="1" customWidth="1"/>
    <col min="6130" max="6130" width="29.5" style="1" customWidth="1"/>
    <col min="6131" max="6131" width="23.625" style="1" customWidth="1"/>
    <col min="6132" max="6132" width="8" style="1" customWidth="1"/>
    <col min="6133" max="6133" width="9.125" style="1" customWidth="1"/>
    <col min="6134" max="6134" width="13.875" style="1" customWidth="1"/>
    <col min="6135" max="6135" width="13.5" style="1" customWidth="1"/>
    <col min="6136" max="6382" width="8.875" style="1"/>
    <col min="6383" max="6383" width="5" style="1" customWidth="1"/>
    <col min="6384" max="6384" width="33.375" style="1" customWidth="1"/>
    <col min="6385" max="6385" width="6.5" style="1" customWidth="1"/>
    <col min="6386" max="6386" width="29.5" style="1" customWidth="1"/>
    <col min="6387" max="6387" width="23.625" style="1" customWidth="1"/>
    <col min="6388" max="6388" width="8" style="1" customWidth="1"/>
    <col min="6389" max="6389" width="9.125" style="1" customWidth="1"/>
    <col min="6390" max="6390" width="13.875" style="1" customWidth="1"/>
    <col min="6391" max="6391" width="13.5" style="1" customWidth="1"/>
    <col min="6392" max="6638" width="8.875" style="1"/>
    <col min="6639" max="6639" width="5" style="1" customWidth="1"/>
    <col min="6640" max="6640" width="33.375" style="1" customWidth="1"/>
    <col min="6641" max="6641" width="6.5" style="1" customWidth="1"/>
    <col min="6642" max="6642" width="29.5" style="1" customWidth="1"/>
    <col min="6643" max="6643" width="23.625" style="1" customWidth="1"/>
    <col min="6644" max="6644" width="8" style="1" customWidth="1"/>
    <col min="6645" max="6645" width="9.125" style="1" customWidth="1"/>
    <col min="6646" max="6646" width="13.875" style="1" customWidth="1"/>
    <col min="6647" max="6647" width="13.5" style="1" customWidth="1"/>
    <col min="6648" max="6894" width="8.875" style="1"/>
    <col min="6895" max="6895" width="5" style="1" customWidth="1"/>
    <col min="6896" max="6896" width="33.375" style="1" customWidth="1"/>
    <col min="6897" max="6897" width="6.5" style="1" customWidth="1"/>
    <col min="6898" max="6898" width="29.5" style="1" customWidth="1"/>
    <col min="6899" max="6899" width="23.625" style="1" customWidth="1"/>
    <col min="6900" max="6900" width="8" style="1" customWidth="1"/>
    <col min="6901" max="6901" width="9.125" style="1" customWidth="1"/>
    <col min="6902" max="6902" width="13.875" style="1" customWidth="1"/>
    <col min="6903" max="6903" width="13.5" style="1" customWidth="1"/>
    <col min="6904" max="7150" width="8.875" style="1"/>
    <col min="7151" max="7151" width="5" style="1" customWidth="1"/>
    <col min="7152" max="7152" width="33.375" style="1" customWidth="1"/>
    <col min="7153" max="7153" width="6.5" style="1" customWidth="1"/>
    <col min="7154" max="7154" width="29.5" style="1" customWidth="1"/>
    <col min="7155" max="7155" width="23.625" style="1" customWidth="1"/>
    <col min="7156" max="7156" width="8" style="1" customWidth="1"/>
    <col min="7157" max="7157" width="9.125" style="1" customWidth="1"/>
    <col min="7158" max="7158" width="13.875" style="1" customWidth="1"/>
    <col min="7159" max="7159" width="13.5" style="1" customWidth="1"/>
    <col min="7160" max="7406" width="8.875" style="1"/>
    <col min="7407" max="7407" width="5" style="1" customWidth="1"/>
    <col min="7408" max="7408" width="33.375" style="1" customWidth="1"/>
    <col min="7409" max="7409" width="6.5" style="1" customWidth="1"/>
    <col min="7410" max="7410" width="29.5" style="1" customWidth="1"/>
    <col min="7411" max="7411" width="23.625" style="1" customWidth="1"/>
    <col min="7412" max="7412" width="8" style="1" customWidth="1"/>
    <col min="7413" max="7413" width="9.125" style="1" customWidth="1"/>
    <col min="7414" max="7414" width="13.875" style="1" customWidth="1"/>
    <col min="7415" max="7415" width="13.5" style="1" customWidth="1"/>
    <col min="7416" max="7662" width="8.875" style="1"/>
    <col min="7663" max="7663" width="5" style="1" customWidth="1"/>
    <col min="7664" max="7664" width="33.375" style="1" customWidth="1"/>
    <col min="7665" max="7665" width="6.5" style="1" customWidth="1"/>
    <col min="7666" max="7666" width="29.5" style="1" customWidth="1"/>
    <col min="7667" max="7667" width="23.625" style="1" customWidth="1"/>
    <col min="7668" max="7668" width="8" style="1" customWidth="1"/>
    <col min="7669" max="7669" width="9.125" style="1" customWidth="1"/>
    <col min="7670" max="7670" width="13.875" style="1" customWidth="1"/>
    <col min="7671" max="7671" width="13.5" style="1" customWidth="1"/>
    <col min="7672" max="7918" width="8.875" style="1"/>
    <col min="7919" max="7919" width="5" style="1" customWidth="1"/>
    <col min="7920" max="7920" width="33.375" style="1" customWidth="1"/>
    <col min="7921" max="7921" width="6.5" style="1" customWidth="1"/>
    <col min="7922" max="7922" width="29.5" style="1" customWidth="1"/>
    <col min="7923" max="7923" width="23.625" style="1" customWidth="1"/>
    <col min="7924" max="7924" width="8" style="1" customWidth="1"/>
    <col min="7925" max="7925" width="9.125" style="1" customWidth="1"/>
    <col min="7926" max="7926" width="13.875" style="1" customWidth="1"/>
    <col min="7927" max="7927" width="13.5" style="1" customWidth="1"/>
    <col min="7928" max="8174" width="8.875" style="1"/>
    <col min="8175" max="8175" width="5" style="1" customWidth="1"/>
    <col min="8176" max="8176" width="33.375" style="1" customWidth="1"/>
    <col min="8177" max="8177" width="6.5" style="1" customWidth="1"/>
    <col min="8178" max="8178" width="29.5" style="1" customWidth="1"/>
    <col min="8179" max="8179" width="23.625" style="1" customWidth="1"/>
    <col min="8180" max="8180" width="8" style="1" customWidth="1"/>
    <col min="8181" max="8181" width="9.125" style="1" customWidth="1"/>
    <col min="8182" max="8182" width="13.875" style="1" customWidth="1"/>
    <col min="8183" max="8183" width="13.5" style="1" customWidth="1"/>
    <col min="8184" max="8430" width="8.875" style="1"/>
    <col min="8431" max="8431" width="5" style="1" customWidth="1"/>
    <col min="8432" max="8432" width="33.375" style="1" customWidth="1"/>
    <col min="8433" max="8433" width="6.5" style="1" customWidth="1"/>
    <col min="8434" max="8434" width="29.5" style="1" customWidth="1"/>
    <col min="8435" max="8435" width="23.625" style="1" customWidth="1"/>
    <col min="8436" max="8436" width="8" style="1" customWidth="1"/>
    <col min="8437" max="8437" width="9.125" style="1" customWidth="1"/>
    <col min="8438" max="8438" width="13.875" style="1" customWidth="1"/>
    <col min="8439" max="8439" width="13.5" style="1" customWidth="1"/>
    <col min="8440" max="8686" width="8.875" style="1"/>
    <col min="8687" max="8687" width="5" style="1" customWidth="1"/>
    <col min="8688" max="8688" width="33.375" style="1" customWidth="1"/>
    <col min="8689" max="8689" width="6.5" style="1" customWidth="1"/>
    <col min="8690" max="8690" width="29.5" style="1" customWidth="1"/>
    <col min="8691" max="8691" width="23.625" style="1" customWidth="1"/>
    <col min="8692" max="8692" width="8" style="1" customWidth="1"/>
    <col min="8693" max="8693" width="9.125" style="1" customWidth="1"/>
    <col min="8694" max="8694" width="13.875" style="1" customWidth="1"/>
    <col min="8695" max="8695" width="13.5" style="1" customWidth="1"/>
    <col min="8696" max="8942" width="8.875" style="1"/>
    <col min="8943" max="8943" width="5" style="1" customWidth="1"/>
    <col min="8944" max="8944" width="33.375" style="1" customWidth="1"/>
    <col min="8945" max="8945" width="6.5" style="1" customWidth="1"/>
    <col min="8946" max="8946" width="29.5" style="1" customWidth="1"/>
    <col min="8947" max="8947" width="23.625" style="1" customWidth="1"/>
    <col min="8948" max="8948" width="8" style="1" customWidth="1"/>
    <col min="8949" max="8949" width="9.125" style="1" customWidth="1"/>
    <col min="8950" max="8950" width="13.875" style="1" customWidth="1"/>
    <col min="8951" max="8951" width="13.5" style="1" customWidth="1"/>
    <col min="8952" max="9198" width="8.875" style="1"/>
    <col min="9199" max="9199" width="5" style="1" customWidth="1"/>
    <col min="9200" max="9200" width="33.375" style="1" customWidth="1"/>
    <col min="9201" max="9201" width="6.5" style="1" customWidth="1"/>
    <col min="9202" max="9202" width="29.5" style="1" customWidth="1"/>
    <col min="9203" max="9203" width="23.625" style="1" customWidth="1"/>
    <col min="9204" max="9204" width="8" style="1" customWidth="1"/>
    <col min="9205" max="9205" width="9.125" style="1" customWidth="1"/>
    <col min="9206" max="9206" width="13.875" style="1" customWidth="1"/>
    <col min="9207" max="9207" width="13.5" style="1" customWidth="1"/>
    <col min="9208" max="9454" width="8.875" style="1"/>
    <col min="9455" max="9455" width="5" style="1" customWidth="1"/>
    <col min="9456" max="9456" width="33.375" style="1" customWidth="1"/>
    <col min="9457" max="9457" width="6.5" style="1" customWidth="1"/>
    <col min="9458" max="9458" width="29.5" style="1" customWidth="1"/>
    <col min="9459" max="9459" width="23.625" style="1" customWidth="1"/>
    <col min="9460" max="9460" width="8" style="1" customWidth="1"/>
    <col min="9461" max="9461" width="9.125" style="1" customWidth="1"/>
    <col min="9462" max="9462" width="13.875" style="1" customWidth="1"/>
    <col min="9463" max="9463" width="13.5" style="1" customWidth="1"/>
    <col min="9464" max="9710" width="8.875" style="1"/>
    <col min="9711" max="9711" width="5" style="1" customWidth="1"/>
    <col min="9712" max="9712" width="33.375" style="1" customWidth="1"/>
    <col min="9713" max="9713" width="6.5" style="1" customWidth="1"/>
    <col min="9714" max="9714" width="29.5" style="1" customWidth="1"/>
    <col min="9715" max="9715" width="23.625" style="1" customWidth="1"/>
    <col min="9716" max="9716" width="8" style="1" customWidth="1"/>
    <col min="9717" max="9717" width="9.125" style="1" customWidth="1"/>
    <col min="9718" max="9718" width="13.875" style="1" customWidth="1"/>
    <col min="9719" max="9719" width="13.5" style="1" customWidth="1"/>
    <col min="9720" max="9966" width="8.875" style="1"/>
    <col min="9967" max="9967" width="5" style="1" customWidth="1"/>
    <col min="9968" max="9968" width="33.375" style="1" customWidth="1"/>
    <col min="9969" max="9969" width="6.5" style="1" customWidth="1"/>
    <col min="9970" max="9970" width="29.5" style="1" customWidth="1"/>
    <col min="9971" max="9971" width="23.625" style="1" customWidth="1"/>
    <col min="9972" max="9972" width="8" style="1" customWidth="1"/>
    <col min="9973" max="9973" width="9.125" style="1" customWidth="1"/>
    <col min="9974" max="9974" width="13.875" style="1" customWidth="1"/>
    <col min="9975" max="9975" width="13.5" style="1" customWidth="1"/>
    <col min="9976" max="10222" width="8.875" style="1"/>
    <col min="10223" max="10223" width="5" style="1" customWidth="1"/>
    <col min="10224" max="10224" width="33.375" style="1" customWidth="1"/>
    <col min="10225" max="10225" width="6.5" style="1" customWidth="1"/>
    <col min="10226" max="10226" width="29.5" style="1" customWidth="1"/>
    <col min="10227" max="10227" width="23.625" style="1" customWidth="1"/>
    <col min="10228" max="10228" width="8" style="1" customWidth="1"/>
    <col min="10229" max="10229" width="9.125" style="1" customWidth="1"/>
    <col min="10230" max="10230" width="13.875" style="1" customWidth="1"/>
    <col min="10231" max="10231" width="13.5" style="1" customWidth="1"/>
    <col min="10232" max="10478" width="8.875" style="1"/>
    <col min="10479" max="10479" width="5" style="1" customWidth="1"/>
    <col min="10480" max="10480" width="33.375" style="1" customWidth="1"/>
    <col min="10481" max="10481" width="6.5" style="1" customWidth="1"/>
    <col min="10482" max="10482" width="29.5" style="1" customWidth="1"/>
    <col min="10483" max="10483" width="23.625" style="1" customWidth="1"/>
    <col min="10484" max="10484" width="8" style="1" customWidth="1"/>
    <col min="10485" max="10485" width="9.125" style="1" customWidth="1"/>
    <col min="10486" max="10486" width="13.875" style="1" customWidth="1"/>
    <col min="10487" max="10487" width="13.5" style="1" customWidth="1"/>
    <col min="10488" max="10734" width="8.875" style="1"/>
    <col min="10735" max="10735" width="5" style="1" customWidth="1"/>
    <col min="10736" max="10736" width="33.375" style="1" customWidth="1"/>
    <col min="10737" max="10737" width="6.5" style="1" customWidth="1"/>
    <col min="10738" max="10738" width="29.5" style="1" customWidth="1"/>
    <col min="10739" max="10739" width="23.625" style="1" customWidth="1"/>
    <col min="10740" max="10740" width="8" style="1" customWidth="1"/>
    <col min="10741" max="10741" width="9.125" style="1" customWidth="1"/>
    <col min="10742" max="10742" width="13.875" style="1" customWidth="1"/>
    <col min="10743" max="10743" width="13.5" style="1" customWidth="1"/>
    <col min="10744" max="10990" width="8.875" style="1"/>
    <col min="10991" max="10991" width="5" style="1" customWidth="1"/>
    <col min="10992" max="10992" width="33.375" style="1" customWidth="1"/>
    <col min="10993" max="10993" width="6.5" style="1" customWidth="1"/>
    <col min="10994" max="10994" width="29.5" style="1" customWidth="1"/>
    <col min="10995" max="10995" width="23.625" style="1" customWidth="1"/>
    <col min="10996" max="10996" width="8" style="1" customWidth="1"/>
    <col min="10997" max="10997" width="9.125" style="1" customWidth="1"/>
    <col min="10998" max="10998" width="13.875" style="1" customWidth="1"/>
    <col min="10999" max="10999" width="13.5" style="1" customWidth="1"/>
    <col min="11000" max="11246" width="8.875" style="1"/>
    <col min="11247" max="11247" width="5" style="1" customWidth="1"/>
    <col min="11248" max="11248" width="33.375" style="1" customWidth="1"/>
    <col min="11249" max="11249" width="6.5" style="1" customWidth="1"/>
    <col min="11250" max="11250" width="29.5" style="1" customWidth="1"/>
    <col min="11251" max="11251" width="23.625" style="1" customWidth="1"/>
    <col min="11252" max="11252" width="8" style="1" customWidth="1"/>
    <col min="11253" max="11253" width="9.125" style="1" customWidth="1"/>
    <col min="11254" max="11254" width="13.875" style="1" customWidth="1"/>
    <col min="11255" max="11255" width="13.5" style="1" customWidth="1"/>
    <col min="11256" max="11502" width="8.875" style="1"/>
    <col min="11503" max="11503" width="5" style="1" customWidth="1"/>
    <col min="11504" max="11504" width="33.375" style="1" customWidth="1"/>
    <col min="11505" max="11505" width="6.5" style="1" customWidth="1"/>
    <col min="11506" max="11506" width="29.5" style="1" customWidth="1"/>
    <col min="11507" max="11507" width="23.625" style="1" customWidth="1"/>
    <col min="11508" max="11508" width="8" style="1" customWidth="1"/>
    <col min="11509" max="11509" width="9.125" style="1" customWidth="1"/>
    <col min="11510" max="11510" width="13.875" style="1" customWidth="1"/>
    <col min="11511" max="11511" width="13.5" style="1" customWidth="1"/>
    <col min="11512" max="11758" width="8.875" style="1"/>
    <col min="11759" max="11759" width="5" style="1" customWidth="1"/>
    <col min="11760" max="11760" width="33.375" style="1" customWidth="1"/>
    <col min="11761" max="11761" width="6.5" style="1" customWidth="1"/>
    <col min="11762" max="11762" width="29.5" style="1" customWidth="1"/>
    <col min="11763" max="11763" width="23.625" style="1" customWidth="1"/>
    <col min="11764" max="11764" width="8" style="1" customWidth="1"/>
    <col min="11765" max="11765" width="9.125" style="1" customWidth="1"/>
    <col min="11766" max="11766" width="13.875" style="1" customWidth="1"/>
    <col min="11767" max="11767" width="13.5" style="1" customWidth="1"/>
    <col min="11768" max="12014" width="8.875" style="1"/>
    <col min="12015" max="12015" width="5" style="1" customWidth="1"/>
    <col min="12016" max="12016" width="33.375" style="1" customWidth="1"/>
    <col min="12017" max="12017" width="6.5" style="1" customWidth="1"/>
    <col min="12018" max="12018" width="29.5" style="1" customWidth="1"/>
    <col min="12019" max="12019" width="23.625" style="1" customWidth="1"/>
    <col min="12020" max="12020" width="8" style="1" customWidth="1"/>
    <col min="12021" max="12021" width="9.125" style="1" customWidth="1"/>
    <col min="12022" max="12022" width="13.875" style="1" customWidth="1"/>
    <col min="12023" max="12023" width="13.5" style="1" customWidth="1"/>
    <col min="12024" max="12270" width="8.875" style="1"/>
    <col min="12271" max="12271" width="5" style="1" customWidth="1"/>
    <col min="12272" max="12272" width="33.375" style="1" customWidth="1"/>
    <col min="12273" max="12273" width="6.5" style="1" customWidth="1"/>
    <col min="12274" max="12274" width="29.5" style="1" customWidth="1"/>
    <col min="12275" max="12275" width="23.625" style="1" customWidth="1"/>
    <col min="12276" max="12276" width="8" style="1" customWidth="1"/>
    <col min="12277" max="12277" width="9.125" style="1" customWidth="1"/>
    <col min="12278" max="12278" width="13.875" style="1" customWidth="1"/>
    <col min="12279" max="12279" width="13.5" style="1" customWidth="1"/>
    <col min="12280" max="12526" width="8.875" style="1"/>
    <col min="12527" max="12527" width="5" style="1" customWidth="1"/>
    <col min="12528" max="12528" width="33.375" style="1" customWidth="1"/>
    <col min="12529" max="12529" width="6.5" style="1" customWidth="1"/>
    <col min="12530" max="12530" width="29.5" style="1" customWidth="1"/>
    <col min="12531" max="12531" width="23.625" style="1" customWidth="1"/>
    <col min="12532" max="12532" width="8" style="1" customWidth="1"/>
    <col min="12533" max="12533" width="9.125" style="1" customWidth="1"/>
    <col min="12534" max="12534" width="13.875" style="1" customWidth="1"/>
    <col min="12535" max="12535" width="13.5" style="1" customWidth="1"/>
    <col min="12536" max="12782" width="8.875" style="1"/>
    <col min="12783" max="12783" width="5" style="1" customWidth="1"/>
    <col min="12784" max="12784" width="33.375" style="1" customWidth="1"/>
    <col min="12785" max="12785" width="6.5" style="1" customWidth="1"/>
    <col min="12786" max="12786" width="29.5" style="1" customWidth="1"/>
    <col min="12787" max="12787" width="23.625" style="1" customWidth="1"/>
    <col min="12788" max="12788" width="8" style="1" customWidth="1"/>
    <col min="12789" max="12789" width="9.125" style="1" customWidth="1"/>
    <col min="12790" max="12790" width="13.875" style="1" customWidth="1"/>
    <col min="12791" max="12791" width="13.5" style="1" customWidth="1"/>
    <col min="12792" max="13038" width="8.875" style="1"/>
    <col min="13039" max="13039" width="5" style="1" customWidth="1"/>
    <col min="13040" max="13040" width="33.375" style="1" customWidth="1"/>
    <col min="13041" max="13041" width="6.5" style="1" customWidth="1"/>
    <col min="13042" max="13042" width="29.5" style="1" customWidth="1"/>
    <col min="13043" max="13043" width="23.625" style="1" customWidth="1"/>
    <col min="13044" max="13044" width="8" style="1" customWidth="1"/>
    <col min="13045" max="13045" width="9.125" style="1" customWidth="1"/>
    <col min="13046" max="13046" width="13.875" style="1" customWidth="1"/>
    <col min="13047" max="13047" width="13.5" style="1" customWidth="1"/>
    <col min="13048" max="13294" width="8.875" style="1"/>
    <col min="13295" max="13295" width="5" style="1" customWidth="1"/>
    <col min="13296" max="13296" width="33.375" style="1" customWidth="1"/>
    <col min="13297" max="13297" width="6.5" style="1" customWidth="1"/>
    <col min="13298" max="13298" width="29.5" style="1" customWidth="1"/>
    <col min="13299" max="13299" width="23.625" style="1" customWidth="1"/>
    <col min="13300" max="13300" width="8" style="1" customWidth="1"/>
    <col min="13301" max="13301" width="9.125" style="1" customWidth="1"/>
    <col min="13302" max="13302" width="13.875" style="1" customWidth="1"/>
    <col min="13303" max="13303" width="13.5" style="1" customWidth="1"/>
    <col min="13304" max="13550" width="8.875" style="1"/>
    <col min="13551" max="13551" width="5" style="1" customWidth="1"/>
    <col min="13552" max="13552" width="33.375" style="1" customWidth="1"/>
    <col min="13553" max="13553" width="6.5" style="1" customWidth="1"/>
    <col min="13554" max="13554" width="29.5" style="1" customWidth="1"/>
    <col min="13555" max="13555" width="23.625" style="1" customWidth="1"/>
    <col min="13556" max="13556" width="8" style="1" customWidth="1"/>
    <col min="13557" max="13557" width="9.125" style="1" customWidth="1"/>
    <col min="13558" max="13558" width="13.875" style="1" customWidth="1"/>
    <col min="13559" max="13559" width="13.5" style="1" customWidth="1"/>
    <col min="13560" max="13806" width="8.875" style="1"/>
    <col min="13807" max="13807" width="5" style="1" customWidth="1"/>
    <col min="13808" max="13808" width="33.375" style="1" customWidth="1"/>
    <col min="13809" max="13809" width="6.5" style="1" customWidth="1"/>
    <col min="13810" max="13810" width="29.5" style="1" customWidth="1"/>
    <col min="13811" max="13811" width="23.625" style="1" customWidth="1"/>
    <col min="13812" max="13812" width="8" style="1" customWidth="1"/>
    <col min="13813" max="13813" width="9.125" style="1" customWidth="1"/>
    <col min="13814" max="13814" width="13.875" style="1" customWidth="1"/>
    <col min="13815" max="13815" width="13.5" style="1" customWidth="1"/>
    <col min="13816" max="14062" width="8.875" style="1"/>
    <col min="14063" max="14063" width="5" style="1" customWidth="1"/>
    <col min="14064" max="14064" width="33.375" style="1" customWidth="1"/>
    <col min="14065" max="14065" width="6.5" style="1" customWidth="1"/>
    <col min="14066" max="14066" width="29.5" style="1" customWidth="1"/>
    <col min="14067" max="14067" width="23.625" style="1" customWidth="1"/>
    <col min="14068" max="14068" width="8" style="1" customWidth="1"/>
    <col min="14069" max="14069" width="9.125" style="1" customWidth="1"/>
    <col min="14070" max="14070" width="13.875" style="1" customWidth="1"/>
    <col min="14071" max="14071" width="13.5" style="1" customWidth="1"/>
    <col min="14072" max="14318" width="8.875" style="1"/>
    <col min="14319" max="14319" width="5" style="1" customWidth="1"/>
    <col min="14320" max="14320" width="33.375" style="1" customWidth="1"/>
    <col min="14321" max="14321" width="6.5" style="1" customWidth="1"/>
    <col min="14322" max="14322" width="29.5" style="1" customWidth="1"/>
    <col min="14323" max="14323" width="23.625" style="1" customWidth="1"/>
    <col min="14324" max="14324" width="8" style="1" customWidth="1"/>
    <col min="14325" max="14325" width="9.125" style="1" customWidth="1"/>
    <col min="14326" max="14326" width="13.875" style="1" customWidth="1"/>
    <col min="14327" max="14327" width="13.5" style="1" customWidth="1"/>
    <col min="14328" max="14574" width="8.875" style="1"/>
    <col min="14575" max="14575" width="5" style="1" customWidth="1"/>
    <col min="14576" max="14576" width="33.375" style="1" customWidth="1"/>
    <col min="14577" max="14577" width="6.5" style="1" customWidth="1"/>
    <col min="14578" max="14578" width="29.5" style="1" customWidth="1"/>
    <col min="14579" max="14579" width="23.625" style="1" customWidth="1"/>
    <col min="14580" max="14580" width="8" style="1" customWidth="1"/>
    <col min="14581" max="14581" width="9.125" style="1" customWidth="1"/>
    <col min="14582" max="14582" width="13.875" style="1" customWidth="1"/>
    <col min="14583" max="14583" width="13.5" style="1" customWidth="1"/>
    <col min="14584" max="14830" width="8.875" style="1"/>
    <col min="14831" max="14831" width="5" style="1" customWidth="1"/>
    <col min="14832" max="14832" width="33.375" style="1" customWidth="1"/>
    <col min="14833" max="14833" width="6.5" style="1" customWidth="1"/>
    <col min="14834" max="14834" width="29.5" style="1" customWidth="1"/>
    <col min="14835" max="14835" width="23.625" style="1" customWidth="1"/>
    <col min="14836" max="14836" width="8" style="1" customWidth="1"/>
    <col min="14837" max="14837" width="9.125" style="1" customWidth="1"/>
    <col min="14838" max="14838" width="13.875" style="1" customWidth="1"/>
    <col min="14839" max="14839" width="13.5" style="1" customWidth="1"/>
    <col min="14840" max="15086" width="8.875" style="1"/>
    <col min="15087" max="15087" width="5" style="1" customWidth="1"/>
    <col min="15088" max="15088" width="33.375" style="1" customWidth="1"/>
    <col min="15089" max="15089" width="6.5" style="1" customWidth="1"/>
    <col min="15090" max="15090" width="29.5" style="1" customWidth="1"/>
    <col min="15091" max="15091" width="23.625" style="1" customWidth="1"/>
    <col min="15092" max="15092" width="8" style="1" customWidth="1"/>
    <col min="15093" max="15093" width="9.125" style="1" customWidth="1"/>
    <col min="15094" max="15094" width="13.875" style="1" customWidth="1"/>
    <col min="15095" max="15095" width="13.5" style="1" customWidth="1"/>
    <col min="15096" max="15342" width="8.875" style="1"/>
    <col min="15343" max="15343" width="5" style="1" customWidth="1"/>
    <col min="15344" max="15344" width="33.375" style="1" customWidth="1"/>
    <col min="15345" max="15345" width="6.5" style="1" customWidth="1"/>
    <col min="15346" max="15346" width="29.5" style="1" customWidth="1"/>
    <col min="15347" max="15347" width="23.625" style="1" customWidth="1"/>
    <col min="15348" max="15348" width="8" style="1" customWidth="1"/>
    <col min="15349" max="15349" width="9.125" style="1" customWidth="1"/>
    <col min="15350" max="15350" width="13.875" style="1" customWidth="1"/>
    <col min="15351" max="15351" width="13.5" style="1" customWidth="1"/>
    <col min="15352" max="15598" width="8.875" style="1"/>
    <col min="15599" max="15599" width="5" style="1" customWidth="1"/>
    <col min="15600" max="15600" width="33.375" style="1" customWidth="1"/>
    <col min="15601" max="15601" width="6.5" style="1" customWidth="1"/>
    <col min="15602" max="15602" width="29.5" style="1" customWidth="1"/>
    <col min="15603" max="15603" width="23.625" style="1" customWidth="1"/>
    <col min="15604" max="15604" width="8" style="1" customWidth="1"/>
    <col min="15605" max="15605" width="9.125" style="1" customWidth="1"/>
    <col min="15606" max="15606" width="13.875" style="1" customWidth="1"/>
    <col min="15607" max="15607" width="13.5" style="1" customWidth="1"/>
    <col min="15608" max="15854" width="8.875" style="1"/>
    <col min="15855" max="15855" width="5" style="1" customWidth="1"/>
    <col min="15856" max="15856" width="33.375" style="1" customWidth="1"/>
    <col min="15857" max="15857" width="6.5" style="1" customWidth="1"/>
    <col min="15858" max="15858" width="29.5" style="1" customWidth="1"/>
    <col min="15859" max="15859" width="23.625" style="1" customWidth="1"/>
    <col min="15860" max="15860" width="8" style="1" customWidth="1"/>
    <col min="15861" max="15861" width="9.125" style="1" customWidth="1"/>
    <col min="15862" max="15862" width="13.875" style="1" customWidth="1"/>
    <col min="15863" max="15863" width="13.5" style="1" customWidth="1"/>
    <col min="15864" max="16384" width="8.875" style="1"/>
  </cols>
  <sheetData>
    <row r="2" spans="2:18" s="375" customFormat="1">
      <c r="B2" s="374" t="s">
        <v>464</v>
      </c>
      <c r="C2" s="140" t="s">
        <v>132</v>
      </c>
    </row>
    <row r="3" spans="2:18" s="375" customFormat="1">
      <c r="B3" s="374" t="s">
        <v>465</v>
      </c>
      <c r="C3" s="209" t="s">
        <v>255</v>
      </c>
    </row>
    <row r="4" spans="2:18" s="375" customFormat="1">
      <c r="B4" s="374" t="s">
        <v>466</v>
      </c>
      <c r="C4" s="140" t="s">
        <v>133</v>
      </c>
    </row>
    <row r="5" spans="2:18">
      <c r="E5" s="2"/>
      <c r="G5" s="1"/>
      <c r="H5" s="1"/>
      <c r="M5" s="2"/>
      <c r="Q5" s="1"/>
    </row>
    <row r="6" spans="2:18" s="3" customFormat="1" ht="23.1" customHeight="1">
      <c r="B6" s="99" t="s">
        <v>61</v>
      </c>
      <c r="C6" s="376" t="s">
        <v>616</v>
      </c>
      <c r="D6" s="95"/>
      <c r="E6" s="95"/>
      <c r="F6" s="7"/>
      <c r="G6" s="7"/>
      <c r="H6" s="7"/>
      <c r="I6" s="7"/>
      <c r="J6" s="7"/>
      <c r="K6" s="7"/>
      <c r="L6" s="7"/>
      <c r="M6" s="7"/>
    </row>
    <row r="7" spans="2:18" s="3" customFormat="1" ht="3.95" customHeight="1">
      <c r="M7" s="44"/>
    </row>
    <row r="8" spans="2:18" s="3" customFormat="1" ht="20.100000000000001" customHeight="1">
      <c r="B8" s="213" t="s">
        <v>279</v>
      </c>
      <c r="C8" s="213" t="s">
        <v>547</v>
      </c>
      <c r="D8" s="212"/>
      <c r="E8" s="212" t="s">
        <v>405</v>
      </c>
      <c r="F8" s="212" t="s">
        <v>490</v>
      </c>
      <c r="G8" s="212"/>
      <c r="H8" s="212"/>
      <c r="I8" s="31"/>
    </row>
    <row r="9" spans="2:18" s="3" customFormat="1" ht="18.95" customHeight="1">
      <c r="B9" s="213" t="s">
        <v>280</v>
      </c>
      <c r="C9" s="472" t="s">
        <v>548</v>
      </c>
      <c r="D9" s="212"/>
      <c r="E9" s="212" t="s">
        <v>467</v>
      </c>
      <c r="F9" s="211" t="s">
        <v>471</v>
      </c>
      <c r="G9" s="211"/>
      <c r="H9" s="211"/>
      <c r="I9" s="31"/>
    </row>
    <row r="10" spans="2:18" s="3" customFormat="1">
      <c r="M10" s="44"/>
    </row>
    <row r="11" spans="2:18" ht="20.100000000000001" customHeight="1">
      <c r="B11" s="377" t="s">
        <v>21</v>
      </c>
      <c r="C11" s="378" t="s">
        <v>468</v>
      </c>
      <c r="D11" s="379"/>
      <c r="E11" s="380"/>
      <c r="F11" s="380"/>
      <c r="G11" s="381"/>
      <c r="H11" s="381"/>
      <c r="I11" s="380"/>
      <c r="J11" s="380"/>
      <c r="K11" s="380"/>
      <c r="L11" s="382"/>
      <c r="M11" s="382"/>
      <c r="N11" s="382"/>
      <c r="O11" s="383"/>
      <c r="P11" s="384"/>
      <c r="Q11" s="385">
        <f>Q13+Q14</f>
        <v>0</v>
      </c>
    </row>
    <row r="12" spans="2:18" s="4" customFormat="1" ht="27.95" customHeight="1">
      <c r="B12" s="386"/>
      <c r="C12" s="1081" t="s">
        <v>8</v>
      </c>
      <c r="D12" s="1082"/>
      <c r="E12" s="1082"/>
      <c r="F12" s="1082"/>
      <c r="G12" s="1082"/>
      <c r="H12" s="1082"/>
      <c r="I12" s="1083" t="s">
        <v>154</v>
      </c>
      <c r="J12" s="1083"/>
      <c r="K12" s="1083"/>
      <c r="L12" s="1083" t="s">
        <v>174</v>
      </c>
      <c r="M12" s="1083"/>
      <c r="N12" s="388" t="s">
        <v>173</v>
      </c>
      <c r="O12" s="387" t="s">
        <v>32</v>
      </c>
      <c r="P12" s="387" t="s">
        <v>2</v>
      </c>
      <c r="Q12" s="386" t="s">
        <v>20</v>
      </c>
    </row>
    <row r="13" spans="2:18" ht="21" customHeight="1">
      <c r="B13" s="86">
        <v>1</v>
      </c>
      <c r="C13" s="1084" t="s">
        <v>185</v>
      </c>
      <c r="D13" s="1084"/>
      <c r="E13" s="1084"/>
      <c r="F13" s="1084"/>
      <c r="G13" s="1084"/>
      <c r="H13" s="1084"/>
      <c r="I13" s="1085">
        <v>0.4</v>
      </c>
      <c r="J13" s="1085"/>
      <c r="K13" s="1085"/>
      <c r="L13" s="1086">
        <v>1</v>
      </c>
      <c r="M13" s="1086"/>
      <c r="N13" s="390"/>
      <c r="O13" s="390">
        <f>N13/L13</f>
        <v>0</v>
      </c>
      <c r="P13" s="390"/>
      <c r="Q13" s="391">
        <f>I13*O13</f>
        <v>0</v>
      </c>
      <c r="R13" s="69"/>
    </row>
    <row r="14" spans="2:18" ht="21" customHeight="1">
      <c r="B14" s="86">
        <v>2</v>
      </c>
      <c r="C14" s="1087" t="s">
        <v>469</v>
      </c>
      <c r="D14" s="1087"/>
      <c r="E14" s="1087"/>
      <c r="F14" s="1087"/>
      <c r="G14" s="1087"/>
      <c r="H14" s="1087"/>
      <c r="I14" s="1088">
        <v>0.6</v>
      </c>
      <c r="J14" s="1088"/>
      <c r="K14" s="1088"/>
      <c r="L14" s="1089">
        <v>1</v>
      </c>
      <c r="M14" s="1089"/>
      <c r="N14" s="392"/>
      <c r="O14" s="392">
        <f>N14/L14</f>
        <v>0</v>
      </c>
      <c r="P14" s="392"/>
      <c r="Q14" s="391">
        <f>I14*O14</f>
        <v>0</v>
      </c>
      <c r="R14" s="69"/>
    </row>
    <row r="15" spans="2:18" ht="21" customHeight="1">
      <c r="B15" s="377" t="s">
        <v>22</v>
      </c>
      <c r="C15" s="393" t="s">
        <v>54</v>
      </c>
      <c r="D15" s="379"/>
      <c r="E15" s="380"/>
      <c r="F15" s="380"/>
      <c r="G15" s="381"/>
      <c r="H15" s="381"/>
      <c r="I15" s="380"/>
      <c r="J15" s="380"/>
      <c r="K15" s="380"/>
      <c r="L15" s="1090"/>
      <c r="M15" s="1090"/>
      <c r="N15" s="1090"/>
      <c r="O15" s="383"/>
      <c r="P15" s="384"/>
      <c r="Q15" s="394">
        <f>SUM(Q17:Q21)</f>
        <v>0</v>
      </c>
      <c r="R15" s="69"/>
    </row>
    <row r="16" spans="2:18" s="4" customFormat="1" ht="29.1" customHeight="1">
      <c r="B16" s="386"/>
      <c r="C16" s="387" t="s">
        <v>31</v>
      </c>
      <c r="D16" s="387" t="s">
        <v>152</v>
      </c>
      <c r="E16" s="1083" t="s">
        <v>39</v>
      </c>
      <c r="F16" s="1091"/>
      <c r="G16" s="1083" t="s">
        <v>17</v>
      </c>
      <c r="H16" s="1091"/>
      <c r="I16" s="1083" t="s">
        <v>116</v>
      </c>
      <c r="J16" s="1083"/>
      <c r="K16" s="1083"/>
      <c r="L16" s="1083" t="s">
        <v>19</v>
      </c>
      <c r="M16" s="1083"/>
      <c r="N16" s="388" t="s">
        <v>174</v>
      </c>
      <c r="O16" s="387" t="s">
        <v>164</v>
      </c>
      <c r="P16" s="387" t="s">
        <v>32</v>
      </c>
      <c r="Q16" s="386" t="s">
        <v>20</v>
      </c>
    </row>
    <row r="17" spans="2:17" ht="68.099999999999994" customHeight="1">
      <c r="B17" s="86">
        <v>1</v>
      </c>
      <c r="C17" s="511" t="s">
        <v>453</v>
      </c>
      <c r="D17" s="348">
        <v>0.2</v>
      </c>
      <c r="E17" s="1084" t="s">
        <v>491</v>
      </c>
      <c r="F17" s="1084"/>
      <c r="G17" s="1092" t="s">
        <v>413</v>
      </c>
      <c r="H17" s="1093"/>
      <c r="I17" s="1094" t="s">
        <v>471</v>
      </c>
      <c r="J17" s="1095"/>
      <c r="K17" s="1096"/>
      <c r="L17" s="1097" t="s">
        <v>414</v>
      </c>
      <c r="M17" s="1097"/>
      <c r="N17" s="364">
        <v>0</v>
      </c>
      <c r="O17" s="364"/>
      <c r="P17" s="365" t="str">
        <f>IF(LEN(O17)=0,"",IF(O17=N17,1,0))</f>
        <v/>
      </c>
      <c r="Q17" s="358" t="str">
        <f t="shared" ref="Q17:Q21" si="0">IFERROR(P17*D17,"")</f>
        <v/>
      </c>
    </row>
    <row r="18" spans="2:17" ht="51" customHeight="1">
      <c r="B18" s="86">
        <v>2</v>
      </c>
      <c r="C18" s="511" t="s">
        <v>482</v>
      </c>
      <c r="D18" s="348">
        <v>0.2</v>
      </c>
      <c r="E18" s="1087" t="s">
        <v>492</v>
      </c>
      <c r="F18" s="1087"/>
      <c r="G18" s="1092" t="s">
        <v>413</v>
      </c>
      <c r="H18" s="1093"/>
      <c r="I18" s="1094" t="s">
        <v>471</v>
      </c>
      <c r="J18" s="1095"/>
      <c r="K18" s="1096"/>
      <c r="L18" s="1097" t="s">
        <v>414</v>
      </c>
      <c r="M18" s="1097"/>
      <c r="N18" s="364">
        <v>0</v>
      </c>
      <c r="O18" s="364"/>
      <c r="P18" s="365" t="str">
        <f>IF(LEN(O18)=0,"",IF(O18=N18,1,0))</f>
        <v/>
      </c>
      <c r="Q18" s="358" t="str">
        <f t="shared" si="0"/>
        <v/>
      </c>
    </row>
    <row r="19" spans="2:17" ht="51" customHeight="1">
      <c r="B19" s="86">
        <v>3</v>
      </c>
      <c r="C19" s="361" t="s">
        <v>591</v>
      </c>
      <c r="D19" s="348">
        <v>0.3</v>
      </c>
      <c r="E19" s="1084" t="s">
        <v>493</v>
      </c>
      <c r="F19" s="1084"/>
      <c r="G19" s="1092" t="s">
        <v>330</v>
      </c>
      <c r="H19" s="1093"/>
      <c r="I19" s="1094" t="s">
        <v>526</v>
      </c>
      <c r="J19" s="1095"/>
      <c r="K19" s="1096"/>
      <c r="L19" s="1097" t="s">
        <v>326</v>
      </c>
      <c r="M19" s="1097"/>
      <c r="N19" s="346">
        <v>0.8</v>
      </c>
      <c r="O19" s="346"/>
      <c r="P19" s="352" t="str">
        <f>IF(LEN(O19)=0,"",IF(O19&gt;=N19,100%,0%))</f>
        <v/>
      </c>
      <c r="Q19" s="358" t="str">
        <f t="shared" si="0"/>
        <v/>
      </c>
    </row>
    <row r="20" spans="2:17" ht="51" customHeight="1">
      <c r="B20" s="86">
        <v>4</v>
      </c>
      <c r="C20" s="361" t="s">
        <v>593</v>
      </c>
      <c r="D20" s="348">
        <v>0.15</v>
      </c>
      <c r="E20" s="1087" t="s">
        <v>617</v>
      </c>
      <c r="F20" s="1087"/>
      <c r="G20" s="1092" t="s">
        <v>342</v>
      </c>
      <c r="H20" s="1093"/>
      <c r="I20" s="1094" t="s">
        <v>471</v>
      </c>
      <c r="J20" s="1095"/>
      <c r="K20" s="1096"/>
      <c r="L20" s="1097" t="s">
        <v>343</v>
      </c>
      <c r="M20" s="1097"/>
      <c r="N20" s="353">
        <v>46387</v>
      </c>
      <c r="O20" s="353"/>
      <c r="P20" s="354" t="str">
        <f>IF(LEN(O20)=0,"",IF(O20&lt;=N20,1,0))</f>
        <v/>
      </c>
      <c r="Q20" s="358" t="str">
        <f t="shared" si="0"/>
        <v/>
      </c>
    </row>
    <row r="21" spans="2:17" ht="66" customHeight="1">
      <c r="B21" s="86">
        <v>5</v>
      </c>
      <c r="C21" s="361" t="s">
        <v>595</v>
      </c>
      <c r="D21" s="348">
        <v>0.15</v>
      </c>
      <c r="E21" s="1087" t="s">
        <v>487</v>
      </c>
      <c r="F21" s="1087"/>
      <c r="G21" s="1092" t="s">
        <v>342</v>
      </c>
      <c r="H21" s="1093"/>
      <c r="I21" s="1094" t="s">
        <v>525</v>
      </c>
      <c r="J21" s="1095"/>
      <c r="K21" s="1096"/>
      <c r="L21" s="1097" t="s">
        <v>343</v>
      </c>
      <c r="M21" s="1097"/>
      <c r="N21" s="353">
        <v>46387</v>
      </c>
      <c r="O21" s="353"/>
      <c r="P21" s="354" t="str">
        <f>IF(LEN(O21)=0,"",IF(O21&lt;=N21,1,0))</f>
        <v/>
      </c>
      <c r="Q21" s="358" t="str">
        <f t="shared" si="0"/>
        <v/>
      </c>
    </row>
    <row r="22" spans="2:17" ht="20.100000000000001" customHeight="1">
      <c r="B22" s="377" t="s">
        <v>40</v>
      </c>
      <c r="C22" s="378" t="s">
        <v>186</v>
      </c>
      <c r="D22" s="379"/>
      <c r="E22" s="380"/>
      <c r="F22" s="380"/>
      <c r="G22" s="381"/>
      <c r="H22" s="381"/>
      <c r="I22" s="380"/>
      <c r="J22" s="380"/>
      <c r="K22" s="380"/>
      <c r="L22" s="1090"/>
      <c r="M22" s="1090"/>
      <c r="N22" s="1090"/>
      <c r="O22" s="383"/>
      <c r="P22" s="384"/>
      <c r="Q22" s="385" t="e">
        <f>SUM(Q25:Q29)/5</f>
        <v>#DIV/0!</v>
      </c>
    </row>
    <row r="23" spans="2:17" s="4" customFormat="1" ht="26.1" customHeight="1">
      <c r="B23" s="1098"/>
      <c r="C23" s="1081" t="s">
        <v>8</v>
      </c>
      <c r="D23" s="1081"/>
      <c r="E23" s="1081"/>
      <c r="F23" s="1081"/>
      <c r="G23" s="1081"/>
      <c r="H23" s="1081"/>
      <c r="I23" s="1100" t="s">
        <v>118</v>
      </c>
      <c r="J23" s="1100"/>
      <c r="K23" s="1100"/>
      <c r="L23" s="1100"/>
      <c r="M23" s="1100"/>
      <c r="N23" s="1100"/>
      <c r="O23" s="1101" t="s">
        <v>123</v>
      </c>
      <c r="P23" s="1100" t="s">
        <v>125</v>
      </c>
      <c r="Q23" s="1098" t="s">
        <v>102</v>
      </c>
    </row>
    <row r="24" spans="2:17" s="4" customFormat="1" ht="39" customHeight="1">
      <c r="B24" s="1098"/>
      <c r="C24" s="1099"/>
      <c r="D24" s="1099"/>
      <c r="E24" s="1099"/>
      <c r="F24" s="1099"/>
      <c r="G24" s="1099"/>
      <c r="H24" s="1099"/>
      <c r="I24" s="1104" t="s">
        <v>119</v>
      </c>
      <c r="J24" s="1104"/>
      <c r="K24" s="398" t="s">
        <v>120</v>
      </c>
      <c r="L24" s="398" t="s">
        <v>153</v>
      </c>
      <c r="M24" s="398" t="s">
        <v>121</v>
      </c>
      <c r="N24" s="398" t="s">
        <v>122</v>
      </c>
      <c r="O24" s="1102"/>
      <c r="P24" s="1103"/>
      <c r="Q24" s="1098"/>
    </row>
    <row r="25" spans="2:17" s="45" customFormat="1" ht="32.1" customHeight="1">
      <c r="B25" s="86">
        <v>1</v>
      </c>
      <c r="C25" s="1105" t="s">
        <v>62</v>
      </c>
      <c r="D25" s="1105"/>
      <c r="E25" s="1105"/>
      <c r="F25" s="1105"/>
      <c r="G25" s="1105"/>
      <c r="H25" s="1105"/>
      <c r="I25" s="1106">
        <v>1</v>
      </c>
      <c r="J25" s="1106"/>
      <c r="K25" s="400">
        <v>2</v>
      </c>
      <c r="L25" s="399">
        <v>3</v>
      </c>
      <c r="M25" s="400">
        <v>4</v>
      </c>
      <c r="N25" s="399">
        <v>5</v>
      </c>
      <c r="O25" s="401"/>
      <c r="P25" s="399"/>
      <c r="Q25" s="391" t="e">
        <f>P25/O25</f>
        <v>#DIV/0!</v>
      </c>
    </row>
    <row r="26" spans="2:17" s="45" customFormat="1" ht="32.1" customHeight="1">
      <c r="B26" s="86">
        <f>B25+1</f>
        <v>2</v>
      </c>
      <c r="C26" s="1105" t="s">
        <v>63</v>
      </c>
      <c r="D26" s="1105"/>
      <c r="E26" s="1105"/>
      <c r="F26" s="1105"/>
      <c r="G26" s="1105"/>
      <c r="H26" s="1105"/>
      <c r="I26" s="1106">
        <v>1</v>
      </c>
      <c r="J26" s="1106"/>
      <c r="K26" s="400">
        <v>2</v>
      </c>
      <c r="L26" s="399">
        <v>3</v>
      </c>
      <c r="M26" s="400">
        <v>4</v>
      </c>
      <c r="N26" s="399">
        <v>5</v>
      </c>
      <c r="O26" s="401"/>
      <c r="P26" s="399"/>
      <c r="Q26" s="391" t="e">
        <f>P26/O26</f>
        <v>#DIV/0!</v>
      </c>
    </row>
    <row r="27" spans="2:17" s="45" customFormat="1" ht="32.1" customHeight="1">
      <c r="B27" s="86">
        <v>3</v>
      </c>
      <c r="C27" s="1105" t="s">
        <v>64</v>
      </c>
      <c r="D27" s="1105"/>
      <c r="E27" s="1105"/>
      <c r="F27" s="1105"/>
      <c r="G27" s="1105"/>
      <c r="H27" s="1105"/>
      <c r="I27" s="1106">
        <v>1</v>
      </c>
      <c r="J27" s="1106"/>
      <c r="K27" s="400">
        <v>2</v>
      </c>
      <c r="L27" s="399">
        <v>3</v>
      </c>
      <c r="M27" s="400">
        <v>4</v>
      </c>
      <c r="N27" s="399">
        <v>5</v>
      </c>
      <c r="O27" s="401"/>
      <c r="P27" s="399"/>
      <c r="Q27" s="391" t="e">
        <f>P27/O27</f>
        <v>#DIV/0!</v>
      </c>
    </row>
    <row r="28" spans="2:17" s="45" customFormat="1" ht="32.1" customHeight="1">
      <c r="B28" s="86">
        <f>B27+1</f>
        <v>4</v>
      </c>
      <c r="C28" s="1105" t="s">
        <v>65</v>
      </c>
      <c r="D28" s="1105"/>
      <c r="E28" s="1105"/>
      <c r="F28" s="1105"/>
      <c r="G28" s="1105"/>
      <c r="H28" s="1105"/>
      <c r="I28" s="1106">
        <v>1</v>
      </c>
      <c r="J28" s="1106"/>
      <c r="K28" s="400">
        <v>2</v>
      </c>
      <c r="L28" s="399">
        <v>3</v>
      </c>
      <c r="M28" s="400">
        <v>4</v>
      </c>
      <c r="N28" s="399">
        <v>5</v>
      </c>
      <c r="O28" s="401"/>
      <c r="P28" s="399"/>
      <c r="Q28" s="391" t="e">
        <f>P28/O28</f>
        <v>#DIV/0!</v>
      </c>
    </row>
    <row r="29" spans="2:17" s="45" customFormat="1" ht="32.1" customHeight="1">
      <c r="B29" s="86">
        <v>5</v>
      </c>
      <c r="C29" s="1107" t="s">
        <v>66</v>
      </c>
      <c r="D29" s="1107"/>
      <c r="E29" s="1107"/>
      <c r="F29" s="1107"/>
      <c r="G29" s="1107"/>
      <c r="H29" s="1107"/>
      <c r="I29" s="1108">
        <v>1</v>
      </c>
      <c r="J29" s="1108"/>
      <c r="K29" s="403">
        <v>2</v>
      </c>
      <c r="L29" s="402">
        <v>3</v>
      </c>
      <c r="M29" s="403">
        <v>4</v>
      </c>
      <c r="N29" s="402">
        <v>5</v>
      </c>
      <c r="O29" s="404"/>
      <c r="P29" s="402"/>
      <c r="Q29" s="391" t="e">
        <f>P29/O29</f>
        <v>#DIV/0!</v>
      </c>
    </row>
    <row r="30" spans="2:17" ht="20.100000000000001" customHeight="1">
      <c r="B30" s="377" t="s">
        <v>41</v>
      </c>
      <c r="C30" s="378" t="s">
        <v>42</v>
      </c>
      <c r="D30" s="379"/>
      <c r="E30" s="380"/>
      <c r="F30" s="380"/>
      <c r="G30" s="381"/>
      <c r="H30" s="381"/>
      <c r="I30" s="380"/>
      <c r="J30" s="380"/>
      <c r="K30" s="380"/>
      <c r="L30" s="382"/>
      <c r="M30" s="382"/>
      <c r="N30" s="382"/>
      <c r="O30" s="383"/>
      <c r="P30" s="384"/>
      <c r="Q30" s="385" t="e">
        <f>SUM(N32:N34)</f>
        <v>#DIV/0!</v>
      </c>
    </row>
    <row r="31" spans="2:17" s="4" customFormat="1" ht="18.95" customHeight="1">
      <c r="B31" s="386"/>
      <c r="C31" s="1082" t="s">
        <v>8</v>
      </c>
      <c r="D31" s="1082"/>
      <c r="E31" s="1082"/>
      <c r="F31" s="1082"/>
      <c r="G31" s="1082"/>
      <c r="H31" s="1082"/>
      <c r="I31" s="1083" t="s">
        <v>43</v>
      </c>
      <c r="J31" s="1083"/>
      <c r="K31" s="1083"/>
      <c r="L31" s="1083" t="s">
        <v>154</v>
      </c>
      <c r="M31" s="1083"/>
      <c r="N31" s="387" t="s">
        <v>67</v>
      </c>
      <c r="O31" s="1083" t="s">
        <v>44</v>
      </c>
      <c r="P31" s="1083"/>
      <c r="Q31" s="1098"/>
    </row>
    <row r="32" spans="2:17" s="45" customFormat="1" ht="21" customHeight="1">
      <c r="B32" s="86">
        <v>1</v>
      </c>
      <c r="C32" s="1109" t="s">
        <v>470</v>
      </c>
      <c r="D32" s="1109"/>
      <c r="E32" s="1109"/>
      <c r="F32" s="1109"/>
      <c r="G32" s="1109"/>
      <c r="H32" s="1109"/>
      <c r="I32" s="1085">
        <f>Q11</f>
        <v>0</v>
      </c>
      <c r="J32" s="1085"/>
      <c r="K32" s="1085"/>
      <c r="L32" s="1110">
        <v>0.2</v>
      </c>
      <c r="M32" s="1110"/>
      <c r="N32" s="390">
        <f>I32*L32</f>
        <v>0</v>
      </c>
      <c r="O32" s="1111" t="e">
        <f>IF(Q30=0,"",IF(Q30&gt;100%,"XUẤT SẮC",IF(Q30&gt;=90%,"TỐT",IF(Q30&gt;=80%,"HOÀN THÀNH","KHÔNG HOÀN THÀNH"))))</f>
        <v>#DIV/0!</v>
      </c>
      <c r="P32" s="1112"/>
      <c r="Q32" s="1112"/>
    </row>
    <row r="33" spans="2:17" s="45" customFormat="1" ht="21" customHeight="1">
      <c r="B33" s="86">
        <f>B32+1</f>
        <v>2</v>
      </c>
      <c r="C33" s="1109" t="s">
        <v>155</v>
      </c>
      <c r="D33" s="1109"/>
      <c r="E33" s="1109"/>
      <c r="F33" s="1109"/>
      <c r="G33" s="1109"/>
      <c r="H33" s="1109"/>
      <c r="I33" s="1085">
        <f>Q15</f>
        <v>0</v>
      </c>
      <c r="J33" s="1085"/>
      <c r="K33" s="1085"/>
      <c r="L33" s="1110">
        <v>0.7</v>
      </c>
      <c r="M33" s="1110"/>
      <c r="N33" s="390">
        <f>I33*L33</f>
        <v>0</v>
      </c>
      <c r="O33" s="1112"/>
      <c r="P33" s="1112"/>
      <c r="Q33" s="1112"/>
    </row>
    <row r="34" spans="2:17" s="45" customFormat="1" ht="21" customHeight="1">
      <c r="B34" s="86">
        <f>B33+1</f>
        <v>3</v>
      </c>
      <c r="C34" s="1114" t="s">
        <v>187</v>
      </c>
      <c r="D34" s="1114"/>
      <c r="E34" s="1114"/>
      <c r="F34" s="1114"/>
      <c r="G34" s="1114"/>
      <c r="H34" s="1114"/>
      <c r="I34" s="1088" t="e">
        <f>Q22</f>
        <v>#DIV/0!</v>
      </c>
      <c r="J34" s="1088"/>
      <c r="K34" s="1088"/>
      <c r="L34" s="1115">
        <v>0.1</v>
      </c>
      <c r="M34" s="1115"/>
      <c r="N34" s="392" t="e">
        <f>I34*L34</f>
        <v>#DIV/0!</v>
      </c>
      <c r="O34" s="1113"/>
      <c r="P34" s="1113"/>
      <c r="Q34" s="1113"/>
    </row>
    <row r="35" spans="2:17" ht="18.95" customHeight="1">
      <c r="B35" s="377" t="s">
        <v>45</v>
      </c>
      <c r="C35" s="393" t="s">
        <v>46</v>
      </c>
      <c r="D35" s="380"/>
      <c r="E35" s="380"/>
      <c r="F35" s="380"/>
      <c r="G35" s="381"/>
      <c r="H35" s="381"/>
      <c r="I35" s="380"/>
      <c r="J35" s="380"/>
      <c r="K35" s="380"/>
      <c r="L35" s="380"/>
      <c r="M35" s="380"/>
      <c r="N35" s="380"/>
      <c r="O35" s="380"/>
      <c r="P35" s="380"/>
      <c r="Q35" s="405"/>
    </row>
    <row r="36" spans="2:17" ht="57.95" customHeight="1">
      <c r="B36" s="406">
        <v>1</v>
      </c>
      <c r="C36" s="1116" t="s">
        <v>47</v>
      </c>
      <c r="D36" s="1116"/>
      <c r="E36" s="1116"/>
      <c r="F36" s="1116"/>
      <c r="G36" s="1116"/>
      <c r="H36" s="1116"/>
      <c r="I36" s="1117" t="s">
        <v>48</v>
      </c>
      <c r="J36" s="1117"/>
      <c r="K36" s="1117"/>
      <c r="L36" s="1117"/>
      <c r="M36" s="1117"/>
      <c r="N36" s="1118" t="s">
        <v>49</v>
      </c>
      <c r="O36" s="1118"/>
      <c r="P36" s="1118" t="s">
        <v>50</v>
      </c>
      <c r="Q36" s="1118"/>
    </row>
    <row r="37" spans="2:17" ht="105" customHeight="1">
      <c r="B37" s="406">
        <v>2</v>
      </c>
      <c r="C37" s="1119" t="s">
        <v>51</v>
      </c>
      <c r="D37" s="1119"/>
      <c r="E37" s="1119"/>
      <c r="F37" s="1119"/>
      <c r="G37" s="1119"/>
      <c r="H37" s="1119"/>
      <c r="I37" s="1120" t="s">
        <v>52</v>
      </c>
      <c r="J37" s="1093"/>
      <c r="K37" s="1093"/>
      <c r="L37" s="1093"/>
      <c r="M37" s="1093"/>
      <c r="N37" s="1093"/>
      <c r="O37" s="1093"/>
      <c r="P37" s="1093"/>
      <c r="Q37" s="1093"/>
    </row>
    <row r="38" spans="2:17">
      <c r="B38" s="5"/>
      <c r="C38" s="5"/>
      <c r="D38" s="5"/>
      <c r="E38" s="5"/>
      <c r="F38" s="5"/>
      <c r="G38" s="6"/>
      <c r="H38" s="6"/>
      <c r="I38" s="5"/>
      <c r="J38" s="5"/>
      <c r="K38" s="5"/>
      <c r="L38" s="5"/>
      <c r="M38" s="5"/>
      <c r="N38" s="5"/>
      <c r="O38" s="5"/>
      <c r="P38" s="5"/>
      <c r="Q38" s="6"/>
    </row>
    <row r="39" spans="2:17" ht="12.95" customHeight="1">
      <c r="B39" s="37"/>
      <c r="C39" s="47"/>
      <c r="D39" s="38"/>
      <c r="E39" s="38"/>
      <c r="F39" s="38"/>
      <c r="G39" s="37"/>
      <c r="H39" s="37"/>
      <c r="I39" s="38"/>
      <c r="J39" s="38"/>
      <c r="K39" s="38"/>
      <c r="L39" s="38"/>
      <c r="M39" s="38"/>
      <c r="N39" s="38"/>
      <c r="O39" s="38"/>
      <c r="P39" s="38"/>
      <c r="Q39" s="37"/>
    </row>
    <row r="40" spans="2:17" s="51" customFormat="1" ht="32.1" customHeight="1">
      <c r="B40" s="1079" t="s">
        <v>539</v>
      </c>
      <c r="C40" s="975"/>
      <c r="D40" s="1079" t="s">
        <v>537</v>
      </c>
      <c r="E40" s="975"/>
      <c r="F40" s="975"/>
      <c r="G40" s="975"/>
      <c r="H40" s="975"/>
      <c r="I40" s="471"/>
      <c r="J40" s="1079" t="s">
        <v>540</v>
      </c>
      <c r="K40" s="1079"/>
      <c r="L40" s="1079"/>
      <c r="M40" s="1079"/>
      <c r="N40" s="1079"/>
      <c r="O40" s="1079"/>
      <c r="P40" s="1079"/>
      <c r="Q40" s="1079"/>
    </row>
    <row r="41" spans="2:17">
      <c r="B41" s="6"/>
      <c r="C41" s="5"/>
      <c r="D41" s="5"/>
      <c r="E41" s="5"/>
      <c r="F41" s="5"/>
      <c r="G41" s="6"/>
      <c r="I41" s="6"/>
      <c r="J41" s="6"/>
      <c r="K41" s="6"/>
      <c r="L41" s="5"/>
      <c r="M41" s="5"/>
      <c r="N41" s="5"/>
      <c r="O41" s="5"/>
      <c r="P41" s="5"/>
      <c r="Q41" s="5"/>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6"/>
      <c r="C45" s="5"/>
      <c r="D45" s="5"/>
      <c r="E45" s="5"/>
      <c r="F45" s="5"/>
      <c r="G45" s="6"/>
      <c r="I45" s="5"/>
      <c r="J45" s="6"/>
      <c r="K45" s="5"/>
      <c r="L45" s="5"/>
      <c r="M45" s="5"/>
      <c r="N45" s="5"/>
      <c r="O45" s="5"/>
      <c r="P45" s="5"/>
      <c r="Q45" s="6"/>
    </row>
    <row r="46" spans="2:17">
      <c r="B46" s="6"/>
      <c r="C46" s="5"/>
      <c r="D46" s="5"/>
      <c r="E46" s="5"/>
      <c r="F46" s="5"/>
      <c r="G46" s="6"/>
      <c r="I46" s="5"/>
      <c r="J46" s="6"/>
      <c r="K46" s="5"/>
      <c r="L46" s="5"/>
      <c r="M46" s="5"/>
      <c r="N46" s="5"/>
      <c r="O46" s="5"/>
      <c r="P46" s="5"/>
      <c r="Q46" s="6"/>
    </row>
    <row r="47" spans="2:17">
      <c r="B47" s="972" t="s">
        <v>29</v>
      </c>
      <c r="C47" s="972"/>
      <c r="D47" s="972" t="s">
        <v>29</v>
      </c>
      <c r="E47" s="972"/>
      <c r="F47" s="972"/>
      <c r="G47" s="972"/>
      <c r="H47" s="972"/>
      <c r="I47" s="5"/>
      <c r="J47" s="972" t="s">
        <v>29</v>
      </c>
      <c r="K47" s="972"/>
      <c r="L47" s="972"/>
      <c r="M47" s="972"/>
      <c r="N47" s="972"/>
      <c r="O47" s="972"/>
      <c r="P47" s="972"/>
      <c r="Q47" s="972"/>
    </row>
    <row r="48" spans="2:17">
      <c r="B48" s="6"/>
      <c r="C48" s="5"/>
      <c r="D48" s="5"/>
      <c r="E48" s="5"/>
      <c r="F48" s="5"/>
      <c r="G48" s="6"/>
      <c r="I48" s="5"/>
      <c r="J48" s="6"/>
      <c r="K48" s="5"/>
      <c r="L48" s="5"/>
      <c r="M48" s="5"/>
      <c r="N48" s="5"/>
      <c r="O48" s="5"/>
      <c r="P48" s="5"/>
      <c r="Q48" s="6"/>
    </row>
    <row r="49" spans="2:17">
      <c r="B49" s="37"/>
      <c r="C49" s="47"/>
      <c r="D49" s="38"/>
      <c r="E49" s="38"/>
      <c r="F49" s="38"/>
      <c r="G49" s="37"/>
      <c r="I49" s="38"/>
      <c r="J49" s="37"/>
      <c r="K49" s="38"/>
      <c r="L49" s="38"/>
      <c r="M49" s="38"/>
      <c r="N49" s="38"/>
      <c r="O49" s="38"/>
      <c r="P49" s="38"/>
      <c r="Q49" s="37"/>
    </row>
    <row r="50" spans="2:17" ht="24" customHeight="1">
      <c r="B50" s="1080"/>
      <c r="C50" s="972"/>
      <c r="D50" s="1080"/>
      <c r="E50" s="972"/>
      <c r="F50" s="972"/>
      <c r="G50" s="972"/>
      <c r="H50" s="972"/>
      <c r="I50" s="245"/>
      <c r="J50" s="972"/>
      <c r="K50" s="972"/>
      <c r="L50" s="972"/>
      <c r="M50" s="972"/>
      <c r="N50" s="245"/>
      <c r="O50" s="1080"/>
      <c r="P50" s="972"/>
      <c r="Q50" s="972"/>
    </row>
    <row r="51" spans="2:17">
      <c r="B51" s="6"/>
      <c r="C51" s="5"/>
      <c r="D51" s="5"/>
      <c r="E51" s="5"/>
      <c r="F51" s="5"/>
      <c r="G51" s="6"/>
      <c r="I51" s="6"/>
      <c r="J51" s="6"/>
      <c r="K51" s="6"/>
      <c r="L51" s="5"/>
      <c r="M51" s="5"/>
      <c r="N51" s="5"/>
      <c r="O51" s="5"/>
      <c r="P51" s="5"/>
      <c r="Q51" s="5"/>
    </row>
    <row r="52" spans="2:17">
      <c r="B52" s="6"/>
      <c r="C52" s="5"/>
      <c r="D52" s="5"/>
      <c r="E52" s="5"/>
      <c r="F52" s="5"/>
      <c r="G52" s="6"/>
      <c r="I52" s="5"/>
      <c r="J52" s="6"/>
      <c r="K52" s="5"/>
      <c r="L52" s="5"/>
      <c r="M52" s="5"/>
      <c r="N52" s="5"/>
      <c r="O52" s="5"/>
      <c r="P52" s="5"/>
      <c r="Q52" s="6"/>
    </row>
    <row r="53" spans="2:17">
      <c r="B53" s="6"/>
      <c r="C53" s="5"/>
      <c r="D53" s="5"/>
      <c r="E53" s="5"/>
      <c r="F53" s="5"/>
      <c r="G53" s="6"/>
      <c r="I53" s="5"/>
      <c r="J53" s="6"/>
      <c r="K53" s="5"/>
      <c r="L53" s="5"/>
      <c r="M53" s="5"/>
      <c r="N53" s="5"/>
      <c r="O53" s="5"/>
      <c r="P53" s="5"/>
      <c r="Q53" s="6"/>
    </row>
    <row r="54" spans="2:17">
      <c r="B54" s="6"/>
      <c r="C54" s="5"/>
      <c r="D54" s="5"/>
      <c r="E54" s="5"/>
      <c r="F54" s="5"/>
      <c r="G54" s="6"/>
      <c r="I54" s="5"/>
      <c r="J54" s="6"/>
      <c r="K54" s="5"/>
      <c r="L54" s="5"/>
      <c r="M54" s="5"/>
      <c r="N54" s="5"/>
      <c r="O54" s="5"/>
      <c r="P54" s="5"/>
      <c r="Q54" s="6"/>
    </row>
    <row r="55" spans="2:17">
      <c r="B55" s="6"/>
      <c r="C55" s="5"/>
      <c r="D55" s="5"/>
      <c r="E55" s="5"/>
      <c r="F55" s="5"/>
      <c r="G55" s="6"/>
      <c r="I55" s="5"/>
      <c r="J55" s="6"/>
      <c r="K55" s="5"/>
      <c r="L55" s="5"/>
      <c r="M55" s="5"/>
      <c r="N55" s="5"/>
      <c r="O55" s="5"/>
      <c r="P55" s="5"/>
      <c r="Q55" s="6"/>
    </row>
    <row r="56" spans="2:17">
      <c r="B56" s="6"/>
      <c r="C56" s="5"/>
      <c r="D56" s="5"/>
      <c r="E56" s="5"/>
      <c r="F56" s="5"/>
      <c r="G56" s="6"/>
      <c r="I56" s="5"/>
      <c r="J56" s="6"/>
      <c r="K56" s="5"/>
      <c r="L56" s="5"/>
      <c r="M56" s="5"/>
      <c r="N56" s="5"/>
      <c r="O56" s="5"/>
      <c r="P56" s="5"/>
      <c r="Q56" s="6"/>
    </row>
    <row r="57" spans="2:17">
      <c r="B57" s="972"/>
      <c r="C57" s="972"/>
      <c r="D57" s="972"/>
      <c r="E57" s="972"/>
      <c r="F57" s="972"/>
      <c r="G57" s="972"/>
      <c r="H57" s="972"/>
      <c r="I57" s="5"/>
      <c r="J57" s="972"/>
      <c r="K57" s="972"/>
      <c r="L57" s="972"/>
      <c r="M57" s="972"/>
      <c r="N57" s="5"/>
      <c r="O57" s="972"/>
      <c r="P57" s="972"/>
      <c r="Q57" s="972"/>
    </row>
    <row r="58" spans="2:17">
      <c r="B58" s="2"/>
    </row>
    <row r="59" spans="2:17">
      <c r="B59" s="2"/>
    </row>
  </sheetData>
  <mergeCells count="86">
    <mergeCell ref="B50:C50"/>
    <mergeCell ref="D50:H50"/>
    <mergeCell ref="J50:M50"/>
    <mergeCell ref="O50:Q50"/>
    <mergeCell ref="B57:C57"/>
    <mergeCell ref="D57:H57"/>
    <mergeCell ref="J57:M57"/>
    <mergeCell ref="O57:Q57"/>
    <mergeCell ref="B40:C40"/>
    <mergeCell ref="D40:H40"/>
    <mergeCell ref="B47:C47"/>
    <mergeCell ref="D47:H47"/>
    <mergeCell ref="J40:Q40"/>
    <mergeCell ref="J47:Q47"/>
    <mergeCell ref="C36:H36"/>
    <mergeCell ref="I36:M36"/>
    <mergeCell ref="N36:O36"/>
    <mergeCell ref="P36:Q36"/>
    <mergeCell ref="C37:H37"/>
    <mergeCell ref="I37:Q37"/>
    <mergeCell ref="C32:H32"/>
    <mergeCell ref="I32:K32"/>
    <mergeCell ref="L32:M32"/>
    <mergeCell ref="O32:Q34"/>
    <mergeCell ref="C33:H33"/>
    <mergeCell ref="I33:K33"/>
    <mergeCell ref="L33:M33"/>
    <mergeCell ref="C34:H34"/>
    <mergeCell ref="I34:K34"/>
    <mergeCell ref="L34:M34"/>
    <mergeCell ref="O31:Q31"/>
    <mergeCell ref="C26:H26"/>
    <mergeCell ref="I26:J26"/>
    <mergeCell ref="C27:H27"/>
    <mergeCell ref="I27:J27"/>
    <mergeCell ref="C28:H28"/>
    <mergeCell ref="I28:J28"/>
    <mergeCell ref="C29:H29"/>
    <mergeCell ref="I29:J29"/>
    <mergeCell ref="C31:H31"/>
    <mergeCell ref="I31:K31"/>
    <mergeCell ref="L31:M31"/>
    <mergeCell ref="O23:O24"/>
    <mergeCell ref="P23:P24"/>
    <mergeCell ref="Q23:Q24"/>
    <mergeCell ref="I24:J24"/>
    <mergeCell ref="C25:H25"/>
    <mergeCell ref="I25:J25"/>
    <mergeCell ref="B23:B24"/>
    <mergeCell ref="C23:H24"/>
    <mergeCell ref="I23:N23"/>
    <mergeCell ref="E19:F19"/>
    <mergeCell ref="G19:H19"/>
    <mergeCell ref="I19:K19"/>
    <mergeCell ref="L19:M19"/>
    <mergeCell ref="E20:F20"/>
    <mergeCell ref="G20:H20"/>
    <mergeCell ref="I20:K20"/>
    <mergeCell ref="L20:M20"/>
    <mergeCell ref="E21:F21"/>
    <mergeCell ref="G21:H21"/>
    <mergeCell ref="I21:K21"/>
    <mergeCell ref="L21:M21"/>
    <mergeCell ref="L22:N22"/>
    <mergeCell ref="E17:F17"/>
    <mergeCell ref="G17:H17"/>
    <mergeCell ref="I17:K17"/>
    <mergeCell ref="L17:M17"/>
    <mergeCell ref="E18:F18"/>
    <mergeCell ref="G18:H18"/>
    <mergeCell ref="I18:K18"/>
    <mergeCell ref="L18:M18"/>
    <mergeCell ref="C14:H14"/>
    <mergeCell ref="I14:K14"/>
    <mergeCell ref="L14:M14"/>
    <mergeCell ref="L15:N15"/>
    <mergeCell ref="E16:F16"/>
    <mergeCell ref="G16:H16"/>
    <mergeCell ref="I16:K16"/>
    <mergeCell ref="L16:M16"/>
    <mergeCell ref="C12:H12"/>
    <mergeCell ref="I12:K12"/>
    <mergeCell ref="L12:M12"/>
    <mergeCell ref="C13:H13"/>
    <mergeCell ref="I13:K13"/>
    <mergeCell ref="L13:M1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X40"/>
  <sheetViews>
    <sheetView showGridLines="0" zoomScale="136" zoomScaleNormal="90" workbookViewId="0">
      <pane xSplit="4" ySplit="9" topLeftCell="J10" activePane="bottomRight" state="frozen"/>
      <selection pane="topRight" activeCell="E1" sqref="E1"/>
      <selection pane="bottomLeft" activeCell="A10" sqref="A10"/>
      <selection pane="bottomRight" activeCell="K15" sqref="K15"/>
    </sheetView>
  </sheetViews>
  <sheetFormatPr defaultColWidth="8.875" defaultRowHeight="12.75"/>
  <cols>
    <col min="1" max="1" width="1.625" style="11" customWidth="1"/>
    <col min="2" max="2" width="6.75" style="11" customWidth="1"/>
    <col min="3" max="3" width="30.625" style="11" customWidth="1"/>
    <col min="4" max="4" width="8.375" style="17" customWidth="1"/>
    <col min="5" max="5" width="34" style="11" customWidth="1"/>
    <col min="6" max="6" width="8.125" style="11" customWidth="1"/>
    <col min="7" max="7" width="34" style="11" customWidth="1"/>
    <col min="8" max="8" width="7.5" style="11" customWidth="1"/>
    <col min="9" max="9" width="34" style="11" customWidth="1"/>
    <col min="10" max="10" width="7.5" style="11" customWidth="1"/>
    <col min="11" max="11" width="34" style="11" customWidth="1"/>
    <col min="12" max="12" width="7.5" style="11" customWidth="1"/>
    <col min="13" max="13" width="34" style="11" customWidth="1"/>
    <col min="14" max="14" width="7.5" style="11" customWidth="1"/>
    <col min="15" max="15" width="34" style="11" customWidth="1"/>
    <col min="16" max="16" width="7.875" style="11" customWidth="1"/>
    <col min="17" max="17" width="34" style="11" customWidth="1"/>
    <col min="18" max="18" width="6.5" style="11" customWidth="1"/>
    <col min="19" max="19" width="27" style="11" customWidth="1"/>
    <col min="20" max="232" width="8.875" style="11"/>
    <col min="233" max="233" width="5" style="11" customWidth="1"/>
    <col min="234" max="234" width="33.375" style="11" customWidth="1"/>
    <col min="235" max="235" width="6.5" style="11" customWidth="1"/>
    <col min="236" max="236" width="29.5" style="11" customWidth="1"/>
    <col min="237" max="237" width="23.625" style="11" customWidth="1"/>
    <col min="238" max="238" width="8" style="11" customWidth="1"/>
    <col min="239" max="239" width="9.125" style="11" customWidth="1"/>
    <col min="240" max="240" width="13.875" style="11" customWidth="1"/>
    <col min="241" max="241" width="13.5" style="11" customWidth="1"/>
    <col min="242" max="488" width="8.875" style="11"/>
    <col min="489" max="489" width="5" style="11" customWidth="1"/>
    <col min="490" max="490" width="33.375" style="11" customWidth="1"/>
    <col min="491" max="491" width="6.5" style="11" customWidth="1"/>
    <col min="492" max="492" width="29.5" style="11" customWidth="1"/>
    <col min="493" max="493" width="23.625" style="11" customWidth="1"/>
    <col min="494" max="494" width="8" style="11" customWidth="1"/>
    <col min="495" max="495" width="9.125" style="11" customWidth="1"/>
    <col min="496" max="496" width="13.875" style="11" customWidth="1"/>
    <col min="497" max="497" width="13.5" style="11" customWidth="1"/>
    <col min="498" max="744" width="8.875" style="11"/>
    <col min="745" max="745" width="5" style="11" customWidth="1"/>
    <col min="746" max="746" width="33.375" style="11" customWidth="1"/>
    <col min="747" max="747" width="6.5" style="11" customWidth="1"/>
    <col min="748" max="748" width="29.5" style="11" customWidth="1"/>
    <col min="749" max="749" width="23.625" style="11" customWidth="1"/>
    <col min="750" max="750" width="8" style="11" customWidth="1"/>
    <col min="751" max="751" width="9.125" style="11" customWidth="1"/>
    <col min="752" max="752" width="13.875" style="11" customWidth="1"/>
    <col min="753" max="753" width="13.5" style="11" customWidth="1"/>
    <col min="754" max="1000" width="8.875" style="11"/>
    <col min="1001" max="1001" width="5" style="11" customWidth="1"/>
    <col min="1002" max="1002" width="33.375" style="11" customWidth="1"/>
    <col min="1003" max="1003" width="6.5" style="11" customWidth="1"/>
    <col min="1004" max="1004" width="29.5" style="11" customWidth="1"/>
    <col min="1005" max="1005" width="23.625" style="11" customWidth="1"/>
    <col min="1006" max="1006" width="8" style="11" customWidth="1"/>
    <col min="1007" max="1007" width="9.125" style="11" customWidth="1"/>
    <col min="1008" max="1008" width="13.875" style="11" customWidth="1"/>
    <col min="1009" max="1009" width="13.5" style="11" customWidth="1"/>
    <col min="1010" max="1256" width="8.875" style="11"/>
    <col min="1257" max="1257" width="5" style="11" customWidth="1"/>
    <col min="1258" max="1258" width="33.375" style="11" customWidth="1"/>
    <col min="1259" max="1259" width="6.5" style="11" customWidth="1"/>
    <col min="1260" max="1260" width="29.5" style="11" customWidth="1"/>
    <col min="1261" max="1261" width="23.625" style="11" customWidth="1"/>
    <col min="1262" max="1262" width="8" style="11" customWidth="1"/>
    <col min="1263" max="1263" width="9.125" style="11" customWidth="1"/>
    <col min="1264" max="1264" width="13.875" style="11" customWidth="1"/>
    <col min="1265" max="1265" width="13.5" style="11" customWidth="1"/>
    <col min="1266" max="1512" width="8.875" style="11"/>
    <col min="1513" max="1513" width="5" style="11" customWidth="1"/>
    <col min="1514" max="1514" width="33.375" style="11" customWidth="1"/>
    <col min="1515" max="1515" width="6.5" style="11" customWidth="1"/>
    <col min="1516" max="1516" width="29.5" style="11" customWidth="1"/>
    <col min="1517" max="1517" width="23.625" style="11" customWidth="1"/>
    <col min="1518" max="1518" width="8" style="11" customWidth="1"/>
    <col min="1519" max="1519" width="9.125" style="11" customWidth="1"/>
    <col min="1520" max="1520" width="13.875" style="11" customWidth="1"/>
    <col min="1521" max="1521" width="13.5" style="11" customWidth="1"/>
    <col min="1522" max="1768" width="8.875" style="11"/>
    <col min="1769" max="1769" width="5" style="11" customWidth="1"/>
    <col min="1770" max="1770" width="33.375" style="11" customWidth="1"/>
    <col min="1771" max="1771" width="6.5" style="11" customWidth="1"/>
    <col min="1772" max="1772" width="29.5" style="11" customWidth="1"/>
    <col min="1773" max="1773" width="23.625" style="11" customWidth="1"/>
    <col min="1774" max="1774" width="8" style="11" customWidth="1"/>
    <col min="1775" max="1775" width="9.125" style="11" customWidth="1"/>
    <col min="1776" max="1776" width="13.875" style="11" customWidth="1"/>
    <col min="1777" max="1777" width="13.5" style="11" customWidth="1"/>
    <col min="1778" max="2024" width="8.875" style="11"/>
    <col min="2025" max="2025" width="5" style="11" customWidth="1"/>
    <col min="2026" max="2026" width="33.375" style="11" customWidth="1"/>
    <col min="2027" max="2027" width="6.5" style="11" customWidth="1"/>
    <col min="2028" max="2028" width="29.5" style="11" customWidth="1"/>
    <col min="2029" max="2029" width="23.625" style="11" customWidth="1"/>
    <col min="2030" max="2030" width="8" style="11" customWidth="1"/>
    <col min="2031" max="2031" width="9.125" style="11" customWidth="1"/>
    <col min="2032" max="2032" width="13.875" style="11" customWidth="1"/>
    <col min="2033" max="2033" width="13.5" style="11" customWidth="1"/>
    <col min="2034" max="2280" width="8.875" style="11"/>
    <col min="2281" max="2281" width="5" style="11" customWidth="1"/>
    <col min="2282" max="2282" width="33.375" style="11" customWidth="1"/>
    <col min="2283" max="2283" width="6.5" style="11" customWidth="1"/>
    <col min="2284" max="2284" width="29.5" style="11" customWidth="1"/>
    <col min="2285" max="2285" width="23.625" style="11" customWidth="1"/>
    <col min="2286" max="2286" width="8" style="11" customWidth="1"/>
    <col min="2287" max="2287" width="9.125" style="11" customWidth="1"/>
    <col min="2288" max="2288" width="13.875" style="11" customWidth="1"/>
    <col min="2289" max="2289" width="13.5" style="11" customWidth="1"/>
    <col min="2290" max="2536" width="8.875" style="11"/>
    <col min="2537" max="2537" width="5" style="11" customWidth="1"/>
    <col min="2538" max="2538" width="33.375" style="11" customWidth="1"/>
    <col min="2539" max="2539" width="6.5" style="11" customWidth="1"/>
    <col min="2540" max="2540" width="29.5" style="11" customWidth="1"/>
    <col min="2541" max="2541" width="23.625" style="11" customWidth="1"/>
    <col min="2542" max="2542" width="8" style="11" customWidth="1"/>
    <col min="2543" max="2543" width="9.125" style="11" customWidth="1"/>
    <col min="2544" max="2544" width="13.875" style="11" customWidth="1"/>
    <col min="2545" max="2545" width="13.5" style="11" customWidth="1"/>
    <col min="2546" max="2792" width="8.875" style="11"/>
    <col min="2793" max="2793" width="5" style="11" customWidth="1"/>
    <col min="2794" max="2794" width="33.375" style="11" customWidth="1"/>
    <col min="2795" max="2795" width="6.5" style="11" customWidth="1"/>
    <col min="2796" max="2796" width="29.5" style="11" customWidth="1"/>
    <col min="2797" max="2797" width="23.625" style="11" customWidth="1"/>
    <col min="2798" max="2798" width="8" style="11" customWidth="1"/>
    <col min="2799" max="2799" width="9.125" style="11" customWidth="1"/>
    <col min="2800" max="2800" width="13.875" style="11" customWidth="1"/>
    <col min="2801" max="2801" width="13.5" style="11" customWidth="1"/>
    <col min="2802" max="3048" width="8.875" style="11"/>
    <col min="3049" max="3049" width="5" style="11" customWidth="1"/>
    <col min="3050" max="3050" width="33.375" style="11" customWidth="1"/>
    <col min="3051" max="3051" width="6.5" style="11" customWidth="1"/>
    <col min="3052" max="3052" width="29.5" style="11" customWidth="1"/>
    <col min="3053" max="3053" width="23.625" style="11" customWidth="1"/>
    <col min="3054" max="3054" width="8" style="11" customWidth="1"/>
    <col min="3055" max="3055" width="9.125" style="11" customWidth="1"/>
    <col min="3056" max="3056" width="13.875" style="11" customWidth="1"/>
    <col min="3057" max="3057" width="13.5" style="11" customWidth="1"/>
    <col min="3058" max="3304" width="8.875" style="11"/>
    <col min="3305" max="3305" width="5" style="11" customWidth="1"/>
    <col min="3306" max="3306" width="33.375" style="11" customWidth="1"/>
    <col min="3307" max="3307" width="6.5" style="11" customWidth="1"/>
    <col min="3308" max="3308" width="29.5" style="11" customWidth="1"/>
    <col min="3309" max="3309" width="23.625" style="11" customWidth="1"/>
    <col min="3310" max="3310" width="8" style="11" customWidth="1"/>
    <col min="3311" max="3311" width="9.125" style="11" customWidth="1"/>
    <col min="3312" max="3312" width="13.875" style="11" customWidth="1"/>
    <col min="3313" max="3313" width="13.5" style="11" customWidth="1"/>
    <col min="3314" max="3560" width="8.875" style="11"/>
    <col min="3561" max="3561" width="5" style="11" customWidth="1"/>
    <col min="3562" max="3562" width="33.375" style="11" customWidth="1"/>
    <col min="3563" max="3563" width="6.5" style="11" customWidth="1"/>
    <col min="3564" max="3564" width="29.5" style="11" customWidth="1"/>
    <col min="3565" max="3565" width="23.625" style="11" customWidth="1"/>
    <col min="3566" max="3566" width="8" style="11" customWidth="1"/>
    <col min="3567" max="3567" width="9.125" style="11" customWidth="1"/>
    <col min="3568" max="3568" width="13.875" style="11" customWidth="1"/>
    <col min="3569" max="3569" width="13.5" style="11" customWidth="1"/>
    <col min="3570" max="3816" width="8.875" style="11"/>
    <col min="3817" max="3817" width="5" style="11" customWidth="1"/>
    <col min="3818" max="3818" width="33.375" style="11" customWidth="1"/>
    <col min="3819" max="3819" width="6.5" style="11" customWidth="1"/>
    <col min="3820" max="3820" width="29.5" style="11" customWidth="1"/>
    <col min="3821" max="3821" width="23.625" style="11" customWidth="1"/>
    <col min="3822" max="3822" width="8" style="11" customWidth="1"/>
    <col min="3823" max="3823" width="9.125" style="11" customWidth="1"/>
    <col min="3824" max="3824" width="13.875" style="11" customWidth="1"/>
    <col min="3825" max="3825" width="13.5" style="11" customWidth="1"/>
    <col min="3826" max="4072" width="8.875" style="11"/>
    <col min="4073" max="4073" width="5" style="11" customWidth="1"/>
    <col min="4074" max="4074" width="33.375" style="11" customWidth="1"/>
    <col min="4075" max="4075" width="6.5" style="11" customWidth="1"/>
    <col min="4076" max="4076" width="29.5" style="11" customWidth="1"/>
    <col min="4077" max="4077" width="23.625" style="11" customWidth="1"/>
    <col min="4078" max="4078" width="8" style="11" customWidth="1"/>
    <col min="4079" max="4079" width="9.125" style="11" customWidth="1"/>
    <col min="4080" max="4080" width="13.875" style="11" customWidth="1"/>
    <col min="4081" max="4081" width="13.5" style="11" customWidth="1"/>
    <col min="4082" max="4328" width="8.875" style="11"/>
    <col min="4329" max="4329" width="5" style="11" customWidth="1"/>
    <col min="4330" max="4330" width="33.375" style="11" customWidth="1"/>
    <col min="4331" max="4331" width="6.5" style="11" customWidth="1"/>
    <col min="4332" max="4332" width="29.5" style="11" customWidth="1"/>
    <col min="4333" max="4333" width="23.625" style="11" customWidth="1"/>
    <col min="4334" max="4334" width="8" style="11" customWidth="1"/>
    <col min="4335" max="4335" width="9.125" style="11" customWidth="1"/>
    <col min="4336" max="4336" width="13.875" style="11" customWidth="1"/>
    <col min="4337" max="4337" width="13.5" style="11" customWidth="1"/>
    <col min="4338" max="4584" width="8.875" style="11"/>
    <col min="4585" max="4585" width="5" style="11" customWidth="1"/>
    <col min="4586" max="4586" width="33.375" style="11" customWidth="1"/>
    <col min="4587" max="4587" width="6.5" style="11" customWidth="1"/>
    <col min="4588" max="4588" width="29.5" style="11" customWidth="1"/>
    <col min="4589" max="4589" width="23.625" style="11" customWidth="1"/>
    <col min="4590" max="4590" width="8" style="11" customWidth="1"/>
    <col min="4591" max="4591" width="9.125" style="11" customWidth="1"/>
    <col min="4592" max="4592" width="13.875" style="11" customWidth="1"/>
    <col min="4593" max="4593" width="13.5" style="11" customWidth="1"/>
    <col min="4594" max="4840" width="8.875" style="11"/>
    <col min="4841" max="4841" width="5" style="11" customWidth="1"/>
    <col min="4842" max="4842" width="33.375" style="11" customWidth="1"/>
    <col min="4843" max="4843" width="6.5" style="11" customWidth="1"/>
    <col min="4844" max="4844" width="29.5" style="11" customWidth="1"/>
    <col min="4845" max="4845" width="23.625" style="11" customWidth="1"/>
    <col min="4846" max="4846" width="8" style="11" customWidth="1"/>
    <col min="4847" max="4847" width="9.125" style="11" customWidth="1"/>
    <col min="4848" max="4848" width="13.875" style="11" customWidth="1"/>
    <col min="4849" max="4849" width="13.5" style="11" customWidth="1"/>
    <col min="4850" max="5096" width="8.875" style="11"/>
    <col min="5097" max="5097" width="5" style="11" customWidth="1"/>
    <col min="5098" max="5098" width="33.375" style="11" customWidth="1"/>
    <col min="5099" max="5099" width="6.5" style="11" customWidth="1"/>
    <col min="5100" max="5100" width="29.5" style="11" customWidth="1"/>
    <col min="5101" max="5101" width="23.625" style="11" customWidth="1"/>
    <col min="5102" max="5102" width="8" style="11" customWidth="1"/>
    <col min="5103" max="5103" width="9.125" style="11" customWidth="1"/>
    <col min="5104" max="5104" width="13.875" style="11" customWidth="1"/>
    <col min="5105" max="5105" width="13.5" style="11" customWidth="1"/>
    <col min="5106" max="5352" width="8.875" style="11"/>
    <col min="5353" max="5353" width="5" style="11" customWidth="1"/>
    <col min="5354" max="5354" width="33.375" style="11" customWidth="1"/>
    <col min="5355" max="5355" width="6.5" style="11" customWidth="1"/>
    <col min="5356" max="5356" width="29.5" style="11" customWidth="1"/>
    <col min="5357" max="5357" width="23.625" style="11" customWidth="1"/>
    <col min="5358" max="5358" width="8" style="11" customWidth="1"/>
    <col min="5359" max="5359" width="9.125" style="11" customWidth="1"/>
    <col min="5360" max="5360" width="13.875" style="11" customWidth="1"/>
    <col min="5361" max="5361" width="13.5" style="11" customWidth="1"/>
    <col min="5362" max="5608" width="8.875" style="11"/>
    <col min="5609" max="5609" width="5" style="11" customWidth="1"/>
    <col min="5610" max="5610" width="33.375" style="11" customWidth="1"/>
    <col min="5611" max="5611" width="6.5" style="11" customWidth="1"/>
    <col min="5612" max="5612" width="29.5" style="11" customWidth="1"/>
    <col min="5613" max="5613" width="23.625" style="11" customWidth="1"/>
    <col min="5614" max="5614" width="8" style="11" customWidth="1"/>
    <col min="5615" max="5615" width="9.125" style="11" customWidth="1"/>
    <col min="5616" max="5616" width="13.875" style="11" customWidth="1"/>
    <col min="5617" max="5617" width="13.5" style="11" customWidth="1"/>
    <col min="5618" max="5864" width="8.875" style="11"/>
    <col min="5865" max="5865" width="5" style="11" customWidth="1"/>
    <col min="5866" max="5866" width="33.375" style="11" customWidth="1"/>
    <col min="5867" max="5867" width="6.5" style="11" customWidth="1"/>
    <col min="5868" max="5868" width="29.5" style="11" customWidth="1"/>
    <col min="5869" max="5869" width="23.625" style="11" customWidth="1"/>
    <col min="5870" max="5870" width="8" style="11" customWidth="1"/>
    <col min="5871" max="5871" width="9.125" style="11" customWidth="1"/>
    <col min="5872" max="5872" width="13.875" style="11" customWidth="1"/>
    <col min="5873" max="5873" width="13.5" style="11" customWidth="1"/>
    <col min="5874" max="6120" width="8.875" style="11"/>
    <col min="6121" max="6121" width="5" style="11" customWidth="1"/>
    <col min="6122" max="6122" width="33.375" style="11" customWidth="1"/>
    <col min="6123" max="6123" width="6.5" style="11" customWidth="1"/>
    <col min="6124" max="6124" width="29.5" style="11" customWidth="1"/>
    <col min="6125" max="6125" width="23.625" style="11" customWidth="1"/>
    <col min="6126" max="6126" width="8" style="11" customWidth="1"/>
    <col min="6127" max="6127" width="9.125" style="11" customWidth="1"/>
    <col min="6128" max="6128" width="13.875" style="11" customWidth="1"/>
    <col min="6129" max="6129" width="13.5" style="11" customWidth="1"/>
    <col min="6130" max="6376" width="8.875" style="11"/>
    <col min="6377" max="6377" width="5" style="11" customWidth="1"/>
    <col min="6378" max="6378" width="33.375" style="11" customWidth="1"/>
    <col min="6379" max="6379" width="6.5" style="11" customWidth="1"/>
    <col min="6380" max="6380" width="29.5" style="11" customWidth="1"/>
    <col min="6381" max="6381" width="23.625" style="11" customWidth="1"/>
    <col min="6382" max="6382" width="8" style="11" customWidth="1"/>
    <col min="6383" max="6383" width="9.125" style="11" customWidth="1"/>
    <col min="6384" max="6384" width="13.875" style="11" customWidth="1"/>
    <col min="6385" max="6385" width="13.5" style="11" customWidth="1"/>
    <col min="6386" max="6632" width="8.875" style="11"/>
    <col min="6633" max="6633" width="5" style="11" customWidth="1"/>
    <col min="6634" max="6634" width="33.375" style="11" customWidth="1"/>
    <col min="6635" max="6635" width="6.5" style="11" customWidth="1"/>
    <col min="6636" max="6636" width="29.5" style="11" customWidth="1"/>
    <col min="6637" max="6637" width="23.625" style="11" customWidth="1"/>
    <col min="6638" max="6638" width="8" style="11" customWidth="1"/>
    <col min="6639" max="6639" width="9.125" style="11" customWidth="1"/>
    <col min="6640" max="6640" width="13.875" style="11" customWidth="1"/>
    <col min="6641" max="6641" width="13.5" style="11" customWidth="1"/>
    <col min="6642" max="6888" width="8.875" style="11"/>
    <col min="6889" max="6889" width="5" style="11" customWidth="1"/>
    <col min="6890" max="6890" width="33.375" style="11" customWidth="1"/>
    <col min="6891" max="6891" width="6.5" style="11" customWidth="1"/>
    <col min="6892" max="6892" width="29.5" style="11" customWidth="1"/>
    <col min="6893" max="6893" width="23.625" style="11" customWidth="1"/>
    <col min="6894" max="6894" width="8" style="11" customWidth="1"/>
    <col min="6895" max="6895" width="9.125" style="11" customWidth="1"/>
    <col min="6896" max="6896" width="13.875" style="11" customWidth="1"/>
    <col min="6897" max="6897" width="13.5" style="11" customWidth="1"/>
    <col min="6898" max="7144" width="8.875" style="11"/>
    <col min="7145" max="7145" width="5" style="11" customWidth="1"/>
    <col min="7146" max="7146" width="33.375" style="11" customWidth="1"/>
    <col min="7147" max="7147" width="6.5" style="11" customWidth="1"/>
    <col min="7148" max="7148" width="29.5" style="11" customWidth="1"/>
    <col min="7149" max="7149" width="23.625" style="11" customWidth="1"/>
    <col min="7150" max="7150" width="8" style="11" customWidth="1"/>
    <col min="7151" max="7151" width="9.125" style="11" customWidth="1"/>
    <col min="7152" max="7152" width="13.875" style="11" customWidth="1"/>
    <col min="7153" max="7153" width="13.5" style="11" customWidth="1"/>
    <col min="7154" max="7400" width="8.875" style="11"/>
    <col min="7401" max="7401" width="5" style="11" customWidth="1"/>
    <col min="7402" max="7402" width="33.375" style="11" customWidth="1"/>
    <col min="7403" max="7403" width="6.5" style="11" customWidth="1"/>
    <col min="7404" max="7404" width="29.5" style="11" customWidth="1"/>
    <col min="7405" max="7405" width="23.625" style="11" customWidth="1"/>
    <col min="7406" max="7406" width="8" style="11" customWidth="1"/>
    <col min="7407" max="7407" width="9.125" style="11" customWidth="1"/>
    <col min="7408" max="7408" width="13.875" style="11" customWidth="1"/>
    <col min="7409" max="7409" width="13.5" style="11" customWidth="1"/>
    <col min="7410" max="7656" width="8.875" style="11"/>
    <col min="7657" max="7657" width="5" style="11" customWidth="1"/>
    <col min="7658" max="7658" width="33.375" style="11" customWidth="1"/>
    <col min="7659" max="7659" width="6.5" style="11" customWidth="1"/>
    <col min="7660" max="7660" width="29.5" style="11" customWidth="1"/>
    <col min="7661" max="7661" width="23.625" style="11" customWidth="1"/>
    <col min="7662" max="7662" width="8" style="11" customWidth="1"/>
    <col min="7663" max="7663" width="9.125" style="11" customWidth="1"/>
    <col min="7664" max="7664" width="13.875" style="11" customWidth="1"/>
    <col min="7665" max="7665" width="13.5" style="11" customWidth="1"/>
    <col min="7666" max="7912" width="8.875" style="11"/>
    <col min="7913" max="7913" width="5" style="11" customWidth="1"/>
    <col min="7914" max="7914" width="33.375" style="11" customWidth="1"/>
    <col min="7915" max="7915" width="6.5" style="11" customWidth="1"/>
    <col min="7916" max="7916" width="29.5" style="11" customWidth="1"/>
    <col min="7917" max="7917" width="23.625" style="11" customWidth="1"/>
    <col min="7918" max="7918" width="8" style="11" customWidth="1"/>
    <col min="7919" max="7919" width="9.125" style="11" customWidth="1"/>
    <col min="7920" max="7920" width="13.875" style="11" customWidth="1"/>
    <col min="7921" max="7921" width="13.5" style="11" customWidth="1"/>
    <col min="7922" max="8168" width="8.875" style="11"/>
    <col min="8169" max="8169" width="5" style="11" customWidth="1"/>
    <col min="8170" max="8170" width="33.375" style="11" customWidth="1"/>
    <col min="8171" max="8171" width="6.5" style="11" customWidth="1"/>
    <col min="8172" max="8172" width="29.5" style="11" customWidth="1"/>
    <col min="8173" max="8173" width="23.625" style="11" customWidth="1"/>
    <col min="8174" max="8174" width="8" style="11" customWidth="1"/>
    <col min="8175" max="8175" width="9.125" style="11" customWidth="1"/>
    <col min="8176" max="8176" width="13.875" style="11" customWidth="1"/>
    <col min="8177" max="8177" width="13.5" style="11" customWidth="1"/>
    <col min="8178" max="8424" width="8.875" style="11"/>
    <col min="8425" max="8425" width="5" style="11" customWidth="1"/>
    <col min="8426" max="8426" width="33.375" style="11" customWidth="1"/>
    <col min="8427" max="8427" width="6.5" style="11" customWidth="1"/>
    <col min="8428" max="8428" width="29.5" style="11" customWidth="1"/>
    <col min="8429" max="8429" width="23.625" style="11" customWidth="1"/>
    <col min="8430" max="8430" width="8" style="11" customWidth="1"/>
    <col min="8431" max="8431" width="9.125" style="11" customWidth="1"/>
    <col min="8432" max="8432" width="13.875" style="11" customWidth="1"/>
    <col min="8433" max="8433" width="13.5" style="11" customWidth="1"/>
    <col min="8434" max="8680" width="8.875" style="11"/>
    <col min="8681" max="8681" width="5" style="11" customWidth="1"/>
    <col min="8682" max="8682" width="33.375" style="11" customWidth="1"/>
    <col min="8683" max="8683" width="6.5" style="11" customWidth="1"/>
    <col min="8684" max="8684" width="29.5" style="11" customWidth="1"/>
    <col min="8685" max="8685" width="23.625" style="11" customWidth="1"/>
    <col min="8686" max="8686" width="8" style="11" customWidth="1"/>
    <col min="8687" max="8687" width="9.125" style="11" customWidth="1"/>
    <col min="8688" max="8688" width="13.875" style="11" customWidth="1"/>
    <col min="8689" max="8689" width="13.5" style="11" customWidth="1"/>
    <col min="8690" max="8936" width="8.875" style="11"/>
    <col min="8937" max="8937" width="5" style="11" customWidth="1"/>
    <col min="8938" max="8938" width="33.375" style="11" customWidth="1"/>
    <col min="8939" max="8939" width="6.5" style="11" customWidth="1"/>
    <col min="8940" max="8940" width="29.5" style="11" customWidth="1"/>
    <col min="8941" max="8941" width="23.625" style="11" customWidth="1"/>
    <col min="8942" max="8942" width="8" style="11" customWidth="1"/>
    <col min="8943" max="8943" width="9.125" style="11" customWidth="1"/>
    <col min="8944" max="8944" width="13.875" style="11" customWidth="1"/>
    <col min="8945" max="8945" width="13.5" style="11" customWidth="1"/>
    <col min="8946" max="9192" width="8.875" style="11"/>
    <col min="9193" max="9193" width="5" style="11" customWidth="1"/>
    <col min="9194" max="9194" width="33.375" style="11" customWidth="1"/>
    <col min="9195" max="9195" width="6.5" style="11" customWidth="1"/>
    <col min="9196" max="9196" width="29.5" style="11" customWidth="1"/>
    <col min="9197" max="9197" width="23.625" style="11" customWidth="1"/>
    <col min="9198" max="9198" width="8" style="11" customWidth="1"/>
    <col min="9199" max="9199" width="9.125" style="11" customWidth="1"/>
    <col min="9200" max="9200" width="13.875" style="11" customWidth="1"/>
    <col min="9201" max="9201" width="13.5" style="11" customWidth="1"/>
    <col min="9202" max="9448" width="8.875" style="11"/>
    <col min="9449" max="9449" width="5" style="11" customWidth="1"/>
    <col min="9450" max="9450" width="33.375" style="11" customWidth="1"/>
    <col min="9451" max="9451" width="6.5" style="11" customWidth="1"/>
    <col min="9452" max="9452" width="29.5" style="11" customWidth="1"/>
    <col min="9453" max="9453" width="23.625" style="11" customWidth="1"/>
    <col min="9454" max="9454" width="8" style="11" customWidth="1"/>
    <col min="9455" max="9455" width="9.125" style="11" customWidth="1"/>
    <col min="9456" max="9456" width="13.875" style="11" customWidth="1"/>
    <col min="9457" max="9457" width="13.5" style="11" customWidth="1"/>
    <col min="9458" max="9704" width="8.875" style="11"/>
    <col min="9705" max="9705" width="5" style="11" customWidth="1"/>
    <col min="9706" max="9706" width="33.375" style="11" customWidth="1"/>
    <col min="9707" max="9707" width="6.5" style="11" customWidth="1"/>
    <col min="9708" max="9708" width="29.5" style="11" customWidth="1"/>
    <col min="9709" max="9709" width="23.625" style="11" customWidth="1"/>
    <col min="9710" max="9710" width="8" style="11" customWidth="1"/>
    <col min="9711" max="9711" width="9.125" style="11" customWidth="1"/>
    <col min="9712" max="9712" width="13.875" style="11" customWidth="1"/>
    <col min="9713" max="9713" width="13.5" style="11" customWidth="1"/>
    <col min="9714" max="9960" width="8.875" style="11"/>
    <col min="9961" max="9961" width="5" style="11" customWidth="1"/>
    <col min="9962" max="9962" width="33.375" style="11" customWidth="1"/>
    <col min="9963" max="9963" width="6.5" style="11" customWidth="1"/>
    <col min="9964" max="9964" width="29.5" style="11" customWidth="1"/>
    <col min="9965" max="9965" width="23.625" style="11" customWidth="1"/>
    <col min="9966" max="9966" width="8" style="11" customWidth="1"/>
    <col min="9967" max="9967" width="9.125" style="11" customWidth="1"/>
    <col min="9968" max="9968" width="13.875" style="11" customWidth="1"/>
    <col min="9969" max="9969" width="13.5" style="11" customWidth="1"/>
    <col min="9970" max="10216" width="8.875" style="11"/>
    <col min="10217" max="10217" width="5" style="11" customWidth="1"/>
    <col min="10218" max="10218" width="33.375" style="11" customWidth="1"/>
    <col min="10219" max="10219" width="6.5" style="11" customWidth="1"/>
    <col min="10220" max="10220" width="29.5" style="11" customWidth="1"/>
    <col min="10221" max="10221" width="23.625" style="11" customWidth="1"/>
    <col min="10222" max="10222" width="8" style="11" customWidth="1"/>
    <col min="10223" max="10223" width="9.125" style="11" customWidth="1"/>
    <col min="10224" max="10224" width="13.875" style="11" customWidth="1"/>
    <col min="10225" max="10225" width="13.5" style="11" customWidth="1"/>
    <col min="10226" max="10472" width="8.875" style="11"/>
    <col min="10473" max="10473" width="5" style="11" customWidth="1"/>
    <col min="10474" max="10474" width="33.375" style="11" customWidth="1"/>
    <col min="10475" max="10475" width="6.5" style="11" customWidth="1"/>
    <col min="10476" max="10476" width="29.5" style="11" customWidth="1"/>
    <col min="10477" max="10477" width="23.625" style="11" customWidth="1"/>
    <col min="10478" max="10478" width="8" style="11" customWidth="1"/>
    <col min="10479" max="10479" width="9.125" style="11" customWidth="1"/>
    <col min="10480" max="10480" width="13.875" style="11" customWidth="1"/>
    <col min="10481" max="10481" width="13.5" style="11" customWidth="1"/>
    <col min="10482" max="10728" width="8.875" style="11"/>
    <col min="10729" max="10729" width="5" style="11" customWidth="1"/>
    <col min="10730" max="10730" width="33.375" style="11" customWidth="1"/>
    <col min="10731" max="10731" width="6.5" style="11" customWidth="1"/>
    <col min="10732" max="10732" width="29.5" style="11" customWidth="1"/>
    <col min="10733" max="10733" width="23.625" style="11" customWidth="1"/>
    <col min="10734" max="10734" width="8" style="11" customWidth="1"/>
    <col min="10735" max="10735" width="9.125" style="11" customWidth="1"/>
    <col min="10736" max="10736" width="13.875" style="11" customWidth="1"/>
    <col min="10737" max="10737" width="13.5" style="11" customWidth="1"/>
    <col min="10738" max="10984" width="8.875" style="11"/>
    <col min="10985" max="10985" width="5" style="11" customWidth="1"/>
    <col min="10986" max="10986" width="33.375" style="11" customWidth="1"/>
    <col min="10987" max="10987" width="6.5" style="11" customWidth="1"/>
    <col min="10988" max="10988" width="29.5" style="11" customWidth="1"/>
    <col min="10989" max="10989" width="23.625" style="11" customWidth="1"/>
    <col min="10990" max="10990" width="8" style="11" customWidth="1"/>
    <col min="10991" max="10991" width="9.125" style="11" customWidth="1"/>
    <col min="10992" max="10992" width="13.875" style="11" customWidth="1"/>
    <col min="10993" max="10993" width="13.5" style="11" customWidth="1"/>
    <col min="10994" max="11240" width="8.875" style="11"/>
    <col min="11241" max="11241" width="5" style="11" customWidth="1"/>
    <col min="11242" max="11242" width="33.375" style="11" customWidth="1"/>
    <col min="11243" max="11243" width="6.5" style="11" customWidth="1"/>
    <col min="11244" max="11244" width="29.5" style="11" customWidth="1"/>
    <col min="11245" max="11245" width="23.625" style="11" customWidth="1"/>
    <col min="11246" max="11246" width="8" style="11" customWidth="1"/>
    <col min="11247" max="11247" width="9.125" style="11" customWidth="1"/>
    <col min="11248" max="11248" width="13.875" style="11" customWidth="1"/>
    <col min="11249" max="11249" width="13.5" style="11" customWidth="1"/>
    <col min="11250" max="11496" width="8.875" style="11"/>
    <col min="11497" max="11497" width="5" style="11" customWidth="1"/>
    <col min="11498" max="11498" width="33.375" style="11" customWidth="1"/>
    <col min="11499" max="11499" width="6.5" style="11" customWidth="1"/>
    <col min="11500" max="11500" width="29.5" style="11" customWidth="1"/>
    <col min="11501" max="11501" width="23.625" style="11" customWidth="1"/>
    <col min="11502" max="11502" width="8" style="11" customWidth="1"/>
    <col min="11503" max="11503" width="9.125" style="11" customWidth="1"/>
    <col min="11504" max="11504" width="13.875" style="11" customWidth="1"/>
    <col min="11505" max="11505" width="13.5" style="11" customWidth="1"/>
    <col min="11506" max="11752" width="8.875" style="11"/>
    <col min="11753" max="11753" width="5" style="11" customWidth="1"/>
    <col min="11754" max="11754" width="33.375" style="11" customWidth="1"/>
    <col min="11755" max="11755" width="6.5" style="11" customWidth="1"/>
    <col min="11756" max="11756" width="29.5" style="11" customWidth="1"/>
    <col min="11757" max="11757" width="23.625" style="11" customWidth="1"/>
    <col min="11758" max="11758" width="8" style="11" customWidth="1"/>
    <col min="11759" max="11759" width="9.125" style="11" customWidth="1"/>
    <col min="11760" max="11760" width="13.875" style="11" customWidth="1"/>
    <col min="11761" max="11761" width="13.5" style="11" customWidth="1"/>
    <col min="11762" max="12008" width="8.875" style="11"/>
    <col min="12009" max="12009" width="5" style="11" customWidth="1"/>
    <col min="12010" max="12010" width="33.375" style="11" customWidth="1"/>
    <col min="12011" max="12011" width="6.5" style="11" customWidth="1"/>
    <col min="12012" max="12012" width="29.5" style="11" customWidth="1"/>
    <col min="12013" max="12013" width="23.625" style="11" customWidth="1"/>
    <col min="12014" max="12014" width="8" style="11" customWidth="1"/>
    <col min="12015" max="12015" width="9.125" style="11" customWidth="1"/>
    <col min="12016" max="12016" width="13.875" style="11" customWidth="1"/>
    <col min="12017" max="12017" width="13.5" style="11" customWidth="1"/>
    <col min="12018" max="12264" width="8.875" style="11"/>
    <col min="12265" max="12265" width="5" style="11" customWidth="1"/>
    <col min="12266" max="12266" width="33.375" style="11" customWidth="1"/>
    <col min="12267" max="12267" width="6.5" style="11" customWidth="1"/>
    <col min="12268" max="12268" width="29.5" style="11" customWidth="1"/>
    <col min="12269" max="12269" width="23.625" style="11" customWidth="1"/>
    <col min="12270" max="12270" width="8" style="11" customWidth="1"/>
    <col min="12271" max="12271" width="9.125" style="11" customWidth="1"/>
    <col min="12272" max="12272" width="13.875" style="11" customWidth="1"/>
    <col min="12273" max="12273" width="13.5" style="11" customWidth="1"/>
    <col min="12274" max="12520" width="8.875" style="11"/>
    <col min="12521" max="12521" width="5" style="11" customWidth="1"/>
    <col min="12522" max="12522" width="33.375" style="11" customWidth="1"/>
    <col min="12523" max="12523" width="6.5" style="11" customWidth="1"/>
    <col min="12524" max="12524" width="29.5" style="11" customWidth="1"/>
    <col min="12525" max="12525" width="23.625" style="11" customWidth="1"/>
    <col min="12526" max="12526" width="8" style="11" customWidth="1"/>
    <col min="12527" max="12527" width="9.125" style="11" customWidth="1"/>
    <col min="12528" max="12528" width="13.875" style="11" customWidth="1"/>
    <col min="12529" max="12529" width="13.5" style="11" customWidth="1"/>
    <col min="12530" max="12776" width="8.875" style="11"/>
    <col min="12777" max="12777" width="5" style="11" customWidth="1"/>
    <col min="12778" max="12778" width="33.375" style="11" customWidth="1"/>
    <col min="12779" max="12779" width="6.5" style="11" customWidth="1"/>
    <col min="12780" max="12780" width="29.5" style="11" customWidth="1"/>
    <col min="12781" max="12781" width="23.625" style="11" customWidth="1"/>
    <col min="12782" max="12782" width="8" style="11" customWidth="1"/>
    <col min="12783" max="12783" width="9.125" style="11" customWidth="1"/>
    <col min="12784" max="12784" width="13.875" style="11" customWidth="1"/>
    <col min="12785" max="12785" width="13.5" style="11" customWidth="1"/>
    <col min="12786" max="13032" width="8.875" style="11"/>
    <col min="13033" max="13033" width="5" style="11" customWidth="1"/>
    <col min="13034" max="13034" width="33.375" style="11" customWidth="1"/>
    <col min="13035" max="13035" width="6.5" style="11" customWidth="1"/>
    <col min="13036" max="13036" width="29.5" style="11" customWidth="1"/>
    <col min="13037" max="13037" width="23.625" style="11" customWidth="1"/>
    <col min="13038" max="13038" width="8" style="11" customWidth="1"/>
    <col min="13039" max="13039" width="9.125" style="11" customWidth="1"/>
    <col min="13040" max="13040" width="13.875" style="11" customWidth="1"/>
    <col min="13041" max="13041" width="13.5" style="11" customWidth="1"/>
    <col min="13042" max="13288" width="8.875" style="11"/>
    <col min="13289" max="13289" width="5" style="11" customWidth="1"/>
    <col min="13290" max="13290" width="33.375" style="11" customWidth="1"/>
    <col min="13291" max="13291" width="6.5" style="11" customWidth="1"/>
    <col min="13292" max="13292" width="29.5" style="11" customWidth="1"/>
    <col min="13293" max="13293" width="23.625" style="11" customWidth="1"/>
    <col min="13294" max="13294" width="8" style="11" customWidth="1"/>
    <col min="13295" max="13295" width="9.125" style="11" customWidth="1"/>
    <col min="13296" max="13296" width="13.875" style="11" customWidth="1"/>
    <col min="13297" max="13297" width="13.5" style="11" customWidth="1"/>
    <col min="13298" max="13544" width="8.875" style="11"/>
    <col min="13545" max="13545" width="5" style="11" customWidth="1"/>
    <col min="13546" max="13546" width="33.375" style="11" customWidth="1"/>
    <col min="13547" max="13547" width="6.5" style="11" customWidth="1"/>
    <col min="13548" max="13548" width="29.5" style="11" customWidth="1"/>
    <col min="13549" max="13549" width="23.625" style="11" customWidth="1"/>
    <col min="13550" max="13550" width="8" style="11" customWidth="1"/>
    <col min="13551" max="13551" width="9.125" style="11" customWidth="1"/>
    <col min="13552" max="13552" width="13.875" style="11" customWidth="1"/>
    <col min="13553" max="13553" width="13.5" style="11" customWidth="1"/>
    <col min="13554" max="13800" width="8.875" style="11"/>
    <col min="13801" max="13801" width="5" style="11" customWidth="1"/>
    <col min="13802" max="13802" width="33.375" style="11" customWidth="1"/>
    <col min="13803" max="13803" width="6.5" style="11" customWidth="1"/>
    <col min="13804" max="13804" width="29.5" style="11" customWidth="1"/>
    <col min="13805" max="13805" width="23.625" style="11" customWidth="1"/>
    <col min="13806" max="13806" width="8" style="11" customWidth="1"/>
    <col min="13807" max="13807" width="9.125" style="11" customWidth="1"/>
    <col min="13808" max="13808" width="13.875" style="11" customWidth="1"/>
    <col min="13809" max="13809" width="13.5" style="11" customWidth="1"/>
    <col min="13810" max="14056" width="8.875" style="11"/>
    <col min="14057" max="14057" width="5" style="11" customWidth="1"/>
    <col min="14058" max="14058" width="33.375" style="11" customWidth="1"/>
    <col min="14059" max="14059" width="6.5" style="11" customWidth="1"/>
    <col min="14060" max="14060" width="29.5" style="11" customWidth="1"/>
    <col min="14061" max="14061" width="23.625" style="11" customWidth="1"/>
    <col min="14062" max="14062" width="8" style="11" customWidth="1"/>
    <col min="14063" max="14063" width="9.125" style="11" customWidth="1"/>
    <col min="14064" max="14064" width="13.875" style="11" customWidth="1"/>
    <col min="14065" max="14065" width="13.5" style="11" customWidth="1"/>
    <col min="14066" max="14312" width="8.875" style="11"/>
    <col min="14313" max="14313" width="5" style="11" customWidth="1"/>
    <col min="14314" max="14314" width="33.375" style="11" customWidth="1"/>
    <col min="14315" max="14315" width="6.5" style="11" customWidth="1"/>
    <col min="14316" max="14316" width="29.5" style="11" customWidth="1"/>
    <col min="14317" max="14317" width="23.625" style="11" customWidth="1"/>
    <col min="14318" max="14318" width="8" style="11" customWidth="1"/>
    <col min="14319" max="14319" width="9.125" style="11" customWidth="1"/>
    <col min="14320" max="14320" width="13.875" style="11" customWidth="1"/>
    <col min="14321" max="14321" width="13.5" style="11" customWidth="1"/>
    <col min="14322" max="14568" width="8.875" style="11"/>
    <col min="14569" max="14569" width="5" style="11" customWidth="1"/>
    <col min="14570" max="14570" width="33.375" style="11" customWidth="1"/>
    <col min="14571" max="14571" width="6.5" style="11" customWidth="1"/>
    <col min="14572" max="14572" width="29.5" style="11" customWidth="1"/>
    <col min="14573" max="14573" width="23.625" style="11" customWidth="1"/>
    <col min="14574" max="14574" width="8" style="11" customWidth="1"/>
    <col min="14575" max="14575" width="9.125" style="11" customWidth="1"/>
    <col min="14576" max="14576" width="13.875" style="11" customWidth="1"/>
    <col min="14577" max="14577" width="13.5" style="11" customWidth="1"/>
    <col min="14578" max="14824" width="8.875" style="11"/>
    <col min="14825" max="14825" width="5" style="11" customWidth="1"/>
    <col min="14826" max="14826" width="33.375" style="11" customWidth="1"/>
    <col min="14827" max="14827" width="6.5" style="11" customWidth="1"/>
    <col min="14828" max="14828" width="29.5" style="11" customWidth="1"/>
    <col min="14829" max="14829" width="23.625" style="11" customWidth="1"/>
    <col min="14830" max="14830" width="8" style="11" customWidth="1"/>
    <col min="14831" max="14831" width="9.125" style="11" customWidth="1"/>
    <col min="14832" max="14832" width="13.875" style="11" customWidth="1"/>
    <col min="14833" max="14833" width="13.5" style="11" customWidth="1"/>
    <col min="14834" max="15080" width="8.875" style="11"/>
    <col min="15081" max="15081" width="5" style="11" customWidth="1"/>
    <col min="15082" max="15082" width="33.375" style="11" customWidth="1"/>
    <col min="15083" max="15083" width="6.5" style="11" customWidth="1"/>
    <col min="15084" max="15084" width="29.5" style="11" customWidth="1"/>
    <col min="15085" max="15085" width="23.625" style="11" customWidth="1"/>
    <col min="15086" max="15086" width="8" style="11" customWidth="1"/>
    <col min="15087" max="15087" width="9.125" style="11" customWidth="1"/>
    <col min="15088" max="15088" width="13.875" style="11" customWidth="1"/>
    <col min="15089" max="15089" width="13.5" style="11" customWidth="1"/>
    <col min="15090" max="15336" width="8.875" style="11"/>
    <col min="15337" max="15337" width="5" style="11" customWidth="1"/>
    <col min="15338" max="15338" width="33.375" style="11" customWidth="1"/>
    <col min="15339" max="15339" width="6.5" style="11" customWidth="1"/>
    <col min="15340" max="15340" width="29.5" style="11" customWidth="1"/>
    <col min="15341" max="15341" width="23.625" style="11" customWidth="1"/>
    <col min="15342" max="15342" width="8" style="11" customWidth="1"/>
    <col min="15343" max="15343" width="9.125" style="11" customWidth="1"/>
    <col min="15344" max="15344" width="13.875" style="11" customWidth="1"/>
    <col min="15345" max="15345" width="13.5" style="11" customWidth="1"/>
    <col min="15346" max="15592" width="8.875" style="11"/>
    <col min="15593" max="15593" width="5" style="11" customWidth="1"/>
    <col min="15594" max="15594" width="33.375" style="11" customWidth="1"/>
    <col min="15595" max="15595" width="6.5" style="11" customWidth="1"/>
    <col min="15596" max="15596" width="29.5" style="11" customWidth="1"/>
    <col min="15597" max="15597" width="23.625" style="11" customWidth="1"/>
    <col min="15598" max="15598" width="8" style="11" customWidth="1"/>
    <col min="15599" max="15599" width="9.125" style="11" customWidth="1"/>
    <col min="15600" max="15600" width="13.875" style="11" customWidth="1"/>
    <col min="15601" max="15601" width="13.5" style="11" customWidth="1"/>
    <col min="15602" max="15848" width="8.875" style="11"/>
    <col min="15849" max="15849" width="5" style="11" customWidth="1"/>
    <col min="15850" max="15850" width="33.375" style="11" customWidth="1"/>
    <col min="15851" max="15851" width="6.5" style="11" customWidth="1"/>
    <col min="15852" max="15852" width="29.5" style="11" customWidth="1"/>
    <col min="15853" max="15853" width="23.625" style="11" customWidth="1"/>
    <col min="15854" max="15854" width="8" style="11" customWidth="1"/>
    <col min="15855" max="15855" width="9.125" style="11" customWidth="1"/>
    <col min="15856" max="15856" width="13.875" style="11" customWidth="1"/>
    <col min="15857" max="15857" width="13.5" style="11" customWidth="1"/>
    <col min="15858" max="16384" width="8.875" style="11"/>
  </cols>
  <sheetData>
    <row r="1" spans="2:20" hidden="1"/>
    <row r="2" spans="2:20" hidden="1">
      <c r="B2" s="140" t="s">
        <v>253</v>
      </c>
      <c r="C2" s="140" t="s">
        <v>132</v>
      </c>
      <c r="D2" s="11"/>
    </row>
    <row r="3" spans="2:20" hidden="1">
      <c r="B3" s="209" t="s">
        <v>254</v>
      </c>
      <c r="C3" s="209" t="s">
        <v>255</v>
      </c>
      <c r="D3" s="11"/>
    </row>
    <row r="4" spans="2:20" hidden="1">
      <c r="B4" s="140" t="s">
        <v>256</v>
      </c>
      <c r="C4" s="140" t="s">
        <v>133</v>
      </c>
      <c r="D4" s="11"/>
      <c r="E4" s="10"/>
      <c r="F4" s="10"/>
      <c r="G4" s="10"/>
    </row>
    <row r="5" spans="2:20" ht="6.95" customHeight="1"/>
    <row r="6" spans="2:20" s="103" customFormat="1" ht="18" customHeight="1">
      <c r="B6" s="101" t="s">
        <v>15</v>
      </c>
      <c r="C6" s="1121" t="s">
        <v>611</v>
      </c>
      <c r="D6" s="1121"/>
      <c r="E6" s="1121"/>
      <c r="F6" s="104"/>
      <c r="P6" s="104"/>
    </row>
    <row r="7" spans="2:20" s="372" customFormat="1" ht="0.95" hidden="1" customHeight="1">
      <c r="C7" s="373"/>
      <c r="D7" s="373"/>
      <c r="E7" s="373"/>
      <c r="F7" s="373"/>
      <c r="H7" s="373"/>
      <c r="I7" s="373"/>
      <c r="J7" s="373"/>
      <c r="K7" s="373"/>
      <c r="L7" s="373"/>
      <c r="M7" s="373"/>
      <c r="N7" s="373"/>
      <c r="P7" s="373"/>
    </row>
    <row r="8" spans="2:20" s="8" customFormat="1" ht="20.25" hidden="1">
      <c r="B8" s="692"/>
      <c r="C8" s="693"/>
      <c r="D8" s="693"/>
      <c r="E8" s="694">
        <v>1</v>
      </c>
      <c r="F8" s="694"/>
      <c r="G8" s="694">
        <v>2</v>
      </c>
      <c r="H8" s="694"/>
      <c r="I8" s="694">
        <v>3</v>
      </c>
      <c r="J8" s="694"/>
      <c r="K8" s="694" t="s">
        <v>444</v>
      </c>
      <c r="L8" s="694"/>
      <c r="M8" s="694" t="s">
        <v>445</v>
      </c>
      <c r="N8" s="694"/>
      <c r="O8" s="694">
        <v>5</v>
      </c>
      <c r="P8" s="694"/>
      <c r="Q8" s="694">
        <v>6</v>
      </c>
      <c r="R8" s="694"/>
      <c r="S8" s="694">
        <v>7</v>
      </c>
      <c r="T8" s="694"/>
    </row>
    <row r="9" spans="2:20" s="9" customFormat="1" ht="25.5">
      <c r="B9" s="512" t="s">
        <v>0</v>
      </c>
      <c r="C9" s="513" t="s">
        <v>415</v>
      </c>
      <c r="D9" s="475" t="s">
        <v>241</v>
      </c>
      <c r="E9" s="475" t="s">
        <v>438</v>
      </c>
      <c r="F9" s="475" t="s">
        <v>154</v>
      </c>
      <c r="G9" s="475" t="s">
        <v>439</v>
      </c>
      <c r="H9" s="475" t="s">
        <v>154</v>
      </c>
      <c r="I9" s="475" t="s">
        <v>440</v>
      </c>
      <c r="J9" s="475" t="s">
        <v>154</v>
      </c>
      <c r="K9" s="475" t="s">
        <v>446</v>
      </c>
      <c r="L9" s="475" t="s">
        <v>154</v>
      </c>
      <c r="M9" s="475" t="s">
        <v>454</v>
      </c>
      <c r="N9" s="475" t="s">
        <v>154</v>
      </c>
      <c r="O9" s="475" t="s">
        <v>447</v>
      </c>
      <c r="P9" s="475" t="s">
        <v>154</v>
      </c>
      <c r="Q9" s="475" t="s">
        <v>448</v>
      </c>
      <c r="R9" s="475" t="s">
        <v>154</v>
      </c>
      <c r="S9" s="475" t="s">
        <v>441</v>
      </c>
      <c r="T9" s="475" t="s">
        <v>154</v>
      </c>
    </row>
    <row r="10" spans="2:20" s="41" customFormat="1">
      <c r="B10" s="514"/>
      <c r="C10" s="514" t="s">
        <v>6</v>
      </c>
      <c r="D10" s="515">
        <v>0.4</v>
      </c>
      <c r="E10" s="516"/>
      <c r="F10" s="517"/>
      <c r="G10" s="518"/>
      <c r="H10" s="518"/>
      <c r="I10" s="518"/>
      <c r="J10" s="518"/>
      <c r="K10" s="518"/>
      <c r="L10" s="518"/>
      <c r="M10" s="518"/>
      <c r="N10" s="518"/>
      <c r="O10" s="518"/>
      <c r="P10" s="519"/>
      <c r="Q10" s="518"/>
      <c r="R10" s="514"/>
      <c r="S10" s="514"/>
      <c r="T10" s="515"/>
    </row>
    <row r="11" spans="2:20" s="526" customFormat="1" ht="38.25">
      <c r="B11" s="527">
        <v>1</v>
      </c>
      <c r="C11" s="695" t="s">
        <v>507</v>
      </c>
      <c r="D11" s="696">
        <v>0.2</v>
      </c>
      <c r="E11" s="697"/>
      <c r="F11" s="698"/>
      <c r="G11" s="697" t="s">
        <v>507</v>
      </c>
      <c r="H11" s="698">
        <v>0.15</v>
      </c>
      <c r="I11" s="697" t="s">
        <v>507</v>
      </c>
      <c r="J11" s="698">
        <v>0.15</v>
      </c>
      <c r="K11" s="699"/>
      <c r="L11" s="699"/>
      <c r="M11" s="699"/>
      <c r="N11" s="698"/>
      <c r="O11" s="697"/>
      <c r="P11" s="698"/>
      <c r="Q11" s="700" t="s">
        <v>457</v>
      </c>
      <c r="R11" s="698">
        <v>0.2</v>
      </c>
      <c r="S11" s="697"/>
      <c r="T11" s="701"/>
    </row>
    <row r="12" spans="2:20" s="526" customFormat="1" ht="51">
      <c r="B12" s="527">
        <v>2</v>
      </c>
      <c r="C12" s="695" t="s">
        <v>579</v>
      </c>
      <c r="D12" s="696">
        <v>0.2</v>
      </c>
      <c r="E12" s="697" t="s">
        <v>579</v>
      </c>
      <c r="F12" s="698">
        <v>0.15</v>
      </c>
      <c r="G12" s="672" t="s">
        <v>637</v>
      </c>
      <c r="H12" s="698">
        <v>0.15</v>
      </c>
      <c r="I12" s="697" t="s">
        <v>579</v>
      </c>
      <c r="J12" s="698">
        <v>0.15</v>
      </c>
      <c r="K12" s="672" t="s">
        <v>453</v>
      </c>
      <c r="L12" s="698">
        <v>0.2</v>
      </c>
      <c r="M12" s="672"/>
      <c r="N12" s="698"/>
      <c r="O12" s="672" t="s">
        <v>455</v>
      </c>
      <c r="P12" s="698">
        <v>0.2</v>
      </c>
      <c r="Q12" s="700" t="s">
        <v>458</v>
      </c>
      <c r="R12" s="698">
        <v>0.2</v>
      </c>
      <c r="S12" s="697"/>
      <c r="T12" s="701"/>
    </row>
    <row r="13" spans="2:20" s="526" customFormat="1" ht="38.25">
      <c r="B13" s="527">
        <v>3</v>
      </c>
      <c r="C13" s="695" t="s">
        <v>429</v>
      </c>
      <c r="D13" s="696">
        <v>0.2</v>
      </c>
      <c r="E13" s="672"/>
      <c r="F13" s="698"/>
      <c r="G13" s="699"/>
      <c r="H13" s="699"/>
      <c r="I13" s="697" t="s">
        <v>429</v>
      </c>
      <c r="J13" s="698">
        <v>0.1</v>
      </c>
      <c r="K13" s="699"/>
      <c r="L13" s="699"/>
      <c r="M13" s="699"/>
      <c r="N13" s="698"/>
      <c r="O13" s="697" t="s">
        <v>429</v>
      </c>
      <c r="P13" s="698">
        <v>0.2</v>
      </c>
      <c r="Q13" s="700" t="s">
        <v>460</v>
      </c>
      <c r="R13" s="698">
        <v>0.25</v>
      </c>
      <c r="S13" s="697"/>
      <c r="T13" s="701"/>
    </row>
    <row r="14" spans="2:20" s="526" customFormat="1" ht="38.25">
      <c r="B14" s="527">
        <v>4</v>
      </c>
      <c r="C14" s="695" t="s">
        <v>418</v>
      </c>
      <c r="D14" s="696">
        <v>0.15</v>
      </c>
      <c r="E14" s="672" t="s">
        <v>647</v>
      </c>
      <c r="F14" s="698">
        <v>0.2</v>
      </c>
      <c r="G14" s="697" t="s">
        <v>418</v>
      </c>
      <c r="H14" s="698">
        <v>0.15</v>
      </c>
      <c r="I14" s="697"/>
      <c r="J14" s="698"/>
      <c r="K14" s="672" t="s">
        <v>482</v>
      </c>
      <c r="L14" s="698">
        <v>0.2</v>
      </c>
      <c r="M14" s="697"/>
      <c r="N14" s="698"/>
      <c r="O14" s="672" t="s">
        <v>520</v>
      </c>
      <c r="P14" s="698">
        <v>0.2</v>
      </c>
      <c r="Q14" s="700" t="s">
        <v>459</v>
      </c>
      <c r="R14" s="698">
        <v>0.15</v>
      </c>
      <c r="S14" s="697"/>
      <c r="T14" s="701"/>
    </row>
    <row r="15" spans="2:20" s="526" customFormat="1" ht="48" customHeight="1">
      <c r="B15" s="527">
        <v>5</v>
      </c>
      <c r="C15" s="695" t="s">
        <v>581</v>
      </c>
      <c r="D15" s="696">
        <v>0.25</v>
      </c>
      <c r="E15" s="697"/>
      <c r="F15" s="698"/>
      <c r="G15" s="697" t="s">
        <v>581</v>
      </c>
      <c r="H15" s="698">
        <v>0.15</v>
      </c>
      <c r="I15" s="699"/>
      <c r="J15" s="698"/>
      <c r="K15" s="697"/>
      <c r="L15" s="699"/>
      <c r="M15" s="697" t="s">
        <v>581</v>
      </c>
      <c r="N15" s="698">
        <v>0.2</v>
      </c>
      <c r="O15" s="697"/>
      <c r="P15" s="698"/>
      <c r="Q15" s="672" t="s">
        <v>461</v>
      </c>
      <c r="R15" s="698">
        <v>0.2</v>
      </c>
      <c r="S15" s="697"/>
      <c r="T15" s="701"/>
    </row>
    <row r="16" spans="2:20" s="531" customFormat="1" ht="14.25" customHeight="1">
      <c r="B16" s="532"/>
      <c r="C16" s="532" t="s">
        <v>5</v>
      </c>
      <c r="D16" s="533">
        <v>0.25</v>
      </c>
      <c r="E16" s="534"/>
      <c r="F16" s="535"/>
      <c r="G16" s="536"/>
      <c r="H16" s="536"/>
      <c r="I16" s="536"/>
      <c r="J16" s="536"/>
      <c r="K16" s="536"/>
      <c r="L16" s="536"/>
      <c r="M16" s="536"/>
      <c r="N16" s="536"/>
      <c r="O16" s="536"/>
      <c r="P16" s="537"/>
      <c r="Q16" s="536"/>
      <c r="R16" s="532"/>
      <c r="S16" s="532"/>
      <c r="T16" s="533"/>
    </row>
    <row r="17" spans="2:24" s="526" customFormat="1" ht="38.25">
      <c r="B17" s="527">
        <v>1</v>
      </c>
      <c r="C17" s="695" t="s">
        <v>583</v>
      </c>
      <c r="D17" s="696">
        <v>0.4</v>
      </c>
      <c r="E17" s="697"/>
      <c r="F17" s="698"/>
      <c r="G17" s="699"/>
      <c r="H17" s="699"/>
      <c r="I17" s="702" t="s">
        <v>610</v>
      </c>
      <c r="J17" s="698">
        <v>0.2</v>
      </c>
      <c r="K17" s="699"/>
      <c r="L17" s="699"/>
      <c r="M17" s="697" t="s">
        <v>583</v>
      </c>
      <c r="N17" s="698">
        <v>0.25</v>
      </c>
      <c r="O17" s="697" t="s">
        <v>450</v>
      </c>
      <c r="P17" s="703">
        <v>0.3</v>
      </c>
      <c r="Q17" s="697"/>
      <c r="R17" s="697"/>
      <c r="S17" s="697"/>
      <c r="T17" s="701"/>
    </row>
    <row r="18" spans="2:24" s="526" customFormat="1" ht="25.5">
      <c r="B18" s="527">
        <v>2</v>
      </c>
      <c r="C18" s="695" t="s">
        <v>421</v>
      </c>
      <c r="D18" s="696">
        <v>0.4</v>
      </c>
      <c r="E18" s="695"/>
      <c r="F18" s="698"/>
      <c r="G18" s="695"/>
      <c r="H18" s="698"/>
      <c r="I18" s="697"/>
      <c r="J18" s="698"/>
      <c r="K18" s="697"/>
      <c r="L18" s="699"/>
      <c r="M18" s="699" t="s">
        <v>421</v>
      </c>
      <c r="N18" s="698">
        <v>0.2</v>
      </c>
      <c r="O18" s="697"/>
      <c r="P18" s="701"/>
      <c r="Q18" s="697"/>
      <c r="R18" s="697"/>
      <c r="S18" s="697"/>
      <c r="T18" s="701"/>
    </row>
    <row r="19" spans="2:24" s="526" customFormat="1" ht="25.5">
      <c r="B19" s="527">
        <v>3</v>
      </c>
      <c r="C19" s="695" t="s">
        <v>614</v>
      </c>
      <c r="D19" s="703">
        <v>0.2</v>
      </c>
      <c r="E19" s="695" t="s">
        <v>614</v>
      </c>
      <c r="F19" s="698">
        <v>0.15</v>
      </c>
      <c r="G19" s="697"/>
      <c r="H19" s="698"/>
      <c r="I19" s="697"/>
      <c r="J19" s="698"/>
      <c r="K19" s="697"/>
      <c r="L19" s="699"/>
      <c r="M19" s="699"/>
      <c r="N19" s="698"/>
      <c r="O19" s="695" t="s">
        <v>614</v>
      </c>
      <c r="P19" s="703">
        <v>0.1</v>
      </c>
      <c r="Q19" s="697"/>
      <c r="R19" s="697"/>
      <c r="S19" s="697"/>
      <c r="T19" s="701"/>
    </row>
    <row r="20" spans="2:24" s="531" customFormat="1">
      <c r="B20" s="532"/>
      <c r="C20" s="532" t="s">
        <v>7</v>
      </c>
      <c r="D20" s="533">
        <v>0.15</v>
      </c>
      <c r="E20" s="534"/>
      <c r="F20" s="535"/>
      <c r="G20" s="536"/>
      <c r="H20" s="536"/>
      <c r="I20" s="536"/>
      <c r="J20" s="536"/>
      <c r="K20" s="536"/>
      <c r="L20" s="536"/>
      <c r="M20" s="536"/>
      <c r="N20" s="536"/>
      <c r="O20" s="536"/>
      <c r="P20" s="537"/>
      <c r="Q20" s="536"/>
      <c r="R20" s="532"/>
      <c r="S20" s="532"/>
      <c r="T20" s="533"/>
    </row>
    <row r="21" spans="2:24" s="526" customFormat="1" ht="38.25">
      <c r="B21" s="527">
        <v>1</v>
      </c>
      <c r="C21" s="695" t="s">
        <v>588</v>
      </c>
      <c r="D21" s="696">
        <v>0.25</v>
      </c>
      <c r="E21" s="695"/>
      <c r="F21" s="698"/>
      <c r="G21" s="695" t="s">
        <v>588</v>
      </c>
      <c r="H21" s="698">
        <v>0.1</v>
      </c>
      <c r="I21" s="699"/>
      <c r="J21" s="698"/>
      <c r="K21" s="699"/>
      <c r="L21" s="699"/>
      <c r="M21" s="699"/>
      <c r="N21" s="698"/>
      <c r="O21" s="697"/>
      <c r="P21" s="701"/>
      <c r="Q21" s="697"/>
      <c r="R21" s="697"/>
      <c r="S21" s="704" t="s">
        <v>588</v>
      </c>
      <c r="T21" s="698">
        <v>0.25</v>
      </c>
    </row>
    <row r="22" spans="2:24" s="526" customFormat="1" ht="38.25">
      <c r="B22" s="527">
        <v>2</v>
      </c>
      <c r="C22" s="695" t="s">
        <v>424</v>
      </c>
      <c r="D22" s="696">
        <v>0.15</v>
      </c>
      <c r="E22" s="695"/>
      <c r="F22" s="698"/>
      <c r="G22" s="704"/>
      <c r="H22" s="698"/>
      <c r="I22" s="704" t="s">
        <v>424</v>
      </c>
      <c r="J22" s="698">
        <v>0.15</v>
      </c>
      <c r="K22" s="699"/>
      <c r="L22" s="699"/>
      <c r="M22" s="699"/>
      <c r="N22" s="698"/>
      <c r="O22" s="697"/>
      <c r="P22" s="701"/>
      <c r="Q22" s="697"/>
      <c r="R22" s="697"/>
      <c r="S22" s="704" t="s">
        <v>424</v>
      </c>
      <c r="T22" s="698">
        <v>0.2</v>
      </c>
    </row>
    <row r="23" spans="2:24" s="526" customFormat="1" ht="51">
      <c r="B23" s="527">
        <v>3</v>
      </c>
      <c r="C23" s="695" t="s">
        <v>391</v>
      </c>
      <c r="D23" s="696">
        <v>0.2</v>
      </c>
      <c r="E23" s="695"/>
      <c r="F23" s="698"/>
      <c r="G23" s="704"/>
      <c r="H23" s="698"/>
      <c r="I23" s="704" t="s">
        <v>391</v>
      </c>
      <c r="J23" s="698">
        <v>0.1</v>
      </c>
      <c r="K23" s="699"/>
      <c r="L23" s="699"/>
      <c r="M23" s="699"/>
      <c r="N23" s="698"/>
      <c r="O23" s="697"/>
      <c r="P23" s="701"/>
      <c r="Q23" s="697"/>
      <c r="R23" s="697"/>
      <c r="S23" s="705" t="s">
        <v>462</v>
      </c>
      <c r="T23" s="698">
        <v>0.2</v>
      </c>
    </row>
    <row r="24" spans="2:24" s="526" customFormat="1" ht="51">
      <c r="B24" s="527">
        <v>4</v>
      </c>
      <c r="C24" s="673" t="s">
        <v>660</v>
      </c>
      <c r="D24" s="696">
        <v>0.15</v>
      </c>
      <c r="E24" s="697"/>
      <c r="F24" s="698"/>
      <c r="G24" s="704"/>
      <c r="H24" s="698"/>
      <c r="I24" s="699"/>
      <c r="J24" s="698"/>
      <c r="K24" s="699"/>
      <c r="L24" s="699"/>
      <c r="M24" s="699"/>
      <c r="N24" s="698"/>
      <c r="O24" s="697"/>
      <c r="P24" s="701"/>
      <c r="Q24" s="697"/>
      <c r="R24" s="697"/>
      <c r="S24" s="673" t="s">
        <v>392</v>
      </c>
      <c r="T24" s="698">
        <v>0.15</v>
      </c>
    </row>
    <row r="25" spans="2:24" s="526" customFormat="1" ht="25.5">
      <c r="B25" s="527">
        <v>5</v>
      </c>
      <c r="C25" s="695" t="s">
        <v>591</v>
      </c>
      <c r="D25" s="696">
        <v>0.25</v>
      </c>
      <c r="E25" s="697"/>
      <c r="F25" s="698"/>
      <c r="G25" s="699"/>
      <c r="H25" s="699"/>
      <c r="I25" s="704"/>
      <c r="J25" s="698"/>
      <c r="K25" s="704" t="s">
        <v>591</v>
      </c>
      <c r="L25" s="698">
        <v>0.3</v>
      </c>
      <c r="M25" s="699"/>
      <c r="N25" s="698"/>
      <c r="O25" s="697"/>
      <c r="P25" s="701"/>
      <c r="Q25" s="697"/>
      <c r="R25" s="697"/>
      <c r="S25" s="672" t="s">
        <v>463</v>
      </c>
      <c r="T25" s="698">
        <v>0.2</v>
      </c>
    </row>
    <row r="26" spans="2:24" s="531" customFormat="1">
      <c r="B26" s="532"/>
      <c r="C26" s="532" t="s">
        <v>406</v>
      </c>
      <c r="D26" s="533">
        <v>0.2</v>
      </c>
      <c r="E26" s="534"/>
      <c r="F26" s="535"/>
      <c r="G26" s="536"/>
      <c r="H26" s="536"/>
      <c r="I26" s="536"/>
      <c r="J26" s="536"/>
      <c r="K26" s="536"/>
      <c r="L26" s="536"/>
      <c r="M26" s="536"/>
      <c r="N26" s="536"/>
      <c r="O26" s="536"/>
      <c r="P26" s="537"/>
      <c r="Q26" s="536"/>
      <c r="R26" s="532"/>
      <c r="S26" s="532"/>
      <c r="T26" s="533"/>
    </row>
    <row r="27" spans="2:24" s="526" customFormat="1" ht="25.5">
      <c r="B27" s="527">
        <v>1</v>
      </c>
      <c r="C27" s="695" t="s">
        <v>593</v>
      </c>
      <c r="D27" s="696">
        <v>0.4</v>
      </c>
      <c r="E27" s="672" t="s">
        <v>452</v>
      </c>
      <c r="F27" s="698">
        <v>0.2</v>
      </c>
      <c r="G27" s="704" t="s">
        <v>593</v>
      </c>
      <c r="H27" s="698">
        <v>0.15</v>
      </c>
      <c r="I27" s="704" t="s">
        <v>593</v>
      </c>
      <c r="J27" s="698">
        <v>0.15</v>
      </c>
      <c r="K27" s="704" t="s">
        <v>593</v>
      </c>
      <c r="L27" s="698">
        <v>0.15</v>
      </c>
      <c r="M27" s="704" t="s">
        <v>593</v>
      </c>
      <c r="N27" s="698">
        <v>0.2</v>
      </c>
      <c r="O27" s="697"/>
      <c r="P27" s="701"/>
      <c r="Q27" s="697"/>
      <c r="R27" s="697"/>
      <c r="S27" s="697"/>
      <c r="T27" s="701"/>
    </row>
    <row r="28" spans="2:24" s="526" customFormat="1" ht="51">
      <c r="B28" s="527">
        <v>2</v>
      </c>
      <c r="C28" s="695" t="s">
        <v>595</v>
      </c>
      <c r="D28" s="696">
        <v>0.15</v>
      </c>
      <c r="E28" s="697"/>
      <c r="F28" s="698"/>
      <c r="G28" s="704" t="s">
        <v>595</v>
      </c>
      <c r="H28" s="698">
        <v>0.15</v>
      </c>
      <c r="I28" s="699"/>
      <c r="J28" s="698"/>
      <c r="K28" s="704" t="s">
        <v>595</v>
      </c>
      <c r="L28" s="698">
        <v>0.15</v>
      </c>
      <c r="M28" s="704"/>
      <c r="N28" s="698"/>
      <c r="O28" s="697"/>
      <c r="P28" s="701"/>
      <c r="Q28" s="697"/>
      <c r="R28" s="697"/>
      <c r="S28" s="697"/>
      <c r="T28" s="701"/>
    </row>
    <row r="29" spans="2:24" s="526" customFormat="1">
      <c r="B29" s="527">
        <v>3</v>
      </c>
      <c r="C29" s="695" t="s">
        <v>398</v>
      </c>
      <c r="D29" s="696">
        <v>0.2</v>
      </c>
      <c r="E29" s="704" t="s">
        <v>437</v>
      </c>
      <c r="F29" s="698">
        <v>0.1</v>
      </c>
      <c r="G29" s="704"/>
      <c r="H29" s="698"/>
      <c r="I29" s="699"/>
      <c r="J29" s="698"/>
      <c r="K29" s="704"/>
      <c r="L29" s="698"/>
      <c r="M29" s="704" t="s">
        <v>608</v>
      </c>
      <c r="N29" s="698">
        <v>0.15</v>
      </c>
      <c r="O29" s="697"/>
      <c r="P29" s="701"/>
      <c r="Q29" s="697"/>
      <c r="R29" s="697"/>
      <c r="S29" s="697"/>
      <c r="T29" s="701"/>
    </row>
    <row r="30" spans="2:24" s="526" customFormat="1" ht="25.5">
      <c r="B30" s="527">
        <v>4</v>
      </c>
      <c r="C30" s="695" t="s">
        <v>596</v>
      </c>
      <c r="D30" s="696">
        <v>0.25</v>
      </c>
      <c r="E30" s="697" t="s">
        <v>596</v>
      </c>
      <c r="F30" s="698">
        <v>0.2</v>
      </c>
      <c r="G30" s="704"/>
      <c r="H30" s="698"/>
      <c r="I30" s="699"/>
      <c r="J30" s="698"/>
      <c r="K30" s="704"/>
      <c r="L30" s="698"/>
      <c r="M30" s="704"/>
      <c r="N30" s="698"/>
      <c r="O30" s="697"/>
      <c r="P30" s="701"/>
      <c r="Q30" s="697"/>
      <c r="R30" s="697"/>
      <c r="S30" s="704"/>
      <c r="T30" s="698"/>
    </row>
    <row r="31" spans="2:24" s="545" customFormat="1">
      <c r="B31" s="541"/>
      <c r="C31" s="541" t="s">
        <v>3</v>
      </c>
      <c r="D31" s="542">
        <f>D10+D16+D20+D26</f>
        <v>1</v>
      </c>
      <c r="E31" s="543"/>
      <c r="F31" s="540">
        <f>SUM(F11:F30)</f>
        <v>1</v>
      </c>
      <c r="G31" s="540"/>
      <c r="H31" s="540">
        <f>SUM(H11:H30)</f>
        <v>1</v>
      </c>
      <c r="I31" s="540"/>
      <c r="J31" s="540">
        <f>SUM(J11:J30)</f>
        <v>1</v>
      </c>
      <c r="K31" s="540"/>
      <c r="L31" s="540">
        <f>SUM(L11:L30)</f>
        <v>1</v>
      </c>
      <c r="M31" s="540"/>
      <c r="N31" s="540">
        <f>SUM(N11:N30)</f>
        <v>1</v>
      </c>
      <c r="O31" s="540"/>
      <c r="P31" s="544">
        <f>SUM(P11:P30)</f>
        <v>1.0000000000000002</v>
      </c>
      <c r="Q31" s="540"/>
      <c r="R31" s="541">
        <f>SUM(R11:R30)</f>
        <v>1</v>
      </c>
      <c r="S31" s="541"/>
      <c r="T31" s="542">
        <f>SUM(T11:T30)</f>
        <v>1</v>
      </c>
    </row>
    <row r="32" spans="2:24">
      <c r="B32" s="16"/>
      <c r="D32" s="14"/>
      <c r="E32" s="15"/>
      <c r="F32" s="15"/>
      <c r="H32" s="15"/>
      <c r="I32" s="15"/>
      <c r="J32" s="15"/>
      <c r="K32" s="15"/>
      <c r="L32" s="15"/>
      <c r="M32" s="15"/>
      <c r="N32" s="15"/>
      <c r="P32" s="15"/>
      <c r="Q32" s="15"/>
      <c r="S32" s="14"/>
      <c r="T32" s="15"/>
      <c r="U32" s="14"/>
      <c r="V32" s="15"/>
      <c r="X32" s="15"/>
    </row>
    <row r="33" spans="1:24" ht="15.95" customHeight="1">
      <c r="A33" s="976" t="s">
        <v>34</v>
      </c>
      <c r="B33" s="976"/>
      <c r="C33" s="976"/>
      <c r="D33" s="975" t="s">
        <v>35</v>
      </c>
      <c r="E33" s="975"/>
      <c r="F33" s="37"/>
      <c r="G33" s="37"/>
      <c r="H33" s="37"/>
      <c r="I33" s="37"/>
      <c r="J33" s="37"/>
      <c r="K33" s="37"/>
      <c r="L33" s="37"/>
      <c r="M33" s="37"/>
      <c r="N33" s="37"/>
      <c r="O33" s="975" t="s">
        <v>249</v>
      </c>
      <c r="P33" s="975"/>
      <c r="Q33" s="975"/>
      <c r="R33" s="975"/>
      <c r="S33" s="38"/>
      <c r="T33" s="15"/>
      <c r="U33" s="14"/>
      <c r="V33" s="15"/>
      <c r="X33" s="15"/>
    </row>
    <row r="34" spans="1:24">
      <c r="B34" s="6"/>
      <c r="C34" s="5"/>
      <c r="D34" s="972"/>
      <c r="E34" s="972"/>
      <c r="F34" s="6"/>
      <c r="G34" s="6"/>
      <c r="H34" s="6"/>
      <c r="I34" s="6"/>
      <c r="J34" s="6"/>
      <c r="K34" s="6"/>
      <c r="L34" s="6"/>
      <c r="M34" s="6"/>
      <c r="N34" s="6"/>
      <c r="O34" s="972"/>
      <c r="P34" s="972"/>
      <c r="Q34" s="972"/>
      <c r="R34" s="972"/>
      <c r="S34" s="5"/>
      <c r="T34" s="15"/>
      <c r="U34" s="14"/>
      <c r="V34" s="15"/>
      <c r="W34" s="15"/>
      <c r="X34" s="15"/>
    </row>
    <row r="35" spans="1:24">
      <c r="B35" s="6"/>
      <c r="C35" s="59"/>
      <c r="D35" s="58"/>
      <c r="E35" s="6"/>
      <c r="F35" s="6"/>
      <c r="G35" s="6"/>
      <c r="H35" s="6"/>
      <c r="I35" s="6"/>
      <c r="J35" s="6"/>
      <c r="K35" s="6"/>
      <c r="L35" s="6"/>
      <c r="M35" s="6"/>
      <c r="N35" s="6"/>
      <c r="O35" s="2"/>
      <c r="P35" s="6"/>
      <c r="Q35" s="6"/>
      <c r="R35" s="6"/>
      <c r="S35" s="60"/>
    </row>
    <row r="36" spans="1:24">
      <c r="B36" s="6"/>
      <c r="C36" s="59"/>
      <c r="D36" s="58"/>
      <c r="E36" s="6"/>
      <c r="F36" s="6"/>
      <c r="G36" s="6"/>
      <c r="H36" s="6"/>
      <c r="I36" s="6"/>
      <c r="J36" s="6"/>
      <c r="K36" s="6"/>
      <c r="L36" s="6"/>
      <c r="M36" s="6"/>
      <c r="N36" s="6"/>
      <c r="O36" s="2"/>
      <c r="P36" s="6"/>
      <c r="Q36" s="6"/>
      <c r="R36" s="6"/>
      <c r="S36" s="60"/>
    </row>
    <row r="37" spans="1:24">
      <c r="B37" s="6"/>
      <c r="C37" s="59"/>
      <c r="D37" s="58"/>
      <c r="E37" s="6"/>
      <c r="F37" s="6"/>
      <c r="G37" s="6"/>
      <c r="H37" s="6"/>
      <c r="I37" s="6"/>
      <c r="J37" s="6"/>
      <c r="K37" s="6"/>
      <c r="L37" s="6"/>
      <c r="M37" s="6"/>
      <c r="N37" s="6"/>
      <c r="O37" s="2"/>
      <c r="P37" s="6"/>
      <c r="Q37" s="6"/>
      <c r="R37" s="6"/>
      <c r="S37" s="60"/>
    </row>
    <row r="38" spans="1:24">
      <c r="B38" s="6"/>
      <c r="C38" s="59"/>
      <c r="D38" s="58"/>
      <c r="E38" s="6"/>
      <c r="F38" s="6"/>
      <c r="G38" s="6"/>
      <c r="H38" s="6"/>
      <c r="I38" s="6"/>
      <c r="J38" s="6"/>
      <c r="K38" s="6"/>
      <c r="L38" s="6"/>
      <c r="M38" s="6"/>
      <c r="N38" s="6"/>
      <c r="O38" s="2"/>
      <c r="P38" s="6"/>
      <c r="Q38" s="6"/>
      <c r="R38" s="6"/>
      <c r="S38" s="60"/>
    </row>
    <row r="39" spans="1:24">
      <c r="B39" s="6"/>
      <c r="C39" s="59"/>
      <c r="D39" s="58"/>
      <c r="E39" s="6"/>
      <c r="F39" s="6"/>
      <c r="G39" s="6"/>
      <c r="H39" s="6"/>
      <c r="I39" s="6"/>
      <c r="J39" s="6"/>
      <c r="K39" s="6"/>
      <c r="L39" s="6"/>
      <c r="M39" s="6"/>
      <c r="N39" s="6"/>
      <c r="O39" s="2"/>
      <c r="P39" s="6"/>
      <c r="Q39" s="6"/>
      <c r="R39" s="6"/>
      <c r="S39" s="60"/>
    </row>
    <row r="40" spans="1:24">
      <c r="B40" s="6" t="s">
        <v>29</v>
      </c>
      <c r="C40" s="5"/>
      <c r="D40" s="972" t="s">
        <v>29</v>
      </c>
      <c r="E40" s="972"/>
      <c r="F40" s="6"/>
      <c r="G40" s="6"/>
      <c r="H40" s="6"/>
      <c r="I40" s="6"/>
      <c r="J40" s="6"/>
      <c r="K40" s="6"/>
      <c r="L40" s="6"/>
      <c r="M40" s="6"/>
      <c r="N40" s="6"/>
      <c r="O40" s="972" t="s">
        <v>29</v>
      </c>
      <c r="P40" s="972"/>
      <c r="Q40" s="972"/>
      <c r="R40" s="972"/>
      <c r="S40" s="5"/>
    </row>
  </sheetData>
  <autoFilter ref="A10:X31" xr:uid="{00000000-0009-0000-0000-000011000000}"/>
  <mergeCells count="8">
    <mergeCell ref="D40:E40"/>
    <mergeCell ref="O40:R40"/>
    <mergeCell ref="C6:E6"/>
    <mergeCell ref="A33:C33"/>
    <mergeCell ref="D33:E33"/>
    <mergeCell ref="O33:R33"/>
    <mergeCell ref="D34:E34"/>
    <mergeCell ref="O34:R34"/>
  </mergeCells>
  <conditionalFormatting sqref="Q11">
    <cfRule type="duplicateValues" dxfId="3" priority="4"/>
  </conditionalFormatting>
  <conditionalFormatting sqref="Q12">
    <cfRule type="duplicateValues" dxfId="2" priority="3"/>
  </conditionalFormatting>
  <conditionalFormatting sqref="Q13">
    <cfRule type="duplicateValues" dxfId="1" priority="2"/>
  </conditionalFormatting>
  <conditionalFormatting sqref="Q14">
    <cfRule type="duplicateValues" dxfId="0" priority="1"/>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B2:R59"/>
  <sheetViews>
    <sheetView showGridLines="0" topLeftCell="B11" zoomScale="116" workbookViewId="0">
      <selection activeCell="C23" sqref="C23:H24"/>
    </sheetView>
  </sheetViews>
  <sheetFormatPr defaultColWidth="8.875" defaultRowHeight="12.75"/>
  <cols>
    <col min="1" max="1" width="1.125" style="1" customWidth="1"/>
    <col min="2" max="2" width="12.875" style="1" bestFit="1" customWidth="1"/>
    <col min="3" max="3" width="35.875" style="1" customWidth="1"/>
    <col min="4" max="4" width="9" style="1" customWidth="1"/>
    <col min="5" max="5" width="10.125" style="1" customWidth="1"/>
    <col min="6" max="6" width="14.5" style="1" customWidth="1"/>
    <col min="7" max="7" width="6.625" style="2" customWidth="1"/>
    <col min="8" max="8" width="20.625" style="2" customWidth="1"/>
    <col min="9" max="9" width="2.5" style="1" customWidth="1"/>
    <col min="10" max="10" width="5.5" style="1" customWidth="1"/>
    <col min="11" max="11" width="7.625" style="1" customWidth="1"/>
    <col min="12" max="12" width="7.5" style="1" customWidth="1"/>
    <col min="13" max="13" width="7.625" style="1" customWidth="1"/>
    <col min="14" max="14" width="13.625" style="1" customWidth="1"/>
    <col min="15" max="16" width="10.125" style="1" customWidth="1"/>
    <col min="17" max="17" width="10.875" style="2" customWidth="1"/>
    <col min="18" max="18" width="11.375" style="1" customWidth="1"/>
    <col min="19" max="19" width="6.875" style="1" customWidth="1"/>
    <col min="20" max="238" width="8.875" style="1"/>
    <col min="239" max="239" width="5" style="1" customWidth="1"/>
    <col min="240" max="240" width="33.375" style="1" customWidth="1"/>
    <col min="241" max="241" width="6.5" style="1" customWidth="1"/>
    <col min="242" max="242" width="29.5" style="1" customWidth="1"/>
    <col min="243" max="243" width="23.625" style="1" customWidth="1"/>
    <col min="244" max="244" width="8" style="1" customWidth="1"/>
    <col min="245" max="245" width="9.125" style="1" customWidth="1"/>
    <col min="246" max="246" width="13.875" style="1" customWidth="1"/>
    <col min="247" max="247" width="13.5" style="1" customWidth="1"/>
    <col min="248" max="494" width="8.875" style="1"/>
    <col min="495" max="495" width="5" style="1" customWidth="1"/>
    <col min="496" max="496" width="33.375" style="1" customWidth="1"/>
    <col min="497" max="497" width="6.5" style="1" customWidth="1"/>
    <col min="498" max="498" width="29.5" style="1" customWidth="1"/>
    <col min="499" max="499" width="23.625" style="1" customWidth="1"/>
    <col min="500" max="500" width="8" style="1" customWidth="1"/>
    <col min="501" max="501" width="9.125" style="1" customWidth="1"/>
    <col min="502" max="502" width="13.875" style="1" customWidth="1"/>
    <col min="503" max="503" width="13.5" style="1" customWidth="1"/>
    <col min="504" max="750" width="8.875" style="1"/>
    <col min="751" max="751" width="5" style="1" customWidth="1"/>
    <col min="752" max="752" width="33.375" style="1" customWidth="1"/>
    <col min="753" max="753" width="6.5" style="1" customWidth="1"/>
    <col min="754" max="754" width="29.5" style="1" customWidth="1"/>
    <col min="755" max="755" width="23.625" style="1" customWidth="1"/>
    <col min="756" max="756" width="8" style="1" customWidth="1"/>
    <col min="757" max="757" width="9.125" style="1" customWidth="1"/>
    <col min="758" max="758" width="13.875" style="1" customWidth="1"/>
    <col min="759" max="759" width="13.5" style="1" customWidth="1"/>
    <col min="760" max="1006" width="8.875" style="1"/>
    <col min="1007" max="1007" width="5" style="1" customWidth="1"/>
    <col min="1008" max="1008" width="33.375" style="1" customWidth="1"/>
    <col min="1009" max="1009" width="6.5" style="1" customWidth="1"/>
    <col min="1010" max="1010" width="29.5" style="1" customWidth="1"/>
    <col min="1011" max="1011" width="23.625" style="1" customWidth="1"/>
    <col min="1012" max="1012" width="8" style="1" customWidth="1"/>
    <col min="1013" max="1013" width="9.125" style="1" customWidth="1"/>
    <col min="1014" max="1014" width="13.875" style="1" customWidth="1"/>
    <col min="1015" max="1015" width="13.5" style="1" customWidth="1"/>
    <col min="1016" max="1262" width="8.875" style="1"/>
    <col min="1263" max="1263" width="5" style="1" customWidth="1"/>
    <col min="1264" max="1264" width="33.375" style="1" customWidth="1"/>
    <col min="1265" max="1265" width="6.5" style="1" customWidth="1"/>
    <col min="1266" max="1266" width="29.5" style="1" customWidth="1"/>
    <col min="1267" max="1267" width="23.625" style="1" customWidth="1"/>
    <col min="1268" max="1268" width="8" style="1" customWidth="1"/>
    <col min="1269" max="1269" width="9.125" style="1" customWidth="1"/>
    <col min="1270" max="1270" width="13.875" style="1" customWidth="1"/>
    <col min="1271" max="1271" width="13.5" style="1" customWidth="1"/>
    <col min="1272" max="1518" width="8.875" style="1"/>
    <col min="1519" max="1519" width="5" style="1" customWidth="1"/>
    <col min="1520" max="1520" width="33.375" style="1" customWidth="1"/>
    <col min="1521" max="1521" width="6.5" style="1" customWidth="1"/>
    <col min="1522" max="1522" width="29.5" style="1" customWidth="1"/>
    <col min="1523" max="1523" width="23.625" style="1" customWidth="1"/>
    <col min="1524" max="1524" width="8" style="1" customWidth="1"/>
    <col min="1525" max="1525" width="9.125" style="1" customWidth="1"/>
    <col min="1526" max="1526" width="13.875" style="1" customWidth="1"/>
    <col min="1527" max="1527" width="13.5" style="1" customWidth="1"/>
    <col min="1528" max="1774" width="8.875" style="1"/>
    <col min="1775" max="1775" width="5" style="1" customWidth="1"/>
    <col min="1776" max="1776" width="33.375" style="1" customWidth="1"/>
    <col min="1777" max="1777" width="6.5" style="1" customWidth="1"/>
    <col min="1778" max="1778" width="29.5" style="1" customWidth="1"/>
    <col min="1779" max="1779" width="23.625" style="1" customWidth="1"/>
    <col min="1780" max="1780" width="8" style="1" customWidth="1"/>
    <col min="1781" max="1781" width="9.125" style="1" customWidth="1"/>
    <col min="1782" max="1782" width="13.875" style="1" customWidth="1"/>
    <col min="1783" max="1783" width="13.5" style="1" customWidth="1"/>
    <col min="1784" max="2030" width="8.875" style="1"/>
    <col min="2031" max="2031" width="5" style="1" customWidth="1"/>
    <col min="2032" max="2032" width="33.375" style="1" customWidth="1"/>
    <col min="2033" max="2033" width="6.5" style="1" customWidth="1"/>
    <col min="2034" max="2034" width="29.5" style="1" customWidth="1"/>
    <col min="2035" max="2035" width="23.625" style="1" customWidth="1"/>
    <col min="2036" max="2036" width="8" style="1" customWidth="1"/>
    <col min="2037" max="2037" width="9.125" style="1" customWidth="1"/>
    <col min="2038" max="2038" width="13.875" style="1" customWidth="1"/>
    <col min="2039" max="2039" width="13.5" style="1" customWidth="1"/>
    <col min="2040" max="2286" width="8.875" style="1"/>
    <col min="2287" max="2287" width="5" style="1" customWidth="1"/>
    <col min="2288" max="2288" width="33.375" style="1" customWidth="1"/>
    <col min="2289" max="2289" width="6.5" style="1" customWidth="1"/>
    <col min="2290" max="2290" width="29.5" style="1" customWidth="1"/>
    <col min="2291" max="2291" width="23.625" style="1" customWidth="1"/>
    <col min="2292" max="2292" width="8" style="1" customWidth="1"/>
    <col min="2293" max="2293" width="9.125" style="1" customWidth="1"/>
    <col min="2294" max="2294" width="13.875" style="1" customWidth="1"/>
    <col min="2295" max="2295" width="13.5" style="1" customWidth="1"/>
    <col min="2296" max="2542" width="8.875" style="1"/>
    <col min="2543" max="2543" width="5" style="1" customWidth="1"/>
    <col min="2544" max="2544" width="33.375" style="1" customWidth="1"/>
    <col min="2545" max="2545" width="6.5" style="1" customWidth="1"/>
    <col min="2546" max="2546" width="29.5" style="1" customWidth="1"/>
    <col min="2547" max="2547" width="23.625" style="1" customWidth="1"/>
    <col min="2548" max="2548" width="8" style="1" customWidth="1"/>
    <col min="2549" max="2549" width="9.125" style="1" customWidth="1"/>
    <col min="2550" max="2550" width="13.875" style="1" customWidth="1"/>
    <col min="2551" max="2551" width="13.5" style="1" customWidth="1"/>
    <col min="2552" max="2798" width="8.875" style="1"/>
    <col min="2799" max="2799" width="5" style="1" customWidth="1"/>
    <col min="2800" max="2800" width="33.375" style="1" customWidth="1"/>
    <col min="2801" max="2801" width="6.5" style="1" customWidth="1"/>
    <col min="2802" max="2802" width="29.5" style="1" customWidth="1"/>
    <col min="2803" max="2803" width="23.625" style="1" customWidth="1"/>
    <col min="2804" max="2804" width="8" style="1" customWidth="1"/>
    <col min="2805" max="2805" width="9.125" style="1" customWidth="1"/>
    <col min="2806" max="2806" width="13.875" style="1" customWidth="1"/>
    <col min="2807" max="2807" width="13.5" style="1" customWidth="1"/>
    <col min="2808" max="3054" width="8.875" style="1"/>
    <col min="3055" max="3055" width="5" style="1" customWidth="1"/>
    <col min="3056" max="3056" width="33.375" style="1" customWidth="1"/>
    <col min="3057" max="3057" width="6.5" style="1" customWidth="1"/>
    <col min="3058" max="3058" width="29.5" style="1" customWidth="1"/>
    <col min="3059" max="3059" width="23.625" style="1" customWidth="1"/>
    <col min="3060" max="3060" width="8" style="1" customWidth="1"/>
    <col min="3061" max="3061" width="9.125" style="1" customWidth="1"/>
    <col min="3062" max="3062" width="13.875" style="1" customWidth="1"/>
    <col min="3063" max="3063" width="13.5" style="1" customWidth="1"/>
    <col min="3064" max="3310" width="8.875" style="1"/>
    <col min="3311" max="3311" width="5" style="1" customWidth="1"/>
    <col min="3312" max="3312" width="33.375" style="1" customWidth="1"/>
    <col min="3313" max="3313" width="6.5" style="1" customWidth="1"/>
    <col min="3314" max="3314" width="29.5" style="1" customWidth="1"/>
    <col min="3315" max="3315" width="23.625" style="1" customWidth="1"/>
    <col min="3316" max="3316" width="8" style="1" customWidth="1"/>
    <col min="3317" max="3317" width="9.125" style="1" customWidth="1"/>
    <col min="3318" max="3318" width="13.875" style="1" customWidth="1"/>
    <col min="3319" max="3319" width="13.5" style="1" customWidth="1"/>
    <col min="3320" max="3566" width="8.875" style="1"/>
    <col min="3567" max="3567" width="5" style="1" customWidth="1"/>
    <col min="3568" max="3568" width="33.375" style="1" customWidth="1"/>
    <col min="3569" max="3569" width="6.5" style="1" customWidth="1"/>
    <col min="3570" max="3570" width="29.5" style="1" customWidth="1"/>
    <col min="3571" max="3571" width="23.625" style="1" customWidth="1"/>
    <col min="3572" max="3572" width="8" style="1" customWidth="1"/>
    <col min="3573" max="3573" width="9.125" style="1" customWidth="1"/>
    <col min="3574" max="3574" width="13.875" style="1" customWidth="1"/>
    <col min="3575" max="3575" width="13.5" style="1" customWidth="1"/>
    <col min="3576" max="3822" width="8.875" style="1"/>
    <col min="3823" max="3823" width="5" style="1" customWidth="1"/>
    <col min="3824" max="3824" width="33.375" style="1" customWidth="1"/>
    <col min="3825" max="3825" width="6.5" style="1" customWidth="1"/>
    <col min="3826" max="3826" width="29.5" style="1" customWidth="1"/>
    <col min="3827" max="3827" width="23.625" style="1" customWidth="1"/>
    <col min="3828" max="3828" width="8" style="1" customWidth="1"/>
    <col min="3829" max="3829" width="9.125" style="1" customWidth="1"/>
    <col min="3830" max="3830" width="13.875" style="1" customWidth="1"/>
    <col min="3831" max="3831" width="13.5" style="1" customWidth="1"/>
    <col min="3832" max="4078" width="8.875" style="1"/>
    <col min="4079" max="4079" width="5" style="1" customWidth="1"/>
    <col min="4080" max="4080" width="33.375" style="1" customWidth="1"/>
    <col min="4081" max="4081" width="6.5" style="1" customWidth="1"/>
    <col min="4082" max="4082" width="29.5" style="1" customWidth="1"/>
    <col min="4083" max="4083" width="23.625" style="1" customWidth="1"/>
    <col min="4084" max="4084" width="8" style="1" customWidth="1"/>
    <col min="4085" max="4085" width="9.125" style="1" customWidth="1"/>
    <col min="4086" max="4086" width="13.875" style="1" customWidth="1"/>
    <col min="4087" max="4087" width="13.5" style="1" customWidth="1"/>
    <col min="4088" max="4334" width="8.875" style="1"/>
    <col min="4335" max="4335" width="5" style="1" customWidth="1"/>
    <col min="4336" max="4336" width="33.375" style="1" customWidth="1"/>
    <col min="4337" max="4337" width="6.5" style="1" customWidth="1"/>
    <col min="4338" max="4338" width="29.5" style="1" customWidth="1"/>
    <col min="4339" max="4339" width="23.625" style="1" customWidth="1"/>
    <col min="4340" max="4340" width="8" style="1" customWidth="1"/>
    <col min="4341" max="4341" width="9.125" style="1" customWidth="1"/>
    <col min="4342" max="4342" width="13.875" style="1" customWidth="1"/>
    <col min="4343" max="4343" width="13.5" style="1" customWidth="1"/>
    <col min="4344" max="4590" width="8.875" style="1"/>
    <col min="4591" max="4591" width="5" style="1" customWidth="1"/>
    <col min="4592" max="4592" width="33.375" style="1" customWidth="1"/>
    <col min="4593" max="4593" width="6.5" style="1" customWidth="1"/>
    <col min="4594" max="4594" width="29.5" style="1" customWidth="1"/>
    <col min="4595" max="4595" width="23.625" style="1" customWidth="1"/>
    <col min="4596" max="4596" width="8" style="1" customWidth="1"/>
    <col min="4597" max="4597" width="9.125" style="1" customWidth="1"/>
    <col min="4598" max="4598" width="13.875" style="1" customWidth="1"/>
    <col min="4599" max="4599" width="13.5" style="1" customWidth="1"/>
    <col min="4600" max="4846" width="8.875" style="1"/>
    <col min="4847" max="4847" width="5" style="1" customWidth="1"/>
    <col min="4848" max="4848" width="33.375" style="1" customWidth="1"/>
    <col min="4849" max="4849" width="6.5" style="1" customWidth="1"/>
    <col min="4850" max="4850" width="29.5" style="1" customWidth="1"/>
    <col min="4851" max="4851" width="23.625" style="1" customWidth="1"/>
    <col min="4852" max="4852" width="8" style="1" customWidth="1"/>
    <col min="4853" max="4853" width="9.125" style="1" customWidth="1"/>
    <col min="4854" max="4854" width="13.875" style="1" customWidth="1"/>
    <col min="4855" max="4855" width="13.5" style="1" customWidth="1"/>
    <col min="4856" max="5102" width="8.875" style="1"/>
    <col min="5103" max="5103" width="5" style="1" customWidth="1"/>
    <col min="5104" max="5104" width="33.375" style="1" customWidth="1"/>
    <col min="5105" max="5105" width="6.5" style="1" customWidth="1"/>
    <col min="5106" max="5106" width="29.5" style="1" customWidth="1"/>
    <col min="5107" max="5107" width="23.625" style="1" customWidth="1"/>
    <col min="5108" max="5108" width="8" style="1" customWidth="1"/>
    <col min="5109" max="5109" width="9.125" style="1" customWidth="1"/>
    <col min="5110" max="5110" width="13.875" style="1" customWidth="1"/>
    <col min="5111" max="5111" width="13.5" style="1" customWidth="1"/>
    <col min="5112" max="5358" width="8.875" style="1"/>
    <col min="5359" max="5359" width="5" style="1" customWidth="1"/>
    <col min="5360" max="5360" width="33.375" style="1" customWidth="1"/>
    <col min="5361" max="5361" width="6.5" style="1" customWidth="1"/>
    <col min="5362" max="5362" width="29.5" style="1" customWidth="1"/>
    <col min="5363" max="5363" width="23.625" style="1" customWidth="1"/>
    <col min="5364" max="5364" width="8" style="1" customWidth="1"/>
    <col min="5365" max="5365" width="9.125" style="1" customWidth="1"/>
    <col min="5366" max="5366" width="13.875" style="1" customWidth="1"/>
    <col min="5367" max="5367" width="13.5" style="1" customWidth="1"/>
    <col min="5368" max="5614" width="8.875" style="1"/>
    <col min="5615" max="5615" width="5" style="1" customWidth="1"/>
    <col min="5616" max="5616" width="33.375" style="1" customWidth="1"/>
    <col min="5617" max="5617" width="6.5" style="1" customWidth="1"/>
    <col min="5618" max="5618" width="29.5" style="1" customWidth="1"/>
    <col min="5619" max="5619" width="23.625" style="1" customWidth="1"/>
    <col min="5620" max="5620" width="8" style="1" customWidth="1"/>
    <col min="5621" max="5621" width="9.125" style="1" customWidth="1"/>
    <col min="5622" max="5622" width="13.875" style="1" customWidth="1"/>
    <col min="5623" max="5623" width="13.5" style="1" customWidth="1"/>
    <col min="5624" max="5870" width="8.875" style="1"/>
    <col min="5871" max="5871" width="5" style="1" customWidth="1"/>
    <col min="5872" max="5872" width="33.375" style="1" customWidth="1"/>
    <col min="5873" max="5873" width="6.5" style="1" customWidth="1"/>
    <col min="5874" max="5874" width="29.5" style="1" customWidth="1"/>
    <col min="5875" max="5875" width="23.625" style="1" customWidth="1"/>
    <col min="5876" max="5876" width="8" style="1" customWidth="1"/>
    <col min="5877" max="5877" width="9.125" style="1" customWidth="1"/>
    <col min="5878" max="5878" width="13.875" style="1" customWidth="1"/>
    <col min="5879" max="5879" width="13.5" style="1" customWidth="1"/>
    <col min="5880" max="6126" width="8.875" style="1"/>
    <col min="6127" max="6127" width="5" style="1" customWidth="1"/>
    <col min="6128" max="6128" width="33.375" style="1" customWidth="1"/>
    <col min="6129" max="6129" width="6.5" style="1" customWidth="1"/>
    <col min="6130" max="6130" width="29.5" style="1" customWidth="1"/>
    <col min="6131" max="6131" width="23.625" style="1" customWidth="1"/>
    <col min="6132" max="6132" width="8" style="1" customWidth="1"/>
    <col min="6133" max="6133" width="9.125" style="1" customWidth="1"/>
    <col min="6134" max="6134" width="13.875" style="1" customWidth="1"/>
    <col min="6135" max="6135" width="13.5" style="1" customWidth="1"/>
    <col min="6136" max="6382" width="8.875" style="1"/>
    <col min="6383" max="6383" width="5" style="1" customWidth="1"/>
    <col min="6384" max="6384" width="33.375" style="1" customWidth="1"/>
    <col min="6385" max="6385" width="6.5" style="1" customWidth="1"/>
    <col min="6386" max="6386" width="29.5" style="1" customWidth="1"/>
    <col min="6387" max="6387" width="23.625" style="1" customWidth="1"/>
    <col min="6388" max="6388" width="8" style="1" customWidth="1"/>
    <col min="6389" max="6389" width="9.125" style="1" customWidth="1"/>
    <col min="6390" max="6390" width="13.875" style="1" customWidth="1"/>
    <col min="6391" max="6391" width="13.5" style="1" customWidth="1"/>
    <col min="6392" max="6638" width="8.875" style="1"/>
    <col min="6639" max="6639" width="5" style="1" customWidth="1"/>
    <col min="6640" max="6640" width="33.375" style="1" customWidth="1"/>
    <col min="6641" max="6641" width="6.5" style="1" customWidth="1"/>
    <col min="6642" max="6642" width="29.5" style="1" customWidth="1"/>
    <col min="6643" max="6643" width="23.625" style="1" customWidth="1"/>
    <col min="6644" max="6644" width="8" style="1" customWidth="1"/>
    <col min="6645" max="6645" width="9.125" style="1" customWidth="1"/>
    <col min="6646" max="6646" width="13.875" style="1" customWidth="1"/>
    <col min="6647" max="6647" width="13.5" style="1" customWidth="1"/>
    <col min="6648" max="6894" width="8.875" style="1"/>
    <col min="6895" max="6895" width="5" style="1" customWidth="1"/>
    <col min="6896" max="6896" width="33.375" style="1" customWidth="1"/>
    <col min="6897" max="6897" width="6.5" style="1" customWidth="1"/>
    <col min="6898" max="6898" width="29.5" style="1" customWidth="1"/>
    <col min="6899" max="6899" width="23.625" style="1" customWidth="1"/>
    <col min="6900" max="6900" width="8" style="1" customWidth="1"/>
    <col min="6901" max="6901" width="9.125" style="1" customWidth="1"/>
    <col min="6902" max="6902" width="13.875" style="1" customWidth="1"/>
    <col min="6903" max="6903" width="13.5" style="1" customWidth="1"/>
    <col min="6904" max="7150" width="8.875" style="1"/>
    <col min="7151" max="7151" width="5" style="1" customWidth="1"/>
    <col min="7152" max="7152" width="33.375" style="1" customWidth="1"/>
    <col min="7153" max="7153" width="6.5" style="1" customWidth="1"/>
    <col min="7154" max="7154" width="29.5" style="1" customWidth="1"/>
    <col min="7155" max="7155" width="23.625" style="1" customWidth="1"/>
    <col min="7156" max="7156" width="8" style="1" customWidth="1"/>
    <col min="7157" max="7157" width="9.125" style="1" customWidth="1"/>
    <col min="7158" max="7158" width="13.875" style="1" customWidth="1"/>
    <col min="7159" max="7159" width="13.5" style="1" customWidth="1"/>
    <col min="7160" max="7406" width="8.875" style="1"/>
    <col min="7407" max="7407" width="5" style="1" customWidth="1"/>
    <col min="7408" max="7408" width="33.375" style="1" customWidth="1"/>
    <col min="7409" max="7409" width="6.5" style="1" customWidth="1"/>
    <col min="7410" max="7410" width="29.5" style="1" customWidth="1"/>
    <col min="7411" max="7411" width="23.625" style="1" customWidth="1"/>
    <col min="7412" max="7412" width="8" style="1" customWidth="1"/>
    <col min="7413" max="7413" width="9.125" style="1" customWidth="1"/>
    <col min="7414" max="7414" width="13.875" style="1" customWidth="1"/>
    <col min="7415" max="7415" width="13.5" style="1" customWidth="1"/>
    <col min="7416" max="7662" width="8.875" style="1"/>
    <col min="7663" max="7663" width="5" style="1" customWidth="1"/>
    <col min="7664" max="7664" width="33.375" style="1" customWidth="1"/>
    <col min="7665" max="7665" width="6.5" style="1" customWidth="1"/>
    <col min="7666" max="7666" width="29.5" style="1" customWidth="1"/>
    <col min="7667" max="7667" width="23.625" style="1" customWidth="1"/>
    <col min="7668" max="7668" width="8" style="1" customWidth="1"/>
    <col min="7669" max="7669" width="9.125" style="1" customWidth="1"/>
    <col min="7670" max="7670" width="13.875" style="1" customWidth="1"/>
    <col min="7671" max="7671" width="13.5" style="1" customWidth="1"/>
    <col min="7672" max="7918" width="8.875" style="1"/>
    <col min="7919" max="7919" width="5" style="1" customWidth="1"/>
    <col min="7920" max="7920" width="33.375" style="1" customWidth="1"/>
    <col min="7921" max="7921" width="6.5" style="1" customWidth="1"/>
    <col min="7922" max="7922" width="29.5" style="1" customWidth="1"/>
    <col min="7923" max="7923" width="23.625" style="1" customWidth="1"/>
    <col min="7924" max="7924" width="8" style="1" customWidth="1"/>
    <col min="7925" max="7925" width="9.125" style="1" customWidth="1"/>
    <col min="7926" max="7926" width="13.875" style="1" customWidth="1"/>
    <col min="7927" max="7927" width="13.5" style="1" customWidth="1"/>
    <col min="7928" max="8174" width="8.875" style="1"/>
    <col min="8175" max="8175" width="5" style="1" customWidth="1"/>
    <col min="8176" max="8176" width="33.375" style="1" customWidth="1"/>
    <col min="8177" max="8177" width="6.5" style="1" customWidth="1"/>
    <col min="8178" max="8178" width="29.5" style="1" customWidth="1"/>
    <col min="8179" max="8179" width="23.625" style="1" customWidth="1"/>
    <col min="8180" max="8180" width="8" style="1" customWidth="1"/>
    <col min="8181" max="8181" width="9.125" style="1" customWidth="1"/>
    <col min="8182" max="8182" width="13.875" style="1" customWidth="1"/>
    <col min="8183" max="8183" width="13.5" style="1" customWidth="1"/>
    <col min="8184" max="8430" width="8.875" style="1"/>
    <col min="8431" max="8431" width="5" style="1" customWidth="1"/>
    <col min="8432" max="8432" width="33.375" style="1" customWidth="1"/>
    <col min="8433" max="8433" width="6.5" style="1" customWidth="1"/>
    <col min="8434" max="8434" width="29.5" style="1" customWidth="1"/>
    <col min="8435" max="8435" width="23.625" style="1" customWidth="1"/>
    <col min="8436" max="8436" width="8" style="1" customWidth="1"/>
    <col min="8437" max="8437" width="9.125" style="1" customWidth="1"/>
    <col min="8438" max="8438" width="13.875" style="1" customWidth="1"/>
    <col min="8439" max="8439" width="13.5" style="1" customWidth="1"/>
    <col min="8440" max="8686" width="8.875" style="1"/>
    <col min="8687" max="8687" width="5" style="1" customWidth="1"/>
    <col min="8688" max="8688" width="33.375" style="1" customWidth="1"/>
    <col min="8689" max="8689" width="6.5" style="1" customWidth="1"/>
    <col min="8690" max="8690" width="29.5" style="1" customWidth="1"/>
    <col min="8691" max="8691" width="23.625" style="1" customWidth="1"/>
    <col min="8692" max="8692" width="8" style="1" customWidth="1"/>
    <col min="8693" max="8693" width="9.125" style="1" customWidth="1"/>
    <col min="8694" max="8694" width="13.875" style="1" customWidth="1"/>
    <col min="8695" max="8695" width="13.5" style="1" customWidth="1"/>
    <col min="8696" max="8942" width="8.875" style="1"/>
    <col min="8943" max="8943" width="5" style="1" customWidth="1"/>
    <col min="8944" max="8944" width="33.375" style="1" customWidth="1"/>
    <col min="8945" max="8945" width="6.5" style="1" customWidth="1"/>
    <col min="8946" max="8946" width="29.5" style="1" customWidth="1"/>
    <col min="8947" max="8947" width="23.625" style="1" customWidth="1"/>
    <col min="8948" max="8948" width="8" style="1" customWidth="1"/>
    <col min="8949" max="8949" width="9.125" style="1" customWidth="1"/>
    <col min="8950" max="8950" width="13.875" style="1" customWidth="1"/>
    <col min="8951" max="8951" width="13.5" style="1" customWidth="1"/>
    <col min="8952" max="9198" width="8.875" style="1"/>
    <col min="9199" max="9199" width="5" style="1" customWidth="1"/>
    <col min="9200" max="9200" width="33.375" style="1" customWidth="1"/>
    <col min="9201" max="9201" width="6.5" style="1" customWidth="1"/>
    <col min="9202" max="9202" width="29.5" style="1" customWidth="1"/>
    <col min="9203" max="9203" width="23.625" style="1" customWidth="1"/>
    <col min="9204" max="9204" width="8" style="1" customWidth="1"/>
    <col min="9205" max="9205" width="9.125" style="1" customWidth="1"/>
    <col min="9206" max="9206" width="13.875" style="1" customWidth="1"/>
    <col min="9207" max="9207" width="13.5" style="1" customWidth="1"/>
    <col min="9208" max="9454" width="8.875" style="1"/>
    <col min="9455" max="9455" width="5" style="1" customWidth="1"/>
    <col min="9456" max="9456" width="33.375" style="1" customWidth="1"/>
    <col min="9457" max="9457" width="6.5" style="1" customWidth="1"/>
    <col min="9458" max="9458" width="29.5" style="1" customWidth="1"/>
    <col min="9459" max="9459" width="23.625" style="1" customWidth="1"/>
    <col min="9460" max="9460" width="8" style="1" customWidth="1"/>
    <col min="9461" max="9461" width="9.125" style="1" customWidth="1"/>
    <col min="9462" max="9462" width="13.875" style="1" customWidth="1"/>
    <col min="9463" max="9463" width="13.5" style="1" customWidth="1"/>
    <col min="9464" max="9710" width="8.875" style="1"/>
    <col min="9711" max="9711" width="5" style="1" customWidth="1"/>
    <col min="9712" max="9712" width="33.375" style="1" customWidth="1"/>
    <col min="9713" max="9713" width="6.5" style="1" customWidth="1"/>
    <col min="9714" max="9714" width="29.5" style="1" customWidth="1"/>
    <col min="9715" max="9715" width="23.625" style="1" customWidth="1"/>
    <col min="9716" max="9716" width="8" style="1" customWidth="1"/>
    <col min="9717" max="9717" width="9.125" style="1" customWidth="1"/>
    <col min="9718" max="9718" width="13.875" style="1" customWidth="1"/>
    <col min="9719" max="9719" width="13.5" style="1" customWidth="1"/>
    <col min="9720" max="9966" width="8.875" style="1"/>
    <col min="9967" max="9967" width="5" style="1" customWidth="1"/>
    <col min="9968" max="9968" width="33.375" style="1" customWidth="1"/>
    <col min="9969" max="9969" width="6.5" style="1" customWidth="1"/>
    <col min="9970" max="9970" width="29.5" style="1" customWidth="1"/>
    <col min="9971" max="9971" width="23.625" style="1" customWidth="1"/>
    <col min="9972" max="9972" width="8" style="1" customWidth="1"/>
    <col min="9973" max="9973" width="9.125" style="1" customWidth="1"/>
    <col min="9974" max="9974" width="13.875" style="1" customWidth="1"/>
    <col min="9975" max="9975" width="13.5" style="1" customWidth="1"/>
    <col min="9976" max="10222" width="8.875" style="1"/>
    <col min="10223" max="10223" width="5" style="1" customWidth="1"/>
    <col min="10224" max="10224" width="33.375" style="1" customWidth="1"/>
    <col min="10225" max="10225" width="6.5" style="1" customWidth="1"/>
    <col min="10226" max="10226" width="29.5" style="1" customWidth="1"/>
    <col min="10227" max="10227" width="23.625" style="1" customWidth="1"/>
    <col min="10228" max="10228" width="8" style="1" customWidth="1"/>
    <col min="10229" max="10229" width="9.125" style="1" customWidth="1"/>
    <col min="10230" max="10230" width="13.875" style="1" customWidth="1"/>
    <col min="10231" max="10231" width="13.5" style="1" customWidth="1"/>
    <col min="10232" max="10478" width="8.875" style="1"/>
    <col min="10479" max="10479" width="5" style="1" customWidth="1"/>
    <col min="10480" max="10480" width="33.375" style="1" customWidth="1"/>
    <col min="10481" max="10481" width="6.5" style="1" customWidth="1"/>
    <col min="10482" max="10482" width="29.5" style="1" customWidth="1"/>
    <col min="10483" max="10483" width="23.625" style="1" customWidth="1"/>
    <col min="10484" max="10484" width="8" style="1" customWidth="1"/>
    <col min="10485" max="10485" width="9.125" style="1" customWidth="1"/>
    <col min="10486" max="10486" width="13.875" style="1" customWidth="1"/>
    <col min="10487" max="10487" width="13.5" style="1" customWidth="1"/>
    <col min="10488" max="10734" width="8.875" style="1"/>
    <col min="10735" max="10735" width="5" style="1" customWidth="1"/>
    <col min="10736" max="10736" width="33.375" style="1" customWidth="1"/>
    <col min="10737" max="10737" width="6.5" style="1" customWidth="1"/>
    <col min="10738" max="10738" width="29.5" style="1" customWidth="1"/>
    <col min="10739" max="10739" width="23.625" style="1" customWidth="1"/>
    <col min="10740" max="10740" width="8" style="1" customWidth="1"/>
    <col min="10741" max="10741" width="9.125" style="1" customWidth="1"/>
    <col min="10742" max="10742" width="13.875" style="1" customWidth="1"/>
    <col min="10743" max="10743" width="13.5" style="1" customWidth="1"/>
    <col min="10744" max="10990" width="8.875" style="1"/>
    <col min="10991" max="10991" width="5" style="1" customWidth="1"/>
    <col min="10992" max="10992" width="33.375" style="1" customWidth="1"/>
    <col min="10993" max="10993" width="6.5" style="1" customWidth="1"/>
    <col min="10994" max="10994" width="29.5" style="1" customWidth="1"/>
    <col min="10995" max="10995" width="23.625" style="1" customWidth="1"/>
    <col min="10996" max="10996" width="8" style="1" customWidth="1"/>
    <col min="10997" max="10997" width="9.125" style="1" customWidth="1"/>
    <col min="10998" max="10998" width="13.875" style="1" customWidth="1"/>
    <col min="10999" max="10999" width="13.5" style="1" customWidth="1"/>
    <col min="11000" max="11246" width="8.875" style="1"/>
    <col min="11247" max="11247" width="5" style="1" customWidth="1"/>
    <col min="11248" max="11248" width="33.375" style="1" customWidth="1"/>
    <col min="11249" max="11249" width="6.5" style="1" customWidth="1"/>
    <col min="11250" max="11250" width="29.5" style="1" customWidth="1"/>
    <col min="11251" max="11251" width="23.625" style="1" customWidth="1"/>
    <col min="11252" max="11252" width="8" style="1" customWidth="1"/>
    <col min="11253" max="11253" width="9.125" style="1" customWidth="1"/>
    <col min="11254" max="11254" width="13.875" style="1" customWidth="1"/>
    <col min="11255" max="11255" width="13.5" style="1" customWidth="1"/>
    <col min="11256" max="11502" width="8.875" style="1"/>
    <col min="11503" max="11503" width="5" style="1" customWidth="1"/>
    <col min="11504" max="11504" width="33.375" style="1" customWidth="1"/>
    <col min="11505" max="11505" width="6.5" style="1" customWidth="1"/>
    <col min="11506" max="11506" width="29.5" style="1" customWidth="1"/>
    <col min="11507" max="11507" width="23.625" style="1" customWidth="1"/>
    <col min="11508" max="11508" width="8" style="1" customWidth="1"/>
    <col min="11509" max="11509" width="9.125" style="1" customWidth="1"/>
    <col min="11510" max="11510" width="13.875" style="1" customWidth="1"/>
    <col min="11511" max="11511" width="13.5" style="1" customWidth="1"/>
    <col min="11512" max="11758" width="8.875" style="1"/>
    <col min="11759" max="11759" width="5" style="1" customWidth="1"/>
    <col min="11760" max="11760" width="33.375" style="1" customWidth="1"/>
    <col min="11761" max="11761" width="6.5" style="1" customWidth="1"/>
    <col min="11762" max="11762" width="29.5" style="1" customWidth="1"/>
    <col min="11763" max="11763" width="23.625" style="1" customWidth="1"/>
    <col min="11764" max="11764" width="8" style="1" customWidth="1"/>
    <col min="11765" max="11765" width="9.125" style="1" customWidth="1"/>
    <col min="11766" max="11766" width="13.875" style="1" customWidth="1"/>
    <col min="11767" max="11767" width="13.5" style="1" customWidth="1"/>
    <col min="11768" max="12014" width="8.875" style="1"/>
    <col min="12015" max="12015" width="5" style="1" customWidth="1"/>
    <col min="12016" max="12016" width="33.375" style="1" customWidth="1"/>
    <col min="12017" max="12017" width="6.5" style="1" customWidth="1"/>
    <col min="12018" max="12018" width="29.5" style="1" customWidth="1"/>
    <col min="12019" max="12019" width="23.625" style="1" customWidth="1"/>
    <col min="12020" max="12020" width="8" style="1" customWidth="1"/>
    <col min="12021" max="12021" width="9.125" style="1" customWidth="1"/>
    <col min="12022" max="12022" width="13.875" style="1" customWidth="1"/>
    <col min="12023" max="12023" width="13.5" style="1" customWidth="1"/>
    <col min="12024" max="12270" width="8.875" style="1"/>
    <col min="12271" max="12271" width="5" style="1" customWidth="1"/>
    <col min="12272" max="12272" width="33.375" style="1" customWidth="1"/>
    <col min="12273" max="12273" width="6.5" style="1" customWidth="1"/>
    <col min="12274" max="12274" width="29.5" style="1" customWidth="1"/>
    <col min="12275" max="12275" width="23.625" style="1" customWidth="1"/>
    <col min="12276" max="12276" width="8" style="1" customWidth="1"/>
    <col min="12277" max="12277" width="9.125" style="1" customWidth="1"/>
    <col min="12278" max="12278" width="13.875" style="1" customWidth="1"/>
    <col min="12279" max="12279" width="13.5" style="1" customWidth="1"/>
    <col min="12280" max="12526" width="8.875" style="1"/>
    <col min="12527" max="12527" width="5" style="1" customWidth="1"/>
    <col min="12528" max="12528" width="33.375" style="1" customWidth="1"/>
    <col min="12529" max="12529" width="6.5" style="1" customWidth="1"/>
    <col min="12530" max="12530" width="29.5" style="1" customWidth="1"/>
    <col min="12531" max="12531" width="23.625" style="1" customWidth="1"/>
    <col min="12532" max="12532" width="8" style="1" customWidth="1"/>
    <col min="12533" max="12533" width="9.125" style="1" customWidth="1"/>
    <col min="12534" max="12534" width="13.875" style="1" customWidth="1"/>
    <col min="12535" max="12535" width="13.5" style="1" customWidth="1"/>
    <col min="12536" max="12782" width="8.875" style="1"/>
    <col min="12783" max="12783" width="5" style="1" customWidth="1"/>
    <col min="12784" max="12784" width="33.375" style="1" customWidth="1"/>
    <col min="12785" max="12785" width="6.5" style="1" customWidth="1"/>
    <col min="12786" max="12786" width="29.5" style="1" customWidth="1"/>
    <col min="12787" max="12787" width="23.625" style="1" customWidth="1"/>
    <col min="12788" max="12788" width="8" style="1" customWidth="1"/>
    <col min="12789" max="12789" width="9.125" style="1" customWidth="1"/>
    <col min="12790" max="12790" width="13.875" style="1" customWidth="1"/>
    <col min="12791" max="12791" width="13.5" style="1" customWidth="1"/>
    <col min="12792" max="13038" width="8.875" style="1"/>
    <col min="13039" max="13039" width="5" style="1" customWidth="1"/>
    <col min="13040" max="13040" width="33.375" style="1" customWidth="1"/>
    <col min="13041" max="13041" width="6.5" style="1" customWidth="1"/>
    <col min="13042" max="13042" width="29.5" style="1" customWidth="1"/>
    <col min="13043" max="13043" width="23.625" style="1" customWidth="1"/>
    <col min="13044" max="13044" width="8" style="1" customWidth="1"/>
    <col min="13045" max="13045" width="9.125" style="1" customWidth="1"/>
    <col min="13046" max="13046" width="13.875" style="1" customWidth="1"/>
    <col min="13047" max="13047" width="13.5" style="1" customWidth="1"/>
    <col min="13048" max="13294" width="8.875" style="1"/>
    <col min="13295" max="13295" width="5" style="1" customWidth="1"/>
    <col min="13296" max="13296" width="33.375" style="1" customWidth="1"/>
    <col min="13297" max="13297" width="6.5" style="1" customWidth="1"/>
    <col min="13298" max="13298" width="29.5" style="1" customWidth="1"/>
    <col min="13299" max="13299" width="23.625" style="1" customWidth="1"/>
    <col min="13300" max="13300" width="8" style="1" customWidth="1"/>
    <col min="13301" max="13301" width="9.125" style="1" customWidth="1"/>
    <col min="13302" max="13302" width="13.875" style="1" customWidth="1"/>
    <col min="13303" max="13303" width="13.5" style="1" customWidth="1"/>
    <col min="13304" max="13550" width="8.875" style="1"/>
    <col min="13551" max="13551" width="5" style="1" customWidth="1"/>
    <col min="13552" max="13552" width="33.375" style="1" customWidth="1"/>
    <col min="13553" max="13553" width="6.5" style="1" customWidth="1"/>
    <col min="13554" max="13554" width="29.5" style="1" customWidth="1"/>
    <col min="13555" max="13555" width="23.625" style="1" customWidth="1"/>
    <col min="13556" max="13556" width="8" style="1" customWidth="1"/>
    <col min="13557" max="13557" width="9.125" style="1" customWidth="1"/>
    <col min="13558" max="13558" width="13.875" style="1" customWidth="1"/>
    <col min="13559" max="13559" width="13.5" style="1" customWidth="1"/>
    <col min="13560" max="13806" width="8.875" style="1"/>
    <col min="13807" max="13807" width="5" style="1" customWidth="1"/>
    <col min="13808" max="13808" width="33.375" style="1" customWidth="1"/>
    <col min="13809" max="13809" width="6.5" style="1" customWidth="1"/>
    <col min="13810" max="13810" width="29.5" style="1" customWidth="1"/>
    <col min="13811" max="13811" width="23.625" style="1" customWidth="1"/>
    <col min="13812" max="13812" width="8" style="1" customWidth="1"/>
    <col min="13813" max="13813" width="9.125" style="1" customWidth="1"/>
    <col min="13814" max="13814" width="13.875" style="1" customWidth="1"/>
    <col min="13815" max="13815" width="13.5" style="1" customWidth="1"/>
    <col min="13816" max="14062" width="8.875" style="1"/>
    <col min="14063" max="14063" width="5" style="1" customWidth="1"/>
    <col min="14064" max="14064" width="33.375" style="1" customWidth="1"/>
    <col min="14065" max="14065" width="6.5" style="1" customWidth="1"/>
    <col min="14066" max="14066" width="29.5" style="1" customWidth="1"/>
    <col min="14067" max="14067" width="23.625" style="1" customWidth="1"/>
    <col min="14068" max="14068" width="8" style="1" customWidth="1"/>
    <col min="14069" max="14069" width="9.125" style="1" customWidth="1"/>
    <col min="14070" max="14070" width="13.875" style="1" customWidth="1"/>
    <col min="14071" max="14071" width="13.5" style="1" customWidth="1"/>
    <col min="14072" max="14318" width="8.875" style="1"/>
    <col min="14319" max="14319" width="5" style="1" customWidth="1"/>
    <col min="14320" max="14320" width="33.375" style="1" customWidth="1"/>
    <col min="14321" max="14321" width="6.5" style="1" customWidth="1"/>
    <col min="14322" max="14322" width="29.5" style="1" customWidth="1"/>
    <col min="14323" max="14323" width="23.625" style="1" customWidth="1"/>
    <col min="14324" max="14324" width="8" style="1" customWidth="1"/>
    <col min="14325" max="14325" width="9.125" style="1" customWidth="1"/>
    <col min="14326" max="14326" width="13.875" style="1" customWidth="1"/>
    <col min="14327" max="14327" width="13.5" style="1" customWidth="1"/>
    <col min="14328" max="14574" width="8.875" style="1"/>
    <col min="14575" max="14575" width="5" style="1" customWidth="1"/>
    <col min="14576" max="14576" width="33.375" style="1" customWidth="1"/>
    <col min="14577" max="14577" width="6.5" style="1" customWidth="1"/>
    <col min="14578" max="14578" width="29.5" style="1" customWidth="1"/>
    <col min="14579" max="14579" width="23.625" style="1" customWidth="1"/>
    <col min="14580" max="14580" width="8" style="1" customWidth="1"/>
    <col min="14581" max="14581" width="9.125" style="1" customWidth="1"/>
    <col min="14582" max="14582" width="13.875" style="1" customWidth="1"/>
    <col min="14583" max="14583" width="13.5" style="1" customWidth="1"/>
    <col min="14584" max="14830" width="8.875" style="1"/>
    <col min="14831" max="14831" width="5" style="1" customWidth="1"/>
    <col min="14832" max="14832" width="33.375" style="1" customWidth="1"/>
    <col min="14833" max="14833" width="6.5" style="1" customWidth="1"/>
    <col min="14834" max="14834" width="29.5" style="1" customWidth="1"/>
    <col min="14835" max="14835" width="23.625" style="1" customWidth="1"/>
    <col min="14836" max="14836" width="8" style="1" customWidth="1"/>
    <col min="14837" max="14837" width="9.125" style="1" customWidth="1"/>
    <col min="14838" max="14838" width="13.875" style="1" customWidth="1"/>
    <col min="14839" max="14839" width="13.5" style="1" customWidth="1"/>
    <col min="14840" max="15086" width="8.875" style="1"/>
    <col min="15087" max="15087" width="5" style="1" customWidth="1"/>
    <col min="15088" max="15088" width="33.375" style="1" customWidth="1"/>
    <col min="15089" max="15089" width="6.5" style="1" customWidth="1"/>
    <col min="15090" max="15090" width="29.5" style="1" customWidth="1"/>
    <col min="15091" max="15091" width="23.625" style="1" customWidth="1"/>
    <col min="15092" max="15092" width="8" style="1" customWidth="1"/>
    <col min="15093" max="15093" width="9.125" style="1" customWidth="1"/>
    <col min="15094" max="15094" width="13.875" style="1" customWidth="1"/>
    <col min="15095" max="15095" width="13.5" style="1" customWidth="1"/>
    <col min="15096" max="15342" width="8.875" style="1"/>
    <col min="15343" max="15343" width="5" style="1" customWidth="1"/>
    <col min="15344" max="15344" width="33.375" style="1" customWidth="1"/>
    <col min="15345" max="15345" width="6.5" style="1" customWidth="1"/>
    <col min="15346" max="15346" width="29.5" style="1" customWidth="1"/>
    <col min="15347" max="15347" width="23.625" style="1" customWidth="1"/>
    <col min="15348" max="15348" width="8" style="1" customWidth="1"/>
    <col min="15349" max="15349" width="9.125" style="1" customWidth="1"/>
    <col min="15350" max="15350" width="13.875" style="1" customWidth="1"/>
    <col min="15351" max="15351" width="13.5" style="1" customWidth="1"/>
    <col min="15352" max="15598" width="8.875" style="1"/>
    <col min="15599" max="15599" width="5" style="1" customWidth="1"/>
    <col min="15600" max="15600" width="33.375" style="1" customWidth="1"/>
    <col min="15601" max="15601" width="6.5" style="1" customWidth="1"/>
    <col min="15602" max="15602" width="29.5" style="1" customWidth="1"/>
    <col min="15603" max="15603" width="23.625" style="1" customWidth="1"/>
    <col min="15604" max="15604" width="8" style="1" customWidth="1"/>
    <col min="15605" max="15605" width="9.125" style="1" customWidth="1"/>
    <col min="15606" max="15606" width="13.875" style="1" customWidth="1"/>
    <col min="15607" max="15607" width="13.5" style="1" customWidth="1"/>
    <col min="15608" max="15854" width="8.875" style="1"/>
    <col min="15855" max="15855" width="5" style="1" customWidth="1"/>
    <col min="15856" max="15856" width="33.375" style="1" customWidth="1"/>
    <col min="15857" max="15857" width="6.5" style="1" customWidth="1"/>
    <col min="15858" max="15858" width="29.5" style="1" customWidth="1"/>
    <col min="15859" max="15859" width="23.625" style="1" customWidth="1"/>
    <col min="15860" max="15860" width="8" style="1" customWidth="1"/>
    <col min="15861" max="15861" width="9.125" style="1" customWidth="1"/>
    <col min="15862" max="15862" width="13.875" style="1" customWidth="1"/>
    <col min="15863" max="15863" width="13.5" style="1" customWidth="1"/>
    <col min="15864" max="16384" width="8.875" style="1"/>
  </cols>
  <sheetData>
    <row r="2" spans="2:18" s="375" customFormat="1">
      <c r="B2" s="374" t="s">
        <v>464</v>
      </c>
      <c r="C2" s="140" t="s">
        <v>132</v>
      </c>
    </row>
    <row r="3" spans="2:18" s="375" customFormat="1">
      <c r="B3" s="374" t="s">
        <v>465</v>
      </c>
      <c r="C3" s="209" t="s">
        <v>255</v>
      </c>
    </row>
    <row r="4" spans="2:18" s="375" customFormat="1">
      <c r="B4" s="374" t="s">
        <v>466</v>
      </c>
      <c r="C4" s="140" t="s">
        <v>133</v>
      </c>
    </row>
    <row r="5" spans="2:18">
      <c r="E5" s="2"/>
      <c r="G5" s="1"/>
      <c r="H5" s="1"/>
      <c r="M5" s="2"/>
      <c r="Q5" s="1"/>
    </row>
    <row r="6" spans="2:18" s="3" customFormat="1" ht="23.1" customHeight="1">
      <c r="B6" s="99" t="s">
        <v>61</v>
      </c>
      <c r="C6" s="376" t="s">
        <v>616</v>
      </c>
      <c r="D6" s="95"/>
      <c r="E6" s="95"/>
      <c r="F6" s="7"/>
      <c r="G6" s="7"/>
      <c r="H6" s="7"/>
      <c r="I6" s="7"/>
      <c r="J6" s="7"/>
      <c r="K6" s="7"/>
      <c r="L6" s="7"/>
      <c r="M6" s="7"/>
    </row>
    <row r="7" spans="2:18" s="3" customFormat="1" ht="3.95" customHeight="1">
      <c r="M7" s="44"/>
    </row>
    <row r="8" spans="2:18" s="3" customFormat="1" ht="20.100000000000001" customHeight="1">
      <c r="B8" s="213" t="s">
        <v>279</v>
      </c>
      <c r="C8" s="213" t="s">
        <v>549</v>
      </c>
      <c r="D8" s="212"/>
      <c r="E8" s="212" t="s">
        <v>405</v>
      </c>
      <c r="F8" s="212" t="s">
        <v>490</v>
      </c>
      <c r="G8" s="212"/>
      <c r="H8" s="212"/>
      <c r="I8" s="31"/>
    </row>
    <row r="9" spans="2:18" s="3" customFormat="1" ht="18.95" customHeight="1">
      <c r="B9" s="213" t="s">
        <v>280</v>
      </c>
      <c r="C9" s="472" t="s">
        <v>550</v>
      </c>
      <c r="D9" s="212"/>
      <c r="E9" s="212" t="s">
        <v>467</v>
      </c>
      <c r="F9" s="211" t="s">
        <v>471</v>
      </c>
      <c r="G9" s="211"/>
      <c r="H9" s="211"/>
      <c r="I9" s="31"/>
    </row>
    <row r="10" spans="2:18" s="3" customFormat="1">
      <c r="M10" s="44"/>
    </row>
    <row r="11" spans="2:18" ht="20.100000000000001" customHeight="1">
      <c r="B11" s="563" t="s">
        <v>21</v>
      </c>
      <c r="C11" s="564" t="s">
        <v>468</v>
      </c>
      <c r="D11" s="565"/>
      <c r="E11" s="566"/>
      <c r="F11" s="566"/>
      <c r="G11" s="567"/>
      <c r="H11" s="567"/>
      <c r="I11" s="566"/>
      <c r="J11" s="566"/>
      <c r="K11" s="566"/>
      <c r="L11" s="568"/>
      <c r="M11" s="568"/>
      <c r="N11" s="568"/>
      <c r="O11" s="569"/>
      <c r="P11" s="570"/>
      <c r="Q11" s="571">
        <f>Q13+Q14</f>
        <v>0</v>
      </c>
    </row>
    <row r="12" spans="2:18" s="4" customFormat="1" ht="27.95" customHeight="1">
      <c r="B12" s="572"/>
      <c r="C12" s="1045" t="s">
        <v>8</v>
      </c>
      <c r="D12" s="1046"/>
      <c r="E12" s="1046"/>
      <c r="F12" s="1046"/>
      <c r="G12" s="1046"/>
      <c r="H12" s="1046"/>
      <c r="I12" s="1043" t="s">
        <v>154</v>
      </c>
      <c r="J12" s="1043"/>
      <c r="K12" s="1043"/>
      <c r="L12" s="1043" t="s">
        <v>174</v>
      </c>
      <c r="M12" s="1043"/>
      <c r="N12" s="573" t="s">
        <v>173</v>
      </c>
      <c r="O12" s="574" t="s">
        <v>32</v>
      </c>
      <c r="P12" s="574" t="s">
        <v>2</v>
      </c>
      <c r="Q12" s="572" t="s">
        <v>20</v>
      </c>
    </row>
    <row r="13" spans="2:18" ht="21" customHeight="1">
      <c r="B13" s="576">
        <v>1</v>
      </c>
      <c r="C13" s="1024" t="s">
        <v>185</v>
      </c>
      <c r="D13" s="1024"/>
      <c r="E13" s="1024"/>
      <c r="F13" s="1024"/>
      <c r="G13" s="1024"/>
      <c r="H13" s="1024"/>
      <c r="I13" s="1047">
        <v>0.4</v>
      </c>
      <c r="J13" s="1047"/>
      <c r="K13" s="1047"/>
      <c r="L13" s="1048">
        <v>1</v>
      </c>
      <c r="M13" s="1048"/>
      <c r="N13" s="577"/>
      <c r="O13" s="577">
        <f>N13/L13</f>
        <v>0</v>
      </c>
      <c r="P13" s="577"/>
      <c r="Q13" s="578">
        <f>I13*O13</f>
        <v>0</v>
      </c>
      <c r="R13" s="69"/>
    </row>
    <row r="14" spans="2:18" ht="21" customHeight="1">
      <c r="B14" s="576">
        <v>2</v>
      </c>
      <c r="C14" s="1026" t="s">
        <v>469</v>
      </c>
      <c r="D14" s="1026"/>
      <c r="E14" s="1026"/>
      <c r="F14" s="1026"/>
      <c r="G14" s="1026"/>
      <c r="H14" s="1026"/>
      <c r="I14" s="1040">
        <v>0.6</v>
      </c>
      <c r="J14" s="1040"/>
      <c r="K14" s="1040"/>
      <c r="L14" s="1041">
        <v>1</v>
      </c>
      <c r="M14" s="1041"/>
      <c r="N14" s="580"/>
      <c r="O14" s="580">
        <f>N14/L14</f>
        <v>0</v>
      </c>
      <c r="P14" s="580"/>
      <c r="Q14" s="578">
        <f>I14*O14</f>
        <v>0</v>
      </c>
      <c r="R14" s="69"/>
    </row>
    <row r="15" spans="2:18" ht="21" customHeight="1">
      <c r="B15" s="563" t="s">
        <v>22</v>
      </c>
      <c r="C15" s="581" t="s">
        <v>54</v>
      </c>
      <c r="D15" s="565"/>
      <c r="E15" s="566"/>
      <c r="F15" s="566"/>
      <c r="G15" s="567"/>
      <c r="H15" s="567"/>
      <c r="I15" s="566"/>
      <c r="J15" s="566"/>
      <c r="K15" s="566"/>
      <c r="L15" s="1042"/>
      <c r="M15" s="1042"/>
      <c r="N15" s="1042"/>
      <c r="O15" s="569"/>
      <c r="P15" s="570"/>
      <c r="Q15" s="582">
        <f>SUM(Q17:Q21)</f>
        <v>0</v>
      </c>
      <c r="R15" s="69"/>
    </row>
    <row r="16" spans="2:18" s="4" customFormat="1" ht="29.1" customHeight="1">
      <c r="B16" s="572"/>
      <c r="C16" s="574" t="s">
        <v>31</v>
      </c>
      <c r="D16" s="574" t="s">
        <v>152</v>
      </c>
      <c r="E16" s="1043" t="s">
        <v>39</v>
      </c>
      <c r="F16" s="1044"/>
      <c r="G16" s="1043" t="s">
        <v>17</v>
      </c>
      <c r="H16" s="1044"/>
      <c r="I16" s="1043" t="s">
        <v>116</v>
      </c>
      <c r="J16" s="1043"/>
      <c r="K16" s="1043"/>
      <c r="L16" s="1043" t="s">
        <v>19</v>
      </c>
      <c r="M16" s="1043"/>
      <c r="N16" s="573" t="s">
        <v>174</v>
      </c>
      <c r="O16" s="574" t="s">
        <v>164</v>
      </c>
      <c r="P16" s="574" t="s">
        <v>32</v>
      </c>
      <c r="Q16" s="572" t="s">
        <v>20</v>
      </c>
    </row>
    <row r="17" spans="2:17" ht="51" customHeight="1">
      <c r="B17" s="576">
        <v>1</v>
      </c>
      <c r="C17" s="529" t="s">
        <v>581</v>
      </c>
      <c r="D17" s="530">
        <v>0.2</v>
      </c>
      <c r="E17" s="1026" t="s">
        <v>619</v>
      </c>
      <c r="F17" s="1026"/>
      <c r="G17" s="1050" t="s">
        <v>342</v>
      </c>
      <c r="H17" s="1051"/>
      <c r="I17" s="1052" t="s">
        <v>471</v>
      </c>
      <c r="J17" s="1053"/>
      <c r="K17" s="1054"/>
      <c r="L17" s="1055" t="s">
        <v>343</v>
      </c>
      <c r="M17" s="1055"/>
      <c r="N17" s="599">
        <v>46112</v>
      </c>
      <c r="O17" s="599"/>
      <c r="P17" s="600" t="str">
        <f>IF(LEN(O17)=0,"",IF(O17&lt;=N17,1,0))</f>
        <v/>
      </c>
      <c r="Q17" s="601" t="str">
        <f t="shared" ref="Q17:Q21" si="0">IFERROR(P17*D17,"")</f>
        <v/>
      </c>
    </row>
    <row r="18" spans="2:17" ht="51" customHeight="1">
      <c r="B18" s="576">
        <v>2</v>
      </c>
      <c r="C18" s="529" t="s">
        <v>583</v>
      </c>
      <c r="D18" s="530">
        <v>0.25</v>
      </c>
      <c r="E18" s="1026" t="s">
        <v>620</v>
      </c>
      <c r="F18" s="1026"/>
      <c r="G18" s="1050" t="s">
        <v>341</v>
      </c>
      <c r="H18" s="1051"/>
      <c r="I18" s="1052" t="s">
        <v>523</v>
      </c>
      <c r="J18" s="1053"/>
      <c r="K18" s="1054"/>
      <c r="L18" s="1055" t="s">
        <v>326</v>
      </c>
      <c r="M18" s="1055"/>
      <c r="N18" s="623">
        <v>0.02</v>
      </c>
      <c r="O18" s="623"/>
      <c r="P18" s="625" t="str">
        <f>IF(LEN(O18)=0,"",IF(O18&lt;N18,0,MIN(120%,O18/N18*100%)))</f>
        <v/>
      </c>
      <c r="Q18" s="601"/>
    </row>
    <row r="19" spans="2:17" ht="51" customHeight="1">
      <c r="B19" s="576">
        <v>3</v>
      </c>
      <c r="C19" s="529" t="s">
        <v>421</v>
      </c>
      <c r="D19" s="530">
        <v>0.2</v>
      </c>
      <c r="E19" s="1026" t="s">
        <v>436</v>
      </c>
      <c r="F19" s="1026"/>
      <c r="G19" s="1050" t="s">
        <v>435</v>
      </c>
      <c r="H19" s="1051"/>
      <c r="I19" s="1052" t="s">
        <v>521</v>
      </c>
      <c r="J19" s="1053"/>
      <c r="K19" s="1054"/>
      <c r="L19" s="1055" t="s">
        <v>326</v>
      </c>
      <c r="M19" s="1055"/>
      <c r="N19" s="601">
        <v>1</v>
      </c>
      <c r="O19" s="601"/>
      <c r="P19" s="600" t="str">
        <f>IF(LEN(O19)=0,"",IF(O19&lt;=N19,1,0))</f>
        <v/>
      </c>
      <c r="Q19" s="601"/>
    </row>
    <row r="20" spans="2:17" ht="51" customHeight="1">
      <c r="B20" s="576">
        <v>4</v>
      </c>
      <c r="C20" s="539" t="s">
        <v>593</v>
      </c>
      <c r="D20" s="530">
        <v>0.2</v>
      </c>
      <c r="E20" s="1026" t="s">
        <v>486</v>
      </c>
      <c r="F20" s="1026"/>
      <c r="G20" s="1050" t="s">
        <v>342</v>
      </c>
      <c r="H20" s="1051"/>
      <c r="I20" s="1052" t="s">
        <v>471</v>
      </c>
      <c r="J20" s="1053"/>
      <c r="K20" s="1054"/>
      <c r="L20" s="1055" t="s">
        <v>343</v>
      </c>
      <c r="M20" s="1055"/>
      <c r="N20" s="599">
        <v>46387</v>
      </c>
      <c r="O20" s="599"/>
      <c r="P20" s="600" t="str">
        <f>IF(LEN(O20)=0,"",IF(O20&lt;=N20,1,0))</f>
        <v/>
      </c>
      <c r="Q20" s="601" t="str">
        <f t="shared" si="0"/>
        <v/>
      </c>
    </row>
    <row r="21" spans="2:17" ht="35.1" customHeight="1">
      <c r="B21" s="576">
        <v>5</v>
      </c>
      <c r="C21" s="539" t="s">
        <v>608</v>
      </c>
      <c r="D21" s="530">
        <v>0.15</v>
      </c>
      <c r="E21" s="1026" t="s">
        <v>494</v>
      </c>
      <c r="F21" s="1026"/>
      <c r="G21" s="1050" t="s">
        <v>330</v>
      </c>
      <c r="H21" s="1051"/>
      <c r="I21" s="1052" t="s">
        <v>323</v>
      </c>
      <c r="J21" s="1053"/>
      <c r="K21" s="1054"/>
      <c r="L21" s="1055" t="s">
        <v>346</v>
      </c>
      <c r="M21" s="1055"/>
      <c r="N21" s="631">
        <v>2</v>
      </c>
      <c r="O21" s="631"/>
      <c r="P21" s="620" t="str">
        <f>IF(LEN(O21)=0,"",IF(O21&gt;=N21,100%,0%))</f>
        <v/>
      </c>
      <c r="Q21" s="601" t="str">
        <f t="shared" si="0"/>
        <v/>
      </c>
    </row>
    <row r="22" spans="2:17" ht="20.100000000000001" customHeight="1">
      <c r="B22" s="563" t="s">
        <v>40</v>
      </c>
      <c r="C22" s="564" t="s">
        <v>186</v>
      </c>
      <c r="D22" s="565"/>
      <c r="E22" s="566"/>
      <c r="F22" s="566"/>
      <c r="G22" s="567"/>
      <c r="H22" s="567"/>
      <c r="I22" s="566"/>
      <c r="J22" s="566"/>
      <c r="K22" s="566"/>
      <c r="L22" s="1042"/>
      <c r="M22" s="1042"/>
      <c r="N22" s="1042"/>
      <c r="O22" s="569"/>
      <c r="P22" s="570"/>
      <c r="Q22" s="571" t="e">
        <f>SUM(Q25:Q29)/5</f>
        <v>#DIV/0!</v>
      </c>
    </row>
    <row r="23" spans="2:17" s="4" customFormat="1" ht="26.1" customHeight="1">
      <c r="B23" s="1056"/>
      <c r="C23" s="1045" t="s">
        <v>8</v>
      </c>
      <c r="D23" s="1045"/>
      <c r="E23" s="1045"/>
      <c r="F23" s="1045"/>
      <c r="G23" s="1045"/>
      <c r="H23" s="1045"/>
      <c r="I23" s="1058" t="s">
        <v>118</v>
      </c>
      <c r="J23" s="1058"/>
      <c r="K23" s="1058"/>
      <c r="L23" s="1058"/>
      <c r="M23" s="1058"/>
      <c r="N23" s="1058"/>
      <c r="O23" s="1059" t="s">
        <v>123</v>
      </c>
      <c r="P23" s="1058" t="s">
        <v>125</v>
      </c>
      <c r="Q23" s="1056" t="s">
        <v>102</v>
      </c>
    </row>
    <row r="24" spans="2:17" s="4" customFormat="1" ht="39" customHeight="1">
      <c r="B24" s="1056"/>
      <c r="C24" s="1057"/>
      <c r="D24" s="1057"/>
      <c r="E24" s="1057"/>
      <c r="F24" s="1057"/>
      <c r="G24" s="1057"/>
      <c r="H24" s="1057"/>
      <c r="I24" s="1061" t="s">
        <v>119</v>
      </c>
      <c r="J24" s="1061"/>
      <c r="K24" s="602" t="s">
        <v>120</v>
      </c>
      <c r="L24" s="602" t="s">
        <v>153</v>
      </c>
      <c r="M24" s="602" t="s">
        <v>121</v>
      </c>
      <c r="N24" s="602" t="s">
        <v>122</v>
      </c>
      <c r="O24" s="1060"/>
      <c r="P24" s="1063"/>
      <c r="Q24" s="1056"/>
    </row>
    <row r="25" spans="2:17" s="45" customFormat="1" ht="32.1" customHeight="1">
      <c r="B25" s="576">
        <v>1</v>
      </c>
      <c r="C25" s="987" t="s">
        <v>62</v>
      </c>
      <c r="D25" s="987"/>
      <c r="E25" s="987"/>
      <c r="F25" s="987"/>
      <c r="G25" s="987"/>
      <c r="H25" s="987"/>
      <c r="I25" s="1062">
        <v>1</v>
      </c>
      <c r="J25" s="1062"/>
      <c r="K25" s="603">
        <v>2</v>
      </c>
      <c r="L25" s="604">
        <v>3</v>
      </c>
      <c r="M25" s="603">
        <v>4</v>
      </c>
      <c r="N25" s="604">
        <v>5</v>
      </c>
      <c r="O25" s="605"/>
      <c r="P25" s="604"/>
      <c r="Q25" s="578" t="e">
        <f>P25/O25</f>
        <v>#DIV/0!</v>
      </c>
    </row>
    <row r="26" spans="2:17" s="45" customFormat="1" ht="32.1" customHeight="1">
      <c r="B26" s="576">
        <f>B25+1</f>
        <v>2</v>
      </c>
      <c r="C26" s="987" t="s">
        <v>63</v>
      </c>
      <c r="D26" s="987"/>
      <c r="E26" s="987"/>
      <c r="F26" s="987"/>
      <c r="G26" s="987"/>
      <c r="H26" s="987"/>
      <c r="I26" s="1062">
        <v>1</v>
      </c>
      <c r="J26" s="1062"/>
      <c r="K26" s="603">
        <v>2</v>
      </c>
      <c r="L26" s="604">
        <v>3</v>
      </c>
      <c r="M26" s="603">
        <v>4</v>
      </c>
      <c r="N26" s="604">
        <v>5</v>
      </c>
      <c r="O26" s="605"/>
      <c r="P26" s="604"/>
      <c r="Q26" s="578" t="e">
        <f>P26/O26</f>
        <v>#DIV/0!</v>
      </c>
    </row>
    <row r="27" spans="2:17" s="45" customFormat="1" ht="32.1" customHeight="1">
      <c r="B27" s="576">
        <v>3</v>
      </c>
      <c r="C27" s="987" t="s">
        <v>64</v>
      </c>
      <c r="D27" s="987"/>
      <c r="E27" s="987"/>
      <c r="F27" s="987"/>
      <c r="G27" s="987"/>
      <c r="H27" s="987"/>
      <c r="I27" s="1062">
        <v>1</v>
      </c>
      <c r="J27" s="1062"/>
      <c r="K27" s="603">
        <v>2</v>
      </c>
      <c r="L27" s="604">
        <v>3</v>
      </c>
      <c r="M27" s="603">
        <v>4</v>
      </c>
      <c r="N27" s="604">
        <v>5</v>
      </c>
      <c r="O27" s="605"/>
      <c r="P27" s="604"/>
      <c r="Q27" s="578" t="e">
        <f>P27/O27</f>
        <v>#DIV/0!</v>
      </c>
    </row>
    <row r="28" spans="2:17" s="45" customFormat="1" ht="32.1" customHeight="1">
      <c r="B28" s="576">
        <f>B27+1</f>
        <v>4</v>
      </c>
      <c r="C28" s="987" t="s">
        <v>65</v>
      </c>
      <c r="D28" s="987"/>
      <c r="E28" s="987"/>
      <c r="F28" s="987"/>
      <c r="G28" s="987"/>
      <c r="H28" s="987"/>
      <c r="I28" s="1062">
        <v>1</v>
      </c>
      <c r="J28" s="1062"/>
      <c r="K28" s="603">
        <v>2</v>
      </c>
      <c r="L28" s="604">
        <v>3</v>
      </c>
      <c r="M28" s="603">
        <v>4</v>
      </c>
      <c r="N28" s="604">
        <v>5</v>
      </c>
      <c r="O28" s="605"/>
      <c r="P28" s="604"/>
      <c r="Q28" s="578" t="e">
        <f>P28/O28</f>
        <v>#DIV/0!</v>
      </c>
    </row>
    <row r="29" spans="2:17" s="45" customFormat="1" ht="32.1" customHeight="1">
      <c r="B29" s="576">
        <v>5</v>
      </c>
      <c r="C29" s="997" t="s">
        <v>66</v>
      </c>
      <c r="D29" s="997"/>
      <c r="E29" s="997"/>
      <c r="F29" s="997"/>
      <c r="G29" s="997"/>
      <c r="H29" s="997"/>
      <c r="I29" s="1064">
        <v>1</v>
      </c>
      <c r="J29" s="1064"/>
      <c r="K29" s="607">
        <v>2</v>
      </c>
      <c r="L29" s="608">
        <v>3</v>
      </c>
      <c r="M29" s="607">
        <v>4</v>
      </c>
      <c r="N29" s="608">
        <v>5</v>
      </c>
      <c r="O29" s="609"/>
      <c r="P29" s="608"/>
      <c r="Q29" s="578" t="e">
        <f>P29/O29</f>
        <v>#DIV/0!</v>
      </c>
    </row>
    <row r="30" spans="2:17" ht="20.100000000000001" customHeight="1">
      <c r="B30" s="563" t="s">
        <v>41</v>
      </c>
      <c r="C30" s="564" t="s">
        <v>42</v>
      </c>
      <c r="D30" s="565"/>
      <c r="E30" s="566"/>
      <c r="F30" s="566"/>
      <c r="G30" s="567"/>
      <c r="H30" s="567"/>
      <c r="I30" s="566"/>
      <c r="J30" s="566"/>
      <c r="K30" s="566"/>
      <c r="L30" s="568"/>
      <c r="M30" s="568"/>
      <c r="N30" s="568"/>
      <c r="O30" s="569"/>
      <c r="P30" s="570"/>
      <c r="Q30" s="571" t="e">
        <f>SUM(N32:N34)</f>
        <v>#DIV/0!</v>
      </c>
    </row>
    <row r="31" spans="2:17" s="4" customFormat="1" ht="18.95" customHeight="1">
      <c r="B31" s="572"/>
      <c r="C31" s="1046" t="s">
        <v>8</v>
      </c>
      <c r="D31" s="1046"/>
      <c r="E31" s="1046"/>
      <c r="F31" s="1046"/>
      <c r="G31" s="1046"/>
      <c r="H31" s="1046"/>
      <c r="I31" s="1043" t="s">
        <v>43</v>
      </c>
      <c r="J31" s="1043"/>
      <c r="K31" s="1043"/>
      <c r="L31" s="1043" t="s">
        <v>154</v>
      </c>
      <c r="M31" s="1043"/>
      <c r="N31" s="574" t="s">
        <v>67</v>
      </c>
      <c r="O31" s="1043" t="s">
        <v>44</v>
      </c>
      <c r="P31" s="1043"/>
      <c r="Q31" s="1056"/>
    </row>
    <row r="32" spans="2:17" s="45" customFormat="1" ht="21" customHeight="1">
      <c r="B32" s="576">
        <v>1</v>
      </c>
      <c r="C32" s="1005" t="s">
        <v>470</v>
      </c>
      <c r="D32" s="1005"/>
      <c r="E32" s="1005"/>
      <c r="F32" s="1005"/>
      <c r="G32" s="1005"/>
      <c r="H32" s="1005"/>
      <c r="I32" s="1047">
        <f>Q11</f>
        <v>0</v>
      </c>
      <c r="J32" s="1047"/>
      <c r="K32" s="1047"/>
      <c r="L32" s="1065">
        <v>0.2</v>
      </c>
      <c r="M32" s="1065"/>
      <c r="N32" s="577">
        <f>I32*L32</f>
        <v>0</v>
      </c>
      <c r="O32" s="1066" t="e">
        <f>IF(Q30=0,"",IF(Q30&gt;100%,"XUẤT SẮC",IF(Q30&gt;=90%,"TỐT",IF(Q30&gt;=80%,"HOÀN THÀNH","KHÔNG HOÀN THÀNH"))))</f>
        <v>#DIV/0!</v>
      </c>
      <c r="P32" s="1067"/>
      <c r="Q32" s="1067"/>
    </row>
    <row r="33" spans="2:17" s="45" customFormat="1" ht="21" customHeight="1">
      <c r="B33" s="576">
        <f>B32+1</f>
        <v>2</v>
      </c>
      <c r="C33" s="1005" t="s">
        <v>155</v>
      </c>
      <c r="D33" s="1005"/>
      <c r="E33" s="1005"/>
      <c r="F33" s="1005"/>
      <c r="G33" s="1005"/>
      <c r="H33" s="1005"/>
      <c r="I33" s="1047">
        <f>Q15</f>
        <v>0</v>
      </c>
      <c r="J33" s="1047"/>
      <c r="K33" s="1047"/>
      <c r="L33" s="1065">
        <v>0.7</v>
      </c>
      <c r="M33" s="1065"/>
      <c r="N33" s="577">
        <f>I33*L33</f>
        <v>0</v>
      </c>
      <c r="O33" s="1067"/>
      <c r="P33" s="1067"/>
      <c r="Q33" s="1067"/>
    </row>
    <row r="34" spans="2:17" s="45" customFormat="1" ht="21" customHeight="1">
      <c r="B34" s="576">
        <f>B33+1</f>
        <v>3</v>
      </c>
      <c r="C34" s="993" t="s">
        <v>187</v>
      </c>
      <c r="D34" s="993"/>
      <c r="E34" s="993"/>
      <c r="F34" s="993"/>
      <c r="G34" s="993"/>
      <c r="H34" s="993"/>
      <c r="I34" s="1040" t="e">
        <f>Q22</f>
        <v>#DIV/0!</v>
      </c>
      <c r="J34" s="1040"/>
      <c r="K34" s="1040"/>
      <c r="L34" s="1069">
        <v>0.1</v>
      </c>
      <c r="M34" s="1069"/>
      <c r="N34" s="580" t="e">
        <f>I34*L34</f>
        <v>#DIV/0!</v>
      </c>
      <c r="O34" s="1068"/>
      <c r="P34" s="1068"/>
      <c r="Q34" s="1068"/>
    </row>
    <row r="35" spans="2:17" ht="18.95" customHeight="1">
      <c r="B35" s="563" t="s">
        <v>45</v>
      </c>
      <c r="C35" s="581" t="s">
        <v>46</v>
      </c>
      <c r="D35" s="566"/>
      <c r="E35" s="566"/>
      <c r="F35" s="566"/>
      <c r="G35" s="567"/>
      <c r="H35" s="567"/>
      <c r="I35" s="566"/>
      <c r="J35" s="566"/>
      <c r="K35" s="566"/>
      <c r="L35" s="566"/>
      <c r="M35" s="566"/>
      <c r="N35" s="566"/>
      <c r="O35" s="566"/>
      <c r="P35" s="566"/>
      <c r="Q35" s="610"/>
    </row>
    <row r="36" spans="2:17" ht="57.95" customHeight="1">
      <c r="B36" s="583">
        <v>1</v>
      </c>
      <c r="C36" s="1070" t="s">
        <v>47</v>
      </c>
      <c r="D36" s="1070"/>
      <c r="E36" s="1070"/>
      <c r="F36" s="1070"/>
      <c r="G36" s="1070"/>
      <c r="H36" s="1070"/>
      <c r="I36" s="1071" t="s">
        <v>48</v>
      </c>
      <c r="J36" s="1071"/>
      <c r="K36" s="1071"/>
      <c r="L36" s="1071"/>
      <c r="M36" s="1071"/>
      <c r="N36" s="1072" t="s">
        <v>49</v>
      </c>
      <c r="O36" s="1072"/>
      <c r="P36" s="1072" t="s">
        <v>50</v>
      </c>
      <c r="Q36" s="1072"/>
    </row>
    <row r="37" spans="2:17" ht="105" customHeight="1">
      <c r="B37" s="583">
        <v>2</v>
      </c>
      <c r="C37" s="1073" t="s">
        <v>51</v>
      </c>
      <c r="D37" s="1073"/>
      <c r="E37" s="1073"/>
      <c r="F37" s="1073"/>
      <c r="G37" s="1073"/>
      <c r="H37" s="1073"/>
      <c r="I37" s="1074" t="s">
        <v>52</v>
      </c>
      <c r="J37" s="1051"/>
      <c r="K37" s="1051"/>
      <c r="L37" s="1051"/>
      <c r="M37" s="1051"/>
      <c r="N37" s="1051"/>
      <c r="O37" s="1051"/>
      <c r="P37" s="1051"/>
      <c r="Q37" s="1051"/>
    </row>
    <row r="38" spans="2:17">
      <c r="B38" s="5"/>
      <c r="C38" s="5"/>
      <c r="D38" s="5"/>
      <c r="E38" s="5"/>
      <c r="F38" s="5"/>
      <c r="G38" s="6"/>
      <c r="H38" s="6"/>
      <c r="I38" s="5"/>
      <c r="J38" s="5"/>
      <c r="K38" s="5"/>
      <c r="L38" s="5"/>
      <c r="M38" s="5"/>
      <c r="N38" s="5"/>
      <c r="O38" s="5"/>
      <c r="P38" s="5"/>
      <c r="Q38" s="6"/>
    </row>
    <row r="39" spans="2:17" ht="12.95" customHeight="1">
      <c r="B39" s="37"/>
      <c r="C39" s="47"/>
      <c r="D39" s="38"/>
      <c r="E39" s="38"/>
      <c r="F39" s="38"/>
      <c r="G39" s="37"/>
      <c r="H39" s="37"/>
      <c r="I39" s="38"/>
      <c r="J39" s="38"/>
      <c r="K39" s="38"/>
      <c r="L39" s="38"/>
      <c r="M39" s="38"/>
      <c r="N39" s="38"/>
      <c r="O39" s="38"/>
      <c r="P39" s="38"/>
      <c r="Q39" s="37"/>
    </row>
    <row r="40" spans="2:17" s="51" customFormat="1" ht="32.1" customHeight="1">
      <c r="B40" s="1079" t="s">
        <v>539</v>
      </c>
      <c r="C40" s="975"/>
      <c r="D40" s="1079" t="s">
        <v>537</v>
      </c>
      <c r="E40" s="975"/>
      <c r="F40" s="975"/>
      <c r="G40" s="975"/>
      <c r="H40" s="975"/>
      <c r="I40" s="471"/>
      <c r="J40" s="1079" t="s">
        <v>540</v>
      </c>
      <c r="K40" s="1079"/>
      <c r="L40" s="1079"/>
      <c r="M40" s="1079"/>
      <c r="N40" s="1079"/>
      <c r="O40" s="1079"/>
      <c r="P40" s="1079"/>
      <c r="Q40" s="1079"/>
    </row>
    <row r="41" spans="2:17">
      <c r="B41" s="6"/>
      <c r="C41" s="5"/>
      <c r="D41" s="5"/>
      <c r="E41" s="5"/>
      <c r="F41" s="5"/>
      <c r="G41" s="6"/>
      <c r="I41" s="6"/>
      <c r="J41" s="6"/>
      <c r="K41" s="6"/>
      <c r="L41" s="5"/>
      <c r="M41" s="5"/>
      <c r="N41" s="5"/>
      <c r="O41" s="5"/>
      <c r="P41" s="5"/>
      <c r="Q41" s="5"/>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6"/>
      <c r="C45" s="5"/>
      <c r="D45" s="5"/>
      <c r="E45" s="5"/>
      <c r="F45" s="5"/>
      <c r="G45" s="6"/>
      <c r="I45" s="5"/>
      <c r="J45" s="6"/>
      <c r="K45" s="5"/>
      <c r="L45" s="5"/>
      <c r="M45" s="5"/>
      <c r="N45" s="5"/>
      <c r="O45" s="5"/>
      <c r="P45" s="5"/>
      <c r="Q45" s="6"/>
    </row>
    <row r="46" spans="2:17">
      <c r="B46" s="6"/>
      <c r="C46" s="5"/>
      <c r="D46" s="5"/>
      <c r="E46" s="5"/>
      <c r="F46" s="5"/>
      <c r="G46" s="6"/>
      <c r="I46" s="5"/>
      <c r="J46" s="6"/>
      <c r="K46" s="5"/>
      <c r="L46" s="5"/>
      <c r="M46" s="5"/>
      <c r="N46" s="5"/>
      <c r="O46" s="5"/>
      <c r="P46" s="5"/>
      <c r="Q46" s="6"/>
    </row>
    <row r="47" spans="2:17">
      <c r="B47" s="972" t="s">
        <v>29</v>
      </c>
      <c r="C47" s="972"/>
      <c r="D47" s="972" t="s">
        <v>29</v>
      </c>
      <c r="E47" s="972"/>
      <c r="F47" s="972"/>
      <c r="G47" s="972"/>
      <c r="H47" s="972"/>
      <c r="I47" s="5"/>
      <c r="J47" s="972" t="s">
        <v>29</v>
      </c>
      <c r="K47" s="972"/>
      <c r="L47" s="972"/>
      <c r="M47" s="972"/>
      <c r="N47" s="972"/>
      <c r="O47" s="972"/>
      <c r="P47" s="972"/>
      <c r="Q47" s="972"/>
    </row>
    <row r="48" spans="2:17">
      <c r="B48" s="6"/>
      <c r="C48" s="5"/>
      <c r="D48" s="5"/>
      <c r="E48" s="5"/>
      <c r="F48" s="5"/>
      <c r="G48" s="6"/>
      <c r="I48" s="5"/>
      <c r="J48" s="6"/>
      <c r="K48" s="5"/>
      <c r="L48" s="5"/>
      <c r="M48" s="5"/>
      <c r="N48" s="5"/>
      <c r="O48" s="5"/>
      <c r="P48" s="5"/>
      <c r="Q48" s="6"/>
    </row>
    <row r="49" spans="2:17">
      <c r="B49" s="37"/>
      <c r="C49" s="47"/>
      <c r="D49" s="38"/>
      <c r="E49" s="38"/>
      <c r="F49" s="38"/>
      <c r="G49" s="37"/>
      <c r="I49" s="38"/>
      <c r="J49" s="37"/>
      <c r="K49" s="38"/>
      <c r="L49" s="38"/>
      <c r="M49" s="38"/>
      <c r="N49" s="38"/>
      <c r="O49" s="38"/>
      <c r="P49" s="38"/>
      <c r="Q49" s="37"/>
    </row>
    <row r="50" spans="2:17" ht="24" customHeight="1">
      <c r="B50" s="1080"/>
      <c r="C50" s="972"/>
      <c r="D50" s="1080"/>
      <c r="E50" s="972"/>
      <c r="F50" s="972"/>
      <c r="G50" s="972"/>
      <c r="H50" s="972"/>
      <c r="I50" s="245"/>
      <c r="J50" s="972"/>
      <c r="K50" s="972"/>
      <c r="L50" s="972"/>
      <c r="M50" s="972"/>
      <c r="N50" s="245"/>
      <c r="O50" s="1080"/>
      <c r="P50" s="972"/>
      <c r="Q50" s="972"/>
    </row>
    <row r="51" spans="2:17">
      <c r="B51" s="6"/>
      <c r="C51" s="5"/>
      <c r="D51" s="5"/>
      <c r="E51" s="5"/>
      <c r="F51" s="5"/>
      <c r="G51" s="6"/>
      <c r="I51" s="6"/>
      <c r="J51" s="6"/>
      <c r="K51" s="6"/>
      <c r="L51" s="5"/>
      <c r="M51" s="5"/>
      <c r="N51" s="5"/>
      <c r="O51" s="5"/>
      <c r="P51" s="5"/>
      <c r="Q51" s="5"/>
    </row>
    <row r="52" spans="2:17">
      <c r="B52" s="6"/>
      <c r="C52" s="5"/>
      <c r="D52" s="5"/>
      <c r="E52" s="5"/>
      <c r="F52" s="5"/>
      <c r="G52" s="6"/>
      <c r="I52" s="5"/>
      <c r="J52" s="6"/>
      <c r="K52" s="5"/>
      <c r="L52" s="5"/>
      <c r="M52" s="5"/>
      <c r="N52" s="5"/>
      <c r="O52" s="5"/>
      <c r="P52" s="5"/>
      <c r="Q52" s="6"/>
    </row>
    <row r="53" spans="2:17">
      <c r="B53" s="6"/>
      <c r="C53" s="5"/>
      <c r="D53" s="5"/>
      <c r="E53" s="5"/>
      <c r="F53" s="5"/>
      <c r="G53" s="6"/>
      <c r="I53" s="5"/>
      <c r="J53" s="6"/>
      <c r="K53" s="5"/>
      <c r="L53" s="5"/>
      <c r="M53" s="5"/>
      <c r="N53" s="5"/>
      <c r="O53" s="5"/>
      <c r="P53" s="5"/>
      <c r="Q53" s="6"/>
    </row>
    <row r="54" spans="2:17">
      <c r="B54" s="6"/>
      <c r="C54" s="5"/>
      <c r="D54" s="5"/>
      <c r="E54" s="5"/>
      <c r="F54" s="5"/>
      <c r="G54" s="6"/>
      <c r="I54" s="5"/>
      <c r="J54" s="6"/>
      <c r="K54" s="5"/>
      <c r="L54" s="5"/>
      <c r="M54" s="5"/>
      <c r="N54" s="5"/>
      <c r="O54" s="5"/>
      <c r="P54" s="5"/>
      <c r="Q54" s="6"/>
    </row>
    <row r="55" spans="2:17">
      <c r="B55" s="6"/>
      <c r="C55" s="5"/>
      <c r="D55" s="5"/>
      <c r="E55" s="5"/>
      <c r="F55" s="5"/>
      <c r="G55" s="6"/>
      <c r="I55" s="5"/>
      <c r="J55" s="6"/>
      <c r="K55" s="5"/>
      <c r="L55" s="5"/>
      <c r="M55" s="5"/>
      <c r="N55" s="5"/>
      <c r="O55" s="5"/>
      <c r="P55" s="5"/>
      <c r="Q55" s="6"/>
    </row>
    <row r="56" spans="2:17">
      <c r="B56" s="6"/>
      <c r="C56" s="5"/>
      <c r="D56" s="5"/>
      <c r="E56" s="5"/>
      <c r="F56" s="5"/>
      <c r="G56" s="6"/>
      <c r="I56" s="5"/>
      <c r="J56" s="6"/>
      <c r="K56" s="5"/>
      <c r="L56" s="5"/>
      <c r="M56" s="5"/>
      <c r="N56" s="5"/>
      <c r="O56" s="5"/>
      <c r="P56" s="5"/>
      <c r="Q56" s="6"/>
    </row>
    <row r="57" spans="2:17">
      <c r="B57" s="972"/>
      <c r="C57" s="972"/>
      <c r="D57" s="972"/>
      <c r="E57" s="972"/>
      <c r="F57" s="972"/>
      <c r="G57" s="972"/>
      <c r="H57" s="972"/>
      <c r="I57" s="5"/>
      <c r="J57" s="972"/>
      <c r="K57" s="972"/>
      <c r="L57" s="972"/>
      <c r="M57" s="972"/>
      <c r="N57" s="5"/>
      <c r="O57" s="972"/>
      <c r="P57" s="972"/>
      <c r="Q57" s="972"/>
    </row>
    <row r="58" spans="2:17">
      <c r="B58" s="2"/>
    </row>
    <row r="59" spans="2:17">
      <c r="B59" s="2"/>
    </row>
  </sheetData>
  <mergeCells count="86">
    <mergeCell ref="B50:C50"/>
    <mergeCell ref="D50:H50"/>
    <mergeCell ref="J50:M50"/>
    <mergeCell ref="O50:Q50"/>
    <mergeCell ref="B57:C57"/>
    <mergeCell ref="D57:H57"/>
    <mergeCell ref="J57:M57"/>
    <mergeCell ref="O57:Q57"/>
    <mergeCell ref="B40:C40"/>
    <mergeCell ref="D40:H40"/>
    <mergeCell ref="B47:C47"/>
    <mergeCell ref="D47:H47"/>
    <mergeCell ref="J40:Q40"/>
    <mergeCell ref="J47:Q47"/>
    <mergeCell ref="C36:H36"/>
    <mergeCell ref="I36:M36"/>
    <mergeCell ref="N36:O36"/>
    <mergeCell ref="P36:Q36"/>
    <mergeCell ref="C37:H37"/>
    <mergeCell ref="I37:Q37"/>
    <mergeCell ref="C32:H32"/>
    <mergeCell ref="I32:K32"/>
    <mergeCell ref="L32:M32"/>
    <mergeCell ref="O32:Q34"/>
    <mergeCell ref="C33:H33"/>
    <mergeCell ref="I33:K33"/>
    <mergeCell ref="L33:M33"/>
    <mergeCell ref="C34:H34"/>
    <mergeCell ref="I34:K34"/>
    <mergeCell ref="L34:M34"/>
    <mergeCell ref="O31:Q31"/>
    <mergeCell ref="C26:H26"/>
    <mergeCell ref="I26:J26"/>
    <mergeCell ref="C27:H27"/>
    <mergeCell ref="I27:J27"/>
    <mergeCell ref="C28:H28"/>
    <mergeCell ref="I28:J28"/>
    <mergeCell ref="C29:H29"/>
    <mergeCell ref="I29:J29"/>
    <mergeCell ref="C31:H31"/>
    <mergeCell ref="I31:K31"/>
    <mergeCell ref="L31:M31"/>
    <mergeCell ref="O23:O24"/>
    <mergeCell ref="P23:P24"/>
    <mergeCell ref="Q23:Q24"/>
    <mergeCell ref="I24:J24"/>
    <mergeCell ref="C25:H25"/>
    <mergeCell ref="I25:J25"/>
    <mergeCell ref="B23:B24"/>
    <mergeCell ref="C23:H24"/>
    <mergeCell ref="I23:N23"/>
    <mergeCell ref="E20:F20"/>
    <mergeCell ref="G20:H20"/>
    <mergeCell ref="I20:K20"/>
    <mergeCell ref="L20:M20"/>
    <mergeCell ref="E21:F21"/>
    <mergeCell ref="G21:H21"/>
    <mergeCell ref="I21:K21"/>
    <mergeCell ref="L21:M21"/>
    <mergeCell ref="L22:N22"/>
    <mergeCell ref="E17:F17"/>
    <mergeCell ref="G17:H17"/>
    <mergeCell ref="I17:K17"/>
    <mergeCell ref="L17:M17"/>
    <mergeCell ref="C14:H14"/>
    <mergeCell ref="I14:K14"/>
    <mergeCell ref="L14:M14"/>
    <mergeCell ref="L15:N15"/>
    <mergeCell ref="E16:F16"/>
    <mergeCell ref="G16:H16"/>
    <mergeCell ref="I16:K16"/>
    <mergeCell ref="L16:M16"/>
    <mergeCell ref="C12:H12"/>
    <mergeCell ref="I12:K12"/>
    <mergeCell ref="L12:M12"/>
    <mergeCell ref="C13:H13"/>
    <mergeCell ref="I13:K13"/>
    <mergeCell ref="L13:M13"/>
    <mergeCell ref="E18:F18"/>
    <mergeCell ref="G18:H18"/>
    <mergeCell ref="I18:K18"/>
    <mergeCell ref="L18:M18"/>
    <mergeCell ref="E19:F19"/>
    <mergeCell ref="G19:H19"/>
    <mergeCell ref="I19:K19"/>
    <mergeCell ref="L19:M19"/>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B2:R59"/>
  <sheetViews>
    <sheetView showGridLines="0" topLeftCell="A12" zoomScale="112" workbookViewId="0">
      <selection activeCell="I19" sqref="I19:K19"/>
    </sheetView>
  </sheetViews>
  <sheetFormatPr defaultColWidth="8.875" defaultRowHeight="12.75"/>
  <cols>
    <col min="1" max="1" width="1.125" style="1" customWidth="1"/>
    <col min="2" max="2" width="12.875" style="1" bestFit="1" customWidth="1"/>
    <col min="3" max="3" width="35.875" style="1" customWidth="1"/>
    <col min="4" max="4" width="9" style="1" customWidth="1"/>
    <col min="5" max="5" width="10.125" style="1" customWidth="1"/>
    <col min="6" max="6" width="14.5" style="1" customWidth="1"/>
    <col min="7" max="7" width="6.625" style="2" customWidth="1"/>
    <col min="8" max="8" width="20.625" style="2" customWidth="1"/>
    <col min="9" max="9" width="2.5" style="1" customWidth="1"/>
    <col min="10" max="10" width="5.5" style="1" customWidth="1"/>
    <col min="11" max="11" width="7.625" style="1" customWidth="1"/>
    <col min="12" max="12" width="7.5" style="1" customWidth="1"/>
    <col min="13" max="13" width="7.625" style="1" customWidth="1"/>
    <col min="14" max="14" width="13.625" style="1" customWidth="1"/>
    <col min="15" max="16" width="10.125" style="1" customWidth="1"/>
    <col min="17" max="17" width="10.875" style="2" customWidth="1"/>
    <col min="18" max="18" width="11.375" style="1" customWidth="1"/>
    <col min="19" max="19" width="6.875" style="1" customWidth="1"/>
    <col min="20" max="238" width="8.875" style="1"/>
    <col min="239" max="239" width="5" style="1" customWidth="1"/>
    <col min="240" max="240" width="33.375" style="1" customWidth="1"/>
    <col min="241" max="241" width="6.5" style="1" customWidth="1"/>
    <col min="242" max="242" width="29.5" style="1" customWidth="1"/>
    <col min="243" max="243" width="23.625" style="1" customWidth="1"/>
    <col min="244" max="244" width="8" style="1" customWidth="1"/>
    <col min="245" max="245" width="9.125" style="1" customWidth="1"/>
    <col min="246" max="246" width="13.875" style="1" customWidth="1"/>
    <col min="247" max="247" width="13.5" style="1" customWidth="1"/>
    <col min="248" max="494" width="8.875" style="1"/>
    <col min="495" max="495" width="5" style="1" customWidth="1"/>
    <col min="496" max="496" width="33.375" style="1" customWidth="1"/>
    <col min="497" max="497" width="6.5" style="1" customWidth="1"/>
    <col min="498" max="498" width="29.5" style="1" customWidth="1"/>
    <col min="499" max="499" width="23.625" style="1" customWidth="1"/>
    <col min="500" max="500" width="8" style="1" customWidth="1"/>
    <col min="501" max="501" width="9.125" style="1" customWidth="1"/>
    <col min="502" max="502" width="13.875" style="1" customWidth="1"/>
    <col min="503" max="503" width="13.5" style="1" customWidth="1"/>
    <col min="504" max="750" width="8.875" style="1"/>
    <col min="751" max="751" width="5" style="1" customWidth="1"/>
    <col min="752" max="752" width="33.375" style="1" customWidth="1"/>
    <col min="753" max="753" width="6.5" style="1" customWidth="1"/>
    <col min="754" max="754" width="29.5" style="1" customWidth="1"/>
    <col min="755" max="755" width="23.625" style="1" customWidth="1"/>
    <col min="756" max="756" width="8" style="1" customWidth="1"/>
    <col min="757" max="757" width="9.125" style="1" customWidth="1"/>
    <col min="758" max="758" width="13.875" style="1" customWidth="1"/>
    <col min="759" max="759" width="13.5" style="1" customWidth="1"/>
    <col min="760" max="1006" width="8.875" style="1"/>
    <col min="1007" max="1007" width="5" style="1" customWidth="1"/>
    <col min="1008" max="1008" width="33.375" style="1" customWidth="1"/>
    <col min="1009" max="1009" width="6.5" style="1" customWidth="1"/>
    <col min="1010" max="1010" width="29.5" style="1" customWidth="1"/>
    <col min="1011" max="1011" width="23.625" style="1" customWidth="1"/>
    <col min="1012" max="1012" width="8" style="1" customWidth="1"/>
    <col min="1013" max="1013" width="9.125" style="1" customWidth="1"/>
    <col min="1014" max="1014" width="13.875" style="1" customWidth="1"/>
    <col min="1015" max="1015" width="13.5" style="1" customWidth="1"/>
    <col min="1016" max="1262" width="8.875" style="1"/>
    <col min="1263" max="1263" width="5" style="1" customWidth="1"/>
    <col min="1264" max="1264" width="33.375" style="1" customWidth="1"/>
    <col min="1265" max="1265" width="6.5" style="1" customWidth="1"/>
    <col min="1266" max="1266" width="29.5" style="1" customWidth="1"/>
    <col min="1267" max="1267" width="23.625" style="1" customWidth="1"/>
    <col min="1268" max="1268" width="8" style="1" customWidth="1"/>
    <col min="1269" max="1269" width="9.125" style="1" customWidth="1"/>
    <col min="1270" max="1270" width="13.875" style="1" customWidth="1"/>
    <col min="1271" max="1271" width="13.5" style="1" customWidth="1"/>
    <col min="1272" max="1518" width="8.875" style="1"/>
    <col min="1519" max="1519" width="5" style="1" customWidth="1"/>
    <col min="1520" max="1520" width="33.375" style="1" customWidth="1"/>
    <col min="1521" max="1521" width="6.5" style="1" customWidth="1"/>
    <col min="1522" max="1522" width="29.5" style="1" customWidth="1"/>
    <col min="1523" max="1523" width="23.625" style="1" customWidth="1"/>
    <col min="1524" max="1524" width="8" style="1" customWidth="1"/>
    <col min="1525" max="1525" width="9.125" style="1" customWidth="1"/>
    <col min="1526" max="1526" width="13.875" style="1" customWidth="1"/>
    <col min="1527" max="1527" width="13.5" style="1" customWidth="1"/>
    <col min="1528" max="1774" width="8.875" style="1"/>
    <col min="1775" max="1775" width="5" style="1" customWidth="1"/>
    <col min="1776" max="1776" width="33.375" style="1" customWidth="1"/>
    <col min="1777" max="1777" width="6.5" style="1" customWidth="1"/>
    <col min="1778" max="1778" width="29.5" style="1" customWidth="1"/>
    <col min="1779" max="1779" width="23.625" style="1" customWidth="1"/>
    <col min="1780" max="1780" width="8" style="1" customWidth="1"/>
    <col min="1781" max="1781" width="9.125" style="1" customWidth="1"/>
    <col min="1782" max="1782" width="13.875" style="1" customWidth="1"/>
    <col min="1783" max="1783" width="13.5" style="1" customWidth="1"/>
    <col min="1784" max="2030" width="8.875" style="1"/>
    <col min="2031" max="2031" width="5" style="1" customWidth="1"/>
    <col min="2032" max="2032" width="33.375" style="1" customWidth="1"/>
    <col min="2033" max="2033" width="6.5" style="1" customWidth="1"/>
    <col min="2034" max="2034" width="29.5" style="1" customWidth="1"/>
    <col min="2035" max="2035" width="23.625" style="1" customWidth="1"/>
    <col min="2036" max="2036" width="8" style="1" customWidth="1"/>
    <col min="2037" max="2037" width="9.125" style="1" customWidth="1"/>
    <col min="2038" max="2038" width="13.875" style="1" customWidth="1"/>
    <col min="2039" max="2039" width="13.5" style="1" customWidth="1"/>
    <col min="2040" max="2286" width="8.875" style="1"/>
    <col min="2287" max="2287" width="5" style="1" customWidth="1"/>
    <col min="2288" max="2288" width="33.375" style="1" customWidth="1"/>
    <col min="2289" max="2289" width="6.5" style="1" customWidth="1"/>
    <col min="2290" max="2290" width="29.5" style="1" customWidth="1"/>
    <col min="2291" max="2291" width="23.625" style="1" customWidth="1"/>
    <col min="2292" max="2292" width="8" style="1" customWidth="1"/>
    <col min="2293" max="2293" width="9.125" style="1" customWidth="1"/>
    <col min="2294" max="2294" width="13.875" style="1" customWidth="1"/>
    <col min="2295" max="2295" width="13.5" style="1" customWidth="1"/>
    <col min="2296" max="2542" width="8.875" style="1"/>
    <col min="2543" max="2543" width="5" style="1" customWidth="1"/>
    <col min="2544" max="2544" width="33.375" style="1" customWidth="1"/>
    <col min="2545" max="2545" width="6.5" style="1" customWidth="1"/>
    <col min="2546" max="2546" width="29.5" style="1" customWidth="1"/>
    <col min="2547" max="2547" width="23.625" style="1" customWidth="1"/>
    <col min="2548" max="2548" width="8" style="1" customWidth="1"/>
    <col min="2549" max="2549" width="9.125" style="1" customWidth="1"/>
    <col min="2550" max="2550" width="13.875" style="1" customWidth="1"/>
    <col min="2551" max="2551" width="13.5" style="1" customWidth="1"/>
    <col min="2552" max="2798" width="8.875" style="1"/>
    <col min="2799" max="2799" width="5" style="1" customWidth="1"/>
    <col min="2800" max="2800" width="33.375" style="1" customWidth="1"/>
    <col min="2801" max="2801" width="6.5" style="1" customWidth="1"/>
    <col min="2802" max="2802" width="29.5" style="1" customWidth="1"/>
    <col min="2803" max="2803" width="23.625" style="1" customWidth="1"/>
    <col min="2804" max="2804" width="8" style="1" customWidth="1"/>
    <col min="2805" max="2805" width="9.125" style="1" customWidth="1"/>
    <col min="2806" max="2806" width="13.875" style="1" customWidth="1"/>
    <col min="2807" max="2807" width="13.5" style="1" customWidth="1"/>
    <col min="2808" max="3054" width="8.875" style="1"/>
    <col min="3055" max="3055" width="5" style="1" customWidth="1"/>
    <col min="3056" max="3056" width="33.375" style="1" customWidth="1"/>
    <col min="3057" max="3057" width="6.5" style="1" customWidth="1"/>
    <col min="3058" max="3058" width="29.5" style="1" customWidth="1"/>
    <col min="3059" max="3059" width="23.625" style="1" customWidth="1"/>
    <col min="3060" max="3060" width="8" style="1" customWidth="1"/>
    <col min="3061" max="3061" width="9.125" style="1" customWidth="1"/>
    <col min="3062" max="3062" width="13.875" style="1" customWidth="1"/>
    <col min="3063" max="3063" width="13.5" style="1" customWidth="1"/>
    <col min="3064" max="3310" width="8.875" style="1"/>
    <col min="3311" max="3311" width="5" style="1" customWidth="1"/>
    <col min="3312" max="3312" width="33.375" style="1" customWidth="1"/>
    <col min="3313" max="3313" width="6.5" style="1" customWidth="1"/>
    <col min="3314" max="3314" width="29.5" style="1" customWidth="1"/>
    <col min="3315" max="3315" width="23.625" style="1" customWidth="1"/>
    <col min="3316" max="3316" width="8" style="1" customWidth="1"/>
    <col min="3317" max="3317" width="9.125" style="1" customWidth="1"/>
    <col min="3318" max="3318" width="13.875" style="1" customWidth="1"/>
    <col min="3319" max="3319" width="13.5" style="1" customWidth="1"/>
    <col min="3320" max="3566" width="8.875" style="1"/>
    <col min="3567" max="3567" width="5" style="1" customWidth="1"/>
    <col min="3568" max="3568" width="33.375" style="1" customWidth="1"/>
    <col min="3569" max="3569" width="6.5" style="1" customWidth="1"/>
    <col min="3570" max="3570" width="29.5" style="1" customWidth="1"/>
    <col min="3571" max="3571" width="23.625" style="1" customWidth="1"/>
    <col min="3572" max="3572" width="8" style="1" customWidth="1"/>
    <col min="3573" max="3573" width="9.125" style="1" customWidth="1"/>
    <col min="3574" max="3574" width="13.875" style="1" customWidth="1"/>
    <col min="3575" max="3575" width="13.5" style="1" customWidth="1"/>
    <col min="3576" max="3822" width="8.875" style="1"/>
    <col min="3823" max="3823" width="5" style="1" customWidth="1"/>
    <col min="3824" max="3824" width="33.375" style="1" customWidth="1"/>
    <col min="3825" max="3825" width="6.5" style="1" customWidth="1"/>
    <col min="3826" max="3826" width="29.5" style="1" customWidth="1"/>
    <col min="3827" max="3827" width="23.625" style="1" customWidth="1"/>
    <col min="3828" max="3828" width="8" style="1" customWidth="1"/>
    <col min="3829" max="3829" width="9.125" style="1" customWidth="1"/>
    <col min="3830" max="3830" width="13.875" style="1" customWidth="1"/>
    <col min="3831" max="3831" width="13.5" style="1" customWidth="1"/>
    <col min="3832" max="4078" width="8.875" style="1"/>
    <col min="4079" max="4079" width="5" style="1" customWidth="1"/>
    <col min="4080" max="4080" width="33.375" style="1" customWidth="1"/>
    <col min="4081" max="4081" width="6.5" style="1" customWidth="1"/>
    <col min="4082" max="4082" width="29.5" style="1" customWidth="1"/>
    <col min="4083" max="4083" width="23.625" style="1" customWidth="1"/>
    <col min="4084" max="4084" width="8" style="1" customWidth="1"/>
    <col min="4085" max="4085" width="9.125" style="1" customWidth="1"/>
    <col min="4086" max="4086" width="13.875" style="1" customWidth="1"/>
    <col min="4087" max="4087" width="13.5" style="1" customWidth="1"/>
    <col min="4088" max="4334" width="8.875" style="1"/>
    <col min="4335" max="4335" width="5" style="1" customWidth="1"/>
    <col min="4336" max="4336" width="33.375" style="1" customWidth="1"/>
    <col min="4337" max="4337" width="6.5" style="1" customWidth="1"/>
    <col min="4338" max="4338" width="29.5" style="1" customWidth="1"/>
    <col min="4339" max="4339" width="23.625" style="1" customWidth="1"/>
    <col min="4340" max="4340" width="8" style="1" customWidth="1"/>
    <col min="4341" max="4341" width="9.125" style="1" customWidth="1"/>
    <col min="4342" max="4342" width="13.875" style="1" customWidth="1"/>
    <col min="4343" max="4343" width="13.5" style="1" customWidth="1"/>
    <col min="4344" max="4590" width="8.875" style="1"/>
    <col min="4591" max="4591" width="5" style="1" customWidth="1"/>
    <col min="4592" max="4592" width="33.375" style="1" customWidth="1"/>
    <col min="4593" max="4593" width="6.5" style="1" customWidth="1"/>
    <col min="4594" max="4594" width="29.5" style="1" customWidth="1"/>
    <col min="4595" max="4595" width="23.625" style="1" customWidth="1"/>
    <col min="4596" max="4596" width="8" style="1" customWidth="1"/>
    <col min="4597" max="4597" width="9.125" style="1" customWidth="1"/>
    <col min="4598" max="4598" width="13.875" style="1" customWidth="1"/>
    <col min="4599" max="4599" width="13.5" style="1" customWidth="1"/>
    <col min="4600" max="4846" width="8.875" style="1"/>
    <col min="4847" max="4847" width="5" style="1" customWidth="1"/>
    <col min="4848" max="4848" width="33.375" style="1" customWidth="1"/>
    <col min="4849" max="4849" width="6.5" style="1" customWidth="1"/>
    <col min="4850" max="4850" width="29.5" style="1" customWidth="1"/>
    <col min="4851" max="4851" width="23.625" style="1" customWidth="1"/>
    <col min="4852" max="4852" width="8" style="1" customWidth="1"/>
    <col min="4853" max="4853" width="9.125" style="1" customWidth="1"/>
    <col min="4854" max="4854" width="13.875" style="1" customWidth="1"/>
    <col min="4855" max="4855" width="13.5" style="1" customWidth="1"/>
    <col min="4856" max="5102" width="8.875" style="1"/>
    <col min="5103" max="5103" width="5" style="1" customWidth="1"/>
    <col min="5104" max="5104" width="33.375" style="1" customWidth="1"/>
    <col min="5105" max="5105" width="6.5" style="1" customWidth="1"/>
    <col min="5106" max="5106" width="29.5" style="1" customWidth="1"/>
    <col min="5107" max="5107" width="23.625" style="1" customWidth="1"/>
    <col min="5108" max="5108" width="8" style="1" customWidth="1"/>
    <col min="5109" max="5109" width="9.125" style="1" customWidth="1"/>
    <col min="5110" max="5110" width="13.875" style="1" customWidth="1"/>
    <col min="5111" max="5111" width="13.5" style="1" customWidth="1"/>
    <col min="5112" max="5358" width="8.875" style="1"/>
    <col min="5359" max="5359" width="5" style="1" customWidth="1"/>
    <col min="5360" max="5360" width="33.375" style="1" customWidth="1"/>
    <col min="5361" max="5361" width="6.5" style="1" customWidth="1"/>
    <col min="5362" max="5362" width="29.5" style="1" customWidth="1"/>
    <col min="5363" max="5363" width="23.625" style="1" customWidth="1"/>
    <col min="5364" max="5364" width="8" style="1" customWidth="1"/>
    <col min="5365" max="5365" width="9.125" style="1" customWidth="1"/>
    <col min="5366" max="5366" width="13.875" style="1" customWidth="1"/>
    <col min="5367" max="5367" width="13.5" style="1" customWidth="1"/>
    <col min="5368" max="5614" width="8.875" style="1"/>
    <col min="5615" max="5615" width="5" style="1" customWidth="1"/>
    <col min="5616" max="5616" width="33.375" style="1" customWidth="1"/>
    <col min="5617" max="5617" width="6.5" style="1" customWidth="1"/>
    <col min="5618" max="5618" width="29.5" style="1" customWidth="1"/>
    <col min="5619" max="5619" width="23.625" style="1" customWidth="1"/>
    <col min="5620" max="5620" width="8" style="1" customWidth="1"/>
    <col min="5621" max="5621" width="9.125" style="1" customWidth="1"/>
    <col min="5622" max="5622" width="13.875" style="1" customWidth="1"/>
    <col min="5623" max="5623" width="13.5" style="1" customWidth="1"/>
    <col min="5624" max="5870" width="8.875" style="1"/>
    <col min="5871" max="5871" width="5" style="1" customWidth="1"/>
    <col min="5872" max="5872" width="33.375" style="1" customWidth="1"/>
    <col min="5873" max="5873" width="6.5" style="1" customWidth="1"/>
    <col min="5874" max="5874" width="29.5" style="1" customWidth="1"/>
    <col min="5875" max="5875" width="23.625" style="1" customWidth="1"/>
    <col min="5876" max="5876" width="8" style="1" customWidth="1"/>
    <col min="5877" max="5877" width="9.125" style="1" customWidth="1"/>
    <col min="5878" max="5878" width="13.875" style="1" customWidth="1"/>
    <col min="5879" max="5879" width="13.5" style="1" customWidth="1"/>
    <col min="5880" max="6126" width="8.875" style="1"/>
    <col min="6127" max="6127" width="5" style="1" customWidth="1"/>
    <col min="6128" max="6128" width="33.375" style="1" customWidth="1"/>
    <col min="6129" max="6129" width="6.5" style="1" customWidth="1"/>
    <col min="6130" max="6130" width="29.5" style="1" customWidth="1"/>
    <col min="6131" max="6131" width="23.625" style="1" customWidth="1"/>
    <col min="6132" max="6132" width="8" style="1" customWidth="1"/>
    <col min="6133" max="6133" width="9.125" style="1" customWidth="1"/>
    <col min="6134" max="6134" width="13.875" style="1" customWidth="1"/>
    <col min="6135" max="6135" width="13.5" style="1" customWidth="1"/>
    <col min="6136" max="6382" width="8.875" style="1"/>
    <col min="6383" max="6383" width="5" style="1" customWidth="1"/>
    <col min="6384" max="6384" width="33.375" style="1" customWidth="1"/>
    <col min="6385" max="6385" width="6.5" style="1" customWidth="1"/>
    <col min="6386" max="6386" width="29.5" style="1" customWidth="1"/>
    <col min="6387" max="6387" width="23.625" style="1" customWidth="1"/>
    <col min="6388" max="6388" width="8" style="1" customWidth="1"/>
    <col min="6389" max="6389" width="9.125" style="1" customWidth="1"/>
    <col min="6390" max="6390" width="13.875" style="1" customWidth="1"/>
    <col min="6391" max="6391" width="13.5" style="1" customWidth="1"/>
    <col min="6392" max="6638" width="8.875" style="1"/>
    <col min="6639" max="6639" width="5" style="1" customWidth="1"/>
    <col min="6640" max="6640" width="33.375" style="1" customWidth="1"/>
    <col min="6641" max="6641" width="6.5" style="1" customWidth="1"/>
    <col min="6642" max="6642" width="29.5" style="1" customWidth="1"/>
    <col min="6643" max="6643" width="23.625" style="1" customWidth="1"/>
    <col min="6644" max="6644" width="8" style="1" customWidth="1"/>
    <col min="6645" max="6645" width="9.125" style="1" customWidth="1"/>
    <col min="6646" max="6646" width="13.875" style="1" customWidth="1"/>
    <col min="6647" max="6647" width="13.5" style="1" customWidth="1"/>
    <col min="6648" max="6894" width="8.875" style="1"/>
    <col min="6895" max="6895" width="5" style="1" customWidth="1"/>
    <col min="6896" max="6896" width="33.375" style="1" customWidth="1"/>
    <col min="6897" max="6897" width="6.5" style="1" customWidth="1"/>
    <col min="6898" max="6898" width="29.5" style="1" customWidth="1"/>
    <col min="6899" max="6899" width="23.625" style="1" customWidth="1"/>
    <col min="6900" max="6900" width="8" style="1" customWidth="1"/>
    <col min="6901" max="6901" width="9.125" style="1" customWidth="1"/>
    <col min="6902" max="6902" width="13.875" style="1" customWidth="1"/>
    <col min="6903" max="6903" width="13.5" style="1" customWidth="1"/>
    <col min="6904" max="7150" width="8.875" style="1"/>
    <col min="7151" max="7151" width="5" style="1" customWidth="1"/>
    <col min="7152" max="7152" width="33.375" style="1" customWidth="1"/>
    <col min="7153" max="7153" width="6.5" style="1" customWidth="1"/>
    <col min="7154" max="7154" width="29.5" style="1" customWidth="1"/>
    <col min="7155" max="7155" width="23.625" style="1" customWidth="1"/>
    <col min="7156" max="7156" width="8" style="1" customWidth="1"/>
    <col min="7157" max="7157" width="9.125" style="1" customWidth="1"/>
    <col min="7158" max="7158" width="13.875" style="1" customWidth="1"/>
    <col min="7159" max="7159" width="13.5" style="1" customWidth="1"/>
    <col min="7160" max="7406" width="8.875" style="1"/>
    <col min="7407" max="7407" width="5" style="1" customWidth="1"/>
    <col min="7408" max="7408" width="33.375" style="1" customWidth="1"/>
    <col min="7409" max="7409" width="6.5" style="1" customWidth="1"/>
    <col min="7410" max="7410" width="29.5" style="1" customWidth="1"/>
    <col min="7411" max="7411" width="23.625" style="1" customWidth="1"/>
    <col min="7412" max="7412" width="8" style="1" customWidth="1"/>
    <col min="7413" max="7413" width="9.125" style="1" customWidth="1"/>
    <col min="7414" max="7414" width="13.875" style="1" customWidth="1"/>
    <col min="7415" max="7415" width="13.5" style="1" customWidth="1"/>
    <col min="7416" max="7662" width="8.875" style="1"/>
    <col min="7663" max="7663" width="5" style="1" customWidth="1"/>
    <col min="7664" max="7664" width="33.375" style="1" customWidth="1"/>
    <col min="7665" max="7665" width="6.5" style="1" customWidth="1"/>
    <col min="7666" max="7666" width="29.5" style="1" customWidth="1"/>
    <col min="7667" max="7667" width="23.625" style="1" customWidth="1"/>
    <col min="7668" max="7668" width="8" style="1" customWidth="1"/>
    <col min="7669" max="7669" width="9.125" style="1" customWidth="1"/>
    <col min="7670" max="7670" width="13.875" style="1" customWidth="1"/>
    <col min="7671" max="7671" width="13.5" style="1" customWidth="1"/>
    <col min="7672" max="7918" width="8.875" style="1"/>
    <col min="7919" max="7919" width="5" style="1" customWidth="1"/>
    <col min="7920" max="7920" width="33.375" style="1" customWidth="1"/>
    <col min="7921" max="7921" width="6.5" style="1" customWidth="1"/>
    <col min="7922" max="7922" width="29.5" style="1" customWidth="1"/>
    <col min="7923" max="7923" width="23.625" style="1" customWidth="1"/>
    <col min="7924" max="7924" width="8" style="1" customWidth="1"/>
    <col min="7925" max="7925" width="9.125" style="1" customWidth="1"/>
    <col min="7926" max="7926" width="13.875" style="1" customWidth="1"/>
    <col min="7927" max="7927" width="13.5" style="1" customWidth="1"/>
    <col min="7928" max="8174" width="8.875" style="1"/>
    <col min="8175" max="8175" width="5" style="1" customWidth="1"/>
    <col min="8176" max="8176" width="33.375" style="1" customWidth="1"/>
    <col min="8177" max="8177" width="6.5" style="1" customWidth="1"/>
    <col min="8178" max="8178" width="29.5" style="1" customWidth="1"/>
    <col min="8179" max="8179" width="23.625" style="1" customWidth="1"/>
    <col min="8180" max="8180" width="8" style="1" customWidth="1"/>
    <col min="8181" max="8181" width="9.125" style="1" customWidth="1"/>
    <col min="8182" max="8182" width="13.875" style="1" customWidth="1"/>
    <col min="8183" max="8183" width="13.5" style="1" customWidth="1"/>
    <col min="8184" max="8430" width="8.875" style="1"/>
    <col min="8431" max="8431" width="5" style="1" customWidth="1"/>
    <col min="8432" max="8432" width="33.375" style="1" customWidth="1"/>
    <col min="8433" max="8433" width="6.5" style="1" customWidth="1"/>
    <col min="8434" max="8434" width="29.5" style="1" customWidth="1"/>
    <col min="8435" max="8435" width="23.625" style="1" customWidth="1"/>
    <col min="8436" max="8436" width="8" style="1" customWidth="1"/>
    <col min="8437" max="8437" width="9.125" style="1" customWidth="1"/>
    <col min="8438" max="8438" width="13.875" style="1" customWidth="1"/>
    <col min="8439" max="8439" width="13.5" style="1" customWidth="1"/>
    <col min="8440" max="8686" width="8.875" style="1"/>
    <col min="8687" max="8687" width="5" style="1" customWidth="1"/>
    <col min="8688" max="8688" width="33.375" style="1" customWidth="1"/>
    <col min="8689" max="8689" width="6.5" style="1" customWidth="1"/>
    <col min="8690" max="8690" width="29.5" style="1" customWidth="1"/>
    <col min="8691" max="8691" width="23.625" style="1" customWidth="1"/>
    <col min="8692" max="8692" width="8" style="1" customWidth="1"/>
    <col min="8693" max="8693" width="9.125" style="1" customWidth="1"/>
    <col min="8694" max="8694" width="13.875" style="1" customWidth="1"/>
    <col min="8695" max="8695" width="13.5" style="1" customWidth="1"/>
    <col min="8696" max="8942" width="8.875" style="1"/>
    <col min="8943" max="8943" width="5" style="1" customWidth="1"/>
    <col min="8944" max="8944" width="33.375" style="1" customWidth="1"/>
    <col min="8945" max="8945" width="6.5" style="1" customWidth="1"/>
    <col min="8946" max="8946" width="29.5" style="1" customWidth="1"/>
    <col min="8947" max="8947" width="23.625" style="1" customWidth="1"/>
    <col min="8948" max="8948" width="8" style="1" customWidth="1"/>
    <col min="8949" max="8949" width="9.125" style="1" customWidth="1"/>
    <col min="8950" max="8950" width="13.875" style="1" customWidth="1"/>
    <col min="8951" max="8951" width="13.5" style="1" customWidth="1"/>
    <col min="8952" max="9198" width="8.875" style="1"/>
    <col min="9199" max="9199" width="5" style="1" customWidth="1"/>
    <col min="9200" max="9200" width="33.375" style="1" customWidth="1"/>
    <col min="9201" max="9201" width="6.5" style="1" customWidth="1"/>
    <col min="9202" max="9202" width="29.5" style="1" customWidth="1"/>
    <col min="9203" max="9203" width="23.625" style="1" customWidth="1"/>
    <col min="9204" max="9204" width="8" style="1" customWidth="1"/>
    <col min="9205" max="9205" width="9.125" style="1" customWidth="1"/>
    <col min="9206" max="9206" width="13.875" style="1" customWidth="1"/>
    <col min="9207" max="9207" width="13.5" style="1" customWidth="1"/>
    <col min="9208" max="9454" width="8.875" style="1"/>
    <col min="9455" max="9455" width="5" style="1" customWidth="1"/>
    <col min="9456" max="9456" width="33.375" style="1" customWidth="1"/>
    <col min="9457" max="9457" width="6.5" style="1" customWidth="1"/>
    <col min="9458" max="9458" width="29.5" style="1" customWidth="1"/>
    <col min="9459" max="9459" width="23.625" style="1" customWidth="1"/>
    <col min="9460" max="9460" width="8" style="1" customWidth="1"/>
    <col min="9461" max="9461" width="9.125" style="1" customWidth="1"/>
    <col min="9462" max="9462" width="13.875" style="1" customWidth="1"/>
    <col min="9463" max="9463" width="13.5" style="1" customWidth="1"/>
    <col min="9464" max="9710" width="8.875" style="1"/>
    <col min="9711" max="9711" width="5" style="1" customWidth="1"/>
    <col min="9712" max="9712" width="33.375" style="1" customWidth="1"/>
    <col min="9713" max="9713" width="6.5" style="1" customWidth="1"/>
    <col min="9714" max="9714" width="29.5" style="1" customWidth="1"/>
    <col min="9715" max="9715" width="23.625" style="1" customWidth="1"/>
    <col min="9716" max="9716" width="8" style="1" customWidth="1"/>
    <col min="9717" max="9717" width="9.125" style="1" customWidth="1"/>
    <col min="9718" max="9718" width="13.875" style="1" customWidth="1"/>
    <col min="9719" max="9719" width="13.5" style="1" customWidth="1"/>
    <col min="9720" max="9966" width="8.875" style="1"/>
    <col min="9967" max="9967" width="5" style="1" customWidth="1"/>
    <col min="9968" max="9968" width="33.375" style="1" customWidth="1"/>
    <col min="9969" max="9969" width="6.5" style="1" customWidth="1"/>
    <col min="9970" max="9970" width="29.5" style="1" customWidth="1"/>
    <col min="9971" max="9971" width="23.625" style="1" customWidth="1"/>
    <col min="9972" max="9972" width="8" style="1" customWidth="1"/>
    <col min="9973" max="9973" width="9.125" style="1" customWidth="1"/>
    <col min="9974" max="9974" width="13.875" style="1" customWidth="1"/>
    <col min="9975" max="9975" width="13.5" style="1" customWidth="1"/>
    <col min="9976" max="10222" width="8.875" style="1"/>
    <col min="10223" max="10223" width="5" style="1" customWidth="1"/>
    <col min="10224" max="10224" width="33.375" style="1" customWidth="1"/>
    <col min="10225" max="10225" width="6.5" style="1" customWidth="1"/>
    <col min="10226" max="10226" width="29.5" style="1" customWidth="1"/>
    <col min="10227" max="10227" width="23.625" style="1" customWidth="1"/>
    <col min="10228" max="10228" width="8" style="1" customWidth="1"/>
    <col min="10229" max="10229" width="9.125" style="1" customWidth="1"/>
    <col min="10230" max="10230" width="13.875" style="1" customWidth="1"/>
    <col min="10231" max="10231" width="13.5" style="1" customWidth="1"/>
    <col min="10232" max="10478" width="8.875" style="1"/>
    <col min="10479" max="10479" width="5" style="1" customWidth="1"/>
    <col min="10480" max="10480" width="33.375" style="1" customWidth="1"/>
    <col min="10481" max="10481" width="6.5" style="1" customWidth="1"/>
    <col min="10482" max="10482" width="29.5" style="1" customWidth="1"/>
    <col min="10483" max="10483" width="23.625" style="1" customWidth="1"/>
    <col min="10484" max="10484" width="8" style="1" customWidth="1"/>
    <col min="10485" max="10485" width="9.125" style="1" customWidth="1"/>
    <col min="10486" max="10486" width="13.875" style="1" customWidth="1"/>
    <col min="10487" max="10487" width="13.5" style="1" customWidth="1"/>
    <col min="10488" max="10734" width="8.875" style="1"/>
    <col min="10735" max="10735" width="5" style="1" customWidth="1"/>
    <col min="10736" max="10736" width="33.375" style="1" customWidth="1"/>
    <col min="10737" max="10737" width="6.5" style="1" customWidth="1"/>
    <col min="10738" max="10738" width="29.5" style="1" customWidth="1"/>
    <col min="10739" max="10739" width="23.625" style="1" customWidth="1"/>
    <col min="10740" max="10740" width="8" style="1" customWidth="1"/>
    <col min="10741" max="10741" width="9.125" style="1" customWidth="1"/>
    <col min="10742" max="10742" width="13.875" style="1" customWidth="1"/>
    <col min="10743" max="10743" width="13.5" style="1" customWidth="1"/>
    <col min="10744" max="10990" width="8.875" style="1"/>
    <col min="10991" max="10991" width="5" style="1" customWidth="1"/>
    <col min="10992" max="10992" width="33.375" style="1" customWidth="1"/>
    <col min="10993" max="10993" width="6.5" style="1" customWidth="1"/>
    <col min="10994" max="10994" width="29.5" style="1" customWidth="1"/>
    <col min="10995" max="10995" width="23.625" style="1" customWidth="1"/>
    <col min="10996" max="10996" width="8" style="1" customWidth="1"/>
    <col min="10997" max="10997" width="9.125" style="1" customWidth="1"/>
    <col min="10998" max="10998" width="13.875" style="1" customWidth="1"/>
    <col min="10999" max="10999" width="13.5" style="1" customWidth="1"/>
    <col min="11000" max="11246" width="8.875" style="1"/>
    <col min="11247" max="11247" width="5" style="1" customWidth="1"/>
    <col min="11248" max="11248" width="33.375" style="1" customWidth="1"/>
    <col min="11249" max="11249" width="6.5" style="1" customWidth="1"/>
    <col min="11250" max="11250" width="29.5" style="1" customWidth="1"/>
    <col min="11251" max="11251" width="23.625" style="1" customWidth="1"/>
    <col min="11252" max="11252" width="8" style="1" customWidth="1"/>
    <col min="11253" max="11253" width="9.125" style="1" customWidth="1"/>
    <col min="11254" max="11254" width="13.875" style="1" customWidth="1"/>
    <col min="11255" max="11255" width="13.5" style="1" customWidth="1"/>
    <col min="11256" max="11502" width="8.875" style="1"/>
    <col min="11503" max="11503" width="5" style="1" customWidth="1"/>
    <col min="11504" max="11504" width="33.375" style="1" customWidth="1"/>
    <col min="11505" max="11505" width="6.5" style="1" customWidth="1"/>
    <col min="11506" max="11506" width="29.5" style="1" customWidth="1"/>
    <col min="11507" max="11507" width="23.625" style="1" customWidth="1"/>
    <col min="11508" max="11508" width="8" style="1" customWidth="1"/>
    <col min="11509" max="11509" width="9.125" style="1" customWidth="1"/>
    <col min="11510" max="11510" width="13.875" style="1" customWidth="1"/>
    <col min="11511" max="11511" width="13.5" style="1" customWidth="1"/>
    <col min="11512" max="11758" width="8.875" style="1"/>
    <col min="11759" max="11759" width="5" style="1" customWidth="1"/>
    <col min="11760" max="11760" width="33.375" style="1" customWidth="1"/>
    <col min="11761" max="11761" width="6.5" style="1" customWidth="1"/>
    <col min="11762" max="11762" width="29.5" style="1" customWidth="1"/>
    <col min="11763" max="11763" width="23.625" style="1" customWidth="1"/>
    <col min="11764" max="11764" width="8" style="1" customWidth="1"/>
    <col min="11765" max="11765" width="9.125" style="1" customWidth="1"/>
    <col min="11766" max="11766" width="13.875" style="1" customWidth="1"/>
    <col min="11767" max="11767" width="13.5" style="1" customWidth="1"/>
    <col min="11768" max="12014" width="8.875" style="1"/>
    <col min="12015" max="12015" width="5" style="1" customWidth="1"/>
    <col min="12016" max="12016" width="33.375" style="1" customWidth="1"/>
    <col min="12017" max="12017" width="6.5" style="1" customWidth="1"/>
    <col min="12018" max="12018" width="29.5" style="1" customWidth="1"/>
    <col min="12019" max="12019" width="23.625" style="1" customWidth="1"/>
    <col min="12020" max="12020" width="8" style="1" customWidth="1"/>
    <col min="12021" max="12021" width="9.125" style="1" customWidth="1"/>
    <col min="12022" max="12022" width="13.875" style="1" customWidth="1"/>
    <col min="12023" max="12023" width="13.5" style="1" customWidth="1"/>
    <col min="12024" max="12270" width="8.875" style="1"/>
    <col min="12271" max="12271" width="5" style="1" customWidth="1"/>
    <col min="12272" max="12272" width="33.375" style="1" customWidth="1"/>
    <col min="12273" max="12273" width="6.5" style="1" customWidth="1"/>
    <col min="12274" max="12274" width="29.5" style="1" customWidth="1"/>
    <col min="12275" max="12275" width="23.625" style="1" customWidth="1"/>
    <col min="12276" max="12276" width="8" style="1" customWidth="1"/>
    <col min="12277" max="12277" width="9.125" style="1" customWidth="1"/>
    <col min="12278" max="12278" width="13.875" style="1" customWidth="1"/>
    <col min="12279" max="12279" width="13.5" style="1" customWidth="1"/>
    <col min="12280" max="12526" width="8.875" style="1"/>
    <col min="12527" max="12527" width="5" style="1" customWidth="1"/>
    <col min="12528" max="12528" width="33.375" style="1" customWidth="1"/>
    <col min="12529" max="12529" width="6.5" style="1" customWidth="1"/>
    <col min="12530" max="12530" width="29.5" style="1" customWidth="1"/>
    <col min="12531" max="12531" width="23.625" style="1" customWidth="1"/>
    <col min="12532" max="12532" width="8" style="1" customWidth="1"/>
    <col min="12533" max="12533" width="9.125" style="1" customWidth="1"/>
    <col min="12534" max="12534" width="13.875" style="1" customWidth="1"/>
    <col min="12535" max="12535" width="13.5" style="1" customWidth="1"/>
    <col min="12536" max="12782" width="8.875" style="1"/>
    <col min="12783" max="12783" width="5" style="1" customWidth="1"/>
    <col min="12784" max="12784" width="33.375" style="1" customWidth="1"/>
    <col min="12785" max="12785" width="6.5" style="1" customWidth="1"/>
    <col min="12786" max="12786" width="29.5" style="1" customWidth="1"/>
    <col min="12787" max="12787" width="23.625" style="1" customWidth="1"/>
    <col min="12788" max="12788" width="8" style="1" customWidth="1"/>
    <col min="12789" max="12789" width="9.125" style="1" customWidth="1"/>
    <col min="12790" max="12790" width="13.875" style="1" customWidth="1"/>
    <col min="12791" max="12791" width="13.5" style="1" customWidth="1"/>
    <col min="12792" max="13038" width="8.875" style="1"/>
    <col min="13039" max="13039" width="5" style="1" customWidth="1"/>
    <col min="13040" max="13040" width="33.375" style="1" customWidth="1"/>
    <col min="13041" max="13041" width="6.5" style="1" customWidth="1"/>
    <col min="13042" max="13042" width="29.5" style="1" customWidth="1"/>
    <col min="13043" max="13043" width="23.625" style="1" customWidth="1"/>
    <col min="13044" max="13044" width="8" style="1" customWidth="1"/>
    <col min="13045" max="13045" width="9.125" style="1" customWidth="1"/>
    <col min="13046" max="13046" width="13.875" style="1" customWidth="1"/>
    <col min="13047" max="13047" width="13.5" style="1" customWidth="1"/>
    <col min="13048" max="13294" width="8.875" style="1"/>
    <col min="13295" max="13295" width="5" style="1" customWidth="1"/>
    <col min="13296" max="13296" width="33.375" style="1" customWidth="1"/>
    <col min="13297" max="13297" width="6.5" style="1" customWidth="1"/>
    <col min="13298" max="13298" width="29.5" style="1" customWidth="1"/>
    <col min="13299" max="13299" width="23.625" style="1" customWidth="1"/>
    <col min="13300" max="13300" width="8" style="1" customWidth="1"/>
    <col min="13301" max="13301" width="9.125" style="1" customWidth="1"/>
    <col min="13302" max="13302" width="13.875" style="1" customWidth="1"/>
    <col min="13303" max="13303" width="13.5" style="1" customWidth="1"/>
    <col min="13304" max="13550" width="8.875" style="1"/>
    <col min="13551" max="13551" width="5" style="1" customWidth="1"/>
    <col min="13552" max="13552" width="33.375" style="1" customWidth="1"/>
    <col min="13553" max="13553" width="6.5" style="1" customWidth="1"/>
    <col min="13554" max="13554" width="29.5" style="1" customWidth="1"/>
    <col min="13555" max="13555" width="23.625" style="1" customWidth="1"/>
    <col min="13556" max="13556" width="8" style="1" customWidth="1"/>
    <col min="13557" max="13557" width="9.125" style="1" customWidth="1"/>
    <col min="13558" max="13558" width="13.875" style="1" customWidth="1"/>
    <col min="13559" max="13559" width="13.5" style="1" customWidth="1"/>
    <col min="13560" max="13806" width="8.875" style="1"/>
    <col min="13807" max="13807" width="5" style="1" customWidth="1"/>
    <col min="13808" max="13808" width="33.375" style="1" customWidth="1"/>
    <col min="13809" max="13809" width="6.5" style="1" customWidth="1"/>
    <col min="13810" max="13810" width="29.5" style="1" customWidth="1"/>
    <col min="13811" max="13811" width="23.625" style="1" customWidth="1"/>
    <col min="13812" max="13812" width="8" style="1" customWidth="1"/>
    <col min="13813" max="13813" width="9.125" style="1" customWidth="1"/>
    <col min="13814" max="13814" width="13.875" style="1" customWidth="1"/>
    <col min="13815" max="13815" width="13.5" style="1" customWidth="1"/>
    <col min="13816" max="14062" width="8.875" style="1"/>
    <col min="14063" max="14063" width="5" style="1" customWidth="1"/>
    <col min="14064" max="14064" width="33.375" style="1" customWidth="1"/>
    <col min="14065" max="14065" width="6.5" style="1" customWidth="1"/>
    <col min="14066" max="14066" width="29.5" style="1" customWidth="1"/>
    <col min="14067" max="14067" width="23.625" style="1" customWidth="1"/>
    <col min="14068" max="14068" width="8" style="1" customWidth="1"/>
    <col min="14069" max="14069" width="9.125" style="1" customWidth="1"/>
    <col min="14070" max="14070" width="13.875" style="1" customWidth="1"/>
    <col min="14071" max="14071" width="13.5" style="1" customWidth="1"/>
    <col min="14072" max="14318" width="8.875" style="1"/>
    <col min="14319" max="14319" width="5" style="1" customWidth="1"/>
    <col min="14320" max="14320" width="33.375" style="1" customWidth="1"/>
    <col min="14321" max="14321" width="6.5" style="1" customWidth="1"/>
    <col min="14322" max="14322" width="29.5" style="1" customWidth="1"/>
    <col min="14323" max="14323" width="23.625" style="1" customWidth="1"/>
    <col min="14324" max="14324" width="8" style="1" customWidth="1"/>
    <col min="14325" max="14325" width="9.125" style="1" customWidth="1"/>
    <col min="14326" max="14326" width="13.875" style="1" customWidth="1"/>
    <col min="14327" max="14327" width="13.5" style="1" customWidth="1"/>
    <col min="14328" max="14574" width="8.875" style="1"/>
    <col min="14575" max="14575" width="5" style="1" customWidth="1"/>
    <col min="14576" max="14576" width="33.375" style="1" customWidth="1"/>
    <col min="14577" max="14577" width="6.5" style="1" customWidth="1"/>
    <col min="14578" max="14578" width="29.5" style="1" customWidth="1"/>
    <col min="14579" max="14579" width="23.625" style="1" customWidth="1"/>
    <col min="14580" max="14580" width="8" style="1" customWidth="1"/>
    <col min="14581" max="14581" width="9.125" style="1" customWidth="1"/>
    <col min="14582" max="14582" width="13.875" style="1" customWidth="1"/>
    <col min="14583" max="14583" width="13.5" style="1" customWidth="1"/>
    <col min="14584" max="14830" width="8.875" style="1"/>
    <col min="14831" max="14831" width="5" style="1" customWidth="1"/>
    <col min="14832" max="14832" width="33.375" style="1" customWidth="1"/>
    <col min="14833" max="14833" width="6.5" style="1" customWidth="1"/>
    <col min="14834" max="14834" width="29.5" style="1" customWidth="1"/>
    <col min="14835" max="14835" width="23.625" style="1" customWidth="1"/>
    <col min="14836" max="14836" width="8" style="1" customWidth="1"/>
    <col min="14837" max="14837" width="9.125" style="1" customWidth="1"/>
    <col min="14838" max="14838" width="13.875" style="1" customWidth="1"/>
    <col min="14839" max="14839" width="13.5" style="1" customWidth="1"/>
    <col min="14840" max="15086" width="8.875" style="1"/>
    <col min="15087" max="15087" width="5" style="1" customWidth="1"/>
    <col min="15088" max="15088" width="33.375" style="1" customWidth="1"/>
    <col min="15089" max="15089" width="6.5" style="1" customWidth="1"/>
    <col min="15090" max="15090" width="29.5" style="1" customWidth="1"/>
    <col min="15091" max="15091" width="23.625" style="1" customWidth="1"/>
    <col min="15092" max="15092" width="8" style="1" customWidth="1"/>
    <col min="15093" max="15093" width="9.125" style="1" customWidth="1"/>
    <col min="15094" max="15094" width="13.875" style="1" customWidth="1"/>
    <col min="15095" max="15095" width="13.5" style="1" customWidth="1"/>
    <col min="15096" max="15342" width="8.875" style="1"/>
    <col min="15343" max="15343" width="5" style="1" customWidth="1"/>
    <col min="15344" max="15344" width="33.375" style="1" customWidth="1"/>
    <col min="15345" max="15345" width="6.5" style="1" customWidth="1"/>
    <col min="15346" max="15346" width="29.5" style="1" customWidth="1"/>
    <col min="15347" max="15347" width="23.625" style="1" customWidth="1"/>
    <col min="15348" max="15348" width="8" style="1" customWidth="1"/>
    <col min="15349" max="15349" width="9.125" style="1" customWidth="1"/>
    <col min="15350" max="15350" width="13.875" style="1" customWidth="1"/>
    <col min="15351" max="15351" width="13.5" style="1" customWidth="1"/>
    <col min="15352" max="15598" width="8.875" style="1"/>
    <col min="15599" max="15599" width="5" style="1" customWidth="1"/>
    <col min="15600" max="15600" width="33.375" style="1" customWidth="1"/>
    <col min="15601" max="15601" width="6.5" style="1" customWidth="1"/>
    <col min="15602" max="15602" width="29.5" style="1" customWidth="1"/>
    <col min="15603" max="15603" width="23.625" style="1" customWidth="1"/>
    <col min="15604" max="15604" width="8" style="1" customWidth="1"/>
    <col min="15605" max="15605" width="9.125" style="1" customWidth="1"/>
    <col min="15606" max="15606" width="13.875" style="1" customWidth="1"/>
    <col min="15607" max="15607" width="13.5" style="1" customWidth="1"/>
    <col min="15608" max="15854" width="8.875" style="1"/>
    <col min="15855" max="15855" width="5" style="1" customWidth="1"/>
    <col min="15856" max="15856" width="33.375" style="1" customWidth="1"/>
    <col min="15857" max="15857" width="6.5" style="1" customWidth="1"/>
    <col min="15858" max="15858" width="29.5" style="1" customWidth="1"/>
    <col min="15859" max="15859" width="23.625" style="1" customWidth="1"/>
    <col min="15860" max="15860" width="8" style="1" customWidth="1"/>
    <col min="15861" max="15861" width="9.125" style="1" customWidth="1"/>
    <col min="15862" max="15862" width="13.875" style="1" customWidth="1"/>
    <col min="15863" max="15863" width="13.5" style="1" customWidth="1"/>
    <col min="15864" max="16384" width="8.875" style="1"/>
  </cols>
  <sheetData>
    <row r="2" spans="2:18" s="375" customFormat="1">
      <c r="B2" s="374" t="s">
        <v>464</v>
      </c>
      <c r="C2" s="140" t="s">
        <v>132</v>
      </c>
    </row>
    <row r="3" spans="2:18" s="375" customFormat="1">
      <c r="B3" s="374" t="s">
        <v>465</v>
      </c>
      <c r="C3" s="209" t="s">
        <v>255</v>
      </c>
    </row>
    <row r="4" spans="2:18" s="375" customFormat="1">
      <c r="B4" s="374" t="s">
        <v>466</v>
      </c>
      <c r="C4" s="140" t="s">
        <v>133</v>
      </c>
    </row>
    <row r="5" spans="2:18">
      <c r="E5" s="2"/>
      <c r="G5" s="1"/>
      <c r="H5" s="1"/>
      <c r="M5" s="2"/>
      <c r="Q5" s="1"/>
    </row>
    <row r="6" spans="2:18" s="3" customFormat="1" ht="23.1" customHeight="1">
      <c r="B6" s="99" t="s">
        <v>61</v>
      </c>
      <c r="C6" s="376" t="s">
        <v>616</v>
      </c>
      <c r="D6" s="95"/>
      <c r="E6" s="95"/>
      <c r="F6" s="7"/>
      <c r="G6" s="7"/>
      <c r="H6" s="7"/>
      <c r="I6" s="7"/>
      <c r="J6" s="7"/>
      <c r="K6" s="7"/>
      <c r="L6" s="7"/>
      <c r="M6" s="7"/>
    </row>
    <row r="7" spans="2:18" s="3" customFormat="1" ht="3.95" customHeight="1">
      <c r="M7" s="44"/>
    </row>
    <row r="8" spans="2:18" s="3" customFormat="1" ht="20.100000000000001" customHeight="1">
      <c r="B8" s="213" t="s">
        <v>279</v>
      </c>
      <c r="C8" s="213" t="s">
        <v>551</v>
      </c>
      <c r="D8" s="212"/>
      <c r="E8" s="212" t="s">
        <v>405</v>
      </c>
      <c r="F8" s="212" t="s">
        <v>447</v>
      </c>
      <c r="G8" s="212"/>
      <c r="H8" s="212"/>
      <c r="I8" s="31"/>
    </row>
    <row r="9" spans="2:18" s="3" customFormat="1" ht="18.95" customHeight="1">
      <c r="B9" s="213" t="s">
        <v>280</v>
      </c>
      <c r="C9" s="472" t="s">
        <v>552</v>
      </c>
      <c r="D9" s="212"/>
      <c r="E9" s="212" t="s">
        <v>467</v>
      </c>
      <c r="F9" s="211" t="s">
        <v>471</v>
      </c>
      <c r="G9" s="211"/>
      <c r="H9" s="211"/>
      <c r="I9" s="31"/>
    </row>
    <row r="10" spans="2:18" s="3" customFormat="1">
      <c r="M10" s="44"/>
    </row>
    <row r="11" spans="2:18" ht="20.100000000000001" customHeight="1">
      <c r="B11" s="563" t="s">
        <v>21</v>
      </c>
      <c r="C11" s="564" t="s">
        <v>468</v>
      </c>
      <c r="D11" s="565"/>
      <c r="E11" s="566"/>
      <c r="F11" s="566"/>
      <c r="G11" s="567"/>
      <c r="H11" s="567"/>
      <c r="I11" s="566"/>
      <c r="J11" s="566"/>
      <c r="K11" s="566"/>
      <c r="L11" s="568"/>
      <c r="M11" s="568"/>
      <c r="N11" s="568"/>
      <c r="O11" s="569"/>
      <c r="P11" s="570"/>
      <c r="Q11" s="571">
        <f>Q13+Q14</f>
        <v>0</v>
      </c>
      <c r="R11" s="550"/>
    </row>
    <row r="12" spans="2:18" s="4" customFormat="1" ht="27.95" customHeight="1">
      <c r="B12" s="572"/>
      <c r="C12" s="1045" t="s">
        <v>8</v>
      </c>
      <c r="D12" s="1046"/>
      <c r="E12" s="1046"/>
      <c r="F12" s="1046"/>
      <c r="G12" s="1046"/>
      <c r="H12" s="1046"/>
      <c r="I12" s="1043" t="s">
        <v>154</v>
      </c>
      <c r="J12" s="1043"/>
      <c r="K12" s="1043"/>
      <c r="L12" s="1043" t="s">
        <v>174</v>
      </c>
      <c r="M12" s="1043"/>
      <c r="N12" s="573" t="s">
        <v>173</v>
      </c>
      <c r="O12" s="574" t="s">
        <v>32</v>
      </c>
      <c r="P12" s="574" t="s">
        <v>2</v>
      </c>
      <c r="Q12" s="572" t="s">
        <v>20</v>
      </c>
      <c r="R12" s="575"/>
    </row>
    <row r="13" spans="2:18" ht="21" customHeight="1">
      <c r="B13" s="576">
        <v>1</v>
      </c>
      <c r="C13" s="1024" t="s">
        <v>185</v>
      </c>
      <c r="D13" s="1024"/>
      <c r="E13" s="1024"/>
      <c r="F13" s="1024"/>
      <c r="G13" s="1024"/>
      <c r="H13" s="1024"/>
      <c r="I13" s="1047">
        <v>0.4</v>
      </c>
      <c r="J13" s="1047"/>
      <c r="K13" s="1047"/>
      <c r="L13" s="1048">
        <v>1</v>
      </c>
      <c r="M13" s="1048"/>
      <c r="N13" s="577"/>
      <c r="O13" s="577">
        <f>N13/L13</f>
        <v>0</v>
      </c>
      <c r="P13" s="577"/>
      <c r="Q13" s="578">
        <f>I13*O13</f>
        <v>0</v>
      </c>
      <c r="R13" s="579"/>
    </row>
    <row r="14" spans="2:18" ht="21" customHeight="1">
      <c r="B14" s="576">
        <v>2</v>
      </c>
      <c r="C14" s="1026" t="s">
        <v>469</v>
      </c>
      <c r="D14" s="1026"/>
      <c r="E14" s="1026"/>
      <c r="F14" s="1026"/>
      <c r="G14" s="1026"/>
      <c r="H14" s="1026"/>
      <c r="I14" s="1040">
        <v>0.6</v>
      </c>
      <c r="J14" s="1040"/>
      <c r="K14" s="1040"/>
      <c r="L14" s="1041">
        <v>1</v>
      </c>
      <c r="M14" s="1041"/>
      <c r="N14" s="580"/>
      <c r="O14" s="580">
        <f>N14/L14</f>
        <v>0</v>
      </c>
      <c r="P14" s="580"/>
      <c r="Q14" s="578">
        <f>I14*O14</f>
        <v>0</v>
      </c>
      <c r="R14" s="579"/>
    </row>
    <row r="15" spans="2:18" ht="21" customHeight="1">
      <c r="B15" s="563" t="s">
        <v>22</v>
      </c>
      <c r="C15" s="581" t="s">
        <v>54</v>
      </c>
      <c r="D15" s="565"/>
      <c r="E15" s="566"/>
      <c r="F15" s="566"/>
      <c r="G15" s="567"/>
      <c r="H15" s="567"/>
      <c r="I15" s="566"/>
      <c r="J15" s="566"/>
      <c r="K15" s="566"/>
      <c r="L15" s="1042"/>
      <c r="M15" s="1042"/>
      <c r="N15" s="1042"/>
      <c r="O15" s="569"/>
      <c r="P15" s="570"/>
      <c r="Q15" s="582">
        <f>SUM(Q17:Q20)</f>
        <v>0</v>
      </c>
      <c r="R15" s="579"/>
    </row>
    <row r="16" spans="2:18" s="4" customFormat="1" ht="29.1" customHeight="1">
      <c r="B16" s="572"/>
      <c r="C16" s="574" t="s">
        <v>31</v>
      </c>
      <c r="D16" s="574" t="s">
        <v>152</v>
      </c>
      <c r="E16" s="1043" t="s">
        <v>39</v>
      </c>
      <c r="F16" s="1044"/>
      <c r="G16" s="1043" t="s">
        <v>17</v>
      </c>
      <c r="H16" s="1044"/>
      <c r="I16" s="1043" t="s">
        <v>116</v>
      </c>
      <c r="J16" s="1043"/>
      <c r="K16" s="1043"/>
      <c r="L16" s="1043" t="s">
        <v>19</v>
      </c>
      <c r="M16" s="1043"/>
      <c r="N16" s="573" t="s">
        <v>174</v>
      </c>
      <c r="O16" s="574" t="s">
        <v>164</v>
      </c>
      <c r="P16" s="574" t="s">
        <v>32</v>
      </c>
      <c r="Q16" s="572" t="s">
        <v>20</v>
      </c>
      <c r="R16" s="575"/>
    </row>
    <row r="17" spans="2:18" ht="51" customHeight="1">
      <c r="B17" s="576">
        <v>1</v>
      </c>
      <c r="C17" s="520" t="s">
        <v>455</v>
      </c>
      <c r="D17" s="632">
        <v>0.2</v>
      </c>
      <c r="E17" s="1026" t="s">
        <v>495</v>
      </c>
      <c r="F17" s="1026"/>
      <c r="G17" s="1050" t="s">
        <v>413</v>
      </c>
      <c r="H17" s="1051"/>
      <c r="I17" s="1052" t="s">
        <v>471</v>
      </c>
      <c r="J17" s="1053"/>
      <c r="K17" s="1054"/>
      <c r="L17" s="1055" t="s">
        <v>414</v>
      </c>
      <c r="M17" s="1055"/>
      <c r="N17" s="626">
        <v>0</v>
      </c>
      <c r="O17" s="626"/>
      <c r="P17" s="593" t="str">
        <f>IF(LEN(O17)=0,"",IF(O17=N17,1,0))</f>
        <v/>
      </c>
      <c r="Q17" s="601" t="str">
        <f t="shared" ref="Q17:Q21" si="0">IFERROR(P17*D17,"")</f>
        <v/>
      </c>
      <c r="R17" s="550"/>
    </row>
    <row r="18" spans="2:18" ht="51" customHeight="1">
      <c r="B18" s="576">
        <v>2</v>
      </c>
      <c r="C18" s="633" t="s">
        <v>429</v>
      </c>
      <c r="D18" s="632">
        <v>0.2</v>
      </c>
      <c r="E18" s="1026" t="s">
        <v>496</v>
      </c>
      <c r="F18" s="1026"/>
      <c r="G18" s="1050" t="s">
        <v>413</v>
      </c>
      <c r="H18" s="1051"/>
      <c r="I18" s="1052" t="s">
        <v>471</v>
      </c>
      <c r="J18" s="1053"/>
      <c r="K18" s="1054"/>
      <c r="L18" s="1055" t="s">
        <v>414</v>
      </c>
      <c r="M18" s="1055"/>
      <c r="N18" s="626">
        <v>0</v>
      </c>
      <c r="O18" s="626"/>
      <c r="P18" s="593" t="str">
        <f>IF(LEN(O18)=0,"",IF(O18=N18,1,0))</f>
        <v/>
      </c>
      <c r="Q18" s="601" t="str">
        <f t="shared" si="0"/>
        <v/>
      </c>
      <c r="R18" s="550"/>
    </row>
    <row r="19" spans="2:18" ht="63" customHeight="1">
      <c r="B19" s="576">
        <v>3</v>
      </c>
      <c r="C19" s="633" t="s">
        <v>520</v>
      </c>
      <c r="D19" s="632">
        <v>0.2</v>
      </c>
      <c r="E19" s="1026" t="s">
        <v>527</v>
      </c>
      <c r="F19" s="1026"/>
      <c r="G19" s="1050" t="s">
        <v>413</v>
      </c>
      <c r="H19" s="1051"/>
      <c r="I19" s="1052" t="s">
        <v>471</v>
      </c>
      <c r="J19" s="1053"/>
      <c r="K19" s="1054"/>
      <c r="L19" s="1055" t="s">
        <v>414</v>
      </c>
      <c r="M19" s="1055"/>
      <c r="N19" s="626">
        <v>0</v>
      </c>
      <c r="O19" s="626"/>
      <c r="P19" s="593" t="str">
        <f>IF(LEN(O19)=0,"",IF(O19=N19,1,0))</f>
        <v/>
      </c>
      <c r="Q19" s="601" t="str">
        <f t="shared" si="0"/>
        <v/>
      </c>
      <c r="R19" s="550"/>
    </row>
    <row r="20" spans="2:18" ht="48.95" customHeight="1">
      <c r="B20" s="576">
        <v>4</v>
      </c>
      <c r="C20" s="633" t="s">
        <v>450</v>
      </c>
      <c r="D20" s="632">
        <v>0.3</v>
      </c>
      <c r="E20" s="1026" t="s">
        <v>497</v>
      </c>
      <c r="F20" s="1026"/>
      <c r="G20" s="1050" t="s">
        <v>341</v>
      </c>
      <c r="H20" s="1051"/>
      <c r="I20" s="1052" t="s">
        <v>523</v>
      </c>
      <c r="J20" s="1053"/>
      <c r="K20" s="1054"/>
      <c r="L20" s="1055" t="s">
        <v>326</v>
      </c>
      <c r="M20" s="1055"/>
      <c r="N20" s="623">
        <v>0.02</v>
      </c>
      <c r="O20" s="623"/>
      <c r="P20" s="625" t="str">
        <f>IF(LEN(O20)=0,"",IF(O20&lt;N20,0,MIN(120%,O20/N20*100%)))</f>
        <v/>
      </c>
      <c r="Q20" s="601" t="str">
        <f t="shared" si="0"/>
        <v/>
      </c>
      <c r="R20" s="550"/>
    </row>
    <row r="21" spans="2:18" ht="48.95" customHeight="1">
      <c r="B21" s="576">
        <v>5</v>
      </c>
      <c r="C21" s="528" t="s">
        <v>609</v>
      </c>
      <c r="D21" s="538">
        <v>0.1</v>
      </c>
      <c r="E21" s="1026" t="s">
        <v>615</v>
      </c>
      <c r="F21" s="1026"/>
      <c r="G21" s="1122" t="s">
        <v>613</v>
      </c>
      <c r="H21" s="1123"/>
      <c r="I21" s="1052" t="s">
        <v>511</v>
      </c>
      <c r="J21" s="1053"/>
      <c r="K21" s="1054"/>
      <c r="L21" s="1055" t="s">
        <v>612</v>
      </c>
      <c r="M21" s="1055"/>
      <c r="N21" s="803" t="s">
        <v>649</v>
      </c>
      <c r="O21" s="622"/>
      <c r="P21" s="593" t="str">
        <f>IF(LEN(O21)=0,"",IF(O21&gt;N21,0,MIN(120%,N21/O21*100%)))</f>
        <v/>
      </c>
      <c r="Q21" s="601" t="str">
        <f t="shared" si="0"/>
        <v/>
      </c>
      <c r="R21" s="550"/>
    </row>
    <row r="22" spans="2:18" ht="20.100000000000001" customHeight="1">
      <c r="B22" s="563" t="s">
        <v>40</v>
      </c>
      <c r="C22" s="564" t="s">
        <v>186</v>
      </c>
      <c r="D22" s="565"/>
      <c r="E22" s="566"/>
      <c r="F22" s="566"/>
      <c r="G22" s="567"/>
      <c r="H22" s="567"/>
      <c r="I22" s="566"/>
      <c r="J22" s="566"/>
      <c r="K22" s="566"/>
      <c r="L22" s="1042"/>
      <c r="M22" s="1042"/>
      <c r="N22" s="1042"/>
      <c r="O22" s="569"/>
      <c r="P22" s="570"/>
      <c r="Q22" s="571" t="e">
        <f>SUM(Q25:Q29)/5</f>
        <v>#DIV/0!</v>
      </c>
      <c r="R22" s="550"/>
    </row>
    <row r="23" spans="2:18" s="4" customFormat="1" ht="26.1" customHeight="1">
      <c r="B23" s="1056"/>
      <c r="C23" s="1045" t="s">
        <v>8</v>
      </c>
      <c r="D23" s="1045"/>
      <c r="E23" s="1045"/>
      <c r="F23" s="1045"/>
      <c r="G23" s="1045"/>
      <c r="H23" s="1045"/>
      <c r="I23" s="1058" t="s">
        <v>118</v>
      </c>
      <c r="J23" s="1058"/>
      <c r="K23" s="1058"/>
      <c r="L23" s="1058"/>
      <c r="M23" s="1058"/>
      <c r="N23" s="1058"/>
      <c r="O23" s="1059" t="s">
        <v>123</v>
      </c>
      <c r="P23" s="1058" t="s">
        <v>125</v>
      </c>
      <c r="Q23" s="1056" t="s">
        <v>102</v>
      </c>
      <c r="R23" s="575"/>
    </row>
    <row r="24" spans="2:18" s="4" customFormat="1" ht="39" customHeight="1">
      <c r="B24" s="1056"/>
      <c r="C24" s="1057"/>
      <c r="D24" s="1057"/>
      <c r="E24" s="1057"/>
      <c r="F24" s="1057"/>
      <c r="G24" s="1057"/>
      <c r="H24" s="1057"/>
      <c r="I24" s="1061" t="s">
        <v>119</v>
      </c>
      <c r="J24" s="1061"/>
      <c r="K24" s="602" t="s">
        <v>120</v>
      </c>
      <c r="L24" s="602" t="s">
        <v>153</v>
      </c>
      <c r="M24" s="602" t="s">
        <v>121</v>
      </c>
      <c r="N24" s="602" t="s">
        <v>122</v>
      </c>
      <c r="O24" s="1060"/>
      <c r="P24" s="1063"/>
      <c r="Q24" s="1056"/>
      <c r="R24" s="575"/>
    </row>
    <row r="25" spans="2:18" s="45" customFormat="1" ht="32.1" customHeight="1">
      <c r="B25" s="576">
        <v>1</v>
      </c>
      <c r="C25" s="987" t="s">
        <v>62</v>
      </c>
      <c r="D25" s="987"/>
      <c r="E25" s="987"/>
      <c r="F25" s="987"/>
      <c r="G25" s="987"/>
      <c r="H25" s="987"/>
      <c r="I25" s="1062">
        <v>1</v>
      </c>
      <c r="J25" s="1062"/>
      <c r="K25" s="603">
        <v>2</v>
      </c>
      <c r="L25" s="604">
        <v>3</v>
      </c>
      <c r="M25" s="603">
        <v>4</v>
      </c>
      <c r="N25" s="604">
        <v>5</v>
      </c>
      <c r="O25" s="605"/>
      <c r="P25" s="604"/>
      <c r="Q25" s="578" t="e">
        <f>P25/O25</f>
        <v>#DIV/0!</v>
      </c>
      <c r="R25" s="606"/>
    </row>
    <row r="26" spans="2:18" s="45" customFormat="1" ht="32.1" customHeight="1">
      <c r="B26" s="576">
        <f>B25+1</f>
        <v>2</v>
      </c>
      <c r="C26" s="987" t="s">
        <v>63</v>
      </c>
      <c r="D26" s="987"/>
      <c r="E26" s="987"/>
      <c r="F26" s="987"/>
      <c r="G26" s="987"/>
      <c r="H26" s="987"/>
      <c r="I26" s="1062">
        <v>1</v>
      </c>
      <c r="J26" s="1062"/>
      <c r="K26" s="603">
        <v>2</v>
      </c>
      <c r="L26" s="604">
        <v>3</v>
      </c>
      <c r="M26" s="603">
        <v>4</v>
      </c>
      <c r="N26" s="604">
        <v>5</v>
      </c>
      <c r="O26" s="605"/>
      <c r="P26" s="604"/>
      <c r="Q26" s="578" t="e">
        <f>P26/O26</f>
        <v>#DIV/0!</v>
      </c>
      <c r="R26" s="606"/>
    </row>
    <row r="27" spans="2:18" s="45" customFormat="1" ht="32.1" customHeight="1">
      <c r="B27" s="576">
        <v>3</v>
      </c>
      <c r="C27" s="987" t="s">
        <v>64</v>
      </c>
      <c r="D27" s="987"/>
      <c r="E27" s="987"/>
      <c r="F27" s="987"/>
      <c r="G27" s="987"/>
      <c r="H27" s="987"/>
      <c r="I27" s="1062">
        <v>1</v>
      </c>
      <c r="J27" s="1062"/>
      <c r="K27" s="603">
        <v>2</v>
      </c>
      <c r="L27" s="604">
        <v>3</v>
      </c>
      <c r="M27" s="603">
        <v>4</v>
      </c>
      <c r="N27" s="604">
        <v>5</v>
      </c>
      <c r="O27" s="605"/>
      <c r="P27" s="604"/>
      <c r="Q27" s="578" t="e">
        <f>P27/O27</f>
        <v>#DIV/0!</v>
      </c>
      <c r="R27" s="606"/>
    </row>
    <row r="28" spans="2:18" s="45" customFormat="1" ht="32.1" customHeight="1">
      <c r="B28" s="576">
        <f>B27+1</f>
        <v>4</v>
      </c>
      <c r="C28" s="987" t="s">
        <v>65</v>
      </c>
      <c r="D28" s="987"/>
      <c r="E28" s="987"/>
      <c r="F28" s="987"/>
      <c r="G28" s="987"/>
      <c r="H28" s="987"/>
      <c r="I28" s="1062">
        <v>1</v>
      </c>
      <c r="J28" s="1062"/>
      <c r="K28" s="603">
        <v>2</v>
      </c>
      <c r="L28" s="604">
        <v>3</v>
      </c>
      <c r="M28" s="603">
        <v>4</v>
      </c>
      <c r="N28" s="604">
        <v>5</v>
      </c>
      <c r="O28" s="605"/>
      <c r="P28" s="604"/>
      <c r="Q28" s="578" t="e">
        <f>P28/O28</f>
        <v>#DIV/0!</v>
      </c>
      <c r="R28" s="606"/>
    </row>
    <row r="29" spans="2:18" s="45" customFormat="1" ht="32.1" customHeight="1">
      <c r="B29" s="576">
        <v>5</v>
      </c>
      <c r="C29" s="997" t="s">
        <v>66</v>
      </c>
      <c r="D29" s="997"/>
      <c r="E29" s="997"/>
      <c r="F29" s="997"/>
      <c r="G29" s="997"/>
      <c r="H29" s="997"/>
      <c r="I29" s="1064">
        <v>1</v>
      </c>
      <c r="J29" s="1064"/>
      <c r="K29" s="607">
        <v>2</v>
      </c>
      <c r="L29" s="608">
        <v>3</v>
      </c>
      <c r="M29" s="607">
        <v>4</v>
      </c>
      <c r="N29" s="608">
        <v>5</v>
      </c>
      <c r="O29" s="609"/>
      <c r="P29" s="608"/>
      <c r="Q29" s="578" t="e">
        <f>P29/O29</f>
        <v>#DIV/0!</v>
      </c>
      <c r="R29" s="606"/>
    </row>
    <row r="30" spans="2:18" ht="20.100000000000001" customHeight="1">
      <c r="B30" s="563" t="s">
        <v>41</v>
      </c>
      <c r="C30" s="564" t="s">
        <v>42</v>
      </c>
      <c r="D30" s="565"/>
      <c r="E30" s="566"/>
      <c r="F30" s="566"/>
      <c r="G30" s="567"/>
      <c r="H30" s="567"/>
      <c r="I30" s="566"/>
      <c r="J30" s="566"/>
      <c r="K30" s="566"/>
      <c r="L30" s="568"/>
      <c r="M30" s="568"/>
      <c r="N30" s="568"/>
      <c r="O30" s="569"/>
      <c r="P30" s="570"/>
      <c r="Q30" s="571" t="e">
        <f>SUM(N32:N34)</f>
        <v>#DIV/0!</v>
      </c>
      <c r="R30" s="550"/>
    </row>
    <row r="31" spans="2:18" s="4" customFormat="1" ht="18.95" customHeight="1">
      <c r="B31" s="572"/>
      <c r="C31" s="1046" t="s">
        <v>8</v>
      </c>
      <c r="D31" s="1046"/>
      <c r="E31" s="1046"/>
      <c r="F31" s="1046"/>
      <c r="G31" s="1046"/>
      <c r="H31" s="1046"/>
      <c r="I31" s="1043" t="s">
        <v>43</v>
      </c>
      <c r="J31" s="1043"/>
      <c r="K31" s="1043"/>
      <c r="L31" s="1043" t="s">
        <v>154</v>
      </c>
      <c r="M31" s="1043"/>
      <c r="N31" s="574" t="s">
        <v>67</v>
      </c>
      <c r="O31" s="1043" t="s">
        <v>44</v>
      </c>
      <c r="P31" s="1043"/>
      <c r="Q31" s="1056"/>
      <c r="R31" s="575"/>
    </row>
    <row r="32" spans="2:18" s="45" customFormat="1" ht="21" customHeight="1">
      <c r="B32" s="576">
        <v>1</v>
      </c>
      <c r="C32" s="1005" t="s">
        <v>470</v>
      </c>
      <c r="D32" s="1005"/>
      <c r="E32" s="1005"/>
      <c r="F32" s="1005"/>
      <c r="G32" s="1005"/>
      <c r="H32" s="1005"/>
      <c r="I32" s="1047">
        <f>Q11</f>
        <v>0</v>
      </c>
      <c r="J32" s="1047"/>
      <c r="K32" s="1047"/>
      <c r="L32" s="1065">
        <v>0.2</v>
      </c>
      <c r="M32" s="1065"/>
      <c r="N32" s="577">
        <f>I32*L32</f>
        <v>0</v>
      </c>
      <c r="O32" s="1066" t="e">
        <f>IF(Q30=0,"",IF(Q30&gt;100%,"XUẤT SẮC",IF(Q30&gt;=90%,"TỐT",IF(Q30&gt;=80%,"HOÀN THÀNH","KHÔNG HOÀN THÀNH"))))</f>
        <v>#DIV/0!</v>
      </c>
      <c r="P32" s="1067"/>
      <c r="Q32" s="1067"/>
      <c r="R32" s="606"/>
    </row>
    <row r="33" spans="2:18" s="45" customFormat="1" ht="21" customHeight="1">
      <c r="B33" s="576">
        <f>B32+1</f>
        <v>2</v>
      </c>
      <c r="C33" s="1005" t="s">
        <v>155</v>
      </c>
      <c r="D33" s="1005"/>
      <c r="E33" s="1005"/>
      <c r="F33" s="1005"/>
      <c r="G33" s="1005"/>
      <c r="H33" s="1005"/>
      <c r="I33" s="1047">
        <f>Q15</f>
        <v>0</v>
      </c>
      <c r="J33" s="1047"/>
      <c r="K33" s="1047"/>
      <c r="L33" s="1065">
        <v>0.7</v>
      </c>
      <c r="M33" s="1065"/>
      <c r="N33" s="577">
        <f>I33*L33</f>
        <v>0</v>
      </c>
      <c r="O33" s="1067"/>
      <c r="P33" s="1067"/>
      <c r="Q33" s="1067"/>
      <c r="R33" s="606"/>
    </row>
    <row r="34" spans="2:18" s="45" customFormat="1" ht="21" customHeight="1">
      <c r="B34" s="576">
        <f>B33+1</f>
        <v>3</v>
      </c>
      <c r="C34" s="993" t="s">
        <v>187</v>
      </c>
      <c r="D34" s="993"/>
      <c r="E34" s="993"/>
      <c r="F34" s="993"/>
      <c r="G34" s="993"/>
      <c r="H34" s="993"/>
      <c r="I34" s="1040" t="e">
        <f>Q22</f>
        <v>#DIV/0!</v>
      </c>
      <c r="J34" s="1040"/>
      <c r="K34" s="1040"/>
      <c r="L34" s="1069">
        <v>0.1</v>
      </c>
      <c r="M34" s="1069"/>
      <c r="N34" s="580" t="e">
        <f>I34*L34</f>
        <v>#DIV/0!</v>
      </c>
      <c r="O34" s="1068"/>
      <c r="P34" s="1068"/>
      <c r="Q34" s="1068"/>
      <c r="R34" s="606"/>
    </row>
    <row r="35" spans="2:18" ht="18.95" customHeight="1">
      <c r="B35" s="563" t="s">
        <v>45</v>
      </c>
      <c r="C35" s="581" t="s">
        <v>46</v>
      </c>
      <c r="D35" s="566"/>
      <c r="E35" s="566"/>
      <c r="F35" s="566"/>
      <c r="G35" s="567"/>
      <c r="H35" s="567"/>
      <c r="I35" s="566"/>
      <c r="J35" s="566"/>
      <c r="K35" s="566"/>
      <c r="L35" s="566"/>
      <c r="M35" s="566"/>
      <c r="N35" s="566"/>
      <c r="O35" s="566"/>
      <c r="P35" s="566"/>
      <c r="Q35" s="610"/>
      <c r="R35" s="550"/>
    </row>
    <row r="36" spans="2:18" ht="57.95" customHeight="1">
      <c r="B36" s="583">
        <v>1</v>
      </c>
      <c r="C36" s="1070" t="s">
        <v>47</v>
      </c>
      <c r="D36" s="1070"/>
      <c r="E36" s="1070"/>
      <c r="F36" s="1070"/>
      <c r="G36" s="1070"/>
      <c r="H36" s="1070"/>
      <c r="I36" s="1071" t="s">
        <v>48</v>
      </c>
      <c r="J36" s="1071"/>
      <c r="K36" s="1071"/>
      <c r="L36" s="1071"/>
      <c r="M36" s="1071"/>
      <c r="N36" s="1072" t="s">
        <v>49</v>
      </c>
      <c r="O36" s="1072"/>
      <c r="P36" s="1072" t="s">
        <v>50</v>
      </c>
      <c r="Q36" s="1072"/>
      <c r="R36" s="550"/>
    </row>
    <row r="37" spans="2:18" ht="105" customHeight="1">
      <c r="B37" s="583">
        <v>2</v>
      </c>
      <c r="C37" s="1073" t="s">
        <v>51</v>
      </c>
      <c r="D37" s="1073"/>
      <c r="E37" s="1073"/>
      <c r="F37" s="1073"/>
      <c r="G37" s="1073"/>
      <c r="H37" s="1073"/>
      <c r="I37" s="1074" t="s">
        <v>52</v>
      </c>
      <c r="J37" s="1051"/>
      <c r="K37" s="1051"/>
      <c r="L37" s="1051"/>
      <c r="M37" s="1051"/>
      <c r="N37" s="1051"/>
      <c r="O37" s="1051"/>
      <c r="P37" s="1051"/>
      <c r="Q37" s="1051"/>
      <c r="R37" s="550"/>
    </row>
    <row r="38" spans="2:18">
      <c r="B38" s="5"/>
      <c r="C38" s="5"/>
      <c r="D38" s="5"/>
      <c r="E38" s="5"/>
      <c r="F38" s="5"/>
      <c r="G38" s="6"/>
      <c r="H38" s="6"/>
      <c r="I38" s="5"/>
      <c r="J38" s="5"/>
      <c r="K38" s="5"/>
      <c r="L38" s="5"/>
      <c r="M38" s="5"/>
      <c r="N38" s="5"/>
      <c r="O38" s="5"/>
      <c r="P38" s="5"/>
      <c r="Q38" s="6"/>
    </row>
    <row r="39" spans="2:18" ht="12.95" customHeight="1">
      <c r="B39" s="37"/>
      <c r="C39" s="47"/>
      <c r="D39" s="38"/>
      <c r="E39" s="38"/>
      <c r="F39" s="38"/>
      <c r="G39" s="37"/>
      <c r="H39" s="37"/>
      <c r="I39" s="38"/>
      <c r="J39" s="38"/>
      <c r="K39" s="38"/>
      <c r="L39" s="38"/>
      <c r="M39" s="38"/>
      <c r="N39" s="38"/>
      <c r="O39" s="38"/>
      <c r="P39" s="38"/>
      <c r="Q39" s="37"/>
    </row>
    <row r="40" spans="2:18" s="51" customFormat="1" ht="32.1" customHeight="1">
      <c r="B40" s="1079" t="s">
        <v>539</v>
      </c>
      <c r="C40" s="975"/>
      <c r="D40" s="1079" t="s">
        <v>537</v>
      </c>
      <c r="E40" s="975"/>
      <c r="F40" s="975"/>
      <c r="G40" s="975"/>
      <c r="H40" s="975"/>
      <c r="I40" s="471"/>
      <c r="J40" s="1079" t="s">
        <v>540</v>
      </c>
      <c r="K40" s="1079"/>
      <c r="L40" s="1079"/>
      <c r="M40" s="1079"/>
      <c r="N40" s="1079"/>
      <c r="O40" s="1079"/>
      <c r="P40" s="1079"/>
      <c r="Q40" s="1079"/>
    </row>
    <row r="41" spans="2:18">
      <c r="B41" s="6"/>
      <c r="C41" s="5"/>
      <c r="D41" s="5"/>
      <c r="E41" s="5"/>
      <c r="F41" s="5"/>
      <c r="G41" s="6"/>
      <c r="I41" s="6"/>
      <c r="J41" s="6"/>
      <c r="K41" s="6"/>
      <c r="L41" s="5"/>
      <c r="M41" s="5"/>
      <c r="N41" s="5"/>
      <c r="O41" s="5"/>
      <c r="P41" s="5"/>
      <c r="Q41" s="5"/>
    </row>
    <row r="42" spans="2:18">
      <c r="B42" s="6"/>
      <c r="C42" s="5"/>
      <c r="D42" s="5"/>
      <c r="E42" s="5"/>
      <c r="F42" s="5"/>
      <c r="G42" s="6"/>
      <c r="I42" s="5"/>
      <c r="J42" s="6"/>
      <c r="K42" s="5"/>
      <c r="L42" s="5"/>
      <c r="M42" s="5"/>
      <c r="N42" s="5"/>
      <c r="O42" s="5"/>
      <c r="P42" s="5"/>
      <c r="Q42" s="6"/>
    </row>
    <row r="43" spans="2:18">
      <c r="B43" s="6"/>
      <c r="C43" s="5"/>
      <c r="D43" s="5"/>
      <c r="E43" s="5"/>
      <c r="F43" s="5"/>
      <c r="G43" s="6"/>
      <c r="I43" s="5"/>
      <c r="J43" s="6"/>
      <c r="K43" s="5"/>
      <c r="L43" s="5"/>
      <c r="M43" s="5"/>
      <c r="N43" s="5"/>
      <c r="O43" s="5"/>
      <c r="P43" s="5"/>
      <c r="Q43" s="6"/>
    </row>
    <row r="44" spans="2:18">
      <c r="B44" s="6"/>
      <c r="C44" s="5"/>
      <c r="D44" s="5"/>
      <c r="E44" s="5"/>
      <c r="F44" s="5"/>
      <c r="G44" s="6"/>
      <c r="I44" s="5"/>
      <c r="J44" s="6"/>
      <c r="K44" s="5"/>
      <c r="L44" s="5"/>
      <c r="M44" s="5"/>
      <c r="N44" s="5"/>
      <c r="O44" s="5"/>
      <c r="P44" s="5"/>
      <c r="Q44" s="6"/>
    </row>
    <row r="45" spans="2:18">
      <c r="B45" s="6"/>
      <c r="C45" s="5"/>
      <c r="D45" s="5"/>
      <c r="E45" s="5"/>
      <c r="F45" s="5"/>
      <c r="G45" s="6"/>
      <c r="I45" s="5"/>
      <c r="J45" s="6"/>
      <c r="K45" s="5"/>
      <c r="L45" s="5"/>
      <c r="M45" s="5"/>
      <c r="N45" s="5"/>
      <c r="O45" s="5"/>
      <c r="P45" s="5"/>
      <c r="Q45" s="6"/>
    </row>
    <row r="46" spans="2:18">
      <c r="B46" s="6"/>
      <c r="C46" s="5"/>
      <c r="D46" s="5"/>
      <c r="E46" s="5"/>
      <c r="F46" s="5"/>
      <c r="G46" s="6"/>
      <c r="I46" s="5"/>
      <c r="J46" s="6"/>
      <c r="K46" s="5"/>
      <c r="L46" s="5"/>
      <c r="M46" s="5"/>
      <c r="N46" s="5"/>
      <c r="O46" s="5"/>
      <c r="P46" s="5"/>
      <c r="Q46" s="6"/>
    </row>
    <row r="47" spans="2:18">
      <c r="B47" s="972" t="s">
        <v>29</v>
      </c>
      <c r="C47" s="972"/>
      <c r="D47" s="972" t="s">
        <v>29</v>
      </c>
      <c r="E47" s="972"/>
      <c r="F47" s="972"/>
      <c r="G47" s="972"/>
      <c r="H47" s="972"/>
      <c r="I47" s="5"/>
      <c r="J47" s="972" t="s">
        <v>29</v>
      </c>
      <c r="K47" s="972"/>
      <c r="L47" s="972"/>
      <c r="M47" s="972"/>
      <c r="N47" s="972"/>
      <c r="O47" s="972"/>
      <c r="P47" s="972"/>
      <c r="Q47" s="972"/>
    </row>
    <row r="48" spans="2:18">
      <c r="B48" s="6"/>
      <c r="C48" s="5"/>
      <c r="D48" s="5"/>
      <c r="E48" s="5"/>
      <c r="F48" s="5"/>
      <c r="G48" s="6"/>
      <c r="I48" s="5"/>
      <c r="J48" s="6"/>
      <c r="K48" s="5"/>
      <c r="L48" s="5"/>
      <c r="M48" s="5"/>
      <c r="N48" s="5"/>
      <c r="O48" s="5"/>
      <c r="P48" s="5"/>
      <c r="Q48" s="6"/>
    </row>
    <row r="49" spans="2:17">
      <c r="B49" s="37"/>
      <c r="C49" s="47"/>
      <c r="D49" s="38"/>
      <c r="E49" s="38"/>
      <c r="F49" s="38"/>
      <c r="G49" s="37"/>
      <c r="I49" s="38"/>
      <c r="J49" s="37"/>
      <c r="K49" s="38"/>
      <c r="L49" s="38"/>
      <c r="M49" s="38"/>
      <c r="N49" s="38"/>
      <c r="O49" s="38"/>
      <c r="P49" s="38"/>
      <c r="Q49" s="37"/>
    </row>
    <row r="50" spans="2:17" ht="24" customHeight="1">
      <c r="B50" s="1080"/>
      <c r="C50" s="972"/>
      <c r="D50" s="1080"/>
      <c r="E50" s="972"/>
      <c r="F50" s="972"/>
      <c r="G50" s="972"/>
      <c r="H50" s="972"/>
      <c r="I50" s="245"/>
      <c r="J50" s="972"/>
      <c r="K50" s="972"/>
      <c r="L50" s="972"/>
      <c r="M50" s="972"/>
      <c r="N50" s="245"/>
      <c r="O50" s="1080"/>
      <c r="P50" s="972"/>
      <c r="Q50" s="972"/>
    </row>
    <row r="51" spans="2:17">
      <c r="B51" s="6"/>
      <c r="C51" s="5"/>
      <c r="D51" s="5"/>
      <c r="E51" s="5"/>
      <c r="F51" s="5"/>
      <c r="G51" s="6"/>
      <c r="I51" s="6"/>
      <c r="J51" s="6"/>
      <c r="K51" s="6"/>
      <c r="L51" s="5"/>
      <c r="M51" s="5"/>
      <c r="N51" s="5"/>
      <c r="O51" s="5"/>
      <c r="P51" s="5"/>
      <c r="Q51" s="5"/>
    </row>
    <row r="52" spans="2:17">
      <c r="B52" s="6"/>
      <c r="C52" s="5"/>
      <c r="D52" s="5"/>
      <c r="E52" s="5"/>
      <c r="F52" s="5"/>
      <c r="G52" s="6"/>
      <c r="I52" s="5"/>
      <c r="J52" s="6"/>
      <c r="K52" s="5"/>
      <c r="L52" s="5"/>
      <c r="M52" s="5"/>
      <c r="N52" s="5"/>
      <c r="O52" s="5"/>
      <c r="P52" s="5"/>
      <c r="Q52" s="6"/>
    </row>
    <row r="53" spans="2:17">
      <c r="B53" s="6"/>
      <c r="C53" s="5"/>
      <c r="D53" s="5"/>
      <c r="E53" s="5"/>
      <c r="F53" s="5"/>
      <c r="G53" s="6"/>
      <c r="I53" s="5"/>
      <c r="J53" s="6"/>
      <c r="K53" s="5"/>
      <c r="L53" s="5"/>
      <c r="M53" s="5"/>
      <c r="N53" s="5"/>
      <c r="O53" s="5"/>
      <c r="P53" s="5"/>
      <c r="Q53" s="6"/>
    </row>
    <row r="54" spans="2:17">
      <c r="B54" s="6"/>
      <c r="C54" s="5"/>
      <c r="D54" s="5"/>
      <c r="E54" s="5"/>
      <c r="F54" s="5"/>
      <c r="G54" s="6"/>
      <c r="I54" s="5"/>
      <c r="J54" s="6"/>
      <c r="K54" s="5"/>
      <c r="L54" s="5"/>
      <c r="M54" s="5"/>
      <c r="N54" s="5"/>
      <c r="O54" s="5"/>
      <c r="P54" s="5"/>
      <c r="Q54" s="6"/>
    </row>
    <row r="55" spans="2:17">
      <c r="B55" s="6"/>
      <c r="C55" s="5"/>
      <c r="D55" s="5"/>
      <c r="E55" s="5"/>
      <c r="F55" s="5"/>
      <c r="G55" s="6"/>
      <c r="I55" s="5"/>
      <c r="J55" s="6"/>
      <c r="K55" s="5"/>
      <c r="L55" s="5"/>
      <c r="M55" s="5"/>
      <c r="N55" s="5"/>
      <c r="O55" s="5"/>
      <c r="P55" s="5"/>
      <c r="Q55" s="6"/>
    </row>
    <row r="56" spans="2:17">
      <c r="B56" s="6"/>
      <c r="C56" s="5"/>
      <c r="D56" s="5"/>
      <c r="E56" s="5"/>
      <c r="F56" s="5"/>
      <c r="G56" s="6"/>
      <c r="I56" s="5"/>
      <c r="J56" s="6"/>
      <c r="K56" s="5"/>
      <c r="L56" s="5"/>
      <c r="M56" s="5"/>
      <c r="N56" s="5"/>
      <c r="O56" s="5"/>
      <c r="P56" s="5"/>
      <c r="Q56" s="6"/>
    </row>
    <row r="57" spans="2:17">
      <c r="B57" s="972"/>
      <c r="C57" s="972"/>
      <c r="D57" s="972"/>
      <c r="E57" s="972"/>
      <c r="F57" s="972"/>
      <c r="G57" s="972"/>
      <c r="H57" s="972"/>
      <c r="I57" s="5"/>
      <c r="J57" s="972"/>
      <c r="K57" s="972"/>
      <c r="L57" s="972"/>
      <c r="M57" s="972"/>
      <c r="N57" s="5"/>
      <c r="O57" s="972"/>
      <c r="P57" s="972"/>
      <c r="Q57" s="972"/>
    </row>
    <row r="58" spans="2:17">
      <c r="B58" s="2"/>
    </row>
    <row r="59" spans="2:17">
      <c r="B59" s="2"/>
    </row>
  </sheetData>
  <mergeCells count="86">
    <mergeCell ref="B50:C50"/>
    <mergeCell ref="D50:H50"/>
    <mergeCell ref="J50:M50"/>
    <mergeCell ref="O50:Q50"/>
    <mergeCell ref="B57:C57"/>
    <mergeCell ref="D57:H57"/>
    <mergeCell ref="J57:M57"/>
    <mergeCell ref="O57:Q57"/>
    <mergeCell ref="B40:C40"/>
    <mergeCell ref="D40:H40"/>
    <mergeCell ref="B47:C47"/>
    <mergeCell ref="D47:H47"/>
    <mergeCell ref="J40:Q40"/>
    <mergeCell ref="J47:Q47"/>
    <mergeCell ref="C36:H36"/>
    <mergeCell ref="I36:M36"/>
    <mergeCell ref="N36:O36"/>
    <mergeCell ref="P36:Q36"/>
    <mergeCell ref="C37:H37"/>
    <mergeCell ref="I37:Q37"/>
    <mergeCell ref="C32:H32"/>
    <mergeCell ref="I32:K32"/>
    <mergeCell ref="L32:M32"/>
    <mergeCell ref="O32:Q34"/>
    <mergeCell ref="C33:H33"/>
    <mergeCell ref="I33:K33"/>
    <mergeCell ref="L33:M33"/>
    <mergeCell ref="C34:H34"/>
    <mergeCell ref="I34:K34"/>
    <mergeCell ref="L34:M34"/>
    <mergeCell ref="O31:Q31"/>
    <mergeCell ref="C26:H26"/>
    <mergeCell ref="I26:J26"/>
    <mergeCell ref="C27:H27"/>
    <mergeCell ref="I27:J27"/>
    <mergeCell ref="C28:H28"/>
    <mergeCell ref="I28:J28"/>
    <mergeCell ref="C29:H29"/>
    <mergeCell ref="I29:J29"/>
    <mergeCell ref="C31:H31"/>
    <mergeCell ref="I31:K31"/>
    <mergeCell ref="L31:M31"/>
    <mergeCell ref="O23:O24"/>
    <mergeCell ref="P23:P24"/>
    <mergeCell ref="Q23:Q24"/>
    <mergeCell ref="I24:J24"/>
    <mergeCell ref="C25:H25"/>
    <mergeCell ref="I25:J25"/>
    <mergeCell ref="B23:B24"/>
    <mergeCell ref="C23:H24"/>
    <mergeCell ref="I23:N23"/>
    <mergeCell ref="E18:F18"/>
    <mergeCell ref="G18:H18"/>
    <mergeCell ref="I18:K18"/>
    <mergeCell ref="L18:M18"/>
    <mergeCell ref="E19:F19"/>
    <mergeCell ref="G19:H19"/>
    <mergeCell ref="I19:K19"/>
    <mergeCell ref="L19:M19"/>
    <mergeCell ref="E20:F20"/>
    <mergeCell ref="G20:H20"/>
    <mergeCell ref="I20:K20"/>
    <mergeCell ref="L20:M20"/>
    <mergeCell ref="L22:N22"/>
    <mergeCell ref="I16:K16"/>
    <mergeCell ref="L16:M16"/>
    <mergeCell ref="E17:F17"/>
    <mergeCell ref="G17:H17"/>
    <mergeCell ref="I17:K17"/>
    <mergeCell ref="L17:M17"/>
    <mergeCell ref="E21:F21"/>
    <mergeCell ref="G21:H21"/>
    <mergeCell ref="I21:K21"/>
    <mergeCell ref="L21:M21"/>
    <mergeCell ref="C12:H12"/>
    <mergeCell ref="I12:K12"/>
    <mergeCell ref="L12:M12"/>
    <mergeCell ref="C13:H13"/>
    <mergeCell ref="I13:K13"/>
    <mergeCell ref="L13:M13"/>
    <mergeCell ref="C14:H14"/>
    <mergeCell ref="I14:K14"/>
    <mergeCell ref="L14:M14"/>
    <mergeCell ref="L15:N15"/>
    <mergeCell ref="E16:F16"/>
    <mergeCell ref="G16:H1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R59"/>
  <sheetViews>
    <sheetView showGridLines="0" topLeftCell="A7" zoomScale="114" workbookViewId="0">
      <selection activeCell="I19" sqref="I19:K19"/>
    </sheetView>
  </sheetViews>
  <sheetFormatPr defaultColWidth="8.875" defaultRowHeight="12.75"/>
  <cols>
    <col min="1" max="1" width="1.125" style="1" customWidth="1"/>
    <col min="2" max="2" width="12.875" style="1" bestFit="1" customWidth="1"/>
    <col min="3" max="3" width="35.875" style="1" customWidth="1"/>
    <col min="4" max="4" width="9" style="1" customWidth="1"/>
    <col min="5" max="5" width="10.125" style="1" customWidth="1"/>
    <col min="6" max="6" width="14.5" style="1" customWidth="1"/>
    <col min="7" max="7" width="6.625" style="2" customWidth="1"/>
    <col min="8" max="8" width="20.625" style="2" customWidth="1"/>
    <col min="9" max="9" width="2.5" style="1" customWidth="1"/>
    <col min="10" max="10" width="5.5" style="1" customWidth="1"/>
    <col min="11" max="11" width="7.625" style="1" customWidth="1"/>
    <col min="12" max="12" width="7.5" style="1" customWidth="1"/>
    <col min="13" max="13" width="7.625" style="1" customWidth="1"/>
    <col min="14" max="14" width="13.625" style="1" customWidth="1"/>
    <col min="15" max="16" width="10.125" style="1" customWidth="1"/>
    <col min="17" max="17" width="10.875" style="2" customWidth="1"/>
    <col min="18" max="18" width="11.375" style="1" customWidth="1"/>
    <col min="19" max="19" width="6.875" style="1" customWidth="1"/>
    <col min="20" max="238" width="8.875" style="1"/>
    <col min="239" max="239" width="5" style="1" customWidth="1"/>
    <col min="240" max="240" width="33.375" style="1" customWidth="1"/>
    <col min="241" max="241" width="6.5" style="1" customWidth="1"/>
    <col min="242" max="242" width="29.5" style="1" customWidth="1"/>
    <col min="243" max="243" width="23.625" style="1" customWidth="1"/>
    <col min="244" max="244" width="8" style="1" customWidth="1"/>
    <col min="245" max="245" width="9.125" style="1" customWidth="1"/>
    <col min="246" max="246" width="13.875" style="1" customWidth="1"/>
    <col min="247" max="247" width="13.5" style="1" customWidth="1"/>
    <col min="248" max="494" width="8.875" style="1"/>
    <col min="495" max="495" width="5" style="1" customWidth="1"/>
    <col min="496" max="496" width="33.375" style="1" customWidth="1"/>
    <col min="497" max="497" width="6.5" style="1" customWidth="1"/>
    <col min="498" max="498" width="29.5" style="1" customWidth="1"/>
    <col min="499" max="499" width="23.625" style="1" customWidth="1"/>
    <col min="500" max="500" width="8" style="1" customWidth="1"/>
    <col min="501" max="501" width="9.125" style="1" customWidth="1"/>
    <col min="502" max="502" width="13.875" style="1" customWidth="1"/>
    <col min="503" max="503" width="13.5" style="1" customWidth="1"/>
    <col min="504" max="750" width="8.875" style="1"/>
    <col min="751" max="751" width="5" style="1" customWidth="1"/>
    <col min="752" max="752" width="33.375" style="1" customWidth="1"/>
    <col min="753" max="753" width="6.5" style="1" customWidth="1"/>
    <col min="754" max="754" width="29.5" style="1" customWidth="1"/>
    <col min="755" max="755" width="23.625" style="1" customWidth="1"/>
    <col min="756" max="756" width="8" style="1" customWidth="1"/>
    <col min="757" max="757" width="9.125" style="1" customWidth="1"/>
    <col min="758" max="758" width="13.875" style="1" customWidth="1"/>
    <col min="759" max="759" width="13.5" style="1" customWidth="1"/>
    <col min="760" max="1006" width="8.875" style="1"/>
    <col min="1007" max="1007" width="5" style="1" customWidth="1"/>
    <col min="1008" max="1008" width="33.375" style="1" customWidth="1"/>
    <col min="1009" max="1009" width="6.5" style="1" customWidth="1"/>
    <col min="1010" max="1010" width="29.5" style="1" customWidth="1"/>
    <col min="1011" max="1011" width="23.625" style="1" customWidth="1"/>
    <col min="1012" max="1012" width="8" style="1" customWidth="1"/>
    <col min="1013" max="1013" width="9.125" style="1" customWidth="1"/>
    <col min="1014" max="1014" width="13.875" style="1" customWidth="1"/>
    <col min="1015" max="1015" width="13.5" style="1" customWidth="1"/>
    <col min="1016" max="1262" width="8.875" style="1"/>
    <col min="1263" max="1263" width="5" style="1" customWidth="1"/>
    <col min="1264" max="1264" width="33.375" style="1" customWidth="1"/>
    <col min="1265" max="1265" width="6.5" style="1" customWidth="1"/>
    <col min="1266" max="1266" width="29.5" style="1" customWidth="1"/>
    <col min="1267" max="1267" width="23.625" style="1" customWidth="1"/>
    <col min="1268" max="1268" width="8" style="1" customWidth="1"/>
    <col min="1269" max="1269" width="9.125" style="1" customWidth="1"/>
    <col min="1270" max="1270" width="13.875" style="1" customWidth="1"/>
    <col min="1271" max="1271" width="13.5" style="1" customWidth="1"/>
    <col min="1272" max="1518" width="8.875" style="1"/>
    <col min="1519" max="1519" width="5" style="1" customWidth="1"/>
    <col min="1520" max="1520" width="33.375" style="1" customWidth="1"/>
    <col min="1521" max="1521" width="6.5" style="1" customWidth="1"/>
    <col min="1522" max="1522" width="29.5" style="1" customWidth="1"/>
    <col min="1523" max="1523" width="23.625" style="1" customWidth="1"/>
    <col min="1524" max="1524" width="8" style="1" customWidth="1"/>
    <col min="1525" max="1525" width="9.125" style="1" customWidth="1"/>
    <col min="1526" max="1526" width="13.875" style="1" customWidth="1"/>
    <col min="1527" max="1527" width="13.5" style="1" customWidth="1"/>
    <col min="1528" max="1774" width="8.875" style="1"/>
    <col min="1775" max="1775" width="5" style="1" customWidth="1"/>
    <col min="1776" max="1776" width="33.375" style="1" customWidth="1"/>
    <col min="1777" max="1777" width="6.5" style="1" customWidth="1"/>
    <col min="1778" max="1778" width="29.5" style="1" customWidth="1"/>
    <col min="1779" max="1779" width="23.625" style="1" customWidth="1"/>
    <col min="1780" max="1780" width="8" style="1" customWidth="1"/>
    <col min="1781" max="1781" width="9.125" style="1" customWidth="1"/>
    <col min="1782" max="1782" width="13.875" style="1" customWidth="1"/>
    <col min="1783" max="1783" width="13.5" style="1" customWidth="1"/>
    <col min="1784" max="2030" width="8.875" style="1"/>
    <col min="2031" max="2031" width="5" style="1" customWidth="1"/>
    <col min="2032" max="2032" width="33.375" style="1" customWidth="1"/>
    <col min="2033" max="2033" width="6.5" style="1" customWidth="1"/>
    <col min="2034" max="2034" width="29.5" style="1" customWidth="1"/>
    <col min="2035" max="2035" width="23.625" style="1" customWidth="1"/>
    <col min="2036" max="2036" width="8" style="1" customWidth="1"/>
    <col min="2037" max="2037" width="9.125" style="1" customWidth="1"/>
    <col min="2038" max="2038" width="13.875" style="1" customWidth="1"/>
    <col min="2039" max="2039" width="13.5" style="1" customWidth="1"/>
    <col min="2040" max="2286" width="8.875" style="1"/>
    <col min="2287" max="2287" width="5" style="1" customWidth="1"/>
    <col min="2288" max="2288" width="33.375" style="1" customWidth="1"/>
    <col min="2289" max="2289" width="6.5" style="1" customWidth="1"/>
    <col min="2290" max="2290" width="29.5" style="1" customWidth="1"/>
    <col min="2291" max="2291" width="23.625" style="1" customWidth="1"/>
    <col min="2292" max="2292" width="8" style="1" customWidth="1"/>
    <col min="2293" max="2293" width="9.125" style="1" customWidth="1"/>
    <col min="2294" max="2294" width="13.875" style="1" customWidth="1"/>
    <col min="2295" max="2295" width="13.5" style="1" customWidth="1"/>
    <col min="2296" max="2542" width="8.875" style="1"/>
    <col min="2543" max="2543" width="5" style="1" customWidth="1"/>
    <col min="2544" max="2544" width="33.375" style="1" customWidth="1"/>
    <col min="2545" max="2545" width="6.5" style="1" customWidth="1"/>
    <col min="2546" max="2546" width="29.5" style="1" customWidth="1"/>
    <col min="2547" max="2547" width="23.625" style="1" customWidth="1"/>
    <col min="2548" max="2548" width="8" style="1" customWidth="1"/>
    <col min="2549" max="2549" width="9.125" style="1" customWidth="1"/>
    <col min="2550" max="2550" width="13.875" style="1" customWidth="1"/>
    <col min="2551" max="2551" width="13.5" style="1" customWidth="1"/>
    <col min="2552" max="2798" width="8.875" style="1"/>
    <col min="2799" max="2799" width="5" style="1" customWidth="1"/>
    <col min="2800" max="2800" width="33.375" style="1" customWidth="1"/>
    <col min="2801" max="2801" width="6.5" style="1" customWidth="1"/>
    <col min="2802" max="2802" width="29.5" style="1" customWidth="1"/>
    <col min="2803" max="2803" width="23.625" style="1" customWidth="1"/>
    <col min="2804" max="2804" width="8" style="1" customWidth="1"/>
    <col min="2805" max="2805" width="9.125" style="1" customWidth="1"/>
    <col min="2806" max="2806" width="13.875" style="1" customWidth="1"/>
    <col min="2807" max="2807" width="13.5" style="1" customWidth="1"/>
    <col min="2808" max="3054" width="8.875" style="1"/>
    <col min="3055" max="3055" width="5" style="1" customWidth="1"/>
    <col min="3056" max="3056" width="33.375" style="1" customWidth="1"/>
    <col min="3057" max="3057" width="6.5" style="1" customWidth="1"/>
    <col min="3058" max="3058" width="29.5" style="1" customWidth="1"/>
    <col min="3059" max="3059" width="23.625" style="1" customWidth="1"/>
    <col min="3060" max="3060" width="8" style="1" customWidth="1"/>
    <col min="3061" max="3061" width="9.125" style="1" customWidth="1"/>
    <col min="3062" max="3062" width="13.875" style="1" customWidth="1"/>
    <col min="3063" max="3063" width="13.5" style="1" customWidth="1"/>
    <col min="3064" max="3310" width="8.875" style="1"/>
    <col min="3311" max="3311" width="5" style="1" customWidth="1"/>
    <col min="3312" max="3312" width="33.375" style="1" customWidth="1"/>
    <col min="3313" max="3313" width="6.5" style="1" customWidth="1"/>
    <col min="3314" max="3314" width="29.5" style="1" customWidth="1"/>
    <col min="3315" max="3315" width="23.625" style="1" customWidth="1"/>
    <col min="3316" max="3316" width="8" style="1" customWidth="1"/>
    <col min="3317" max="3317" width="9.125" style="1" customWidth="1"/>
    <col min="3318" max="3318" width="13.875" style="1" customWidth="1"/>
    <col min="3319" max="3319" width="13.5" style="1" customWidth="1"/>
    <col min="3320" max="3566" width="8.875" style="1"/>
    <col min="3567" max="3567" width="5" style="1" customWidth="1"/>
    <col min="3568" max="3568" width="33.375" style="1" customWidth="1"/>
    <col min="3569" max="3569" width="6.5" style="1" customWidth="1"/>
    <col min="3570" max="3570" width="29.5" style="1" customWidth="1"/>
    <col min="3571" max="3571" width="23.625" style="1" customWidth="1"/>
    <col min="3572" max="3572" width="8" style="1" customWidth="1"/>
    <col min="3573" max="3573" width="9.125" style="1" customWidth="1"/>
    <col min="3574" max="3574" width="13.875" style="1" customWidth="1"/>
    <col min="3575" max="3575" width="13.5" style="1" customWidth="1"/>
    <col min="3576" max="3822" width="8.875" style="1"/>
    <col min="3823" max="3823" width="5" style="1" customWidth="1"/>
    <col min="3824" max="3824" width="33.375" style="1" customWidth="1"/>
    <col min="3825" max="3825" width="6.5" style="1" customWidth="1"/>
    <col min="3826" max="3826" width="29.5" style="1" customWidth="1"/>
    <col min="3827" max="3827" width="23.625" style="1" customWidth="1"/>
    <col min="3828" max="3828" width="8" style="1" customWidth="1"/>
    <col min="3829" max="3829" width="9.125" style="1" customWidth="1"/>
    <col min="3830" max="3830" width="13.875" style="1" customWidth="1"/>
    <col min="3831" max="3831" width="13.5" style="1" customWidth="1"/>
    <col min="3832" max="4078" width="8.875" style="1"/>
    <col min="4079" max="4079" width="5" style="1" customWidth="1"/>
    <col min="4080" max="4080" width="33.375" style="1" customWidth="1"/>
    <col min="4081" max="4081" width="6.5" style="1" customWidth="1"/>
    <col min="4082" max="4082" width="29.5" style="1" customWidth="1"/>
    <col min="4083" max="4083" width="23.625" style="1" customWidth="1"/>
    <col min="4084" max="4084" width="8" style="1" customWidth="1"/>
    <col min="4085" max="4085" width="9.125" style="1" customWidth="1"/>
    <col min="4086" max="4086" width="13.875" style="1" customWidth="1"/>
    <col min="4087" max="4087" width="13.5" style="1" customWidth="1"/>
    <col min="4088" max="4334" width="8.875" style="1"/>
    <col min="4335" max="4335" width="5" style="1" customWidth="1"/>
    <col min="4336" max="4336" width="33.375" style="1" customWidth="1"/>
    <col min="4337" max="4337" width="6.5" style="1" customWidth="1"/>
    <col min="4338" max="4338" width="29.5" style="1" customWidth="1"/>
    <col min="4339" max="4339" width="23.625" style="1" customWidth="1"/>
    <col min="4340" max="4340" width="8" style="1" customWidth="1"/>
    <col min="4341" max="4341" width="9.125" style="1" customWidth="1"/>
    <col min="4342" max="4342" width="13.875" style="1" customWidth="1"/>
    <col min="4343" max="4343" width="13.5" style="1" customWidth="1"/>
    <col min="4344" max="4590" width="8.875" style="1"/>
    <col min="4591" max="4591" width="5" style="1" customWidth="1"/>
    <col min="4592" max="4592" width="33.375" style="1" customWidth="1"/>
    <col min="4593" max="4593" width="6.5" style="1" customWidth="1"/>
    <col min="4594" max="4594" width="29.5" style="1" customWidth="1"/>
    <col min="4595" max="4595" width="23.625" style="1" customWidth="1"/>
    <col min="4596" max="4596" width="8" style="1" customWidth="1"/>
    <col min="4597" max="4597" width="9.125" style="1" customWidth="1"/>
    <col min="4598" max="4598" width="13.875" style="1" customWidth="1"/>
    <col min="4599" max="4599" width="13.5" style="1" customWidth="1"/>
    <col min="4600" max="4846" width="8.875" style="1"/>
    <col min="4847" max="4847" width="5" style="1" customWidth="1"/>
    <col min="4848" max="4848" width="33.375" style="1" customWidth="1"/>
    <col min="4849" max="4849" width="6.5" style="1" customWidth="1"/>
    <col min="4850" max="4850" width="29.5" style="1" customWidth="1"/>
    <col min="4851" max="4851" width="23.625" style="1" customWidth="1"/>
    <col min="4852" max="4852" width="8" style="1" customWidth="1"/>
    <col min="4853" max="4853" width="9.125" style="1" customWidth="1"/>
    <col min="4854" max="4854" width="13.875" style="1" customWidth="1"/>
    <col min="4855" max="4855" width="13.5" style="1" customWidth="1"/>
    <col min="4856" max="5102" width="8.875" style="1"/>
    <col min="5103" max="5103" width="5" style="1" customWidth="1"/>
    <col min="5104" max="5104" width="33.375" style="1" customWidth="1"/>
    <col min="5105" max="5105" width="6.5" style="1" customWidth="1"/>
    <col min="5106" max="5106" width="29.5" style="1" customWidth="1"/>
    <col min="5107" max="5107" width="23.625" style="1" customWidth="1"/>
    <col min="5108" max="5108" width="8" style="1" customWidth="1"/>
    <col min="5109" max="5109" width="9.125" style="1" customWidth="1"/>
    <col min="5110" max="5110" width="13.875" style="1" customWidth="1"/>
    <col min="5111" max="5111" width="13.5" style="1" customWidth="1"/>
    <col min="5112" max="5358" width="8.875" style="1"/>
    <col min="5359" max="5359" width="5" style="1" customWidth="1"/>
    <col min="5360" max="5360" width="33.375" style="1" customWidth="1"/>
    <col min="5361" max="5361" width="6.5" style="1" customWidth="1"/>
    <col min="5362" max="5362" width="29.5" style="1" customWidth="1"/>
    <col min="5363" max="5363" width="23.625" style="1" customWidth="1"/>
    <col min="5364" max="5364" width="8" style="1" customWidth="1"/>
    <col min="5365" max="5365" width="9.125" style="1" customWidth="1"/>
    <col min="5366" max="5366" width="13.875" style="1" customWidth="1"/>
    <col min="5367" max="5367" width="13.5" style="1" customWidth="1"/>
    <col min="5368" max="5614" width="8.875" style="1"/>
    <col min="5615" max="5615" width="5" style="1" customWidth="1"/>
    <col min="5616" max="5616" width="33.375" style="1" customWidth="1"/>
    <col min="5617" max="5617" width="6.5" style="1" customWidth="1"/>
    <col min="5618" max="5618" width="29.5" style="1" customWidth="1"/>
    <col min="5619" max="5619" width="23.625" style="1" customWidth="1"/>
    <col min="5620" max="5620" width="8" style="1" customWidth="1"/>
    <col min="5621" max="5621" width="9.125" style="1" customWidth="1"/>
    <col min="5622" max="5622" width="13.875" style="1" customWidth="1"/>
    <col min="5623" max="5623" width="13.5" style="1" customWidth="1"/>
    <col min="5624" max="5870" width="8.875" style="1"/>
    <col min="5871" max="5871" width="5" style="1" customWidth="1"/>
    <col min="5872" max="5872" width="33.375" style="1" customWidth="1"/>
    <col min="5873" max="5873" width="6.5" style="1" customWidth="1"/>
    <col min="5874" max="5874" width="29.5" style="1" customWidth="1"/>
    <col min="5875" max="5875" width="23.625" style="1" customWidth="1"/>
    <col min="5876" max="5876" width="8" style="1" customWidth="1"/>
    <col min="5877" max="5877" width="9.125" style="1" customWidth="1"/>
    <col min="5878" max="5878" width="13.875" style="1" customWidth="1"/>
    <col min="5879" max="5879" width="13.5" style="1" customWidth="1"/>
    <col min="5880" max="6126" width="8.875" style="1"/>
    <col min="6127" max="6127" width="5" style="1" customWidth="1"/>
    <col min="6128" max="6128" width="33.375" style="1" customWidth="1"/>
    <col min="6129" max="6129" width="6.5" style="1" customWidth="1"/>
    <col min="6130" max="6130" width="29.5" style="1" customWidth="1"/>
    <col min="6131" max="6131" width="23.625" style="1" customWidth="1"/>
    <col min="6132" max="6132" width="8" style="1" customWidth="1"/>
    <col min="6133" max="6133" width="9.125" style="1" customWidth="1"/>
    <col min="6134" max="6134" width="13.875" style="1" customWidth="1"/>
    <col min="6135" max="6135" width="13.5" style="1" customWidth="1"/>
    <col min="6136" max="6382" width="8.875" style="1"/>
    <col min="6383" max="6383" width="5" style="1" customWidth="1"/>
    <col min="6384" max="6384" width="33.375" style="1" customWidth="1"/>
    <col min="6385" max="6385" width="6.5" style="1" customWidth="1"/>
    <col min="6386" max="6386" width="29.5" style="1" customWidth="1"/>
    <col min="6387" max="6387" width="23.625" style="1" customWidth="1"/>
    <col min="6388" max="6388" width="8" style="1" customWidth="1"/>
    <col min="6389" max="6389" width="9.125" style="1" customWidth="1"/>
    <col min="6390" max="6390" width="13.875" style="1" customWidth="1"/>
    <col min="6391" max="6391" width="13.5" style="1" customWidth="1"/>
    <col min="6392" max="6638" width="8.875" style="1"/>
    <col min="6639" max="6639" width="5" style="1" customWidth="1"/>
    <col min="6640" max="6640" width="33.375" style="1" customWidth="1"/>
    <col min="6641" max="6641" width="6.5" style="1" customWidth="1"/>
    <col min="6642" max="6642" width="29.5" style="1" customWidth="1"/>
    <col min="6643" max="6643" width="23.625" style="1" customWidth="1"/>
    <col min="6644" max="6644" width="8" style="1" customWidth="1"/>
    <col min="6645" max="6645" width="9.125" style="1" customWidth="1"/>
    <col min="6646" max="6646" width="13.875" style="1" customWidth="1"/>
    <col min="6647" max="6647" width="13.5" style="1" customWidth="1"/>
    <col min="6648" max="6894" width="8.875" style="1"/>
    <col min="6895" max="6895" width="5" style="1" customWidth="1"/>
    <col min="6896" max="6896" width="33.375" style="1" customWidth="1"/>
    <col min="6897" max="6897" width="6.5" style="1" customWidth="1"/>
    <col min="6898" max="6898" width="29.5" style="1" customWidth="1"/>
    <col min="6899" max="6899" width="23.625" style="1" customWidth="1"/>
    <col min="6900" max="6900" width="8" style="1" customWidth="1"/>
    <col min="6901" max="6901" width="9.125" style="1" customWidth="1"/>
    <col min="6902" max="6902" width="13.875" style="1" customWidth="1"/>
    <col min="6903" max="6903" width="13.5" style="1" customWidth="1"/>
    <col min="6904" max="7150" width="8.875" style="1"/>
    <col min="7151" max="7151" width="5" style="1" customWidth="1"/>
    <col min="7152" max="7152" width="33.375" style="1" customWidth="1"/>
    <col min="7153" max="7153" width="6.5" style="1" customWidth="1"/>
    <col min="7154" max="7154" width="29.5" style="1" customWidth="1"/>
    <col min="7155" max="7155" width="23.625" style="1" customWidth="1"/>
    <col min="7156" max="7156" width="8" style="1" customWidth="1"/>
    <col min="7157" max="7157" width="9.125" style="1" customWidth="1"/>
    <col min="7158" max="7158" width="13.875" style="1" customWidth="1"/>
    <col min="7159" max="7159" width="13.5" style="1" customWidth="1"/>
    <col min="7160" max="7406" width="8.875" style="1"/>
    <col min="7407" max="7407" width="5" style="1" customWidth="1"/>
    <col min="7408" max="7408" width="33.375" style="1" customWidth="1"/>
    <col min="7409" max="7409" width="6.5" style="1" customWidth="1"/>
    <col min="7410" max="7410" width="29.5" style="1" customWidth="1"/>
    <col min="7411" max="7411" width="23.625" style="1" customWidth="1"/>
    <col min="7412" max="7412" width="8" style="1" customWidth="1"/>
    <col min="7413" max="7413" width="9.125" style="1" customWidth="1"/>
    <col min="7414" max="7414" width="13.875" style="1" customWidth="1"/>
    <col min="7415" max="7415" width="13.5" style="1" customWidth="1"/>
    <col min="7416" max="7662" width="8.875" style="1"/>
    <col min="7663" max="7663" width="5" style="1" customWidth="1"/>
    <col min="7664" max="7664" width="33.375" style="1" customWidth="1"/>
    <col min="7665" max="7665" width="6.5" style="1" customWidth="1"/>
    <col min="7666" max="7666" width="29.5" style="1" customWidth="1"/>
    <col min="7667" max="7667" width="23.625" style="1" customWidth="1"/>
    <col min="7668" max="7668" width="8" style="1" customWidth="1"/>
    <col min="7669" max="7669" width="9.125" style="1" customWidth="1"/>
    <col min="7670" max="7670" width="13.875" style="1" customWidth="1"/>
    <col min="7671" max="7671" width="13.5" style="1" customWidth="1"/>
    <col min="7672" max="7918" width="8.875" style="1"/>
    <col min="7919" max="7919" width="5" style="1" customWidth="1"/>
    <col min="7920" max="7920" width="33.375" style="1" customWidth="1"/>
    <col min="7921" max="7921" width="6.5" style="1" customWidth="1"/>
    <col min="7922" max="7922" width="29.5" style="1" customWidth="1"/>
    <col min="7923" max="7923" width="23.625" style="1" customWidth="1"/>
    <col min="7924" max="7924" width="8" style="1" customWidth="1"/>
    <col min="7925" max="7925" width="9.125" style="1" customWidth="1"/>
    <col min="7926" max="7926" width="13.875" style="1" customWidth="1"/>
    <col min="7927" max="7927" width="13.5" style="1" customWidth="1"/>
    <col min="7928" max="8174" width="8.875" style="1"/>
    <col min="8175" max="8175" width="5" style="1" customWidth="1"/>
    <col min="8176" max="8176" width="33.375" style="1" customWidth="1"/>
    <col min="8177" max="8177" width="6.5" style="1" customWidth="1"/>
    <col min="8178" max="8178" width="29.5" style="1" customWidth="1"/>
    <col min="8179" max="8179" width="23.625" style="1" customWidth="1"/>
    <col min="8180" max="8180" width="8" style="1" customWidth="1"/>
    <col min="8181" max="8181" width="9.125" style="1" customWidth="1"/>
    <col min="8182" max="8182" width="13.875" style="1" customWidth="1"/>
    <col min="8183" max="8183" width="13.5" style="1" customWidth="1"/>
    <col min="8184" max="8430" width="8.875" style="1"/>
    <col min="8431" max="8431" width="5" style="1" customWidth="1"/>
    <col min="8432" max="8432" width="33.375" style="1" customWidth="1"/>
    <col min="8433" max="8433" width="6.5" style="1" customWidth="1"/>
    <col min="8434" max="8434" width="29.5" style="1" customWidth="1"/>
    <col min="8435" max="8435" width="23.625" style="1" customWidth="1"/>
    <col min="8436" max="8436" width="8" style="1" customWidth="1"/>
    <col min="8437" max="8437" width="9.125" style="1" customWidth="1"/>
    <col min="8438" max="8438" width="13.875" style="1" customWidth="1"/>
    <col min="8439" max="8439" width="13.5" style="1" customWidth="1"/>
    <col min="8440" max="8686" width="8.875" style="1"/>
    <col min="8687" max="8687" width="5" style="1" customWidth="1"/>
    <col min="8688" max="8688" width="33.375" style="1" customWidth="1"/>
    <col min="8689" max="8689" width="6.5" style="1" customWidth="1"/>
    <col min="8690" max="8690" width="29.5" style="1" customWidth="1"/>
    <col min="8691" max="8691" width="23.625" style="1" customWidth="1"/>
    <col min="8692" max="8692" width="8" style="1" customWidth="1"/>
    <col min="8693" max="8693" width="9.125" style="1" customWidth="1"/>
    <col min="8694" max="8694" width="13.875" style="1" customWidth="1"/>
    <col min="8695" max="8695" width="13.5" style="1" customWidth="1"/>
    <col min="8696" max="8942" width="8.875" style="1"/>
    <col min="8943" max="8943" width="5" style="1" customWidth="1"/>
    <col min="8944" max="8944" width="33.375" style="1" customWidth="1"/>
    <col min="8945" max="8945" width="6.5" style="1" customWidth="1"/>
    <col min="8946" max="8946" width="29.5" style="1" customWidth="1"/>
    <col min="8947" max="8947" width="23.625" style="1" customWidth="1"/>
    <col min="8948" max="8948" width="8" style="1" customWidth="1"/>
    <col min="8949" max="8949" width="9.125" style="1" customWidth="1"/>
    <col min="8950" max="8950" width="13.875" style="1" customWidth="1"/>
    <col min="8951" max="8951" width="13.5" style="1" customWidth="1"/>
    <col min="8952" max="9198" width="8.875" style="1"/>
    <col min="9199" max="9199" width="5" style="1" customWidth="1"/>
    <col min="9200" max="9200" width="33.375" style="1" customWidth="1"/>
    <col min="9201" max="9201" width="6.5" style="1" customWidth="1"/>
    <col min="9202" max="9202" width="29.5" style="1" customWidth="1"/>
    <col min="9203" max="9203" width="23.625" style="1" customWidth="1"/>
    <col min="9204" max="9204" width="8" style="1" customWidth="1"/>
    <col min="9205" max="9205" width="9.125" style="1" customWidth="1"/>
    <col min="9206" max="9206" width="13.875" style="1" customWidth="1"/>
    <col min="9207" max="9207" width="13.5" style="1" customWidth="1"/>
    <col min="9208" max="9454" width="8.875" style="1"/>
    <col min="9455" max="9455" width="5" style="1" customWidth="1"/>
    <col min="9456" max="9456" width="33.375" style="1" customWidth="1"/>
    <col min="9457" max="9457" width="6.5" style="1" customWidth="1"/>
    <col min="9458" max="9458" width="29.5" style="1" customWidth="1"/>
    <col min="9459" max="9459" width="23.625" style="1" customWidth="1"/>
    <col min="9460" max="9460" width="8" style="1" customWidth="1"/>
    <col min="9461" max="9461" width="9.125" style="1" customWidth="1"/>
    <col min="9462" max="9462" width="13.875" style="1" customWidth="1"/>
    <col min="9463" max="9463" width="13.5" style="1" customWidth="1"/>
    <col min="9464" max="9710" width="8.875" style="1"/>
    <col min="9711" max="9711" width="5" style="1" customWidth="1"/>
    <col min="9712" max="9712" width="33.375" style="1" customWidth="1"/>
    <col min="9713" max="9713" width="6.5" style="1" customWidth="1"/>
    <col min="9714" max="9714" width="29.5" style="1" customWidth="1"/>
    <col min="9715" max="9715" width="23.625" style="1" customWidth="1"/>
    <col min="9716" max="9716" width="8" style="1" customWidth="1"/>
    <col min="9717" max="9717" width="9.125" style="1" customWidth="1"/>
    <col min="9718" max="9718" width="13.875" style="1" customWidth="1"/>
    <col min="9719" max="9719" width="13.5" style="1" customWidth="1"/>
    <col min="9720" max="9966" width="8.875" style="1"/>
    <col min="9967" max="9967" width="5" style="1" customWidth="1"/>
    <col min="9968" max="9968" width="33.375" style="1" customWidth="1"/>
    <col min="9969" max="9969" width="6.5" style="1" customWidth="1"/>
    <col min="9970" max="9970" width="29.5" style="1" customWidth="1"/>
    <col min="9971" max="9971" width="23.625" style="1" customWidth="1"/>
    <col min="9972" max="9972" width="8" style="1" customWidth="1"/>
    <col min="9973" max="9973" width="9.125" style="1" customWidth="1"/>
    <col min="9974" max="9974" width="13.875" style="1" customWidth="1"/>
    <col min="9975" max="9975" width="13.5" style="1" customWidth="1"/>
    <col min="9976" max="10222" width="8.875" style="1"/>
    <col min="10223" max="10223" width="5" style="1" customWidth="1"/>
    <col min="10224" max="10224" width="33.375" style="1" customWidth="1"/>
    <col min="10225" max="10225" width="6.5" style="1" customWidth="1"/>
    <col min="10226" max="10226" width="29.5" style="1" customWidth="1"/>
    <col min="10227" max="10227" width="23.625" style="1" customWidth="1"/>
    <col min="10228" max="10228" width="8" style="1" customWidth="1"/>
    <col min="10229" max="10229" width="9.125" style="1" customWidth="1"/>
    <col min="10230" max="10230" width="13.875" style="1" customWidth="1"/>
    <col min="10231" max="10231" width="13.5" style="1" customWidth="1"/>
    <col min="10232" max="10478" width="8.875" style="1"/>
    <col min="10479" max="10479" width="5" style="1" customWidth="1"/>
    <col min="10480" max="10480" width="33.375" style="1" customWidth="1"/>
    <col min="10481" max="10481" width="6.5" style="1" customWidth="1"/>
    <col min="10482" max="10482" width="29.5" style="1" customWidth="1"/>
    <col min="10483" max="10483" width="23.625" style="1" customWidth="1"/>
    <col min="10484" max="10484" width="8" style="1" customWidth="1"/>
    <col min="10485" max="10485" width="9.125" style="1" customWidth="1"/>
    <col min="10486" max="10486" width="13.875" style="1" customWidth="1"/>
    <col min="10487" max="10487" width="13.5" style="1" customWidth="1"/>
    <col min="10488" max="10734" width="8.875" style="1"/>
    <col min="10735" max="10735" width="5" style="1" customWidth="1"/>
    <col min="10736" max="10736" width="33.375" style="1" customWidth="1"/>
    <col min="10737" max="10737" width="6.5" style="1" customWidth="1"/>
    <col min="10738" max="10738" width="29.5" style="1" customWidth="1"/>
    <col min="10739" max="10739" width="23.625" style="1" customWidth="1"/>
    <col min="10740" max="10740" width="8" style="1" customWidth="1"/>
    <col min="10741" max="10741" width="9.125" style="1" customWidth="1"/>
    <col min="10742" max="10742" width="13.875" style="1" customWidth="1"/>
    <col min="10743" max="10743" width="13.5" style="1" customWidth="1"/>
    <col min="10744" max="10990" width="8.875" style="1"/>
    <col min="10991" max="10991" width="5" style="1" customWidth="1"/>
    <col min="10992" max="10992" width="33.375" style="1" customWidth="1"/>
    <col min="10993" max="10993" width="6.5" style="1" customWidth="1"/>
    <col min="10994" max="10994" width="29.5" style="1" customWidth="1"/>
    <col min="10995" max="10995" width="23.625" style="1" customWidth="1"/>
    <col min="10996" max="10996" width="8" style="1" customWidth="1"/>
    <col min="10997" max="10997" width="9.125" style="1" customWidth="1"/>
    <col min="10998" max="10998" width="13.875" style="1" customWidth="1"/>
    <col min="10999" max="10999" width="13.5" style="1" customWidth="1"/>
    <col min="11000" max="11246" width="8.875" style="1"/>
    <col min="11247" max="11247" width="5" style="1" customWidth="1"/>
    <col min="11248" max="11248" width="33.375" style="1" customWidth="1"/>
    <col min="11249" max="11249" width="6.5" style="1" customWidth="1"/>
    <col min="11250" max="11250" width="29.5" style="1" customWidth="1"/>
    <col min="11251" max="11251" width="23.625" style="1" customWidth="1"/>
    <col min="11252" max="11252" width="8" style="1" customWidth="1"/>
    <col min="11253" max="11253" width="9.125" style="1" customWidth="1"/>
    <col min="11254" max="11254" width="13.875" style="1" customWidth="1"/>
    <col min="11255" max="11255" width="13.5" style="1" customWidth="1"/>
    <col min="11256" max="11502" width="8.875" style="1"/>
    <col min="11503" max="11503" width="5" style="1" customWidth="1"/>
    <col min="11504" max="11504" width="33.375" style="1" customWidth="1"/>
    <col min="11505" max="11505" width="6.5" style="1" customWidth="1"/>
    <col min="11506" max="11506" width="29.5" style="1" customWidth="1"/>
    <col min="11507" max="11507" width="23.625" style="1" customWidth="1"/>
    <col min="11508" max="11508" width="8" style="1" customWidth="1"/>
    <col min="11509" max="11509" width="9.125" style="1" customWidth="1"/>
    <col min="11510" max="11510" width="13.875" style="1" customWidth="1"/>
    <col min="11511" max="11511" width="13.5" style="1" customWidth="1"/>
    <col min="11512" max="11758" width="8.875" style="1"/>
    <col min="11759" max="11759" width="5" style="1" customWidth="1"/>
    <col min="11760" max="11760" width="33.375" style="1" customWidth="1"/>
    <col min="11761" max="11761" width="6.5" style="1" customWidth="1"/>
    <col min="11762" max="11762" width="29.5" style="1" customWidth="1"/>
    <col min="11763" max="11763" width="23.625" style="1" customWidth="1"/>
    <col min="11764" max="11764" width="8" style="1" customWidth="1"/>
    <col min="11765" max="11765" width="9.125" style="1" customWidth="1"/>
    <col min="11766" max="11766" width="13.875" style="1" customWidth="1"/>
    <col min="11767" max="11767" width="13.5" style="1" customWidth="1"/>
    <col min="11768" max="12014" width="8.875" style="1"/>
    <col min="12015" max="12015" width="5" style="1" customWidth="1"/>
    <col min="12016" max="12016" width="33.375" style="1" customWidth="1"/>
    <col min="12017" max="12017" width="6.5" style="1" customWidth="1"/>
    <col min="12018" max="12018" width="29.5" style="1" customWidth="1"/>
    <col min="12019" max="12019" width="23.625" style="1" customWidth="1"/>
    <col min="12020" max="12020" width="8" style="1" customWidth="1"/>
    <col min="12021" max="12021" width="9.125" style="1" customWidth="1"/>
    <col min="12022" max="12022" width="13.875" style="1" customWidth="1"/>
    <col min="12023" max="12023" width="13.5" style="1" customWidth="1"/>
    <col min="12024" max="12270" width="8.875" style="1"/>
    <col min="12271" max="12271" width="5" style="1" customWidth="1"/>
    <col min="12272" max="12272" width="33.375" style="1" customWidth="1"/>
    <col min="12273" max="12273" width="6.5" style="1" customWidth="1"/>
    <col min="12274" max="12274" width="29.5" style="1" customWidth="1"/>
    <col min="12275" max="12275" width="23.625" style="1" customWidth="1"/>
    <col min="12276" max="12276" width="8" style="1" customWidth="1"/>
    <col min="12277" max="12277" width="9.125" style="1" customWidth="1"/>
    <col min="12278" max="12278" width="13.875" style="1" customWidth="1"/>
    <col min="12279" max="12279" width="13.5" style="1" customWidth="1"/>
    <col min="12280" max="12526" width="8.875" style="1"/>
    <col min="12527" max="12527" width="5" style="1" customWidth="1"/>
    <col min="12528" max="12528" width="33.375" style="1" customWidth="1"/>
    <col min="12529" max="12529" width="6.5" style="1" customWidth="1"/>
    <col min="12530" max="12530" width="29.5" style="1" customWidth="1"/>
    <col min="12531" max="12531" width="23.625" style="1" customWidth="1"/>
    <col min="12532" max="12532" width="8" style="1" customWidth="1"/>
    <col min="12533" max="12533" width="9.125" style="1" customWidth="1"/>
    <col min="12534" max="12534" width="13.875" style="1" customWidth="1"/>
    <col min="12535" max="12535" width="13.5" style="1" customWidth="1"/>
    <col min="12536" max="12782" width="8.875" style="1"/>
    <col min="12783" max="12783" width="5" style="1" customWidth="1"/>
    <col min="12784" max="12784" width="33.375" style="1" customWidth="1"/>
    <col min="12785" max="12785" width="6.5" style="1" customWidth="1"/>
    <col min="12786" max="12786" width="29.5" style="1" customWidth="1"/>
    <col min="12787" max="12787" width="23.625" style="1" customWidth="1"/>
    <col min="12788" max="12788" width="8" style="1" customWidth="1"/>
    <col min="12789" max="12789" width="9.125" style="1" customWidth="1"/>
    <col min="12790" max="12790" width="13.875" style="1" customWidth="1"/>
    <col min="12791" max="12791" width="13.5" style="1" customWidth="1"/>
    <col min="12792" max="13038" width="8.875" style="1"/>
    <col min="13039" max="13039" width="5" style="1" customWidth="1"/>
    <col min="13040" max="13040" width="33.375" style="1" customWidth="1"/>
    <col min="13041" max="13041" width="6.5" style="1" customWidth="1"/>
    <col min="13042" max="13042" width="29.5" style="1" customWidth="1"/>
    <col min="13043" max="13043" width="23.625" style="1" customWidth="1"/>
    <col min="13044" max="13044" width="8" style="1" customWidth="1"/>
    <col min="13045" max="13045" width="9.125" style="1" customWidth="1"/>
    <col min="13046" max="13046" width="13.875" style="1" customWidth="1"/>
    <col min="13047" max="13047" width="13.5" style="1" customWidth="1"/>
    <col min="13048" max="13294" width="8.875" style="1"/>
    <col min="13295" max="13295" width="5" style="1" customWidth="1"/>
    <col min="13296" max="13296" width="33.375" style="1" customWidth="1"/>
    <col min="13297" max="13297" width="6.5" style="1" customWidth="1"/>
    <col min="13298" max="13298" width="29.5" style="1" customWidth="1"/>
    <col min="13299" max="13299" width="23.625" style="1" customWidth="1"/>
    <col min="13300" max="13300" width="8" style="1" customWidth="1"/>
    <col min="13301" max="13301" width="9.125" style="1" customWidth="1"/>
    <col min="13302" max="13302" width="13.875" style="1" customWidth="1"/>
    <col min="13303" max="13303" width="13.5" style="1" customWidth="1"/>
    <col min="13304" max="13550" width="8.875" style="1"/>
    <col min="13551" max="13551" width="5" style="1" customWidth="1"/>
    <col min="13552" max="13552" width="33.375" style="1" customWidth="1"/>
    <col min="13553" max="13553" width="6.5" style="1" customWidth="1"/>
    <col min="13554" max="13554" width="29.5" style="1" customWidth="1"/>
    <col min="13555" max="13555" width="23.625" style="1" customWidth="1"/>
    <col min="13556" max="13556" width="8" style="1" customWidth="1"/>
    <col min="13557" max="13557" width="9.125" style="1" customWidth="1"/>
    <col min="13558" max="13558" width="13.875" style="1" customWidth="1"/>
    <col min="13559" max="13559" width="13.5" style="1" customWidth="1"/>
    <col min="13560" max="13806" width="8.875" style="1"/>
    <col min="13807" max="13807" width="5" style="1" customWidth="1"/>
    <col min="13808" max="13808" width="33.375" style="1" customWidth="1"/>
    <col min="13809" max="13809" width="6.5" style="1" customWidth="1"/>
    <col min="13810" max="13810" width="29.5" style="1" customWidth="1"/>
    <col min="13811" max="13811" width="23.625" style="1" customWidth="1"/>
    <col min="13812" max="13812" width="8" style="1" customWidth="1"/>
    <col min="13813" max="13813" width="9.125" style="1" customWidth="1"/>
    <col min="13814" max="13814" width="13.875" style="1" customWidth="1"/>
    <col min="13815" max="13815" width="13.5" style="1" customWidth="1"/>
    <col min="13816" max="14062" width="8.875" style="1"/>
    <col min="14063" max="14063" width="5" style="1" customWidth="1"/>
    <col min="14064" max="14064" width="33.375" style="1" customWidth="1"/>
    <col min="14065" max="14065" width="6.5" style="1" customWidth="1"/>
    <col min="14066" max="14066" width="29.5" style="1" customWidth="1"/>
    <col min="14067" max="14067" width="23.625" style="1" customWidth="1"/>
    <col min="14068" max="14068" width="8" style="1" customWidth="1"/>
    <col min="14069" max="14069" width="9.125" style="1" customWidth="1"/>
    <col min="14070" max="14070" width="13.875" style="1" customWidth="1"/>
    <col min="14071" max="14071" width="13.5" style="1" customWidth="1"/>
    <col min="14072" max="14318" width="8.875" style="1"/>
    <col min="14319" max="14319" width="5" style="1" customWidth="1"/>
    <col min="14320" max="14320" width="33.375" style="1" customWidth="1"/>
    <col min="14321" max="14321" width="6.5" style="1" customWidth="1"/>
    <col min="14322" max="14322" width="29.5" style="1" customWidth="1"/>
    <col min="14323" max="14323" width="23.625" style="1" customWidth="1"/>
    <col min="14324" max="14324" width="8" style="1" customWidth="1"/>
    <col min="14325" max="14325" width="9.125" style="1" customWidth="1"/>
    <col min="14326" max="14326" width="13.875" style="1" customWidth="1"/>
    <col min="14327" max="14327" width="13.5" style="1" customWidth="1"/>
    <col min="14328" max="14574" width="8.875" style="1"/>
    <col min="14575" max="14575" width="5" style="1" customWidth="1"/>
    <col min="14576" max="14576" width="33.375" style="1" customWidth="1"/>
    <col min="14577" max="14577" width="6.5" style="1" customWidth="1"/>
    <col min="14578" max="14578" width="29.5" style="1" customWidth="1"/>
    <col min="14579" max="14579" width="23.625" style="1" customWidth="1"/>
    <col min="14580" max="14580" width="8" style="1" customWidth="1"/>
    <col min="14581" max="14581" width="9.125" style="1" customWidth="1"/>
    <col min="14582" max="14582" width="13.875" style="1" customWidth="1"/>
    <col min="14583" max="14583" width="13.5" style="1" customWidth="1"/>
    <col min="14584" max="14830" width="8.875" style="1"/>
    <col min="14831" max="14831" width="5" style="1" customWidth="1"/>
    <col min="14832" max="14832" width="33.375" style="1" customWidth="1"/>
    <col min="14833" max="14833" width="6.5" style="1" customWidth="1"/>
    <col min="14834" max="14834" width="29.5" style="1" customWidth="1"/>
    <col min="14835" max="14835" width="23.625" style="1" customWidth="1"/>
    <col min="14836" max="14836" width="8" style="1" customWidth="1"/>
    <col min="14837" max="14837" width="9.125" style="1" customWidth="1"/>
    <col min="14838" max="14838" width="13.875" style="1" customWidth="1"/>
    <col min="14839" max="14839" width="13.5" style="1" customWidth="1"/>
    <col min="14840" max="15086" width="8.875" style="1"/>
    <col min="15087" max="15087" width="5" style="1" customWidth="1"/>
    <col min="15088" max="15088" width="33.375" style="1" customWidth="1"/>
    <col min="15089" max="15089" width="6.5" style="1" customWidth="1"/>
    <col min="15090" max="15090" width="29.5" style="1" customWidth="1"/>
    <col min="15091" max="15091" width="23.625" style="1" customWidth="1"/>
    <col min="15092" max="15092" width="8" style="1" customWidth="1"/>
    <col min="15093" max="15093" width="9.125" style="1" customWidth="1"/>
    <col min="15094" max="15094" width="13.875" style="1" customWidth="1"/>
    <col min="15095" max="15095" width="13.5" style="1" customWidth="1"/>
    <col min="15096" max="15342" width="8.875" style="1"/>
    <col min="15343" max="15343" width="5" style="1" customWidth="1"/>
    <col min="15344" max="15344" width="33.375" style="1" customWidth="1"/>
    <col min="15345" max="15345" width="6.5" style="1" customWidth="1"/>
    <col min="15346" max="15346" width="29.5" style="1" customWidth="1"/>
    <col min="15347" max="15347" width="23.625" style="1" customWidth="1"/>
    <col min="15348" max="15348" width="8" style="1" customWidth="1"/>
    <col min="15349" max="15349" width="9.125" style="1" customWidth="1"/>
    <col min="15350" max="15350" width="13.875" style="1" customWidth="1"/>
    <col min="15351" max="15351" width="13.5" style="1" customWidth="1"/>
    <col min="15352" max="15598" width="8.875" style="1"/>
    <col min="15599" max="15599" width="5" style="1" customWidth="1"/>
    <col min="15600" max="15600" width="33.375" style="1" customWidth="1"/>
    <col min="15601" max="15601" width="6.5" style="1" customWidth="1"/>
    <col min="15602" max="15602" width="29.5" style="1" customWidth="1"/>
    <col min="15603" max="15603" width="23.625" style="1" customWidth="1"/>
    <col min="15604" max="15604" width="8" style="1" customWidth="1"/>
    <col min="15605" max="15605" width="9.125" style="1" customWidth="1"/>
    <col min="15606" max="15606" width="13.875" style="1" customWidth="1"/>
    <col min="15607" max="15607" width="13.5" style="1" customWidth="1"/>
    <col min="15608" max="15854" width="8.875" style="1"/>
    <col min="15855" max="15855" width="5" style="1" customWidth="1"/>
    <col min="15856" max="15856" width="33.375" style="1" customWidth="1"/>
    <col min="15857" max="15857" width="6.5" style="1" customWidth="1"/>
    <col min="15858" max="15858" width="29.5" style="1" customWidth="1"/>
    <col min="15859" max="15859" width="23.625" style="1" customWidth="1"/>
    <col min="15860" max="15860" width="8" style="1" customWidth="1"/>
    <col min="15861" max="15861" width="9.125" style="1" customWidth="1"/>
    <col min="15862" max="15862" width="13.875" style="1" customWidth="1"/>
    <col min="15863" max="15863" width="13.5" style="1" customWidth="1"/>
    <col min="15864" max="16384" width="8.875" style="1"/>
  </cols>
  <sheetData>
    <row r="2" spans="2:18" s="375" customFormat="1">
      <c r="B2" s="374" t="s">
        <v>464</v>
      </c>
      <c r="C2" s="140" t="s">
        <v>132</v>
      </c>
    </row>
    <row r="3" spans="2:18" s="375" customFormat="1">
      <c r="B3" s="374" t="s">
        <v>465</v>
      </c>
      <c r="C3" s="209" t="s">
        <v>255</v>
      </c>
    </row>
    <row r="4" spans="2:18" s="375" customFormat="1">
      <c r="B4" s="374" t="s">
        <v>466</v>
      </c>
      <c r="C4" s="140" t="s">
        <v>133</v>
      </c>
    </row>
    <row r="5" spans="2:18">
      <c r="E5" s="2"/>
      <c r="G5" s="1"/>
      <c r="H5" s="1"/>
      <c r="M5" s="2"/>
      <c r="Q5" s="1"/>
    </row>
    <row r="6" spans="2:18" s="3" customFormat="1" ht="23.1" customHeight="1">
      <c r="B6" s="99" t="s">
        <v>61</v>
      </c>
      <c r="C6" s="376" t="s">
        <v>616</v>
      </c>
      <c r="D6" s="95"/>
      <c r="E6" s="95"/>
      <c r="F6" s="7"/>
      <c r="G6" s="7"/>
      <c r="H6" s="7"/>
      <c r="I6" s="7"/>
      <c r="J6" s="7"/>
      <c r="K6" s="7"/>
      <c r="L6" s="7"/>
      <c r="M6" s="7"/>
    </row>
    <row r="7" spans="2:18" s="3" customFormat="1" ht="3.95" customHeight="1">
      <c r="M7" s="44"/>
    </row>
    <row r="8" spans="2:18" s="3" customFormat="1" ht="20.100000000000001" customHeight="1">
      <c r="B8" s="213" t="s">
        <v>279</v>
      </c>
      <c r="C8" s="213" t="s">
        <v>569</v>
      </c>
      <c r="D8" s="212"/>
      <c r="E8" s="212" t="s">
        <v>405</v>
      </c>
      <c r="F8" s="212" t="s">
        <v>498</v>
      </c>
      <c r="G8" s="212"/>
      <c r="H8" s="212"/>
      <c r="I8" s="31"/>
    </row>
    <row r="9" spans="2:18" s="3" customFormat="1" ht="18.95" customHeight="1">
      <c r="B9" s="213" t="s">
        <v>280</v>
      </c>
      <c r="C9" s="472" t="s">
        <v>570</v>
      </c>
      <c r="D9" s="212"/>
      <c r="E9" s="212" t="s">
        <v>467</v>
      </c>
      <c r="F9" s="211" t="s">
        <v>471</v>
      </c>
      <c r="G9" s="211"/>
      <c r="H9" s="211"/>
      <c r="I9" s="31"/>
    </row>
    <row r="10" spans="2:18" s="3" customFormat="1">
      <c r="M10" s="44"/>
    </row>
    <row r="11" spans="2:18" ht="20.100000000000001" customHeight="1">
      <c r="B11" s="377" t="s">
        <v>21</v>
      </c>
      <c r="C11" s="378" t="s">
        <v>468</v>
      </c>
      <c r="D11" s="379"/>
      <c r="E11" s="380"/>
      <c r="F11" s="380"/>
      <c r="G11" s="381"/>
      <c r="H11" s="381"/>
      <c r="I11" s="380"/>
      <c r="J11" s="380"/>
      <c r="K11" s="380"/>
      <c r="L11" s="382"/>
      <c r="M11" s="382"/>
      <c r="N11" s="382"/>
      <c r="O11" s="383"/>
      <c r="P11" s="384"/>
      <c r="Q11" s="385">
        <f>Q13+Q14</f>
        <v>0</v>
      </c>
    </row>
    <row r="12" spans="2:18" s="4" customFormat="1" ht="27.95" customHeight="1">
      <c r="B12" s="386"/>
      <c r="C12" s="1081" t="s">
        <v>8</v>
      </c>
      <c r="D12" s="1082"/>
      <c r="E12" s="1082"/>
      <c r="F12" s="1082"/>
      <c r="G12" s="1082"/>
      <c r="H12" s="1082"/>
      <c r="I12" s="1083" t="s">
        <v>154</v>
      </c>
      <c r="J12" s="1083"/>
      <c r="K12" s="1083"/>
      <c r="L12" s="1083" t="s">
        <v>174</v>
      </c>
      <c r="M12" s="1083"/>
      <c r="N12" s="388" t="s">
        <v>173</v>
      </c>
      <c r="O12" s="387" t="s">
        <v>32</v>
      </c>
      <c r="P12" s="387" t="s">
        <v>2</v>
      </c>
      <c r="Q12" s="386" t="s">
        <v>20</v>
      </c>
    </row>
    <row r="13" spans="2:18" ht="21" customHeight="1">
      <c r="B13" s="86">
        <v>1</v>
      </c>
      <c r="C13" s="1084" t="s">
        <v>185</v>
      </c>
      <c r="D13" s="1084"/>
      <c r="E13" s="1084"/>
      <c r="F13" s="1084"/>
      <c r="G13" s="1084"/>
      <c r="H13" s="1084"/>
      <c r="I13" s="1085">
        <v>0.4</v>
      </c>
      <c r="J13" s="1085"/>
      <c r="K13" s="1085"/>
      <c r="L13" s="1086">
        <v>1</v>
      </c>
      <c r="M13" s="1086"/>
      <c r="N13" s="390"/>
      <c r="O13" s="390">
        <f>N13/L13</f>
        <v>0</v>
      </c>
      <c r="P13" s="390"/>
      <c r="Q13" s="391">
        <f>I13*O13</f>
        <v>0</v>
      </c>
      <c r="R13" s="69"/>
    </row>
    <row r="14" spans="2:18" ht="21" customHeight="1">
      <c r="B14" s="86">
        <v>2</v>
      </c>
      <c r="C14" s="1087" t="s">
        <v>469</v>
      </c>
      <c r="D14" s="1087"/>
      <c r="E14" s="1087"/>
      <c r="F14" s="1087"/>
      <c r="G14" s="1087"/>
      <c r="H14" s="1087"/>
      <c r="I14" s="1088">
        <v>0.6</v>
      </c>
      <c r="J14" s="1088"/>
      <c r="K14" s="1088"/>
      <c r="L14" s="1089">
        <v>1</v>
      </c>
      <c r="M14" s="1089"/>
      <c r="N14" s="392"/>
      <c r="O14" s="392">
        <f>N14/L14</f>
        <v>0</v>
      </c>
      <c r="P14" s="392"/>
      <c r="Q14" s="391">
        <f>I14*O14</f>
        <v>0</v>
      </c>
      <c r="R14" s="69"/>
    </row>
    <row r="15" spans="2:18" ht="21" customHeight="1">
      <c r="B15" s="377" t="s">
        <v>22</v>
      </c>
      <c r="C15" s="393" t="s">
        <v>54</v>
      </c>
      <c r="D15" s="379"/>
      <c r="E15" s="380"/>
      <c r="F15" s="380"/>
      <c r="G15" s="381"/>
      <c r="H15" s="381"/>
      <c r="I15" s="380"/>
      <c r="J15" s="380"/>
      <c r="K15" s="380"/>
      <c r="L15" s="1090"/>
      <c r="M15" s="1090"/>
      <c r="N15" s="1090"/>
      <c r="O15" s="383"/>
      <c r="P15" s="384"/>
      <c r="Q15" s="394">
        <f>SUM(Q17:Q21)</f>
        <v>0</v>
      </c>
      <c r="R15" s="69"/>
    </row>
    <row r="16" spans="2:18" s="4" customFormat="1" ht="29.1" customHeight="1">
      <c r="B16" s="386"/>
      <c r="C16" s="387" t="s">
        <v>31</v>
      </c>
      <c r="D16" s="387" t="s">
        <v>152</v>
      </c>
      <c r="E16" s="1083" t="s">
        <v>39</v>
      </c>
      <c r="F16" s="1091"/>
      <c r="G16" s="1083" t="s">
        <v>17</v>
      </c>
      <c r="H16" s="1091"/>
      <c r="I16" s="1083" t="s">
        <v>116</v>
      </c>
      <c r="J16" s="1083"/>
      <c r="K16" s="1083"/>
      <c r="L16" s="1083" t="s">
        <v>19</v>
      </c>
      <c r="M16" s="1083"/>
      <c r="N16" s="388" t="s">
        <v>174</v>
      </c>
      <c r="O16" s="387" t="s">
        <v>164</v>
      </c>
      <c r="P16" s="387" t="s">
        <v>32</v>
      </c>
      <c r="Q16" s="386" t="s">
        <v>20</v>
      </c>
    </row>
    <row r="17" spans="2:17" ht="45.95" customHeight="1">
      <c r="B17" s="86">
        <v>1</v>
      </c>
      <c r="C17" s="511" t="s">
        <v>457</v>
      </c>
      <c r="D17" s="348">
        <v>0.2</v>
      </c>
      <c r="E17" s="1084" t="s">
        <v>499</v>
      </c>
      <c r="F17" s="1084"/>
      <c r="G17" s="1092" t="s">
        <v>413</v>
      </c>
      <c r="H17" s="1093"/>
      <c r="I17" s="1094" t="s">
        <v>471</v>
      </c>
      <c r="J17" s="1095"/>
      <c r="K17" s="1096"/>
      <c r="L17" s="1097" t="s">
        <v>414</v>
      </c>
      <c r="M17" s="1097"/>
      <c r="N17" s="364">
        <v>0</v>
      </c>
      <c r="O17" s="364"/>
      <c r="P17" s="365" t="str">
        <f>IF(LEN(O17)=0,"",IF(O17=N17,1,0))</f>
        <v/>
      </c>
      <c r="Q17" s="358" t="str">
        <f t="shared" ref="Q17:Q21" si="0">IFERROR(P17*D17,"")</f>
        <v/>
      </c>
    </row>
    <row r="18" spans="2:17" ht="51" customHeight="1">
      <c r="B18" s="86">
        <v>2</v>
      </c>
      <c r="C18" s="511" t="s">
        <v>458</v>
      </c>
      <c r="D18" s="348">
        <v>0.2</v>
      </c>
      <c r="E18" s="1087" t="s">
        <v>500</v>
      </c>
      <c r="F18" s="1087"/>
      <c r="G18" s="1092" t="s">
        <v>330</v>
      </c>
      <c r="H18" s="1093"/>
      <c r="I18" s="1094" t="s">
        <v>471</v>
      </c>
      <c r="J18" s="1095"/>
      <c r="K18" s="1096"/>
      <c r="L18" s="1097" t="s">
        <v>326</v>
      </c>
      <c r="M18" s="1097"/>
      <c r="N18" s="358">
        <v>1</v>
      </c>
      <c r="O18" s="358"/>
      <c r="P18" s="352" t="str">
        <f>IF(LEN(O18)=0,"",IF(O18&gt;=N18,100%,0%))</f>
        <v/>
      </c>
      <c r="Q18" s="358" t="str">
        <f t="shared" si="0"/>
        <v/>
      </c>
    </row>
    <row r="19" spans="2:17" ht="51" customHeight="1">
      <c r="B19" s="86">
        <v>3</v>
      </c>
      <c r="C19" s="634" t="s">
        <v>460</v>
      </c>
      <c r="D19" s="348">
        <v>0.25</v>
      </c>
      <c r="E19" s="1087" t="s">
        <v>501</v>
      </c>
      <c r="F19" s="1087"/>
      <c r="G19" s="1092" t="s">
        <v>413</v>
      </c>
      <c r="H19" s="1093"/>
      <c r="I19" s="1094" t="s">
        <v>471</v>
      </c>
      <c r="J19" s="1095"/>
      <c r="K19" s="1096"/>
      <c r="L19" s="1097" t="s">
        <v>414</v>
      </c>
      <c r="M19" s="1097"/>
      <c r="N19" s="364">
        <v>0</v>
      </c>
      <c r="O19" s="364"/>
      <c r="P19" s="365" t="str">
        <f>IF(LEN(O19)=0,"",IF(O19=N19,1,0))</f>
        <v/>
      </c>
      <c r="Q19" s="358" t="str">
        <f t="shared" si="0"/>
        <v/>
      </c>
    </row>
    <row r="20" spans="2:17" ht="51" customHeight="1">
      <c r="B20" s="86">
        <v>4</v>
      </c>
      <c r="C20" s="634" t="s">
        <v>459</v>
      </c>
      <c r="D20" s="348">
        <v>0.15</v>
      </c>
      <c r="E20" s="1087" t="s">
        <v>502</v>
      </c>
      <c r="F20" s="1087"/>
      <c r="G20" s="1092" t="s">
        <v>435</v>
      </c>
      <c r="H20" s="1093"/>
      <c r="I20" s="1094" t="s">
        <v>528</v>
      </c>
      <c r="J20" s="1095"/>
      <c r="K20" s="1096"/>
      <c r="L20" s="1097" t="s">
        <v>326</v>
      </c>
      <c r="M20" s="1097"/>
      <c r="N20" s="346">
        <v>1</v>
      </c>
      <c r="O20" s="346"/>
      <c r="P20" s="354" t="str">
        <f>IF(LEN(O20)=0,"",IF(O20&lt;=N20,1,0))</f>
        <v/>
      </c>
      <c r="Q20" s="358" t="str">
        <f t="shared" si="0"/>
        <v/>
      </c>
    </row>
    <row r="21" spans="2:17" ht="48.95" customHeight="1">
      <c r="B21" s="86">
        <v>5</v>
      </c>
      <c r="C21" s="634" t="s">
        <v>461</v>
      </c>
      <c r="D21" s="348">
        <v>0.2</v>
      </c>
      <c r="E21" s="1087" t="s">
        <v>503</v>
      </c>
      <c r="F21" s="1087"/>
      <c r="G21" s="1092" t="s">
        <v>413</v>
      </c>
      <c r="H21" s="1093"/>
      <c r="I21" s="1094" t="s">
        <v>471</v>
      </c>
      <c r="J21" s="1095"/>
      <c r="K21" s="1096"/>
      <c r="L21" s="1097" t="s">
        <v>414</v>
      </c>
      <c r="M21" s="1097"/>
      <c r="N21" s="364">
        <v>0</v>
      </c>
      <c r="O21" s="364"/>
      <c r="P21" s="365" t="str">
        <f>IF(LEN(O21)=0,"",IF(O21=N21,1,0))</f>
        <v/>
      </c>
      <c r="Q21" s="358" t="str">
        <f t="shared" si="0"/>
        <v/>
      </c>
    </row>
    <row r="22" spans="2:17" ht="20.100000000000001" customHeight="1">
      <c r="B22" s="377" t="s">
        <v>40</v>
      </c>
      <c r="C22" s="378" t="s">
        <v>186</v>
      </c>
      <c r="D22" s="379"/>
      <c r="E22" s="380"/>
      <c r="F22" s="380"/>
      <c r="G22" s="381"/>
      <c r="H22" s="381"/>
      <c r="I22" s="380"/>
      <c r="J22" s="380"/>
      <c r="K22" s="380"/>
      <c r="L22" s="1090"/>
      <c r="M22" s="1090"/>
      <c r="N22" s="1090"/>
      <c r="O22" s="383"/>
      <c r="P22" s="384"/>
      <c r="Q22" s="385" t="e">
        <f>SUM(Q25:Q29)/5</f>
        <v>#DIV/0!</v>
      </c>
    </row>
    <row r="23" spans="2:17" s="4" customFormat="1" ht="26.1" customHeight="1">
      <c r="B23" s="1098"/>
      <c r="C23" s="1081" t="s">
        <v>8</v>
      </c>
      <c r="D23" s="1081"/>
      <c r="E23" s="1081"/>
      <c r="F23" s="1081"/>
      <c r="G23" s="1081"/>
      <c r="H23" s="1081"/>
      <c r="I23" s="1100" t="s">
        <v>118</v>
      </c>
      <c r="J23" s="1100"/>
      <c r="K23" s="1100"/>
      <c r="L23" s="1100"/>
      <c r="M23" s="1100"/>
      <c r="N23" s="1100"/>
      <c r="O23" s="1101" t="s">
        <v>123</v>
      </c>
      <c r="P23" s="1100" t="s">
        <v>125</v>
      </c>
      <c r="Q23" s="1098" t="s">
        <v>102</v>
      </c>
    </row>
    <row r="24" spans="2:17" s="4" customFormat="1" ht="39" customHeight="1">
      <c r="B24" s="1098"/>
      <c r="C24" s="1099"/>
      <c r="D24" s="1099"/>
      <c r="E24" s="1099"/>
      <c r="F24" s="1099"/>
      <c r="G24" s="1099"/>
      <c r="H24" s="1099"/>
      <c r="I24" s="1104" t="s">
        <v>119</v>
      </c>
      <c r="J24" s="1104"/>
      <c r="K24" s="398" t="s">
        <v>120</v>
      </c>
      <c r="L24" s="398" t="s">
        <v>153</v>
      </c>
      <c r="M24" s="398" t="s">
        <v>121</v>
      </c>
      <c r="N24" s="398" t="s">
        <v>122</v>
      </c>
      <c r="O24" s="1102"/>
      <c r="P24" s="1103"/>
      <c r="Q24" s="1098"/>
    </row>
    <row r="25" spans="2:17" s="45" customFormat="1" ht="32.1" customHeight="1">
      <c r="B25" s="86">
        <v>1</v>
      </c>
      <c r="C25" s="1105" t="s">
        <v>62</v>
      </c>
      <c r="D25" s="1105"/>
      <c r="E25" s="1105"/>
      <c r="F25" s="1105"/>
      <c r="G25" s="1105"/>
      <c r="H25" s="1105"/>
      <c r="I25" s="1106">
        <v>1</v>
      </c>
      <c r="J25" s="1106"/>
      <c r="K25" s="400">
        <v>2</v>
      </c>
      <c r="L25" s="399">
        <v>3</v>
      </c>
      <c r="M25" s="400">
        <v>4</v>
      </c>
      <c r="N25" s="399">
        <v>5</v>
      </c>
      <c r="O25" s="401"/>
      <c r="P25" s="399"/>
      <c r="Q25" s="391" t="e">
        <f>P25/O25</f>
        <v>#DIV/0!</v>
      </c>
    </row>
    <row r="26" spans="2:17" s="45" customFormat="1" ht="32.1" customHeight="1">
      <c r="B26" s="86">
        <f>B25+1</f>
        <v>2</v>
      </c>
      <c r="C26" s="1105" t="s">
        <v>63</v>
      </c>
      <c r="D26" s="1105"/>
      <c r="E26" s="1105"/>
      <c r="F26" s="1105"/>
      <c r="G26" s="1105"/>
      <c r="H26" s="1105"/>
      <c r="I26" s="1106">
        <v>1</v>
      </c>
      <c r="J26" s="1106"/>
      <c r="K26" s="400">
        <v>2</v>
      </c>
      <c r="L26" s="399">
        <v>3</v>
      </c>
      <c r="M26" s="400">
        <v>4</v>
      </c>
      <c r="N26" s="399">
        <v>5</v>
      </c>
      <c r="O26" s="401"/>
      <c r="P26" s="399"/>
      <c r="Q26" s="391" t="e">
        <f>P26/O26</f>
        <v>#DIV/0!</v>
      </c>
    </row>
    <row r="27" spans="2:17" s="45" customFormat="1" ht="32.1" customHeight="1">
      <c r="B27" s="86">
        <v>3</v>
      </c>
      <c r="C27" s="1105" t="s">
        <v>64</v>
      </c>
      <c r="D27" s="1105"/>
      <c r="E27" s="1105"/>
      <c r="F27" s="1105"/>
      <c r="G27" s="1105"/>
      <c r="H27" s="1105"/>
      <c r="I27" s="1106">
        <v>1</v>
      </c>
      <c r="J27" s="1106"/>
      <c r="K27" s="400">
        <v>2</v>
      </c>
      <c r="L27" s="399">
        <v>3</v>
      </c>
      <c r="M27" s="400">
        <v>4</v>
      </c>
      <c r="N27" s="399">
        <v>5</v>
      </c>
      <c r="O27" s="401"/>
      <c r="P27" s="399"/>
      <c r="Q27" s="391" t="e">
        <f>P27/O27</f>
        <v>#DIV/0!</v>
      </c>
    </row>
    <row r="28" spans="2:17" s="45" customFormat="1" ht="32.1" customHeight="1">
      <c r="B28" s="86">
        <f>B27+1</f>
        <v>4</v>
      </c>
      <c r="C28" s="1105" t="s">
        <v>65</v>
      </c>
      <c r="D28" s="1105"/>
      <c r="E28" s="1105"/>
      <c r="F28" s="1105"/>
      <c r="G28" s="1105"/>
      <c r="H28" s="1105"/>
      <c r="I28" s="1106">
        <v>1</v>
      </c>
      <c r="J28" s="1106"/>
      <c r="K28" s="400">
        <v>2</v>
      </c>
      <c r="L28" s="399">
        <v>3</v>
      </c>
      <c r="M28" s="400">
        <v>4</v>
      </c>
      <c r="N28" s="399">
        <v>5</v>
      </c>
      <c r="O28" s="401"/>
      <c r="P28" s="399"/>
      <c r="Q28" s="391" t="e">
        <f>P28/O28</f>
        <v>#DIV/0!</v>
      </c>
    </row>
    <row r="29" spans="2:17" s="45" customFormat="1" ht="32.1" customHeight="1">
      <c r="B29" s="86">
        <v>5</v>
      </c>
      <c r="C29" s="1107" t="s">
        <v>66</v>
      </c>
      <c r="D29" s="1107"/>
      <c r="E29" s="1107"/>
      <c r="F29" s="1107"/>
      <c r="G29" s="1107"/>
      <c r="H29" s="1107"/>
      <c r="I29" s="1108">
        <v>1</v>
      </c>
      <c r="J29" s="1108"/>
      <c r="K29" s="403">
        <v>2</v>
      </c>
      <c r="L29" s="402">
        <v>3</v>
      </c>
      <c r="M29" s="403">
        <v>4</v>
      </c>
      <c r="N29" s="402">
        <v>5</v>
      </c>
      <c r="O29" s="404"/>
      <c r="P29" s="402"/>
      <c r="Q29" s="391" t="e">
        <f>P29/O29</f>
        <v>#DIV/0!</v>
      </c>
    </row>
    <row r="30" spans="2:17" ht="20.100000000000001" customHeight="1">
      <c r="B30" s="377" t="s">
        <v>41</v>
      </c>
      <c r="C30" s="378" t="s">
        <v>42</v>
      </c>
      <c r="D30" s="379"/>
      <c r="E30" s="380"/>
      <c r="F30" s="380"/>
      <c r="G30" s="381"/>
      <c r="H30" s="381"/>
      <c r="I30" s="380"/>
      <c r="J30" s="380"/>
      <c r="K30" s="380"/>
      <c r="L30" s="382"/>
      <c r="M30" s="382"/>
      <c r="N30" s="382"/>
      <c r="O30" s="383"/>
      <c r="P30" s="384"/>
      <c r="Q30" s="385" t="e">
        <f>SUM(N32:N34)</f>
        <v>#DIV/0!</v>
      </c>
    </row>
    <row r="31" spans="2:17" s="4" customFormat="1" ht="18.95" customHeight="1">
      <c r="B31" s="386"/>
      <c r="C31" s="1082" t="s">
        <v>8</v>
      </c>
      <c r="D31" s="1082"/>
      <c r="E31" s="1082"/>
      <c r="F31" s="1082"/>
      <c r="G31" s="1082"/>
      <c r="H31" s="1082"/>
      <c r="I31" s="1083" t="s">
        <v>43</v>
      </c>
      <c r="J31" s="1083"/>
      <c r="K31" s="1083"/>
      <c r="L31" s="1083" t="s">
        <v>154</v>
      </c>
      <c r="M31" s="1083"/>
      <c r="N31" s="387" t="s">
        <v>67</v>
      </c>
      <c r="O31" s="1083" t="s">
        <v>44</v>
      </c>
      <c r="P31" s="1083"/>
      <c r="Q31" s="1098"/>
    </row>
    <row r="32" spans="2:17" s="45" customFormat="1" ht="21" customHeight="1">
      <c r="B32" s="86">
        <v>1</v>
      </c>
      <c r="C32" s="1109" t="s">
        <v>470</v>
      </c>
      <c r="D32" s="1109"/>
      <c r="E32" s="1109"/>
      <c r="F32" s="1109"/>
      <c r="G32" s="1109"/>
      <c r="H32" s="1109"/>
      <c r="I32" s="1085">
        <f>Q11</f>
        <v>0</v>
      </c>
      <c r="J32" s="1085"/>
      <c r="K32" s="1085"/>
      <c r="L32" s="1110">
        <v>0.2</v>
      </c>
      <c r="M32" s="1110"/>
      <c r="N32" s="390">
        <f>I32*L32</f>
        <v>0</v>
      </c>
      <c r="O32" s="1111" t="e">
        <f>IF(Q30=0,"",IF(Q30&gt;100%,"XUẤT SẮC",IF(Q30&gt;=90%,"TỐT",IF(Q30&gt;=80%,"HOÀN THÀNH","KHÔNG HOÀN THÀNH"))))</f>
        <v>#DIV/0!</v>
      </c>
      <c r="P32" s="1112"/>
      <c r="Q32" s="1112"/>
    </row>
    <row r="33" spans="2:17" s="45" customFormat="1" ht="21" customHeight="1">
      <c r="B33" s="86">
        <f>B32+1</f>
        <v>2</v>
      </c>
      <c r="C33" s="1109" t="s">
        <v>155</v>
      </c>
      <c r="D33" s="1109"/>
      <c r="E33" s="1109"/>
      <c r="F33" s="1109"/>
      <c r="G33" s="1109"/>
      <c r="H33" s="1109"/>
      <c r="I33" s="1085">
        <f>Q15</f>
        <v>0</v>
      </c>
      <c r="J33" s="1085"/>
      <c r="K33" s="1085"/>
      <c r="L33" s="1110">
        <v>0.7</v>
      </c>
      <c r="M33" s="1110"/>
      <c r="N33" s="390">
        <f>I33*L33</f>
        <v>0</v>
      </c>
      <c r="O33" s="1112"/>
      <c r="P33" s="1112"/>
      <c r="Q33" s="1112"/>
    </row>
    <row r="34" spans="2:17" s="45" customFormat="1" ht="21" customHeight="1">
      <c r="B34" s="86">
        <f>B33+1</f>
        <v>3</v>
      </c>
      <c r="C34" s="1114" t="s">
        <v>187</v>
      </c>
      <c r="D34" s="1114"/>
      <c r="E34" s="1114"/>
      <c r="F34" s="1114"/>
      <c r="G34" s="1114"/>
      <c r="H34" s="1114"/>
      <c r="I34" s="1088" t="e">
        <f>Q22</f>
        <v>#DIV/0!</v>
      </c>
      <c r="J34" s="1088"/>
      <c r="K34" s="1088"/>
      <c r="L34" s="1115">
        <v>0.1</v>
      </c>
      <c r="M34" s="1115"/>
      <c r="N34" s="392" t="e">
        <f>I34*L34</f>
        <v>#DIV/0!</v>
      </c>
      <c r="O34" s="1113"/>
      <c r="P34" s="1113"/>
      <c r="Q34" s="1113"/>
    </row>
    <row r="35" spans="2:17" ht="18.95" customHeight="1">
      <c r="B35" s="377" t="s">
        <v>45</v>
      </c>
      <c r="C35" s="393" t="s">
        <v>46</v>
      </c>
      <c r="D35" s="380"/>
      <c r="E35" s="380"/>
      <c r="F35" s="380"/>
      <c r="G35" s="381"/>
      <c r="H35" s="381"/>
      <c r="I35" s="380"/>
      <c r="J35" s="380"/>
      <c r="K35" s="380"/>
      <c r="L35" s="380"/>
      <c r="M35" s="380"/>
      <c r="N35" s="380"/>
      <c r="O35" s="380"/>
      <c r="P35" s="380"/>
      <c r="Q35" s="405"/>
    </row>
    <row r="36" spans="2:17" ht="57.95" customHeight="1">
      <c r="B36" s="406">
        <v>1</v>
      </c>
      <c r="C36" s="1116" t="s">
        <v>47</v>
      </c>
      <c r="D36" s="1116"/>
      <c r="E36" s="1116"/>
      <c r="F36" s="1116"/>
      <c r="G36" s="1116"/>
      <c r="H36" s="1116"/>
      <c r="I36" s="1117" t="s">
        <v>48</v>
      </c>
      <c r="J36" s="1117"/>
      <c r="K36" s="1117"/>
      <c r="L36" s="1117"/>
      <c r="M36" s="1117"/>
      <c r="N36" s="1118" t="s">
        <v>49</v>
      </c>
      <c r="O36" s="1118"/>
      <c r="P36" s="1118" t="s">
        <v>50</v>
      </c>
      <c r="Q36" s="1118"/>
    </row>
    <row r="37" spans="2:17" ht="105" customHeight="1">
      <c r="B37" s="406">
        <v>2</v>
      </c>
      <c r="C37" s="1119" t="s">
        <v>51</v>
      </c>
      <c r="D37" s="1119"/>
      <c r="E37" s="1119"/>
      <c r="F37" s="1119"/>
      <c r="G37" s="1119"/>
      <c r="H37" s="1119"/>
      <c r="I37" s="1120" t="s">
        <v>52</v>
      </c>
      <c r="J37" s="1093"/>
      <c r="K37" s="1093"/>
      <c r="L37" s="1093"/>
      <c r="M37" s="1093"/>
      <c r="N37" s="1093"/>
      <c r="O37" s="1093"/>
      <c r="P37" s="1093"/>
      <c r="Q37" s="1093"/>
    </row>
    <row r="38" spans="2:17">
      <c r="B38" s="5"/>
      <c r="C38" s="5"/>
      <c r="D38" s="5"/>
      <c r="E38" s="5"/>
      <c r="F38" s="5"/>
      <c r="G38" s="6"/>
      <c r="H38" s="6"/>
      <c r="I38" s="5"/>
      <c r="J38" s="5"/>
      <c r="K38" s="5"/>
      <c r="L38" s="5"/>
      <c r="M38" s="5"/>
      <c r="N38" s="5"/>
      <c r="O38" s="5"/>
      <c r="P38" s="5"/>
      <c r="Q38" s="6"/>
    </row>
    <row r="39" spans="2:17" ht="12.95" customHeight="1">
      <c r="B39" s="37"/>
      <c r="C39" s="47"/>
      <c r="D39" s="38"/>
      <c r="E39" s="38"/>
      <c r="F39" s="38"/>
      <c r="G39" s="37"/>
      <c r="H39" s="37"/>
      <c r="I39" s="38"/>
      <c r="J39" s="38"/>
      <c r="K39" s="38"/>
      <c r="L39" s="38"/>
      <c r="M39" s="38"/>
      <c r="N39" s="38"/>
      <c r="O39" s="38"/>
      <c r="P39" s="38"/>
      <c r="Q39" s="37"/>
    </row>
    <row r="40" spans="2:17" s="51" customFormat="1" ht="32.1" customHeight="1">
      <c r="B40" s="1079" t="s">
        <v>539</v>
      </c>
      <c r="C40" s="975"/>
      <c r="D40" s="1079" t="s">
        <v>537</v>
      </c>
      <c r="E40" s="975"/>
      <c r="F40" s="975"/>
      <c r="G40" s="975"/>
      <c r="H40" s="975"/>
      <c r="I40" s="471"/>
      <c r="J40" s="1079" t="s">
        <v>540</v>
      </c>
      <c r="K40" s="1079"/>
      <c r="L40" s="1079"/>
      <c r="M40" s="1079"/>
      <c r="N40" s="1079"/>
      <c r="O40" s="1079"/>
      <c r="P40" s="1079"/>
      <c r="Q40" s="1079"/>
    </row>
    <row r="41" spans="2:17">
      <c r="B41" s="6"/>
      <c r="C41" s="5"/>
      <c r="D41" s="5"/>
      <c r="E41" s="5"/>
      <c r="F41" s="5"/>
      <c r="G41" s="6"/>
      <c r="I41" s="6"/>
      <c r="J41" s="6"/>
      <c r="K41" s="6"/>
      <c r="L41" s="5"/>
      <c r="M41" s="5"/>
      <c r="N41" s="5"/>
      <c r="O41" s="5"/>
      <c r="P41" s="5"/>
      <c r="Q41" s="5"/>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6"/>
      <c r="C45" s="5"/>
      <c r="D45" s="5"/>
      <c r="E45" s="5"/>
      <c r="F45" s="5"/>
      <c r="G45" s="6"/>
      <c r="I45" s="5"/>
      <c r="J45" s="6"/>
      <c r="K45" s="5"/>
      <c r="L45" s="5"/>
      <c r="M45" s="5"/>
      <c r="N45" s="5"/>
      <c r="O45" s="5"/>
      <c r="P45" s="5"/>
      <c r="Q45" s="6"/>
    </row>
    <row r="46" spans="2:17">
      <c r="B46" s="6"/>
      <c r="C46" s="5"/>
      <c r="D46" s="5"/>
      <c r="E46" s="5"/>
      <c r="F46" s="5"/>
      <c r="G46" s="6"/>
      <c r="I46" s="5"/>
      <c r="J46" s="6"/>
      <c r="K46" s="5"/>
      <c r="L46" s="5"/>
      <c r="M46" s="5"/>
      <c r="N46" s="5"/>
      <c r="O46" s="5"/>
      <c r="P46" s="5"/>
      <c r="Q46" s="6"/>
    </row>
    <row r="47" spans="2:17">
      <c r="B47" s="972" t="s">
        <v>29</v>
      </c>
      <c r="C47" s="972"/>
      <c r="D47" s="972" t="s">
        <v>29</v>
      </c>
      <c r="E47" s="972"/>
      <c r="F47" s="972"/>
      <c r="G47" s="972"/>
      <c r="H47" s="972"/>
      <c r="I47" s="5"/>
      <c r="J47" s="972" t="s">
        <v>29</v>
      </c>
      <c r="K47" s="972"/>
      <c r="L47" s="972"/>
      <c r="M47" s="972"/>
      <c r="N47" s="972"/>
      <c r="O47" s="972"/>
      <c r="P47" s="972"/>
      <c r="Q47" s="972"/>
    </row>
    <row r="48" spans="2:17">
      <c r="B48" s="6"/>
      <c r="C48" s="5"/>
      <c r="D48" s="5"/>
      <c r="E48" s="5"/>
      <c r="F48" s="5"/>
      <c r="G48" s="6"/>
      <c r="I48" s="5"/>
      <c r="J48" s="6"/>
      <c r="K48" s="5"/>
      <c r="L48" s="5"/>
      <c r="M48" s="5"/>
      <c r="N48" s="5"/>
      <c r="O48" s="5"/>
      <c r="P48" s="5"/>
      <c r="Q48" s="6"/>
    </row>
    <row r="49" spans="2:17">
      <c r="B49" s="37"/>
      <c r="C49" s="47"/>
      <c r="D49" s="38"/>
      <c r="E49" s="38"/>
      <c r="F49" s="38"/>
      <c r="G49" s="37"/>
      <c r="I49" s="38"/>
      <c r="J49" s="37"/>
      <c r="K49" s="38"/>
      <c r="L49" s="38"/>
      <c r="M49" s="38"/>
      <c r="N49" s="38"/>
      <c r="O49" s="38"/>
      <c r="P49" s="38"/>
      <c r="Q49" s="37"/>
    </row>
    <row r="50" spans="2:17" ht="24" customHeight="1">
      <c r="B50" s="1080"/>
      <c r="C50" s="972"/>
      <c r="D50" s="1080"/>
      <c r="E50" s="972"/>
      <c r="F50" s="972"/>
      <c r="G50" s="972"/>
      <c r="H50" s="972"/>
      <c r="I50" s="245"/>
      <c r="J50" s="972"/>
      <c r="K50" s="972"/>
      <c r="L50" s="972"/>
      <c r="M50" s="972"/>
      <c r="N50" s="245"/>
      <c r="O50" s="1080"/>
      <c r="P50" s="972"/>
      <c r="Q50" s="972"/>
    </row>
    <row r="51" spans="2:17">
      <c r="B51" s="6"/>
      <c r="C51" s="5"/>
      <c r="D51" s="5"/>
      <c r="E51" s="5"/>
      <c r="F51" s="5"/>
      <c r="G51" s="6"/>
      <c r="I51" s="6"/>
      <c r="J51" s="6"/>
      <c r="K51" s="6"/>
      <c r="L51" s="5"/>
      <c r="M51" s="5"/>
      <c r="N51" s="5"/>
      <c r="O51" s="5"/>
      <c r="P51" s="5"/>
      <c r="Q51" s="5"/>
    </row>
    <row r="52" spans="2:17">
      <c r="B52" s="6"/>
      <c r="C52" s="5"/>
      <c r="D52" s="5"/>
      <c r="E52" s="5"/>
      <c r="F52" s="5"/>
      <c r="G52" s="6"/>
      <c r="I52" s="5"/>
      <c r="J52" s="6"/>
      <c r="K52" s="5"/>
      <c r="L52" s="5"/>
      <c r="M52" s="5"/>
      <c r="N52" s="5"/>
      <c r="O52" s="5"/>
      <c r="P52" s="5"/>
      <c r="Q52" s="6"/>
    </row>
    <row r="53" spans="2:17">
      <c r="B53" s="6"/>
      <c r="C53" s="5"/>
      <c r="D53" s="5"/>
      <c r="E53" s="5"/>
      <c r="F53" s="5"/>
      <c r="G53" s="6"/>
      <c r="I53" s="5"/>
      <c r="J53" s="6"/>
      <c r="K53" s="5"/>
      <c r="L53" s="5"/>
      <c r="M53" s="5"/>
      <c r="N53" s="5"/>
      <c r="O53" s="5"/>
      <c r="P53" s="5"/>
      <c r="Q53" s="6"/>
    </row>
    <row r="54" spans="2:17">
      <c r="B54" s="6"/>
      <c r="C54" s="5"/>
      <c r="D54" s="5"/>
      <c r="E54" s="5"/>
      <c r="F54" s="5"/>
      <c r="G54" s="6"/>
      <c r="I54" s="5"/>
      <c r="J54" s="6"/>
      <c r="K54" s="5"/>
      <c r="L54" s="5"/>
      <c r="M54" s="5"/>
      <c r="N54" s="5"/>
      <c r="O54" s="5"/>
      <c r="P54" s="5"/>
      <c r="Q54" s="6"/>
    </row>
    <row r="55" spans="2:17">
      <c r="B55" s="6"/>
      <c r="C55" s="5"/>
      <c r="D55" s="5"/>
      <c r="E55" s="5"/>
      <c r="F55" s="5"/>
      <c r="G55" s="6"/>
      <c r="I55" s="5"/>
      <c r="J55" s="6"/>
      <c r="K55" s="5"/>
      <c r="L55" s="5"/>
      <c r="M55" s="5"/>
      <c r="N55" s="5"/>
      <c r="O55" s="5"/>
      <c r="P55" s="5"/>
      <c r="Q55" s="6"/>
    </row>
    <row r="56" spans="2:17">
      <c r="B56" s="6"/>
      <c r="C56" s="5"/>
      <c r="D56" s="5"/>
      <c r="E56" s="5"/>
      <c r="F56" s="5"/>
      <c r="G56" s="6"/>
      <c r="I56" s="5"/>
      <c r="J56" s="6"/>
      <c r="K56" s="5"/>
      <c r="L56" s="5"/>
      <c r="M56" s="5"/>
      <c r="N56" s="5"/>
      <c r="O56" s="5"/>
      <c r="P56" s="5"/>
      <c r="Q56" s="6"/>
    </row>
    <row r="57" spans="2:17">
      <c r="B57" s="972"/>
      <c r="C57" s="972"/>
      <c r="D57" s="972"/>
      <c r="E57" s="972"/>
      <c r="F57" s="972"/>
      <c r="G57" s="972"/>
      <c r="H57" s="972"/>
      <c r="I57" s="5"/>
      <c r="J57" s="972"/>
      <c r="K57" s="972"/>
      <c r="L57" s="972"/>
      <c r="M57" s="972"/>
      <c r="N57" s="5"/>
      <c r="O57" s="972"/>
      <c r="P57" s="972"/>
      <c r="Q57" s="972"/>
    </row>
    <row r="58" spans="2:17">
      <c r="B58" s="2"/>
    </row>
    <row r="59" spans="2:17">
      <c r="B59" s="2"/>
    </row>
  </sheetData>
  <mergeCells count="86">
    <mergeCell ref="B50:C50"/>
    <mergeCell ref="D50:H50"/>
    <mergeCell ref="J50:M50"/>
    <mergeCell ref="O50:Q50"/>
    <mergeCell ref="B57:C57"/>
    <mergeCell ref="D57:H57"/>
    <mergeCell ref="J57:M57"/>
    <mergeCell ref="O57:Q57"/>
    <mergeCell ref="B40:C40"/>
    <mergeCell ref="D40:H40"/>
    <mergeCell ref="J40:Q40"/>
    <mergeCell ref="B47:C47"/>
    <mergeCell ref="D47:H47"/>
    <mergeCell ref="J47:Q47"/>
    <mergeCell ref="C36:H36"/>
    <mergeCell ref="I36:M36"/>
    <mergeCell ref="N36:O36"/>
    <mergeCell ref="P36:Q36"/>
    <mergeCell ref="C37:H37"/>
    <mergeCell ref="I37:Q37"/>
    <mergeCell ref="C32:H32"/>
    <mergeCell ref="I32:K32"/>
    <mergeCell ref="L32:M32"/>
    <mergeCell ref="O32:Q34"/>
    <mergeCell ref="C33:H33"/>
    <mergeCell ref="I33:K33"/>
    <mergeCell ref="L33:M33"/>
    <mergeCell ref="C34:H34"/>
    <mergeCell ref="I34:K34"/>
    <mergeCell ref="L34:M34"/>
    <mergeCell ref="O31:Q31"/>
    <mergeCell ref="C26:H26"/>
    <mergeCell ref="I26:J26"/>
    <mergeCell ref="C27:H27"/>
    <mergeCell ref="I27:J27"/>
    <mergeCell ref="C28:H28"/>
    <mergeCell ref="I28:J28"/>
    <mergeCell ref="C29:H29"/>
    <mergeCell ref="I29:J29"/>
    <mergeCell ref="C31:H31"/>
    <mergeCell ref="I31:K31"/>
    <mergeCell ref="L31:M31"/>
    <mergeCell ref="O23:O24"/>
    <mergeCell ref="P23:P24"/>
    <mergeCell ref="Q23:Q24"/>
    <mergeCell ref="I24:J24"/>
    <mergeCell ref="C25:H25"/>
    <mergeCell ref="I25:J25"/>
    <mergeCell ref="B23:B24"/>
    <mergeCell ref="C23:H24"/>
    <mergeCell ref="I23:N23"/>
    <mergeCell ref="E19:F19"/>
    <mergeCell ref="G19:H19"/>
    <mergeCell ref="I19:K19"/>
    <mergeCell ref="L19:M19"/>
    <mergeCell ref="E20:F20"/>
    <mergeCell ref="G20:H20"/>
    <mergeCell ref="I20:K20"/>
    <mergeCell ref="L20:M20"/>
    <mergeCell ref="E21:F21"/>
    <mergeCell ref="G21:H21"/>
    <mergeCell ref="I21:K21"/>
    <mergeCell ref="L21:M21"/>
    <mergeCell ref="L22:N22"/>
    <mergeCell ref="E17:F17"/>
    <mergeCell ref="G17:H17"/>
    <mergeCell ref="I17:K17"/>
    <mergeCell ref="L17:M17"/>
    <mergeCell ref="E18:F18"/>
    <mergeCell ref="G18:H18"/>
    <mergeCell ref="I18:K18"/>
    <mergeCell ref="L18:M18"/>
    <mergeCell ref="C14:H14"/>
    <mergeCell ref="I14:K14"/>
    <mergeCell ref="L14:M14"/>
    <mergeCell ref="L15:N15"/>
    <mergeCell ref="E16:F16"/>
    <mergeCell ref="G16:H16"/>
    <mergeCell ref="I16:K16"/>
    <mergeCell ref="L16:M16"/>
    <mergeCell ref="C12:H12"/>
    <mergeCell ref="I12:K12"/>
    <mergeCell ref="L12:M12"/>
    <mergeCell ref="C13:H13"/>
    <mergeCell ref="I13:K13"/>
    <mergeCell ref="L13:M1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R59"/>
  <sheetViews>
    <sheetView showGridLines="0" zoomScale="114" workbookViewId="0">
      <selection activeCell="C25" sqref="C25:H25"/>
    </sheetView>
  </sheetViews>
  <sheetFormatPr defaultColWidth="8.875" defaultRowHeight="12.75"/>
  <cols>
    <col min="1" max="1" width="1.125" style="1" customWidth="1"/>
    <col min="2" max="2" width="12.875" style="1" bestFit="1" customWidth="1"/>
    <col min="3" max="3" width="35.875" style="1" customWidth="1"/>
    <col min="4" max="4" width="9" style="1" customWidth="1"/>
    <col min="5" max="5" width="10.125" style="1" customWidth="1"/>
    <col min="6" max="6" width="14.5" style="1" customWidth="1"/>
    <col min="7" max="7" width="6.625" style="2" customWidth="1"/>
    <col min="8" max="8" width="20.625" style="2" customWidth="1"/>
    <col min="9" max="9" width="2.5" style="1" customWidth="1"/>
    <col min="10" max="10" width="5.5" style="1" customWidth="1"/>
    <col min="11" max="11" width="7.625" style="1" customWidth="1"/>
    <col min="12" max="12" width="7.5" style="1" customWidth="1"/>
    <col min="13" max="13" width="7.625" style="1" customWidth="1"/>
    <col min="14" max="14" width="13.625" style="1" customWidth="1"/>
    <col min="15" max="16" width="10.125" style="1" customWidth="1"/>
    <col min="17" max="17" width="10.875" style="2" customWidth="1"/>
    <col min="18" max="18" width="11.375" style="1" customWidth="1"/>
    <col min="19" max="19" width="6.875" style="1" customWidth="1"/>
    <col min="20" max="238" width="8.875" style="1"/>
    <col min="239" max="239" width="5" style="1" customWidth="1"/>
    <col min="240" max="240" width="33.375" style="1" customWidth="1"/>
    <col min="241" max="241" width="6.5" style="1" customWidth="1"/>
    <col min="242" max="242" width="29.5" style="1" customWidth="1"/>
    <col min="243" max="243" width="23.625" style="1" customWidth="1"/>
    <col min="244" max="244" width="8" style="1" customWidth="1"/>
    <col min="245" max="245" width="9.125" style="1" customWidth="1"/>
    <col min="246" max="246" width="13.875" style="1" customWidth="1"/>
    <col min="247" max="247" width="13.5" style="1" customWidth="1"/>
    <col min="248" max="494" width="8.875" style="1"/>
    <col min="495" max="495" width="5" style="1" customWidth="1"/>
    <col min="496" max="496" width="33.375" style="1" customWidth="1"/>
    <col min="497" max="497" width="6.5" style="1" customWidth="1"/>
    <col min="498" max="498" width="29.5" style="1" customWidth="1"/>
    <col min="499" max="499" width="23.625" style="1" customWidth="1"/>
    <col min="500" max="500" width="8" style="1" customWidth="1"/>
    <col min="501" max="501" width="9.125" style="1" customWidth="1"/>
    <col min="502" max="502" width="13.875" style="1" customWidth="1"/>
    <col min="503" max="503" width="13.5" style="1" customWidth="1"/>
    <col min="504" max="750" width="8.875" style="1"/>
    <col min="751" max="751" width="5" style="1" customWidth="1"/>
    <col min="752" max="752" width="33.375" style="1" customWidth="1"/>
    <col min="753" max="753" width="6.5" style="1" customWidth="1"/>
    <col min="754" max="754" width="29.5" style="1" customWidth="1"/>
    <col min="755" max="755" width="23.625" style="1" customWidth="1"/>
    <col min="756" max="756" width="8" style="1" customWidth="1"/>
    <col min="757" max="757" width="9.125" style="1" customWidth="1"/>
    <col min="758" max="758" width="13.875" style="1" customWidth="1"/>
    <col min="759" max="759" width="13.5" style="1" customWidth="1"/>
    <col min="760" max="1006" width="8.875" style="1"/>
    <col min="1007" max="1007" width="5" style="1" customWidth="1"/>
    <col min="1008" max="1008" width="33.375" style="1" customWidth="1"/>
    <col min="1009" max="1009" width="6.5" style="1" customWidth="1"/>
    <col min="1010" max="1010" width="29.5" style="1" customWidth="1"/>
    <col min="1011" max="1011" width="23.625" style="1" customWidth="1"/>
    <col min="1012" max="1012" width="8" style="1" customWidth="1"/>
    <col min="1013" max="1013" width="9.125" style="1" customWidth="1"/>
    <col min="1014" max="1014" width="13.875" style="1" customWidth="1"/>
    <col min="1015" max="1015" width="13.5" style="1" customWidth="1"/>
    <col min="1016" max="1262" width="8.875" style="1"/>
    <col min="1263" max="1263" width="5" style="1" customWidth="1"/>
    <col min="1264" max="1264" width="33.375" style="1" customWidth="1"/>
    <col min="1265" max="1265" width="6.5" style="1" customWidth="1"/>
    <col min="1266" max="1266" width="29.5" style="1" customWidth="1"/>
    <col min="1267" max="1267" width="23.625" style="1" customWidth="1"/>
    <col min="1268" max="1268" width="8" style="1" customWidth="1"/>
    <col min="1269" max="1269" width="9.125" style="1" customWidth="1"/>
    <col min="1270" max="1270" width="13.875" style="1" customWidth="1"/>
    <col min="1271" max="1271" width="13.5" style="1" customWidth="1"/>
    <col min="1272" max="1518" width="8.875" style="1"/>
    <col min="1519" max="1519" width="5" style="1" customWidth="1"/>
    <col min="1520" max="1520" width="33.375" style="1" customWidth="1"/>
    <col min="1521" max="1521" width="6.5" style="1" customWidth="1"/>
    <col min="1522" max="1522" width="29.5" style="1" customWidth="1"/>
    <col min="1523" max="1523" width="23.625" style="1" customWidth="1"/>
    <col min="1524" max="1524" width="8" style="1" customWidth="1"/>
    <col min="1525" max="1525" width="9.125" style="1" customWidth="1"/>
    <col min="1526" max="1526" width="13.875" style="1" customWidth="1"/>
    <col min="1527" max="1527" width="13.5" style="1" customWidth="1"/>
    <col min="1528" max="1774" width="8.875" style="1"/>
    <col min="1775" max="1775" width="5" style="1" customWidth="1"/>
    <col min="1776" max="1776" width="33.375" style="1" customWidth="1"/>
    <col min="1777" max="1777" width="6.5" style="1" customWidth="1"/>
    <col min="1778" max="1778" width="29.5" style="1" customWidth="1"/>
    <col min="1779" max="1779" width="23.625" style="1" customWidth="1"/>
    <col min="1780" max="1780" width="8" style="1" customWidth="1"/>
    <col min="1781" max="1781" width="9.125" style="1" customWidth="1"/>
    <col min="1782" max="1782" width="13.875" style="1" customWidth="1"/>
    <col min="1783" max="1783" width="13.5" style="1" customWidth="1"/>
    <col min="1784" max="2030" width="8.875" style="1"/>
    <col min="2031" max="2031" width="5" style="1" customWidth="1"/>
    <col min="2032" max="2032" width="33.375" style="1" customWidth="1"/>
    <col min="2033" max="2033" width="6.5" style="1" customWidth="1"/>
    <col min="2034" max="2034" width="29.5" style="1" customWidth="1"/>
    <col min="2035" max="2035" width="23.625" style="1" customWidth="1"/>
    <col min="2036" max="2036" width="8" style="1" customWidth="1"/>
    <col min="2037" max="2037" width="9.125" style="1" customWidth="1"/>
    <col min="2038" max="2038" width="13.875" style="1" customWidth="1"/>
    <col min="2039" max="2039" width="13.5" style="1" customWidth="1"/>
    <col min="2040" max="2286" width="8.875" style="1"/>
    <col min="2287" max="2287" width="5" style="1" customWidth="1"/>
    <col min="2288" max="2288" width="33.375" style="1" customWidth="1"/>
    <col min="2289" max="2289" width="6.5" style="1" customWidth="1"/>
    <col min="2290" max="2290" width="29.5" style="1" customWidth="1"/>
    <col min="2291" max="2291" width="23.625" style="1" customWidth="1"/>
    <col min="2292" max="2292" width="8" style="1" customWidth="1"/>
    <col min="2293" max="2293" width="9.125" style="1" customWidth="1"/>
    <col min="2294" max="2294" width="13.875" style="1" customWidth="1"/>
    <col min="2295" max="2295" width="13.5" style="1" customWidth="1"/>
    <col min="2296" max="2542" width="8.875" style="1"/>
    <col min="2543" max="2543" width="5" style="1" customWidth="1"/>
    <col min="2544" max="2544" width="33.375" style="1" customWidth="1"/>
    <col min="2545" max="2545" width="6.5" style="1" customWidth="1"/>
    <col min="2546" max="2546" width="29.5" style="1" customWidth="1"/>
    <col min="2547" max="2547" width="23.625" style="1" customWidth="1"/>
    <col min="2548" max="2548" width="8" style="1" customWidth="1"/>
    <col min="2549" max="2549" width="9.125" style="1" customWidth="1"/>
    <col min="2550" max="2550" width="13.875" style="1" customWidth="1"/>
    <col min="2551" max="2551" width="13.5" style="1" customWidth="1"/>
    <col min="2552" max="2798" width="8.875" style="1"/>
    <col min="2799" max="2799" width="5" style="1" customWidth="1"/>
    <col min="2800" max="2800" width="33.375" style="1" customWidth="1"/>
    <col min="2801" max="2801" width="6.5" style="1" customWidth="1"/>
    <col min="2802" max="2802" width="29.5" style="1" customWidth="1"/>
    <col min="2803" max="2803" width="23.625" style="1" customWidth="1"/>
    <col min="2804" max="2804" width="8" style="1" customWidth="1"/>
    <col min="2805" max="2805" width="9.125" style="1" customWidth="1"/>
    <col min="2806" max="2806" width="13.875" style="1" customWidth="1"/>
    <col min="2807" max="2807" width="13.5" style="1" customWidth="1"/>
    <col min="2808" max="3054" width="8.875" style="1"/>
    <col min="3055" max="3055" width="5" style="1" customWidth="1"/>
    <col min="3056" max="3056" width="33.375" style="1" customWidth="1"/>
    <col min="3057" max="3057" width="6.5" style="1" customWidth="1"/>
    <col min="3058" max="3058" width="29.5" style="1" customWidth="1"/>
    <col min="3059" max="3059" width="23.625" style="1" customWidth="1"/>
    <col min="3060" max="3060" width="8" style="1" customWidth="1"/>
    <col min="3061" max="3061" width="9.125" style="1" customWidth="1"/>
    <col min="3062" max="3062" width="13.875" style="1" customWidth="1"/>
    <col min="3063" max="3063" width="13.5" style="1" customWidth="1"/>
    <col min="3064" max="3310" width="8.875" style="1"/>
    <col min="3311" max="3311" width="5" style="1" customWidth="1"/>
    <col min="3312" max="3312" width="33.375" style="1" customWidth="1"/>
    <col min="3313" max="3313" width="6.5" style="1" customWidth="1"/>
    <col min="3314" max="3314" width="29.5" style="1" customWidth="1"/>
    <col min="3315" max="3315" width="23.625" style="1" customWidth="1"/>
    <col min="3316" max="3316" width="8" style="1" customWidth="1"/>
    <col min="3317" max="3317" width="9.125" style="1" customWidth="1"/>
    <col min="3318" max="3318" width="13.875" style="1" customWidth="1"/>
    <col min="3319" max="3319" width="13.5" style="1" customWidth="1"/>
    <col min="3320" max="3566" width="8.875" style="1"/>
    <col min="3567" max="3567" width="5" style="1" customWidth="1"/>
    <col min="3568" max="3568" width="33.375" style="1" customWidth="1"/>
    <col min="3569" max="3569" width="6.5" style="1" customWidth="1"/>
    <col min="3570" max="3570" width="29.5" style="1" customWidth="1"/>
    <col min="3571" max="3571" width="23.625" style="1" customWidth="1"/>
    <col min="3572" max="3572" width="8" style="1" customWidth="1"/>
    <col min="3573" max="3573" width="9.125" style="1" customWidth="1"/>
    <col min="3574" max="3574" width="13.875" style="1" customWidth="1"/>
    <col min="3575" max="3575" width="13.5" style="1" customWidth="1"/>
    <col min="3576" max="3822" width="8.875" style="1"/>
    <col min="3823" max="3823" width="5" style="1" customWidth="1"/>
    <col min="3824" max="3824" width="33.375" style="1" customWidth="1"/>
    <col min="3825" max="3825" width="6.5" style="1" customWidth="1"/>
    <col min="3826" max="3826" width="29.5" style="1" customWidth="1"/>
    <col min="3827" max="3827" width="23.625" style="1" customWidth="1"/>
    <col min="3828" max="3828" width="8" style="1" customWidth="1"/>
    <col min="3829" max="3829" width="9.125" style="1" customWidth="1"/>
    <col min="3830" max="3830" width="13.875" style="1" customWidth="1"/>
    <col min="3831" max="3831" width="13.5" style="1" customWidth="1"/>
    <col min="3832" max="4078" width="8.875" style="1"/>
    <col min="4079" max="4079" width="5" style="1" customWidth="1"/>
    <col min="4080" max="4080" width="33.375" style="1" customWidth="1"/>
    <col min="4081" max="4081" width="6.5" style="1" customWidth="1"/>
    <col min="4082" max="4082" width="29.5" style="1" customWidth="1"/>
    <col min="4083" max="4083" width="23.625" style="1" customWidth="1"/>
    <col min="4084" max="4084" width="8" style="1" customWidth="1"/>
    <col min="4085" max="4085" width="9.125" style="1" customWidth="1"/>
    <col min="4086" max="4086" width="13.875" style="1" customWidth="1"/>
    <col min="4087" max="4087" width="13.5" style="1" customWidth="1"/>
    <col min="4088" max="4334" width="8.875" style="1"/>
    <col min="4335" max="4335" width="5" style="1" customWidth="1"/>
    <col min="4336" max="4336" width="33.375" style="1" customWidth="1"/>
    <col min="4337" max="4337" width="6.5" style="1" customWidth="1"/>
    <col min="4338" max="4338" width="29.5" style="1" customWidth="1"/>
    <col min="4339" max="4339" width="23.625" style="1" customWidth="1"/>
    <col min="4340" max="4340" width="8" style="1" customWidth="1"/>
    <col min="4341" max="4341" width="9.125" style="1" customWidth="1"/>
    <col min="4342" max="4342" width="13.875" style="1" customWidth="1"/>
    <col min="4343" max="4343" width="13.5" style="1" customWidth="1"/>
    <col min="4344" max="4590" width="8.875" style="1"/>
    <col min="4591" max="4591" width="5" style="1" customWidth="1"/>
    <col min="4592" max="4592" width="33.375" style="1" customWidth="1"/>
    <col min="4593" max="4593" width="6.5" style="1" customWidth="1"/>
    <col min="4594" max="4594" width="29.5" style="1" customWidth="1"/>
    <col min="4595" max="4595" width="23.625" style="1" customWidth="1"/>
    <col min="4596" max="4596" width="8" style="1" customWidth="1"/>
    <col min="4597" max="4597" width="9.125" style="1" customWidth="1"/>
    <col min="4598" max="4598" width="13.875" style="1" customWidth="1"/>
    <col min="4599" max="4599" width="13.5" style="1" customWidth="1"/>
    <col min="4600" max="4846" width="8.875" style="1"/>
    <col min="4847" max="4847" width="5" style="1" customWidth="1"/>
    <col min="4848" max="4848" width="33.375" style="1" customWidth="1"/>
    <col min="4849" max="4849" width="6.5" style="1" customWidth="1"/>
    <col min="4850" max="4850" width="29.5" style="1" customWidth="1"/>
    <col min="4851" max="4851" width="23.625" style="1" customWidth="1"/>
    <col min="4852" max="4852" width="8" style="1" customWidth="1"/>
    <col min="4853" max="4853" width="9.125" style="1" customWidth="1"/>
    <col min="4854" max="4854" width="13.875" style="1" customWidth="1"/>
    <col min="4855" max="4855" width="13.5" style="1" customWidth="1"/>
    <col min="4856" max="5102" width="8.875" style="1"/>
    <col min="5103" max="5103" width="5" style="1" customWidth="1"/>
    <col min="5104" max="5104" width="33.375" style="1" customWidth="1"/>
    <col min="5105" max="5105" width="6.5" style="1" customWidth="1"/>
    <col min="5106" max="5106" width="29.5" style="1" customWidth="1"/>
    <col min="5107" max="5107" width="23.625" style="1" customWidth="1"/>
    <col min="5108" max="5108" width="8" style="1" customWidth="1"/>
    <col min="5109" max="5109" width="9.125" style="1" customWidth="1"/>
    <col min="5110" max="5110" width="13.875" style="1" customWidth="1"/>
    <col min="5111" max="5111" width="13.5" style="1" customWidth="1"/>
    <col min="5112" max="5358" width="8.875" style="1"/>
    <col min="5359" max="5359" width="5" style="1" customWidth="1"/>
    <col min="5360" max="5360" width="33.375" style="1" customWidth="1"/>
    <col min="5361" max="5361" width="6.5" style="1" customWidth="1"/>
    <col min="5362" max="5362" width="29.5" style="1" customWidth="1"/>
    <col min="5363" max="5363" width="23.625" style="1" customWidth="1"/>
    <col min="5364" max="5364" width="8" style="1" customWidth="1"/>
    <col min="5365" max="5365" width="9.125" style="1" customWidth="1"/>
    <col min="5366" max="5366" width="13.875" style="1" customWidth="1"/>
    <col min="5367" max="5367" width="13.5" style="1" customWidth="1"/>
    <col min="5368" max="5614" width="8.875" style="1"/>
    <col min="5615" max="5615" width="5" style="1" customWidth="1"/>
    <col min="5616" max="5616" width="33.375" style="1" customWidth="1"/>
    <col min="5617" max="5617" width="6.5" style="1" customWidth="1"/>
    <col min="5618" max="5618" width="29.5" style="1" customWidth="1"/>
    <col min="5619" max="5619" width="23.625" style="1" customWidth="1"/>
    <col min="5620" max="5620" width="8" style="1" customWidth="1"/>
    <col min="5621" max="5621" width="9.125" style="1" customWidth="1"/>
    <col min="5622" max="5622" width="13.875" style="1" customWidth="1"/>
    <col min="5623" max="5623" width="13.5" style="1" customWidth="1"/>
    <col min="5624" max="5870" width="8.875" style="1"/>
    <col min="5871" max="5871" width="5" style="1" customWidth="1"/>
    <col min="5872" max="5872" width="33.375" style="1" customWidth="1"/>
    <col min="5873" max="5873" width="6.5" style="1" customWidth="1"/>
    <col min="5874" max="5874" width="29.5" style="1" customWidth="1"/>
    <col min="5875" max="5875" width="23.625" style="1" customWidth="1"/>
    <col min="5876" max="5876" width="8" style="1" customWidth="1"/>
    <col min="5877" max="5877" width="9.125" style="1" customWidth="1"/>
    <col min="5878" max="5878" width="13.875" style="1" customWidth="1"/>
    <col min="5879" max="5879" width="13.5" style="1" customWidth="1"/>
    <col min="5880" max="6126" width="8.875" style="1"/>
    <col min="6127" max="6127" width="5" style="1" customWidth="1"/>
    <col min="6128" max="6128" width="33.375" style="1" customWidth="1"/>
    <col min="6129" max="6129" width="6.5" style="1" customWidth="1"/>
    <col min="6130" max="6130" width="29.5" style="1" customWidth="1"/>
    <col min="6131" max="6131" width="23.625" style="1" customWidth="1"/>
    <col min="6132" max="6132" width="8" style="1" customWidth="1"/>
    <col min="6133" max="6133" width="9.125" style="1" customWidth="1"/>
    <col min="6134" max="6134" width="13.875" style="1" customWidth="1"/>
    <col min="6135" max="6135" width="13.5" style="1" customWidth="1"/>
    <col min="6136" max="6382" width="8.875" style="1"/>
    <col min="6383" max="6383" width="5" style="1" customWidth="1"/>
    <col min="6384" max="6384" width="33.375" style="1" customWidth="1"/>
    <col min="6385" max="6385" width="6.5" style="1" customWidth="1"/>
    <col min="6386" max="6386" width="29.5" style="1" customWidth="1"/>
    <col min="6387" max="6387" width="23.625" style="1" customWidth="1"/>
    <col min="6388" max="6388" width="8" style="1" customWidth="1"/>
    <col min="6389" max="6389" width="9.125" style="1" customWidth="1"/>
    <col min="6390" max="6390" width="13.875" style="1" customWidth="1"/>
    <col min="6391" max="6391" width="13.5" style="1" customWidth="1"/>
    <col min="6392" max="6638" width="8.875" style="1"/>
    <col min="6639" max="6639" width="5" style="1" customWidth="1"/>
    <col min="6640" max="6640" width="33.375" style="1" customWidth="1"/>
    <col min="6641" max="6641" width="6.5" style="1" customWidth="1"/>
    <col min="6642" max="6642" width="29.5" style="1" customWidth="1"/>
    <col min="6643" max="6643" width="23.625" style="1" customWidth="1"/>
    <col min="6644" max="6644" width="8" style="1" customWidth="1"/>
    <col min="6645" max="6645" width="9.125" style="1" customWidth="1"/>
    <col min="6646" max="6646" width="13.875" style="1" customWidth="1"/>
    <col min="6647" max="6647" width="13.5" style="1" customWidth="1"/>
    <col min="6648" max="6894" width="8.875" style="1"/>
    <col min="6895" max="6895" width="5" style="1" customWidth="1"/>
    <col min="6896" max="6896" width="33.375" style="1" customWidth="1"/>
    <col min="6897" max="6897" width="6.5" style="1" customWidth="1"/>
    <col min="6898" max="6898" width="29.5" style="1" customWidth="1"/>
    <col min="6899" max="6899" width="23.625" style="1" customWidth="1"/>
    <col min="6900" max="6900" width="8" style="1" customWidth="1"/>
    <col min="6901" max="6901" width="9.125" style="1" customWidth="1"/>
    <col min="6902" max="6902" width="13.875" style="1" customWidth="1"/>
    <col min="6903" max="6903" width="13.5" style="1" customWidth="1"/>
    <col min="6904" max="7150" width="8.875" style="1"/>
    <col min="7151" max="7151" width="5" style="1" customWidth="1"/>
    <col min="7152" max="7152" width="33.375" style="1" customWidth="1"/>
    <col min="7153" max="7153" width="6.5" style="1" customWidth="1"/>
    <col min="7154" max="7154" width="29.5" style="1" customWidth="1"/>
    <col min="7155" max="7155" width="23.625" style="1" customWidth="1"/>
    <col min="7156" max="7156" width="8" style="1" customWidth="1"/>
    <col min="7157" max="7157" width="9.125" style="1" customWidth="1"/>
    <col min="7158" max="7158" width="13.875" style="1" customWidth="1"/>
    <col min="7159" max="7159" width="13.5" style="1" customWidth="1"/>
    <col min="7160" max="7406" width="8.875" style="1"/>
    <col min="7407" max="7407" width="5" style="1" customWidth="1"/>
    <col min="7408" max="7408" width="33.375" style="1" customWidth="1"/>
    <col min="7409" max="7409" width="6.5" style="1" customWidth="1"/>
    <col min="7410" max="7410" width="29.5" style="1" customWidth="1"/>
    <col min="7411" max="7411" width="23.625" style="1" customWidth="1"/>
    <col min="7412" max="7412" width="8" style="1" customWidth="1"/>
    <col min="7413" max="7413" width="9.125" style="1" customWidth="1"/>
    <col min="7414" max="7414" width="13.875" style="1" customWidth="1"/>
    <col min="7415" max="7415" width="13.5" style="1" customWidth="1"/>
    <col min="7416" max="7662" width="8.875" style="1"/>
    <col min="7663" max="7663" width="5" style="1" customWidth="1"/>
    <col min="7664" max="7664" width="33.375" style="1" customWidth="1"/>
    <col min="7665" max="7665" width="6.5" style="1" customWidth="1"/>
    <col min="7666" max="7666" width="29.5" style="1" customWidth="1"/>
    <col min="7667" max="7667" width="23.625" style="1" customWidth="1"/>
    <col min="7668" max="7668" width="8" style="1" customWidth="1"/>
    <col min="7669" max="7669" width="9.125" style="1" customWidth="1"/>
    <col min="7670" max="7670" width="13.875" style="1" customWidth="1"/>
    <col min="7671" max="7671" width="13.5" style="1" customWidth="1"/>
    <col min="7672" max="7918" width="8.875" style="1"/>
    <col min="7919" max="7919" width="5" style="1" customWidth="1"/>
    <col min="7920" max="7920" width="33.375" style="1" customWidth="1"/>
    <col min="7921" max="7921" width="6.5" style="1" customWidth="1"/>
    <col min="7922" max="7922" width="29.5" style="1" customWidth="1"/>
    <col min="7923" max="7923" width="23.625" style="1" customWidth="1"/>
    <col min="7924" max="7924" width="8" style="1" customWidth="1"/>
    <col min="7925" max="7925" width="9.125" style="1" customWidth="1"/>
    <col min="7926" max="7926" width="13.875" style="1" customWidth="1"/>
    <col min="7927" max="7927" width="13.5" style="1" customWidth="1"/>
    <col min="7928" max="8174" width="8.875" style="1"/>
    <col min="8175" max="8175" width="5" style="1" customWidth="1"/>
    <col min="8176" max="8176" width="33.375" style="1" customWidth="1"/>
    <col min="8177" max="8177" width="6.5" style="1" customWidth="1"/>
    <col min="8178" max="8178" width="29.5" style="1" customWidth="1"/>
    <col min="8179" max="8179" width="23.625" style="1" customWidth="1"/>
    <col min="8180" max="8180" width="8" style="1" customWidth="1"/>
    <col min="8181" max="8181" width="9.125" style="1" customWidth="1"/>
    <col min="8182" max="8182" width="13.875" style="1" customWidth="1"/>
    <col min="8183" max="8183" width="13.5" style="1" customWidth="1"/>
    <col min="8184" max="8430" width="8.875" style="1"/>
    <col min="8431" max="8431" width="5" style="1" customWidth="1"/>
    <col min="8432" max="8432" width="33.375" style="1" customWidth="1"/>
    <col min="8433" max="8433" width="6.5" style="1" customWidth="1"/>
    <col min="8434" max="8434" width="29.5" style="1" customWidth="1"/>
    <col min="8435" max="8435" width="23.625" style="1" customWidth="1"/>
    <col min="8436" max="8436" width="8" style="1" customWidth="1"/>
    <col min="8437" max="8437" width="9.125" style="1" customWidth="1"/>
    <col min="8438" max="8438" width="13.875" style="1" customWidth="1"/>
    <col min="8439" max="8439" width="13.5" style="1" customWidth="1"/>
    <col min="8440" max="8686" width="8.875" style="1"/>
    <col min="8687" max="8687" width="5" style="1" customWidth="1"/>
    <col min="8688" max="8688" width="33.375" style="1" customWidth="1"/>
    <col min="8689" max="8689" width="6.5" style="1" customWidth="1"/>
    <col min="8690" max="8690" width="29.5" style="1" customWidth="1"/>
    <col min="8691" max="8691" width="23.625" style="1" customWidth="1"/>
    <col min="8692" max="8692" width="8" style="1" customWidth="1"/>
    <col min="8693" max="8693" width="9.125" style="1" customWidth="1"/>
    <col min="8694" max="8694" width="13.875" style="1" customWidth="1"/>
    <col min="8695" max="8695" width="13.5" style="1" customWidth="1"/>
    <col min="8696" max="8942" width="8.875" style="1"/>
    <col min="8943" max="8943" width="5" style="1" customWidth="1"/>
    <col min="8944" max="8944" width="33.375" style="1" customWidth="1"/>
    <col min="8945" max="8945" width="6.5" style="1" customWidth="1"/>
    <col min="8946" max="8946" width="29.5" style="1" customWidth="1"/>
    <col min="8947" max="8947" width="23.625" style="1" customWidth="1"/>
    <col min="8948" max="8948" width="8" style="1" customWidth="1"/>
    <col min="8949" max="8949" width="9.125" style="1" customWidth="1"/>
    <col min="8950" max="8950" width="13.875" style="1" customWidth="1"/>
    <col min="8951" max="8951" width="13.5" style="1" customWidth="1"/>
    <col min="8952" max="9198" width="8.875" style="1"/>
    <col min="9199" max="9199" width="5" style="1" customWidth="1"/>
    <col min="9200" max="9200" width="33.375" style="1" customWidth="1"/>
    <col min="9201" max="9201" width="6.5" style="1" customWidth="1"/>
    <col min="9202" max="9202" width="29.5" style="1" customWidth="1"/>
    <col min="9203" max="9203" width="23.625" style="1" customWidth="1"/>
    <col min="9204" max="9204" width="8" style="1" customWidth="1"/>
    <col min="9205" max="9205" width="9.125" style="1" customWidth="1"/>
    <col min="9206" max="9206" width="13.875" style="1" customWidth="1"/>
    <col min="9207" max="9207" width="13.5" style="1" customWidth="1"/>
    <col min="9208" max="9454" width="8.875" style="1"/>
    <col min="9455" max="9455" width="5" style="1" customWidth="1"/>
    <col min="9456" max="9456" width="33.375" style="1" customWidth="1"/>
    <col min="9457" max="9457" width="6.5" style="1" customWidth="1"/>
    <col min="9458" max="9458" width="29.5" style="1" customWidth="1"/>
    <col min="9459" max="9459" width="23.625" style="1" customWidth="1"/>
    <col min="9460" max="9460" width="8" style="1" customWidth="1"/>
    <col min="9461" max="9461" width="9.125" style="1" customWidth="1"/>
    <col min="9462" max="9462" width="13.875" style="1" customWidth="1"/>
    <col min="9463" max="9463" width="13.5" style="1" customWidth="1"/>
    <col min="9464" max="9710" width="8.875" style="1"/>
    <col min="9711" max="9711" width="5" style="1" customWidth="1"/>
    <col min="9712" max="9712" width="33.375" style="1" customWidth="1"/>
    <col min="9713" max="9713" width="6.5" style="1" customWidth="1"/>
    <col min="9714" max="9714" width="29.5" style="1" customWidth="1"/>
    <col min="9715" max="9715" width="23.625" style="1" customWidth="1"/>
    <col min="9716" max="9716" width="8" style="1" customWidth="1"/>
    <col min="9717" max="9717" width="9.125" style="1" customWidth="1"/>
    <col min="9718" max="9718" width="13.875" style="1" customWidth="1"/>
    <col min="9719" max="9719" width="13.5" style="1" customWidth="1"/>
    <col min="9720" max="9966" width="8.875" style="1"/>
    <col min="9967" max="9967" width="5" style="1" customWidth="1"/>
    <col min="9968" max="9968" width="33.375" style="1" customWidth="1"/>
    <col min="9969" max="9969" width="6.5" style="1" customWidth="1"/>
    <col min="9970" max="9970" width="29.5" style="1" customWidth="1"/>
    <col min="9971" max="9971" width="23.625" style="1" customWidth="1"/>
    <col min="9972" max="9972" width="8" style="1" customWidth="1"/>
    <col min="9973" max="9973" width="9.125" style="1" customWidth="1"/>
    <col min="9974" max="9974" width="13.875" style="1" customWidth="1"/>
    <col min="9975" max="9975" width="13.5" style="1" customWidth="1"/>
    <col min="9976" max="10222" width="8.875" style="1"/>
    <col min="10223" max="10223" width="5" style="1" customWidth="1"/>
    <col min="10224" max="10224" width="33.375" style="1" customWidth="1"/>
    <col min="10225" max="10225" width="6.5" style="1" customWidth="1"/>
    <col min="10226" max="10226" width="29.5" style="1" customWidth="1"/>
    <col min="10227" max="10227" width="23.625" style="1" customWidth="1"/>
    <col min="10228" max="10228" width="8" style="1" customWidth="1"/>
    <col min="10229" max="10229" width="9.125" style="1" customWidth="1"/>
    <col min="10230" max="10230" width="13.875" style="1" customWidth="1"/>
    <col min="10231" max="10231" width="13.5" style="1" customWidth="1"/>
    <col min="10232" max="10478" width="8.875" style="1"/>
    <col min="10479" max="10479" width="5" style="1" customWidth="1"/>
    <col min="10480" max="10480" width="33.375" style="1" customWidth="1"/>
    <col min="10481" max="10481" width="6.5" style="1" customWidth="1"/>
    <col min="10482" max="10482" width="29.5" style="1" customWidth="1"/>
    <col min="10483" max="10483" width="23.625" style="1" customWidth="1"/>
    <col min="10484" max="10484" width="8" style="1" customWidth="1"/>
    <col min="10485" max="10485" width="9.125" style="1" customWidth="1"/>
    <col min="10486" max="10486" width="13.875" style="1" customWidth="1"/>
    <col min="10487" max="10487" width="13.5" style="1" customWidth="1"/>
    <col min="10488" max="10734" width="8.875" style="1"/>
    <col min="10735" max="10735" width="5" style="1" customWidth="1"/>
    <col min="10736" max="10736" width="33.375" style="1" customWidth="1"/>
    <col min="10737" max="10737" width="6.5" style="1" customWidth="1"/>
    <col min="10738" max="10738" width="29.5" style="1" customWidth="1"/>
    <col min="10739" max="10739" width="23.625" style="1" customWidth="1"/>
    <col min="10740" max="10740" width="8" style="1" customWidth="1"/>
    <col min="10741" max="10741" width="9.125" style="1" customWidth="1"/>
    <col min="10742" max="10742" width="13.875" style="1" customWidth="1"/>
    <col min="10743" max="10743" width="13.5" style="1" customWidth="1"/>
    <col min="10744" max="10990" width="8.875" style="1"/>
    <col min="10991" max="10991" width="5" style="1" customWidth="1"/>
    <col min="10992" max="10992" width="33.375" style="1" customWidth="1"/>
    <col min="10993" max="10993" width="6.5" style="1" customWidth="1"/>
    <col min="10994" max="10994" width="29.5" style="1" customWidth="1"/>
    <col min="10995" max="10995" width="23.625" style="1" customWidth="1"/>
    <col min="10996" max="10996" width="8" style="1" customWidth="1"/>
    <col min="10997" max="10997" width="9.125" style="1" customWidth="1"/>
    <col min="10998" max="10998" width="13.875" style="1" customWidth="1"/>
    <col min="10999" max="10999" width="13.5" style="1" customWidth="1"/>
    <col min="11000" max="11246" width="8.875" style="1"/>
    <col min="11247" max="11247" width="5" style="1" customWidth="1"/>
    <col min="11248" max="11248" width="33.375" style="1" customWidth="1"/>
    <col min="11249" max="11249" width="6.5" style="1" customWidth="1"/>
    <col min="11250" max="11250" width="29.5" style="1" customWidth="1"/>
    <col min="11251" max="11251" width="23.625" style="1" customWidth="1"/>
    <col min="11252" max="11252" width="8" style="1" customWidth="1"/>
    <col min="11253" max="11253" width="9.125" style="1" customWidth="1"/>
    <col min="11254" max="11254" width="13.875" style="1" customWidth="1"/>
    <col min="11255" max="11255" width="13.5" style="1" customWidth="1"/>
    <col min="11256" max="11502" width="8.875" style="1"/>
    <col min="11503" max="11503" width="5" style="1" customWidth="1"/>
    <col min="11504" max="11504" width="33.375" style="1" customWidth="1"/>
    <col min="11505" max="11505" width="6.5" style="1" customWidth="1"/>
    <col min="11506" max="11506" width="29.5" style="1" customWidth="1"/>
    <col min="11507" max="11507" width="23.625" style="1" customWidth="1"/>
    <col min="11508" max="11508" width="8" style="1" customWidth="1"/>
    <col min="11509" max="11509" width="9.125" style="1" customWidth="1"/>
    <col min="11510" max="11510" width="13.875" style="1" customWidth="1"/>
    <col min="11511" max="11511" width="13.5" style="1" customWidth="1"/>
    <col min="11512" max="11758" width="8.875" style="1"/>
    <col min="11759" max="11759" width="5" style="1" customWidth="1"/>
    <col min="11760" max="11760" width="33.375" style="1" customWidth="1"/>
    <col min="11761" max="11761" width="6.5" style="1" customWidth="1"/>
    <col min="11762" max="11762" width="29.5" style="1" customWidth="1"/>
    <col min="11763" max="11763" width="23.625" style="1" customWidth="1"/>
    <col min="11764" max="11764" width="8" style="1" customWidth="1"/>
    <col min="11765" max="11765" width="9.125" style="1" customWidth="1"/>
    <col min="11766" max="11766" width="13.875" style="1" customWidth="1"/>
    <col min="11767" max="11767" width="13.5" style="1" customWidth="1"/>
    <col min="11768" max="12014" width="8.875" style="1"/>
    <col min="12015" max="12015" width="5" style="1" customWidth="1"/>
    <col min="12016" max="12016" width="33.375" style="1" customWidth="1"/>
    <col min="12017" max="12017" width="6.5" style="1" customWidth="1"/>
    <col min="12018" max="12018" width="29.5" style="1" customWidth="1"/>
    <col min="12019" max="12019" width="23.625" style="1" customWidth="1"/>
    <col min="12020" max="12020" width="8" style="1" customWidth="1"/>
    <col min="12021" max="12021" width="9.125" style="1" customWidth="1"/>
    <col min="12022" max="12022" width="13.875" style="1" customWidth="1"/>
    <col min="12023" max="12023" width="13.5" style="1" customWidth="1"/>
    <col min="12024" max="12270" width="8.875" style="1"/>
    <col min="12271" max="12271" width="5" style="1" customWidth="1"/>
    <col min="12272" max="12272" width="33.375" style="1" customWidth="1"/>
    <col min="12273" max="12273" width="6.5" style="1" customWidth="1"/>
    <col min="12274" max="12274" width="29.5" style="1" customWidth="1"/>
    <col min="12275" max="12275" width="23.625" style="1" customWidth="1"/>
    <col min="12276" max="12276" width="8" style="1" customWidth="1"/>
    <col min="12277" max="12277" width="9.125" style="1" customWidth="1"/>
    <col min="12278" max="12278" width="13.875" style="1" customWidth="1"/>
    <col min="12279" max="12279" width="13.5" style="1" customWidth="1"/>
    <col min="12280" max="12526" width="8.875" style="1"/>
    <col min="12527" max="12527" width="5" style="1" customWidth="1"/>
    <col min="12528" max="12528" width="33.375" style="1" customWidth="1"/>
    <col min="12529" max="12529" width="6.5" style="1" customWidth="1"/>
    <col min="12530" max="12530" width="29.5" style="1" customWidth="1"/>
    <col min="12531" max="12531" width="23.625" style="1" customWidth="1"/>
    <col min="12532" max="12532" width="8" style="1" customWidth="1"/>
    <col min="12533" max="12533" width="9.125" style="1" customWidth="1"/>
    <col min="12534" max="12534" width="13.875" style="1" customWidth="1"/>
    <col min="12535" max="12535" width="13.5" style="1" customWidth="1"/>
    <col min="12536" max="12782" width="8.875" style="1"/>
    <col min="12783" max="12783" width="5" style="1" customWidth="1"/>
    <col min="12784" max="12784" width="33.375" style="1" customWidth="1"/>
    <col min="12785" max="12785" width="6.5" style="1" customWidth="1"/>
    <col min="12786" max="12786" width="29.5" style="1" customWidth="1"/>
    <col min="12787" max="12787" width="23.625" style="1" customWidth="1"/>
    <col min="12788" max="12788" width="8" style="1" customWidth="1"/>
    <col min="12789" max="12789" width="9.125" style="1" customWidth="1"/>
    <col min="12790" max="12790" width="13.875" style="1" customWidth="1"/>
    <col min="12791" max="12791" width="13.5" style="1" customWidth="1"/>
    <col min="12792" max="13038" width="8.875" style="1"/>
    <col min="13039" max="13039" width="5" style="1" customWidth="1"/>
    <col min="13040" max="13040" width="33.375" style="1" customWidth="1"/>
    <col min="13041" max="13041" width="6.5" style="1" customWidth="1"/>
    <col min="13042" max="13042" width="29.5" style="1" customWidth="1"/>
    <col min="13043" max="13043" width="23.625" style="1" customWidth="1"/>
    <col min="13044" max="13044" width="8" style="1" customWidth="1"/>
    <col min="13045" max="13045" width="9.125" style="1" customWidth="1"/>
    <col min="13046" max="13046" width="13.875" style="1" customWidth="1"/>
    <col min="13047" max="13047" width="13.5" style="1" customWidth="1"/>
    <col min="13048" max="13294" width="8.875" style="1"/>
    <col min="13295" max="13295" width="5" style="1" customWidth="1"/>
    <col min="13296" max="13296" width="33.375" style="1" customWidth="1"/>
    <col min="13297" max="13297" width="6.5" style="1" customWidth="1"/>
    <col min="13298" max="13298" width="29.5" style="1" customWidth="1"/>
    <col min="13299" max="13299" width="23.625" style="1" customWidth="1"/>
    <col min="13300" max="13300" width="8" style="1" customWidth="1"/>
    <col min="13301" max="13301" width="9.125" style="1" customWidth="1"/>
    <col min="13302" max="13302" width="13.875" style="1" customWidth="1"/>
    <col min="13303" max="13303" width="13.5" style="1" customWidth="1"/>
    <col min="13304" max="13550" width="8.875" style="1"/>
    <col min="13551" max="13551" width="5" style="1" customWidth="1"/>
    <col min="13552" max="13552" width="33.375" style="1" customWidth="1"/>
    <col min="13553" max="13553" width="6.5" style="1" customWidth="1"/>
    <col min="13554" max="13554" width="29.5" style="1" customWidth="1"/>
    <col min="13555" max="13555" width="23.625" style="1" customWidth="1"/>
    <col min="13556" max="13556" width="8" style="1" customWidth="1"/>
    <col min="13557" max="13557" width="9.125" style="1" customWidth="1"/>
    <col min="13558" max="13558" width="13.875" style="1" customWidth="1"/>
    <col min="13559" max="13559" width="13.5" style="1" customWidth="1"/>
    <col min="13560" max="13806" width="8.875" style="1"/>
    <col min="13807" max="13807" width="5" style="1" customWidth="1"/>
    <col min="13808" max="13808" width="33.375" style="1" customWidth="1"/>
    <col min="13809" max="13809" width="6.5" style="1" customWidth="1"/>
    <col min="13810" max="13810" width="29.5" style="1" customWidth="1"/>
    <col min="13811" max="13811" width="23.625" style="1" customWidth="1"/>
    <col min="13812" max="13812" width="8" style="1" customWidth="1"/>
    <col min="13813" max="13813" width="9.125" style="1" customWidth="1"/>
    <col min="13814" max="13814" width="13.875" style="1" customWidth="1"/>
    <col min="13815" max="13815" width="13.5" style="1" customWidth="1"/>
    <col min="13816" max="14062" width="8.875" style="1"/>
    <col min="14063" max="14063" width="5" style="1" customWidth="1"/>
    <col min="14064" max="14064" width="33.375" style="1" customWidth="1"/>
    <col min="14065" max="14065" width="6.5" style="1" customWidth="1"/>
    <col min="14066" max="14066" width="29.5" style="1" customWidth="1"/>
    <col min="14067" max="14067" width="23.625" style="1" customWidth="1"/>
    <col min="14068" max="14068" width="8" style="1" customWidth="1"/>
    <col min="14069" max="14069" width="9.125" style="1" customWidth="1"/>
    <col min="14070" max="14070" width="13.875" style="1" customWidth="1"/>
    <col min="14071" max="14071" width="13.5" style="1" customWidth="1"/>
    <col min="14072" max="14318" width="8.875" style="1"/>
    <col min="14319" max="14319" width="5" style="1" customWidth="1"/>
    <col min="14320" max="14320" width="33.375" style="1" customWidth="1"/>
    <col min="14321" max="14321" width="6.5" style="1" customWidth="1"/>
    <col min="14322" max="14322" width="29.5" style="1" customWidth="1"/>
    <col min="14323" max="14323" width="23.625" style="1" customWidth="1"/>
    <col min="14324" max="14324" width="8" style="1" customWidth="1"/>
    <col min="14325" max="14325" width="9.125" style="1" customWidth="1"/>
    <col min="14326" max="14326" width="13.875" style="1" customWidth="1"/>
    <col min="14327" max="14327" width="13.5" style="1" customWidth="1"/>
    <col min="14328" max="14574" width="8.875" style="1"/>
    <col min="14575" max="14575" width="5" style="1" customWidth="1"/>
    <col min="14576" max="14576" width="33.375" style="1" customWidth="1"/>
    <col min="14577" max="14577" width="6.5" style="1" customWidth="1"/>
    <col min="14578" max="14578" width="29.5" style="1" customWidth="1"/>
    <col min="14579" max="14579" width="23.625" style="1" customWidth="1"/>
    <col min="14580" max="14580" width="8" style="1" customWidth="1"/>
    <col min="14581" max="14581" width="9.125" style="1" customWidth="1"/>
    <col min="14582" max="14582" width="13.875" style="1" customWidth="1"/>
    <col min="14583" max="14583" width="13.5" style="1" customWidth="1"/>
    <col min="14584" max="14830" width="8.875" style="1"/>
    <col min="14831" max="14831" width="5" style="1" customWidth="1"/>
    <col min="14832" max="14832" width="33.375" style="1" customWidth="1"/>
    <col min="14833" max="14833" width="6.5" style="1" customWidth="1"/>
    <col min="14834" max="14834" width="29.5" style="1" customWidth="1"/>
    <col min="14835" max="14835" width="23.625" style="1" customWidth="1"/>
    <col min="14836" max="14836" width="8" style="1" customWidth="1"/>
    <col min="14837" max="14837" width="9.125" style="1" customWidth="1"/>
    <col min="14838" max="14838" width="13.875" style="1" customWidth="1"/>
    <col min="14839" max="14839" width="13.5" style="1" customWidth="1"/>
    <col min="14840" max="15086" width="8.875" style="1"/>
    <col min="15087" max="15087" width="5" style="1" customWidth="1"/>
    <col min="15088" max="15088" width="33.375" style="1" customWidth="1"/>
    <col min="15089" max="15089" width="6.5" style="1" customWidth="1"/>
    <col min="15090" max="15090" width="29.5" style="1" customWidth="1"/>
    <col min="15091" max="15091" width="23.625" style="1" customWidth="1"/>
    <col min="15092" max="15092" width="8" style="1" customWidth="1"/>
    <col min="15093" max="15093" width="9.125" style="1" customWidth="1"/>
    <col min="15094" max="15094" width="13.875" style="1" customWidth="1"/>
    <col min="15095" max="15095" width="13.5" style="1" customWidth="1"/>
    <col min="15096" max="15342" width="8.875" style="1"/>
    <col min="15343" max="15343" width="5" style="1" customWidth="1"/>
    <col min="15344" max="15344" width="33.375" style="1" customWidth="1"/>
    <col min="15345" max="15345" width="6.5" style="1" customWidth="1"/>
    <col min="15346" max="15346" width="29.5" style="1" customWidth="1"/>
    <col min="15347" max="15347" width="23.625" style="1" customWidth="1"/>
    <col min="15348" max="15348" width="8" style="1" customWidth="1"/>
    <col min="15349" max="15349" width="9.125" style="1" customWidth="1"/>
    <col min="15350" max="15350" width="13.875" style="1" customWidth="1"/>
    <col min="15351" max="15351" width="13.5" style="1" customWidth="1"/>
    <col min="15352" max="15598" width="8.875" style="1"/>
    <col min="15599" max="15599" width="5" style="1" customWidth="1"/>
    <col min="15600" max="15600" width="33.375" style="1" customWidth="1"/>
    <col min="15601" max="15601" width="6.5" style="1" customWidth="1"/>
    <col min="15602" max="15602" width="29.5" style="1" customWidth="1"/>
    <col min="15603" max="15603" width="23.625" style="1" customWidth="1"/>
    <col min="15604" max="15604" width="8" style="1" customWidth="1"/>
    <col min="15605" max="15605" width="9.125" style="1" customWidth="1"/>
    <col min="15606" max="15606" width="13.875" style="1" customWidth="1"/>
    <col min="15607" max="15607" width="13.5" style="1" customWidth="1"/>
    <col min="15608" max="15854" width="8.875" style="1"/>
    <col min="15855" max="15855" width="5" style="1" customWidth="1"/>
    <col min="15856" max="15856" width="33.375" style="1" customWidth="1"/>
    <col min="15857" max="15857" width="6.5" style="1" customWidth="1"/>
    <col min="15858" max="15858" width="29.5" style="1" customWidth="1"/>
    <col min="15859" max="15859" width="23.625" style="1" customWidth="1"/>
    <col min="15860" max="15860" width="8" style="1" customWidth="1"/>
    <col min="15861" max="15861" width="9.125" style="1" customWidth="1"/>
    <col min="15862" max="15862" width="13.875" style="1" customWidth="1"/>
    <col min="15863" max="15863" width="13.5" style="1" customWidth="1"/>
    <col min="15864" max="16384" width="8.875" style="1"/>
  </cols>
  <sheetData>
    <row r="2" spans="2:18" s="375" customFormat="1">
      <c r="B2" s="374" t="s">
        <v>464</v>
      </c>
      <c r="C2" s="140" t="s">
        <v>132</v>
      </c>
    </row>
    <row r="3" spans="2:18" s="375" customFormat="1">
      <c r="B3" s="374" t="s">
        <v>465</v>
      </c>
      <c r="C3" s="209" t="s">
        <v>255</v>
      </c>
    </row>
    <row r="4" spans="2:18" s="375" customFormat="1">
      <c r="B4" s="374" t="s">
        <v>466</v>
      </c>
      <c r="C4" s="140" t="s">
        <v>133</v>
      </c>
    </row>
    <row r="5" spans="2:18">
      <c r="E5" s="2"/>
      <c r="G5" s="1"/>
      <c r="H5" s="1"/>
      <c r="M5" s="2"/>
      <c r="Q5" s="1"/>
    </row>
    <row r="6" spans="2:18" s="3" customFormat="1" ht="23.1" customHeight="1">
      <c r="B6" s="99" t="s">
        <v>61</v>
      </c>
      <c r="C6" s="376" t="s">
        <v>616</v>
      </c>
      <c r="D6" s="95"/>
      <c r="E6" s="95"/>
      <c r="F6" s="7"/>
      <c r="G6" s="7"/>
      <c r="H6" s="7"/>
      <c r="I6" s="7"/>
      <c r="J6" s="7"/>
      <c r="K6" s="7"/>
      <c r="L6" s="7"/>
      <c r="M6" s="7"/>
    </row>
    <row r="7" spans="2:18" s="3" customFormat="1" ht="3.95" customHeight="1">
      <c r="M7" s="44"/>
    </row>
    <row r="8" spans="2:18" s="3" customFormat="1" ht="20.100000000000001" customHeight="1">
      <c r="B8" s="213" t="s">
        <v>279</v>
      </c>
      <c r="C8" s="213" t="s">
        <v>621</v>
      </c>
      <c r="D8" s="212"/>
      <c r="E8" s="212" t="s">
        <v>405</v>
      </c>
      <c r="F8" s="212" t="s">
        <v>498</v>
      </c>
      <c r="G8" s="212"/>
      <c r="H8" s="212"/>
      <c r="I8" s="31"/>
    </row>
    <row r="9" spans="2:18" s="3" customFormat="1" ht="18.95" customHeight="1">
      <c r="B9" s="213" t="s">
        <v>280</v>
      </c>
      <c r="C9" s="472" t="s">
        <v>622</v>
      </c>
      <c r="D9" s="212"/>
      <c r="E9" s="212" t="s">
        <v>467</v>
      </c>
      <c r="F9" s="211" t="s">
        <v>471</v>
      </c>
      <c r="G9" s="211"/>
      <c r="H9" s="211"/>
      <c r="I9" s="31"/>
    </row>
    <row r="10" spans="2:18" s="3" customFormat="1">
      <c r="M10" s="44"/>
    </row>
    <row r="11" spans="2:18" ht="20.100000000000001" customHeight="1">
      <c r="B11" s="377" t="s">
        <v>21</v>
      </c>
      <c r="C11" s="378" t="s">
        <v>468</v>
      </c>
      <c r="D11" s="379"/>
      <c r="E11" s="380"/>
      <c r="F11" s="380"/>
      <c r="G11" s="381"/>
      <c r="H11" s="381"/>
      <c r="I11" s="380"/>
      <c r="J11" s="380"/>
      <c r="K11" s="380"/>
      <c r="L11" s="382"/>
      <c r="M11" s="382"/>
      <c r="N11" s="382"/>
      <c r="O11" s="383"/>
      <c r="P11" s="384"/>
      <c r="Q11" s="385">
        <f>Q13+Q14</f>
        <v>0</v>
      </c>
    </row>
    <row r="12" spans="2:18" s="4" customFormat="1" ht="27.95" customHeight="1">
      <c r="B12" s="386"/>
      <c r="C12" s="1081" t="s">
        <v>8</v>
      </c>
      <c r="D12" s="1082"/>
      <c r="E12" s="1082"/>
      <c r="F12" s="1082"/>
      <c r="G12" s="1082"/>
      <c r="H12" s="1082"/>
      <c r="I12" s="1083" t="s">
        <v>154</v>
      </c>
      <c r="J12" s="1083"/>
      <c r="K12" s="1083"/>
      <c r="L12" s="1083" t="s">
        <v>174</v>
      </c>
      <c r="M12" s="1083"/>
      <c r="N12" s="388" t="s">
        <v>173</v>
      </c>
      <c r="O12" s="387" t="s">
        <v>32</v>
      </c>
      <c r="P12" s="387" t="s">
        <v>2</v>
      </c>
      <c r="Q12" s="386" t="s">
        <v>20</v>
      </c>
    </row>
    <row r="13" spans="2:18" ht="21" customHeight="1">
      <c r="B13" s="86">
        <v>1</v>
      </c>
      <c r="C13" s="1084" t="s">
        <v>185</v>
      </c>
      <c r="D13" s="1084"/>
      <c r="E13" s="1084"/>
      <c r="F13" s="1084"/>
      <c r="G13" s="1084"/>
      <c r="H13" s="1084"/>
      <c r="I13" s="1085">
        <v>0.4</v>
      </c>
      <c r="J13" s="1085"/>
      <c r="K13" s="1085"/>
      <c r="L13" s="1086">
        <v>1</v>
      </c>
      <c r="M13" s="1086"/>
      <c r="N13" s="390"/>
      <c r="O13" s="390">
        <f>N13/L13</f>
        <v>0</v>
      </c>
      <c r="P13" s="390"/>
      <c r="Q13" s="391">
        <f>I13*O13</f>
        <v>0</v>
      </c>
      <c r="R13" s="69"/>
    </row>
    <row r="14" spans="2:18" ht="21" customHeight="1">
      <c r="B14" s="86">
        <v>2</v>
      </c>
      <c r="C14" s="1087" t="s">
        <v>469</v>
      </c>
      <c r="D14" s="1087"/>
      <c r="E14" s="1087"/>
      <c r="F14" s="1087"/>
      <c r="G14" s="1087"/>
      <c r="H14" s="1087"/>
      <c r="I14" s="1088">
        <v>0.6</v>
      </c>
      <c r="J14" s="1088"/>
      <c r="K14" s="1088"/>
      <c r="L14" s="1089">
        <v>1</v>
      </c>
      <c r="M14" s="1089"/>
      <c r="N14" s="392"/>
      <c r="O14" s="392">
        <f>N14/L14</f>
        <v>0</v>
      </c>
      <c r="P14" s="392"/>
      <c r="Q14" s="391">
        <f>I14*O14</f>
        <v>0</v>
      </c>
      <c r="R14" s="69"/>
    </row>
    <row r="15" spans="2:18" ht="21" customHeight="1">
      <c r="B15" s="377" t="s">
        <v>22</v>
      </c>
      <c r="C15" s="393" t="s">
        <v>54</v>
      </c>
      <c r="D15" s="379"/>
      <c r="E15" s="380"/>
      <c r="F15" s="380"/>
      <c r="G15" s="381"/>
      <c r="H15" s="381"/>
      <c r="I15" s="380"/>
      <c r="J15" s="380"/>
      <c r="K15" s="380"/>
      <c r="L15" s="1090"/>
      <c r="M15" s="1090"/>
      <c r="N15" s="1090"/>
      <c r="O15" s="383"/>
      <c r="P15" s="384"/>
      <c r="Q15" s="394">
        <f>SUM(Q17:Q21)</f>
        <v>0</v>
      </c>
      <c r="R15" s="69"/>
    </row>
    <row r="16" spans="2:18" s="4" customFormat="1" ht="29.1" customHeight="1">
      <c r="B16" s="386"/>
      <c r="C16" s="387" t="s">
        <v>31</v>
      </c>
      <c r="D16" s="387" t="s">
        <v>152</v>
      </c>
      <c r="E16" s="1083" t="s">
        <v>39</v>
      </c>
      <c r="F16" s="1091"/>
      <c r="G16" s="1083" t="s">
        <v>17</v>
      </c>
      <c r="H16" s="1091"/>
      <c r="I16" s="1083" t="s">
        <v>116</v>
      </c>
      <c r="J16" s="1083"/>
      <c r="K16" s="1083"/>
      <c r="L16" s="1083" t="s">
        <v>19</v>
      </c>
      <c r="M16" s="1083"/>
      <c r="N16" s="388" t="s">
        <v>174</v>
      </c>
      <c r="O16" s="387" t="s">
        <v>164</v>
      </c>
      <c r="P16" s="387" t="s">
        <v>32</v>
      </c>
      <c r="Q16" s="386" t="s">
        <v>20</v>
      </c>
    </row>
    <row r="17" spans="2:17" ht="45.95" customHeight="1">
      <c r="B17" s="86">
        <v>1</v>
      </c>
      <c r="C17" s="511" t="s">
        <v>457</v>
      </c>
      <c r="D17" s="348">
        <v>0.2</v>
      </c>
      <c r="E17" s="1084" t="s">
        <v>499</v>
      </c>
      <c r="F17" s="1084"/>
      <c r="G17" s="1092" t="s">
        <v>413</v>
      </c>
      <c r="H17" s="1093"/>
      <c r="I17" s="1094" t="s">
        <v>471</v>
      </c>
      <c r="J17" s="1095"/>
      <c r="K17" s="1096"/>
      <c r="L17" s="1097" t="s">
        <v>414</v>
      </c>
      <c r="M17" s="1097"/>
      <c r="N17" s="364">
        <v>0</v>
      </c>
      <c r="O17" s="364"/>
      <c r="P17" s="365" t="str">
        <f>IF(LEN(O17)=0,"",IF(O17=N17,1,0))</f>
        <v/>
      </c>
      <c r="Q17" s="358" t="str">
        <f t="shared" ref="Q17:Q21" si="0">IFERROR(P17*D17,"")</f>
        <v/>
      </c>
    </row>
    <row r="18" spans="2:17" ht="51" customHeight="1">
      <c r="B18" s="86">
        <v>2</v>
      </c>
      <c r="C18" s="511" t="s">
        <v>458</v>
      </c>
      <c r="D18" s="348">
        <v>0.2</v>
      </c>
      <c r="E18" s="1087" t="s">
        <v>500</v>
      </c>
      <c r="F18" s="1087"/>
      <c r="G18" s="1092" t="s">
        <v>330</v>
      </c>
      <c r="H18" s="1093"/>
      <c r="I18" s="1094" t="s">
        <v>471</v>
      </c>
      <c r="J18" s="1095"/>
      <c r="K18" s="1096"/>
      <c r="L18" s="1097" t="s">
        <v>326</v>
      </c>
      <c r="M18" s="1097"/>
      <c r="N18" s="358">
        <v>1</v>
      </c>
      <c r="O18" s="358"/>
      <c r="P18" s="352" t="str">
        <f>IF(LEN(O18)=0,"",IF(O18&gt;=N18,100%,0%))</f>
        <v/>
      </c>
      <c r="Q18" s="358" t="str">
        <f t="shared" si="0"/>
        <v/>
      </c>
    </row>
    <row r="19" spans="2:17" ht="51" customHeight="1">
      <c r="B19" s="86">
        <v>3</v>
      </c>
      <c r="C19" s="634" t="s">
        <v>460</v>
      </c>
      <c r="D19" s="348">
        <v>0.25</v>
      </c>
      <c r="E19" s="1087" t="s">
        <v>501</v>
      </c>
      <c r="F19" s="1087"/>
      <c r="G19" s="1092" t="s">
        <v>413</v>
      </c>
      <c r="H19" s="1093"/>
      <c r="I19" s="1094" t="s">
        <v>471</v>
      </c>
      <c r="J19" s="1095"/>
      <c r="K19" s="1096"/>
      <c r="L19" s="1097" t="s">
        <v>414</v>
      </c>
      <c r="M19" s="1097"/>
      <c r="N19" s="364">
        <v>0</v>
      </c>
      <c r="O19" s="364"/>
      <c r="P19" s="365" t="str">
        <f>IF(LEN(O19)=0,"",IF(O19=N19,1,0))</f>
        <v/>
      </c>
      <c r="Q19" s="358" t="str">
        <f t="shared" si="0"/>
        <v/>
      </c>
    </row>
    <row r="20" spans="2:17" ht="51" customHeight="1">
      <c r="B20" s="86">
        <v>4</v>
      </c>
      <c r="C20" s="634" t="s">
        <v>459</v>
      </c>
      <c r="D20" s="348">
        <v>0.15</v>
      </c>
      <c r="E20" s="1087" t="s">
        <v>502</v>
      </c>
      <c r="F20" s="1087"/>
      <c r="G20" s="1092" t="s">
        <v>435</v>
      </c>
      <c r="H20" s="1093"/>
      <c r="I20" s="1094" t="s">
        <v>528</v>
      </c>
      <c r="J20" s="1095"/>
      <c r="K20" s="1096"/>
      <c r="L20" s="1097" t="s">
        <v>326</v>
      </c>
      <c r="M20" s="1097"/>
      <c r="N20" s="346">
        <v>1</v>
      </c>
      <c r="O20" s="346"/>
      <c r="P20" s="354" t="str">
        <f>IF(LEN(O20)=0,"",IF(O20&lt;=N20,1,0))</f>
        <v/>
      </c>
      <c r="Q20" s="358" t="str">
        <f t="shared" si="0"/>
        <v/>
      </c>
    </row>
    <row r="21" spans="2:17" ht="48.95" customHeight="1">
      <c r="B21" s="86">
        <v>5</v>
      </c>
      <c r="C21" s="634" t="s">
        <v>461</v>
      </c>
      <c r="D21" s="348">
        <v>0.2</v>
      </c>
      <c r="E21" s="1087" t="s">
        <v>503</v>
      </c>
      <c r="F21" s="1087"/>
      <c r="G21" s="1092" t="s">
        <v>413</v>
      </c>
      <c r="H21" s="1093"/>
      <c r="I21" s="1094" t="s">
        <v>471</v>
      </c>
      <c r="J21" s="1095"/>
      <c r="K21" s="1096"/>
      <c r="L21" s="1097" t="s">
        <v>414</v>
      </c>
      <c r="M21" s="1097"/>
      <c r="N21" s="364">
        <v>0</v>
      </c>
      <c r="O21" s="364"/>
      <c r="P21" s="365" t="str">
        <f>IF(LEN(O21)=0,"",IF(O21=N21,1,0))</f>
        <v/>
      </c>
      <c r="Q21" s="358" t="str">
        <f t="shared" si="0"/>
        <v/>
      </c>
    </row>
    <row r="22" spans="2:17" ht="20.100000000000001" customHeight="1">
      <c r="B22" s="377" t="s">
        <v>40</v>
      </c>
      <c r="C22" s="378" t="s">
        <v>186</v>
      </c>
      <c r="D22" s="379"/>
      <c r="E22" s="380"/>
      <c r="F22" s="380"/>
      <c r="G22" s="381"/>
      <c r="H22" s="381"/>
      <c r="I22" s="380"/>
      <c r="J22" s="380"/>
      <c r="K22" s="380"/>
      <c r="L22" s="1090"/>
      <c r="M22" s="1090"/>
      <c r="N22" s="1090"/>
      <c r="O22" s="383"/>
      <c r="P22" s="384"/>
      <c r="Q22" s="385" t="e">
        <f>SUM(Q25:Q29)/5</f>
        <v>#DIV/0!</v>
      </c>
    </row>
    <row r="23" spans="2:17" s="4" customFormat="1" ht="26.1" customHeight="1">
      <c r="B23" s="1098"/>
      <c r="C23" s="1081" t="s">
        <v>8</v>
      </c>
      <c r="D23" s="1081"/>
      <c r="E23" s="1081"/>
      <c r="F23" s="1081"/>
      <c r="G23" s="1081"/>
      <c r="H23" s="1081"/>
      <c r="I23" s="1100" t="s">
        <v>118</v>
      </c>
      <c r="J23" s="1100"/>
      <c r="K23" s="1100"/>
      <c r="L23" s="1100"/>
      <c r="M23" s="1100"/>
      <c r="N23" s="1100"/>
      <c r="O23" s="1101" t="s">
        <v>123</v>
      </c>
      <c r="P23" s="1100" t="s">
        <v>125</v>
      </c>
      <c r="Q23" s="1098" t="s">
        <v>102</v>
      </c>
    </row>
    <row r="24" spans="2:17" s="4" customFormat="1" ht="39" customHeight="1">
      <c r="B24" s="1098"/>
      <c r="C24" s="1099"/>
      <c r="D24" s="1099"/>
      <c r="E24" s="1099"/>
      <c r="F24" s="1099"/>
      <c r="G24" s="1099"/>
      <c r="H24" s="1099"/>
      <c r="I24" s="1104" t="s">
        <v>119</v>
      </c>
      <c r="J24" s="1104"/>
      <c r="K24" s="398" t="s">
        <v>120</v>
      </c>
      <c r="L24" s="398" t="s">
        <v>153</v>
      </c>
      <c r="M24" s="398" t="s">
        <v>121</v>
      </c>
      <c r="N24" s="398" t="s">
        <v>122</v>
      </c>
      <c r="O24" s="1102"/>
      <c r="P24" s="1103"/>
      <c r="Q24" s="1098"/>
    </row>
    <row r="25" spans="2:17" s="45" customFormat="1" ht="32.1" customHeight="1">
      <c r="B25" s="86">
        <v>1</v>
      </c>
      <c r="C25" s="1105" t="s">
        <v>62</v>
      </c>
      <c r="D25" s="1105"/>
      <c r="E25" s="1105"/>
      <c r="F25" s="1105"/>
      <c r="G25" s="1105"/>
      <c r="H25" s="1105"/>
      <c r="I25" s="1106">
        <v>1</v>
      </c>
      <c r="J25" s="1106"/>
      <c r="K25" s="400">
        <v>2</v>
      </c>
      <c r="L25" s="399">
        <v>3</v>
      </c>
      <c r="M25" s="400">
        <v>4</v>
      </c>
      <c r="N25" s="399">
        <v>5</v>
      </c>
      <c r="O25" s="401"/>
      <c r="P25" s="399"/>
      <c r="Q25" s="391" t="e">
        <f>P25/O25</f>
        <v>#DIV/0!</v>
      </c>
    </row>
    <row r="26" spans="2:17" s="45" customFormat="1" ht="32.1" customHeight="1">
      <c r="B26" s="86">
        <f>B25+1</f>
        <v>2</v>
      </c>
      <c r="C26" s="1105" t="s">
        <v>63</v>
      </c>
      <c r="D26" s="1105"/>
      <c r="E26" s="1105"/>
      <c r="F26" s="1105"/>
      <c r="G26" s="1105"/>
      <c r="H26" s="1105"/>
      <c r="I26" s="1106">
        <v>1</v>
      </c>
      <c r="J26" s="1106"/>
      <c r="K26" s="400">
        <v>2</v>
      </c>
      <c r="L26" s="399">
        <v>3</v>
      </c>
      <c r="M26" s="400">
        <v>4</v>
      </c>
      <c r="N26" s="399">
        <v>5</v>
      </c>
      <c r="O26" s="401"/>
      <c r="P26" s="399"/>
      <c r="Q26" s="391" t="e">
        <f>P26/O26</f>
        <v>#DIV/0!</v>
      </c>
    </row>
    <row r="27" spans="2:17" s="45" customFormat="1" ht="32.1" customHeight="1">
      <c r="B27" s="86">
        <v>3</v>
      </c>
      <c r="C27" s="1105" t="s">
        <v>64</v>
      </c>
      <c r="D27" s="1105"/>
      <c r="E27" s="1105"/>
      <c r="F27" s="1105"/>
      <c r="G27" s="1105"/>
      <c r="H27" s="1105"/>
      <c r="I27" s="1106">
        <v>1</v>
      </c>
      <c r="J27" s="1106"/>
      <c r="K27" s="400">
        <v>2</v>
      </c>
      <c r="L27" s="399">
        <v>3</v>
      </c>
      <c r="M27" s="400">
        <v>4</v>
      </c>
      <c r="N27" s="399">
        <v>5</v>
      </c>
      <c r="O27" s="401"/>
      <c r="P27" s="399"/>
      <c r="Q27" s="391" t="e">
        <f>P27/O27</f>
        <v>#DIV/0!</v>
      </c>
    </row>
    <row r="28" spans="2:17" s="45" customFormat="1" ht="32.1" customHeight="1">
      <c r="B28" s="86">
        <f>B27+1</f>
        <v>4</v>
      </c>
      <c r="C28" s="1105" t="s">
        <v>65</v>
      </c>
      <c r="D28" s="1105"/>
      <c r="E28" s="1105"/>
      <c r="F28" s="1105"/>
      <c r="G28" s="1105"/>
      <c r="H28" s="1105"/>
      <c r="I28" s="1106">
        <v>1</v>
      </c>
      <c r="J28" s="1106"/>
      <c r="K28" s="400">
        <v>2</v>
      </c>
      <c r="L28" s="399">
        <v>3</v>
      </c>
      <c r="M28" s="400">
        <v>4</v>
      </c>
      <c r="N28" s="399">
        <v>5</v>
      </c>
      <c r="O28" s="401"/>
      <c r="P28" s="399"/>
      <c r="Q28" s="391" t="e">
        <f>P28/O28</f>
        <v>#DIV/0!</v>
      </c>
    </row>
    <row r="29" spans="2:17" s="45" customFormat="1" ht="32.1" customHeight="1">
      <c r="B29" s="86">
        <v>5</v>
      </c>
      <c r="C29" s="1107" t="s">
        <v>66</v>
      </c>
      <c r="D29" s="1107"/>
      <c r="E29" s="1107"/>
      <c r="F29" s="1107"/>
      <c r="G29" s="1107"/>
      <c r="H29" s="1107"/>
      <c r="I29" s="1108">
        <v>1</v>
      </c>
      <c r="J29" s="1108"/>
      <c r="K29" s="403">
        <v>2</v>
      </c>
      <c r="L29" s="402">
        <v>3</v>
      </c>
      <c r="M29" s="403">
        <v>4</v>
      </c>
      <c r="N29" s="402">
        <v>5</v>
      </c>
      <c r="O29" s="404"/>
      <c r="P29" s="402"/>
      <c r="Q29" s="391" t="e">
        <f>P29/O29</f>
        <v>#DIV/0!</v>
      </c>
    </row>
    <row r="30" spans="2:17" ht="20.100000000000001" customHeight="1">
      <c r="B30" s="377" t="s">
        <v>41</v>
      </c>
      <c r="C30" s="378" t="s">
        <v>42</v>
      </c>
      <c r="D30" s="379"/>
      <c r="E30" s="380"/>
      <c r="F30" s="380"/>
      <c r="G30" s="381"/>
      <c r="H30" s="381"/>
      <c r="I30" s="380"/>
      <c r="J30" s="380"/>
      <c r="K30" s="380"/>
      <c r="L30" s="382"/>
      <c r="M30" s="382"/>
      <c r="N30" s="382"/>
      <c r="O30" s="383"/>
      <c r="P30" s="384"/>
      <c r="Q30" s="385" t="e">
        <f>SUM(N32:N34)</f>
        <v>#DIV/0!</v>
      </c>
    </row>
    <row r="31" spans="2:17" s="4" customFormat="1" ht="18.95" customHeight="1">
      <c r="B31" s="386"/>
      <c r="C31" s="1082" t="s">
        <v>8</v>
      </c>
      <c r="D31" s="1082"/>
      <c r="E31" s="1082"/>
      <c r="F31" s="1082"/>
      <c r="G31" s="1082"/>
      <c r="H31" s="1082"/>
      <c r="I31" s="1083" t="s">
        <v>43</v>
      </c>
      <c r="J31" s="1083"/>
      <c r="K31" s="1083"/>
      <c r="L31" s="1083" t="s">
        <v>154</v>
      </c>
      <c r="M31" s="1083"/>
      <c r="N31" s="387" t="s">
        <v>67</v>
      </c>
      <c r="O31" s="1083" t="s">
        <v>44</v>
      </c>
      <c r="P31" s="1083"/>
      <c r="Q31" s="1098"/>
    </row>
    <row r="32" spans="2:17" s="45" customFormat="1" ht="21" customHeight="1">
      <c r="B32" s="86">
        <v>1</v>
      </c>
      <c r="C32" s="1109" t="s">
        <v>470</v>
      </c>
      <c r="D32" s="1109"/>
      <c r="E32" s="1109"/>
      <c r="F32" s="1109"/>
      <c r="G32" s="1109"/>
      <c r="H32" s="1109"/>
      <c r="I32" s="1085">
        <f>Q11</f>
        <v>0</v>
      </c>
      <c r="J32" s="1085"/>
      <c r="K32" s="1085"/>
      <c r="L32" s="1110">
        <v>0.2</v>
      </c>
      <c r="M32" s="1110"/>
      <c r="N32" s="390">
        <f>I32*L32</f>
        <v>0</v>
      </c>
      <c r="O32" s="1111" t="e">
        <f>IF(Q30=0,"",IF(Q30&gt;100%,"XUẤT SẮC",IF(Q30&gt;=90%,"TỐT",IF(Q30&gt;=80%,"HOÀN THÀNH","KHÔNG HOÀN THÀNH"))))</f>
        <v>#DIV/0!</v>
      </c>
      <c r="P32" s="1112"/>
      <c r="Q32" s="1112"/>
    </row>
    <row r="33" spans="2:17" s="45" customFormat="1" ht="21" customHeight="1">
      <c r="B33" s="86">
        <f>B32+1</f>
        <v>2</v>
      </c>
      <c r="C33" s="1109" t="s">
        <v>155</v>
      </c>
      <c r="D33" s="1109"/>
      <c r="E33" s="1109"/>
      <c r="F33" s="1109"/>
      <c r="G33" s="1109"/>
      <c r="H33" s="1109"/>
      <c r="I33" s="1085">
        <f>Q15</f>
        <v>0</v>
      </c>
      <c r="J33" s="1085"/>
      <c r="K33" s="1085"/>
      <c r="L33" s="1110">
        <v>0.7</v>
      </c>
      <c r="M33" s="1110"/>
      <c r="N33" s="390">
        <f>I33*L33</f>
        <v>0</v>
      </c>
      <c r="O33" s="1112"/>
      <c r="P33" s="1112"/>
      <c r="Q33" s="1112"/>
    </row>
    <row r="34" spans="2:17" s="45" customFormat="1" ht="21" customHeight="1">
      <c r="B34" s="86">
        <f>B33+1</f>
        <v>3</v>
      </c>
      <c r="C34" s="1114" t="s">
        <v>187</v>
      </c>
      <c r="D34" s="1114"/>
      <c r="E34" s="1114"/>
      <c r="F34" s="1114"/>
      <c r="G34" s="1114"/>
      <c r="H34" s="1114"/>
      <c r="I34" s="1088" t="e">
        <f>Q22</f>
        <v>#DIV/0!</v>
      </c>
      <c r="J34" s="1088"/>
      <c r="K34" s="1088"/>
      <c r="L34" s="1115">
        <v>0.1</v>
      </c>
      <c r="M34" s="1115"/>
      <c r="N34" s="392" t="e">
        <f>I34*L34</f>
        <v>#DIV/0!</v>
      </c>
      <c r="O34" s="1113"/>
      <c r="P34" s="1113"/>
      <c r="Q34" s="1113"/>
    </row>
    <row r="35" spans="2:17" ht="18.95" customHeight="1">
      <c r="B35" s="377" t="s">
        <v>45</v>
      </c>
      <c r="C35" s="393" t="s">
        <v>46</v>
      </c>
      <c r="D35" s="380"/>
      <c r="E35" s="380"/>
      <c r="F35" s="380"/>
      <c r="G35" s="381"/>
      <c r="H35" s="381"/>
      <c r="I35" s="380"/>
      <c r="J35" s="380"/>
      <c r="K35" s="380"/>
      <c r="L35" s="380"/>
      <c r="M35" s="380"/>
      <c r="N35" s="380"/>
      <c r="O35" s="380"/>
      <c r="P35" s="380"/>
      <c r="Q35" s="405"/>
    </row>
    <row r="36" spans="2:17" ht="57.95" customHeight="1">
      <c r="B36" s="406">
        <v>1</v>
      </c>
      <c r="C36" s="1116" t="s">
        <v>47</v>
      </c>
      <c r="D36" s="1116"/>
      <c r="E36" s="1116"/>
      <c r="F36" s="1116"/>
      <c r="G36" s="1116"/>
      <c r="H36" s="1116"/>
      <c r="I36" s="1117" t="s">
        <v>48</v>
      </c>
      <c r="J36" s="1117"/>
      <c r="K36" s="1117"/>
      <c r="L36" s="1117"/>
      <c r="M36" s="1117"/>
      <c r="N36" s="1118" t="s">
        <v>49</v>
      </c>
      <c r="O36" s="1118"/>
      <c r="P36" s="1118" t="s">
        <v>50</v>
      </c>
      <c r="Q36" s="1118"/>
    </row>
    <row r="37" spans="2:17" ht="105" customHeight="1">
      <c r="B37" s="406">
        <v>2</v>
      </c>
      <c r="C37" s="1119" t="s">
        <v>51</v>
      </c>
      <c r="D37" s="1119"/>
      <c r="E37" s="1119"/>
      <c r="F37" s="1119"/>
      <c r="G37" s="1119"/>
      <c r="H37" s="1119"/>
      <c r="I37" s="1120" t="s">
        <v>52</v>
      </c>
      <c r="J37" s="1093"/>
      <c r="K37" s="1093"/>
      <c r="L37" s="1093"/>
      <c r="M37" s="1093"/>
      <c r="N37" s="1093"/>
      <c r="O37" s="1093"/>
      <c r="P37" s="1093"/>
      <c r="Q37" s="1093"/>
    </row>
    <row r="38" spans="2:17">
      <c r="B38" s="5"/>
      <c r="C38" s="5"/>
      <c r="D38" s="5"/>
      <c r="E38" s="5"/>
      <c r="F38" s="5"/>
      <c r="G38" s="6"/>
      <c r="H38" s="6"/>
      <c r="I38" s="5"/>
      <c r="J38" s="5"/>
      <c r="K38" s="5"/>
      <c r="L38" s="5"/>
      <c r="M38" s="5"/>
      <c r="N38" s="5"/>
      <c r="O38" s="5"/>
      <c r="P38" s="5"/>
      <c r="Q38" s="6"/>
    </row>
    <row r="39" spans="2:17" ht="12.95" customHeight="1">
      <c r="B39" s="37"/>
      <c r="C39" s="47"/>
      <c r="D39" s="38"/>
      <c r="E39" s="38"/>
      <c r="F39" s="38"/>
      <c r="G39" s="37"/>
      <c r="H39" s="37"/>
      <c r="I39" s="38"/>
      <c r="J39" s="38"/>
      <c r="K39" s="38"/>
      <c r="L39" s="38"/>
      <c r="M39" s="38"/>
      <c r="N39" s="38"/>
      <c r="O39" s="38"/>
      <c r="P39" s="38"/>
      <c r="Q39" s="37"/>
    </row>
    <row r="40" spans="2:17" s="51" customFormat="1" ht="32.1" customHeight="1">
      <c r="B40" s="1079" t="s">
        <v>539</v>
      </c>
      <c r="C40" s="975"/>
      <c r="D40" s="1079" t="s">
        <v>537</v>
      </c>
      <c r="E40" s="975"/>
      <c r="F40" s="975"/>
      <c r="G40" s="975"/>
      <c r="H40" s="975"/>
      <c r="I40" s="471"/>
      <c r="J40" s="1079" t="s">
        <v>540</v>
      </c>
      <c r="K40" s="1079"/>
      <c r="L40" s="1079"/>
      <c r="M40" s="1079"/>
      <c r="N40" s="1079"/>
      <c r="O40" s="1079"/>
      <c r="P40" s="1079"/>
      <c r="Q40" s="1079"/>
    </row>
    <row r="41" spans="2:17">
      <c r="B41" s="6"/>
      <c r="C41" s="5"/>
      <c r="D41" s="5"/>
      <c r="E41" s="5"/>
      <c r="F41" s="5"/>
      <c r="G41" s="6"/>
      <c r="I41" s="6"/>
      <c r="J41" s="6"/>
      <c r="K41" s="6"/>
      <c r="L41" s="5"/>
      <c r="M41" s="5"/>
      <c r="N41" s="5"/>
      <c r="O41" s="5"/>
      <c r="P41" s="5"/>
      <c r="Q41" s="5"/>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6"/>
      <c r="C45" s="5"/>
      <c r="D45" s="5"/>
      <c r="E45" s="5"/>
      <c r="F45" s="5"/>
      <c r="G45" s="6"/>
      <c r="I45" s="5"/>
      <c r="J45" s="6"/>
      <c r="K45" s="5"/>
      <c r="L45" s="5"/>
      <c r="M45" s="5"/>
      <c r="N45" s="5"/>
      <c r="O45" s="5"/>
      <c r="P45" s="5"/>
      <c r="Q45" s="6"/>
    </row>
    <row r="46" spans="2:17">
      <c r="B46" s="6"/>
      <c r="C46" s="5"/>
      <c r="D46" s="5"/>
      <c r="E46" s="5"/>
      <c r="F46" s="5"/>
      <c r="G46" s="6"/>
      <c r="I46" s="5"/>
      <c r="J46" s="6"/>
      <c r="K46" s="5"/>
      <c r="L46" s="5"/>
      <c r="M46" s="5"/>
      <c r="N46" s="5"/>
      <c r="O46" s="5"/>
      <c r="P46" s="5"/>
      <c r="Q46" s="6"/>
    </row>
    <row r="47" spans="2:17">
      <c r="B47" s="972" t="s">
        <v>29</v>
      </c>
      <c r="C47" s="972"/>
      <c r="D47" s="972" t="s">
        <v>29</v>
      </c>
      <c r="E47" s="972"/>
      <c r="F47" s="972"/>
      <c r="G47" s="972"/>
      <c r="H47" s="972"/>
      <c r="I47" s="5"/>
      <c r="J47" s="972" t="s">
        <v>29</v>
      </c>
      <c r="K47" s="972"/>
      <c r="L47" s="972"/>
      <c r="M47" s="972"/>
      <c r="N47" s="972"/>
      <c r="O47" s="972"/>
      <c r="P47" s="972"/>
      <c r="Q47" s="972"/>
    </row>
    <row r="48" spans="2:17">
      <c r="B48" s="6"/>
      <c r="C48" s="5"/>
      <c r="D48" s="5"/>
      <c r="E48" s="5"/>
      <c r="F48" s="5"/>
      <c r="G48" s="6"/>
      <c r="I48" s="5"/>
      <c r="J48" s="6"/>
      <c r="K48" s="5"/>
      <c r="L48" s="5"/>
      <c r="M48" s="5"/>
      <c r="N48" s="5"/>
      <c r="O48" s="5"/>
      <c r="P48" s="5"/>
      <c r="Q48" s="6"/>
    </row>
    <row r="49" spans="2:17">
      <c r="B49" s="37"/>
      <c r="C49" s="47"/>
      <c r="D49" s="38"/>
      <c r="E49" s="38"/>
      <c r="F49" s="38"/>
      <c r="G49" s="37"/>
      <c r="I49" s="38"/>
      <c r="J49" s="37"/>
      <c r="K49" s="38"/>
      <c r="L49" s="38"/>
      <c r="M49" s="38"/>
      <c r="N49" s="38"/>
      <c r="O49" s="38"/>
      <c r="P49" s="38"/>
      <c r="Q49" s="37"/>
    </row>
    <row r="50" spans="2:17" ht="24" customHeight="1">
      <c r="B50" s="1080"/>
      <c r="C50" s="972"/>
      <c r="D50" s="1080"/>
      <c r="E50" s="972"/>
      <c r="F50" s="972"/>
      <c r="G50" s="972"/>
      <c r="H50" s="972"/>
      <c r="I50" s="245"/>
      <c r="J50" s="972"/>
      <c r="K50" s="972"/>
      <c r="L50" s="972"/>
      <c r="M50" s="972"/>
      <c r="N50" s="245"/>
      <c r="O50" s="1080"/>
      <c r="P50" s="972"/>
      <c r="Q50" s="972"/>
    </row>
    <row r="51" spans="2:17">
      <c r="B51" s="6"/>
      <c r="C51" s="5"/>
      <c r="D51" s="5"/>
      <c r="E51" s="5"/>
      <c r="F51" s="5"/>
      <c r="G51" s="6"/>
      <c r="I51" s="6"/>
      <c r="J51" s="6"/>
      <c r="K51" s="6"/>
      <c r="L51" s="5"/>
      <c r="M51" s="5"/>
      <c r="N51" s="5"/>
      <c r="O51" s="5"/>
      <c r="P51" s="5"/>
      <c r="Q51" s="5"/>
    </row>
    <row r="52" spans="2:17">
      <c r="B52" s="6"/>
      <c r="C52" s="5"/>
      <c r="D52" s="5"/>
      <c r="E52" s="5"/>
      <c r="F52" s="5"/>
      <c r="G52" s="6"/>
      <c r="I52" s="5"/>
      <c r="J52" s="6"/>
      <c r="K52" s="5"/>
      <c r="L52" s="5"/>
      <c r="M52" s="5"/>
      <c r="N52" s="5"/>
      <c r="O52" s="5"/>
      <c r="P52" s="5"/>
      <c r="Q52" s="6"/>
    </row>
    <row r="53" spans="2:17">
      <c r="B53" s="6"/>
      <c r="C53" s="5"/>
      <c r="D53" s="5"/>
      <c r="E53" s="5"/>
      <c r="F53" s="5"/>
      <c r="G53" s="6"/>
      <c r="I53" s="5"/>
      <c r="J53" s="6"/>
      <c r="K53" s="5"/>
      <c r="L53" s="5"/>
      <c r="M53" s="5"/>
      <c r="N53" s="5"/>
      <c r="O53" s="5"/>
      <c r="P53" s="5"/>
      <c r="Q53" s="6"/>
    </row>
    <row r="54" spans="2:17">
      <c r="B54" s="6"/>
      <c r="C54" s="5"/>
      <c r="D54" s="5"/>
      <c r="E54" s="5"/>
      <c r="F54" s="5"/>
      <c r="G54" s="6"/>
      <c r="I54" s="5"/>
      <c r="J54" s="6"/>
      <c r="K54" s="5"/>
      <c r="L54" s="5"/>
      <c r="M54" s="5"/>
      <c r="N54" s="5"/>
      <c r="O54" s="5"/>
      <c r="P54" s="5"/>
      <c r="Q54" s="6"/>
    </row>
    <row r="55" spans="2:17">
      <c r="B55" s="6"/>
      <c r="C55" s="5"/>
      <c r="D55" s="5"/>
      <c r="E55" s="5"/>
      <c r="F55" s="5"/>
      <c r="G55" s="6"/>
      <c r="I55" s="5"/>
      <c r="J55" s="6"/>
      <c r="K55" s="5"/>
      <c r="L55" s="5"/>
      <c r="M55" s="5"/>
      <c r="N55" s="5"/>
      <c r="O55" s="5"/>
      <c r="P55" s="5"/>
      <c r="Q55" s="6"/>
    </row>
    <row r="56" spans="2:17">
      <c r="B56" s="6"/>
      <c r="C56" s="5"/>
      <c r="D56" s="5"/>
      <c r="E56" s="5"/>
      <c r="F56" s="5"/>
      <c r="G56" s="6"/>
      <c r="I56" s="5"/>
      <c r="J56" s="6"/>
      <c r="K56" s="5"/>
      <c r="L56" s="5"/>
      <c r="M56" s="5"/>
      <c r="N56" s="5"/>
      <c r="O56" s="5"/>
      <c r="P56" s="5"/>
      <c r="Q56" s="6"/>
    </row>
    <row r="57" spans="2:17">
      <c r="B57" s="972"/>
      <c r="C57" s="972"/>
      <c r="D57" s="972"/>
      <c r="E57" s="972"/>
      <c r="F57" s="972"/>
      <c r="G57" s="972"/>
      <c r="H57" s="972"/>
      <c r="I57" s="5"/>
      <c r="J57" s="972"/>
      <c r="K57" s="972"/>
      <c r="L57" s="972"/>
      <c r="M57" s="972"/>
      <c r="N57" s="5"/>
      <c r="O57" s="972"/>
      <c r="P57" s="972"/>
      <c r="Q57" s="972"/>
    </row>
    <row r="58" spans="2:17">
      <c r="B58" s="2"/>
    </row>
    <row r="59" spans="2:17">
      <c r="B59" s="2"/>
    </row>
  </sheetData>
  <mergeCells count="86">
    <mergeCell ref="C12:H12"/>
    <mergeCell ref="I12:K12"/>
    <mergeCell ref="L12:M12"/>
    <mergeCell ref="C13:H13"/>
    <mergeCell ref="I13:K13"/>
    <mergeCell ref="L13:M13"/>
    <mergeCell ref="C14:H14"/>
    <mergeCell ref="I14:K14"/>
    <mergeCell ref="L14:M14"/>
    <mergeCell ref="L15:N15"/>
    <mergeCell ref="E16:F16"/>
    <mergeCell ref="G16:H16"/>
    <mergeCell ref="I16:K16"/>
    <mergeCell ref="L16:M16"/>
    <mergeCell ref="E17:F17"/>
    <mergeCell ref="G17:H17"/>
    <mergeCell ref="I17:K17"/>
    <mergeCell ref="L17:M17"/>
    <mergeCell ref="E18:F18"/>
    <mergeCell ref="G18:H18"/>
    <mergeCell ref="I18:K18"/>
    <mergeCell ref="L18:M18"/>
    <mergeCell ref="B23:B24"/>
    <mergeCell ref="C23:H24"/>
    <mergeCell ref="I23:N23"/>
    <mergeCell ref="E19:F19"/>
    <mergeCell ref="G19:H19"/>
    <mergeCell ref="I19:K19"/>
    <mergeCell ref="L19:M19"/>
    <mergeCell ref="E20:F20"/>
    <mergeCell ref="G20:H20"/>
    <mergeCell ref="I20:K20"/>
    <mergeCell ref="L20:M20"/>
    <mergeCell ref="E21:F21"/>
    <mergeCell ref="G21:H21"/>
    <mergeCell ref="I21:K21"/>
    <mergeCell ref="L21:M21"/>
    <mergeCell ref="L22:N22"/>
    <mergeCell ref="O23:O24"/>
    <mergeCell ref="P23:P24"/>
    <mergeCell ref="Q23:Q24"/>
    <mergeCell ref="I24:J24"/>
    <mergeCell ref="C25:H25"/>
    <mergeCell ref="I25:J25"/>
    <mergeCell ref="O31:Q31"/>
    <mergeCell ref="C26:H26"/>
    <mergeCell ref="I26:J26"/>
    <mergeCell ref="C27:H27"/>
    <mergeCell ref="I27:J27"/>
    <mergeCell ref="C28:H28"/>
    <mergeCell ref="I28:J28"/>
    <mergeCell ref="C29:H29"/>
    <mergeCell ref="I29:J29"/>
    <mergeCell ref="C31:H31"/>
    <mergeCell ref="I31:K31"/>
    <mergeCell ref="L31:M31"/>
    <mergeCell ref="C32:H32"/>
    <mergeCell ref="I32:K32"/>
    <mergeCell ref="L32:M32"/>
    <mergeCell ref="O32:Q34"/>
    <mergeCell ref="C33:H33"/>
    <mergeCell ref="I33:K33"/>
    <mergeCell ref="L33:M33"/>
    <mergeCell ref="C34:H34"/>
    <mergeCell ref="I34:K34"/>
    <mergeCell ref="L34:M34"/>
    <mergeCell ref="C36:H36"/>
    <mergeCell ref="I36:M36"/>
    <mergeCell ref="N36:O36"/>
    <mergeCell ref="P36:Q36"/>
    <mergeCell ref="C37:H37"/>
    <mergeCell ref="I37:Q37"/>
    <mergeCell ref="B40:C40"/>
    <mergeCell ref="D40:H40"/>
    <mergeCell ref="J40:Q40"/>
    <mergeCell ref="B47:C47"/>
    <mergeCell ref="D47:H47"/>
    <mergeCell ref="J47:Q47"/>
    <mergeCell ref="B50:C50"/>
    <mergeCell ref="D50:H50"/>
    <mergeCell ref="J50:M50"/>
    <mergeCell ref="O50:Q50"/>
    <mergeCell ref="B57:C57"/>
    <mergeCell ref="D57:H57"/>
    <mergeCell ref="J57:M57"/>
    <mergeCell ref="O57:Q57"/>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50659-7B98-46D8-979B-8695C0C77EC5}">
  <dimension ref="B2:R59"/>
  <sheetViews>
    <sheetView showGridLines="0" zoomScale="125" workbookViewId="0">
      <selection activeCell="I17" sqref="I17:K17"/>
    </sheetView>
  </sheetViews>
  <sheetFormatPr defaultColWidth="8.875" defaultRowHeight="12.75"/>
  <cols>
    <col min="1" max="1" width="1.125" style="1" customWidth="1"/>
    <col min="2" max="2" width="12.875" style="1" bestFit="1" customWidth="1"/>
    <col min="3" max="3" width="35.875" style="1" customWidth="1"/>
    <col min="4" max="4" width="9" style="1" customWidth="1"/>
    <col min="5" max="5" width="10.125" style="1" customWidth="1"/>
    <col min="6" max="6" width="14.5" style="1" customWidth="1"/>
    <col min="7" max="7" width="6.625" style="2" customWidth="1"/>
    <col min="8" max="8" width="20.625" style="2" customWidth="1"/>
    <col min="9" max="9" width="2.5" style="1" customWidth="1"/>
    <col min="10" max="10" width="5.5" style="1" customWidth="1"/>
    <col min="11" max="11" width="7.625" style="1" customWidth="1"/>
    <col min="12" max="12" width="7.5" style="1" customWidth="1"/>
    <col min="13" max="13" width="7.625" style="1" customWidth="1"/>
    <col min="14" max="14" width="13.625" style="1" customWidth="1"/>
    <col min="15" max="16" width="10.125" style="1" customWidth="1"/>
    <col min="17" max="17" width="10.875" style="2" customWidth="1"/>
    <col min="18" max="18" width="11.375" style="1" customWidth="1"/>
    <col min="19" max="19" width="6.875" style="1" customWidth="1"/>
    <col min="20" max="238" width="8.875" style="1"/>
    <col min="239" max="239" width="5" style="1" customWidth="1"/>
    <col min="240" max="240" width="33.375" style="1" customWidth="1"/>
    <col min="241" max="241" width="6.5" style="1" customWidth="1"/>
    <col min="242" max="242" width="29.5" style="1" customWidth="1"/>
    <col min="243" max="243" width="23.625" style="1" customWidth="1"/>
    <col min="244" max="244" width="8" style="1" customWidth="1"/>
    <col min="245" max="245" width="9.125" style="1" customWidth="1"/>
    <col min="246" max="246" width="13.875" style="1" customWidth="1"/>
    <col min="247" max="247" width="13.5" style="1" customWidth="1"/>
    <col min="248" max="494" width="8.875" style="1"/>
    <col min="495" max="495" width="5" style="1" customWidth="1"/>
    <col min="496" max="496" width="33.375" style="1" customWidth="1"/>
    <col min="497" max="497" width="6.5" style="1" customWidth="1"/>
    <col min="498" max="498" width="29.5" style="1" customWidth="1"/>
    <col min="499" max="499" width="23.625" style="1" customWidth="1"/>
    <col min="500" max="500" width="8" style="1" customWidth="1"/>
    <col min="501" max="501" width="9.125" style="1" customWidth="1"/>
    <col min="502" max="502" width="13.875" style="1" customWidth="1"/>
    <col min="503" max="503" width="13.5" style="1" customWidth="1"/>
    <col min="504" max="750" width="8.875" style="1"/>
    <col min="751" max="751" width="5" style="1" customWidth="1"/>
    <col min="752" max="752" width="33.375" style="1" customWidth="1"/>
    <col min="753" max="753" width="6.5" style="1" customWidth="1"/>
    <col min="754" max="754" width="29.5" style="1" customWidth="1"/>
    <col min="755" max="755" width="23.625" style="1" customWidth="1"/>
    <col min="756" max="756" width="8" style="1" customWidth="1"/>
    <col min="757" max="757" width="9.125" style="1" customWidth="1"/>
    <col min="758" max="758" width="13.875" style="1" customWidth="1"/>
    <col min="759" max="759" width="13.5" style="1" customWidth="1"/>
    <col min="760" max="1006" width="8.875" style="1"/>
    <col min="1007" max="1007" width="5" style="1" customWidth="1"/>
    <col min="1008" max="1008" width="33.375" style="1" customWidth="1"/>
    <col min="1009" max="1009" width="6.5" style="1" customWidth="1"/>
    <col min="1010" max="1010" width="29.5" style="1" customWidth="1"/>
    <col min="1011" max="1011" width="23.625" style="1" customWidth="1"/>
    <col min="1012" max="1012" width="8" style="1" customWidth="1"/>
    <col min="1013" max="1013" width="9.125" style="1" customWidth="1"/>
    <col min="1014" max="1014" width="13.875" style="1" customWidth="1"/>
    <col min="1015" max="1015" width="13.5" style="1" customWidth="1"/>
    <col min="1016" max="1262" width="8.875" style="1"/>
    <col min="1263" max="1263" width="5" style="1" customWidth="1"/>
    <col min="1264" max="1264" width="33.375" style="1" customWidth="1"/>
    <col min="1265" max="1265" width="6.5" style="1" customWidth="1"/>
    <col min="1266" max="1266" width="29.5" style="1" customWidth="1"/>
    <col min="1267" max="1267" width="23.625" style="1" customWidth="1"/>
    <col min="1268" max="1268" width="8" style="1" customWidth="1"/>
    <col min="1269" max="1269" width="9.125" style="1" customWidth="1"/>
    <col min="1270" max="1270" width="13.875" style="1" customWidth="1"/>
    <col min="1271" max="1271" width="13.5" style="1" customWidth="1"/>
    <col min="1272" max="1518" width="8.875" style="1"/>
    <col min="1519" max="1519" width="5" style="1" customWidth="1"/>
    <col min="1520" max="1520" width="33.375" style="1" customWidth="1"/>
    <col min="1521" max="1521" width="6.5" style="1" customWidth="1"/>
    <col min="1522" max="1522" width="29.5" style="1" customWidth="1"/>
    <col min="1523" max="1523" width="23.625" style="1" customWidth="1"/>
    <col min="1524" max="1524" width="8" style="1" customWidth="1"/>
    <col min="1525" max="1525" width="9.125" style="1" customWidth="1"/>
    <col min="1526" max="1526" width="13.875" style="1" customWidth="1"/>
    <col min="1527" max="1527" width="13.5" style="1" customWidth="1"/>
    <col min="1528" max="1774" width="8.875" style="1"/>
    <col min="1775" max="1775" width="5" style="1" customWidth="1"/>
    <col min="1776" max="1776" width="33.375" style="1" customWidth="1"/>
    <col min="1777" max="1777" width="6.5" style="1" customWidth="1"/>
    <col min="1778" max="1778" width="29.5" style="1" customWidth="1"/>
    <col min="1779" max="1779" width="23.625" style="1" customWidth="1"/>
    <col min="1780" max="1780" width="8" style="1" customWidth="1"/>
    <col min="1781" max="1781" width="9.125" style="1" customWidth="1"/>
    <col min="1782" max="1782" width="13.875" style="1" customWidth="1"/>
    <col min="1783" max="1783" width="13.5" style="1" customWidth="1"/>
    <col min="1784" max="2030" width="8.875" style="1"/>
    <col min="2031" max="2031" width="5" style="1" customWidth="1"/>
    <col min="2032" max="2032" width="33.375" style="1" customWidth="1"/>
    <col min="2033" max="2033" width="6.5" style="1" customWidth="1"/>
    <col min="2034" max="2034" width="29.5" style="1" customWidth="1"/>
    <col min="2035" max="2035" width="23.625" style="1" customWidth="1"/>
    <col min="2036" max="2036" width="8" style="1" customWidth="1"/>
    <col min="2037" max="2037" width="9.125" style="1" customWidth="1"/>
    <col min="2038" max="2038" width="13.875" style="1" customWidth="1"/>
    <col min="2039" max="2039" width="13.5" style="1" customWidth="1"/>
    <col min="2040" max="2286" width="8.875" style="1"/>
    <col min="2287" max="2287" width="5" style="1" customWidth="1"/>
    <col min="2288" max="2288" width="33.375" style="1" customWidth="1"/>
    <col min="2289" max="2289" width="6.5" style="1" customWidth="1"/>
    <col min="2290" max="2290" width="29.5" style="1" customWidth="1"/>
    <col min="2291" max="2291" width="23.625" style="1" customWidth="1"/>
    <col min="2292" max="2292" width="8" style="1" customWidth="1"/>
    <col min="2293" max="2293" width="9.125" style="1" customWidth="1"/>
    <col min="2294" max="2294" width="13.875" style="1" customWidth="1"/>
    <col min="2295" max="2295" width="13.5" style="1" customWidth="1"/>
    <col min="2296" max="2542" width="8.875" style="1"/>
    <col min="2543" max="2543" width="5" style="1" customWidth="1"/>
    <col min="2544" max="2544" width="33.375" style="1" customWidth="1"/>
    <col min="2545" max="2545" width="6.5" style="1" customWidth="1"/>
    <col min="2546" max="2546" width="29.5" style="1" customWidth="1"/>
    <col min="2547" max="2547" width="23.625" style="1" customWidth="1"/>
    <col min="2548" max="2548" width="8" style="1" customWidth="1"/>
    <col min="2549" max="2549" width="9.125" style="1" customWidth="1"/>
    <col min="2550" max="2550" width="13.875" style="1" customWidth="1"/>
    <col min="2551" max="2551" width="13.5" style="1" customWidth="1"/>
    <col min="2552" max="2798" width="8.875" style="1"/>
    <col min="2799" max="2799" width="5" style="1" customWidth="1"/>
    <col min="2800" max="2800" width="33.375" style="1" customWidth="1"/>
    <col min="2801" max="2801" width="6.5" style="1" customWidth="1"/>
    <col min="2802" max="2802" width="29.5" style="1" customWidth="1"/>
    <col min="2803" max="2803" width="23.625" style="1" customWidth="1"/>
    <col min="2804" max="2804" width="8" style="1" customWidth="1"/>
    <col min="2805" max="2805" width="9.125" style="1" customWidth="1"/>
    <col min="2806" max="2806" width="13.875" style="1" customWidth="1"/>
    <col min="2807" max="2807" width="13.5" style="1" customWidth="1"/>
    <col min="2808" max="3054" width="8.875" style="1"/>
    <col min="3055" max="3055" width="5" style="1" customWidth="1"/>
    <col min="3056" max="3056" width="33.375" style="1" customWidth="1"/>
    <col min="3057" max="3057" width="6.5" style="1" customWidth="1"/>
    <col min="3058" max="3058" width="29.5" style="1" customWidth="1"/>
    <col min="3059" max="3059" width="23.625" style="1" customWidth="1"/>
    <col min="3060" max="3060" width="8" style="1" customWidth="1"/>
    <col min="3061" max="3061" width="9.125" style="1" customWidth="1"/>
    <col min="3062" max="3062" width="13.875" style="1" customWidth="1"/>
    <col min="3063" max="3063" width="13.5" style="1" customWidth="1"/>
    <col min="3064" max="3310" width="8.875" style="1"/>
    <col min="3311" max="3311" width="5" style="1" customWidth="1"/>
    <col min="3312" max="3312" width="33.375" style="1" customWidth="1"/>
    <col min="3313" max="3313" width="6.5" style="1" customWidth="1"/>
    <col min="3314" max="3314" width="29.5" style="1" customWidth="1"/>
    <col min="3315" max="3315" width="23.625" style="1" customWidth="1"/>
    <col min="3316" max="3316" width="8" style="1" customWidth="1"/>
    <col min="3317" max="3317" width="9.125" style="1" customWidth="1"/>
    <col min="3318" max="3318" width="13.875" style="1" customWidth="1"/>
    <col min="3319" max="3319" width="13.5" style="1" customWidth="1"/>
    <col min="3320" max="3566" width="8.875" style="1"/>
    <col min="3567" max="3567" width="5" style="1" customWidth="1"/>
    <col min="3568" max="3568" width="33.375" style="1" customWidth="1"/>
    <col min="3569" max="3569" width="6.5" style="1" customWidth="1"/>
    <col min="3570" max="3570" width="29.5" style="1" customWidth="1"/>
    <col min="3571" max="3571" width="23.625" style="1" customWidth="1"/>
    <col min="3572" max="3572" width="8" style="1" customWidth="1"/>
    <col min="3573" max="3573" width="9.125" style="1" customWidth="1"/>
    <col min="3574" max="3574" width="13.875" style="1" customWidth="1"/>
    <col min="3575" max="3575" width="13.5" style="1" customWidth="1"/>
    <col min="3576" max="3822" width="8.875" style="1"/>
    <col min="3823" max="3823" width="5" style="1" customWidth="1"/>
    <col min="3824" max="3824" width="33.375" style="1" customWidth="1"/>
    <col min="3825" max="3825" width="6.5" style="1" customWidth="1"/>
    <col min="3826" max="3826" width="29.5" style="1" customWidth="1"/>
    <col min="3827" max="3827" width="23.625" style="1" customWidth="1"/>
    <col min="3828" max="3828" width="8" style="1" customWidth="1"/>
    <col min="3829" max="3829" width="9.125" style="1" customWidth="1"/>
    <col min="3830" max="3830" width="13.875" style="1" customWidth="1"/>
    <col min="3831" max="3831" width="13.5" style="1" customWidth="1"/>
    <col min="3832" max="4078" width="8.875" style="1"/>
    <col min="4079" max="4079" width="5" style="1" customWidth="1"/>
    <col min="4080" max="4080" width="33.375" style="1" customWidth="1"/>
    <col min="4081" max="4081" width="6.5" style="1" customWidth="1"/>
    <col min="4082" max="4082" width="29.5" style="1" customWidth="1"/>
    <col min="4083" max="4083" width="23.625" style="1" customWidth="1"/>
    <col min="4084" max="4084" width="8" style="1" customWidth="1"/>
    <col min="4085" max="4085" width="9.125" style="1" customWidth="1"/>
    <col min="4086" max="4086" width="13.875" style="1" customWidth="1"/>
    <col min="4087" max="4087" width="13.5" style="1" customWidth="1"/>
    <col min="4088" max="4334" width="8.875" style="1"/>
    <col min="4335" max="4335" width="5" style="1" customWidth="1"/>
    <col min="4336" max="4336" width="33.375" style="1" customWidth="1"/>
    <col min="4337" max="4337" width="6.5" style="1" customWidth="1"/>
    <col min="4338" max="4338" width="29.5" style="1" customWidth="1"/>
    <col min="4339" max="4339" width="23.625" style="1" customWidth="1"/>
    <col min="4340" max="4340" width="8" style="1" customWidth="1"/>
    <col min="4341" max="4341" width="9.125" style="1" customWidth="1"/>
    <col min="4342" max="4342" width="13.875" style="1" customWidth="1"/>
    <col min="4343" max="4343" width="13.5" style="1" customWidth="1"/>
    <col min="4344" max="4590" width="8.875" style="1"/>
    <col min="4591" max="4591" width="5" style="1" customWidth="1"/>
    <col min="4592" max="4592" width="33.375" style="1" customWidth="1"/>
    <col min="4593" max="4593" width="6.5" style="1" customWidth="1"/>
    <col min="4594" max="4594" width="29.5" style="1" customWidth="1"/>
    <col min="4595" max="4595" width="23.625" style="1" customWidth="1"/>
    <col min="4596" max="4596" width="8" style="1" customWidth="1"/>
    <col min="4597" max="4597" width="9.125" style="1" customWidth="1"/>
    <col min="4598" max="4598" width="13.875" style="1" customWidth="1"/>
    <col min="4599" max="4599" width="13.5" style="1" customWidth="1"/>
    <col min="4600" max="4846" width="8.875" style="1"/>
    <col min="4847" max="4847" width="5" style="1" customWidth="1"/>
    <col min="4848" max="4848" width="33.375" style="1" customWidth="1"/>
    <col min="4849" max="4849" width="6.5" style="1" customWidth="1"/>
    <col min="4850" max="4850" width="29.5" style="1" customWidth="1"/>
    <col min="4851" max="4851" width="23.625" style="1" customWidth="1"/>
    <col min="4852" max="4852" width="8" style="1" customWidth="1"/>
    <col min="4853" max="4853" width="9.125" style="1" customWidth="1"/>
    <col min="4854" max="4854" width="13.875" style="1" customWidth="1"/>
    <col min="4855" max="4855" width="13.5" style="1" customWidth="1"/>
    <col min="4856" max="5102" width="8.875" style="1"/>
    <col min="5103" max="5103" width="5" style="1" customWidth="1"/>
    <col min="5104" max="5104" width="33.375" style="1" customWidth="1"/>
    <col min="5105" max="5105" width="6.5" style="1" customWidth="1"/>
    <col min="5106" max="5106" width="29.5" style="1" customWidth="1"/>
    <col min="5107" max="5107" width="23.625" style="1" customWidth="1"/>
    <col min="5108" max="5108" width="8" style="1" customWidth="1"/>
    <col min="5109" max="5109" width="9.125" style="1" customWidth="1"/>
    <col min="5110" max="5110" width="13.875" style="1" customWidth="1"/>
    <col min="5111" max="5111" width="13.5" style="1" customWidth="1"/>
    <col min="5112" max="5358" width="8.875" style="1"/>
    <col min="5359" max="5359" width="5" style="1" customWidth="1"/>
    <col min="5360" max="5360" width="33.375" style="1" customWidth="1"/>
    <col min="5361" max="5361" width="6.5" style="1" customWidth="1"/>
    <col min="5362" max="5362" width="29.5" style="1" customWidth="1"/>
    <col min="5363" max="5363" width="23.625" style="1" customWidth="1"/>
    <col min="5364" max="5364" width="8" style="1" customWidth="1"/>
    <col min="5365" max="5365" width="9.125" style="1" customWidth="1"/>
    <col min="5366" max="5366" width="13.875" style="1" customWidth="1"/>
    <col min="5367" max="5367" width="13.5" style="1" customWidth="1"/>
    <col min="5368" max="5614" width="8.875" style="1"/>
    <col min="5615" max="5615" width="5" style="1" customWidth="1"/>
    <col min="5616" max="5616" width="33.375" style="1" customWidth="1"/>
    <col min="5617" max="5617" width="6.5" style="1" customWidth="1"/>
    <col min="5618" max="5618" width="29.5" style="1" customWidth="1"/>
    <col min="5619" max="5619" width="23.625" style="1" customWidth="1"/>
    <col min="5620" max="5620" width="8" style="1" customWidth="1"/>
    <col min="5621" max="5621" width="9.125" style="1" customWidth="1"/>
    <col min="5622" max="5622" width="13.875" style="1" customWidth="1"/>
    <col min="5623" max="5623" width="13.5" style="1" customWidth="1"/>
    <col min="5624" max="5870" width="8.875" style="1"/>
    <col min="5871" max="5871" width="5" style="1" customWidth="1"/>
    <col min="5872" max="5872" width="33.375" style="1" customWidth="1"/>
    <col min="5873" max="5873" width="6.5" style="1" customWidth="1"/>
    <col min="5874" max="5874" width="29.5" style="1" customWidth="1"/>
    <col min="5875" max="5875" width="23.625" style="1" customWidth="1"/>
    <col min="5876" max="5876" width="8" style="1" customWidth="1"/>
    <col min="5877" max="5877" width="9.125" style="1" customWidth="1"/>
    <col min="5878" max="5878" width="13.875" style="1" customWidth="1"/>
    <col min="5879" max="5879" width="13.5" style="1" customWidth="1"/>
    <col min="5880" max="6126" width="8.875" style="1"/>
    <col min="6127" max="6127" width="5" style="1" customWidth="1"/>
    <col min="6128" max="6128" width="33.375" style="1" customWidth="1"/>
    <col min="6129" max="6129" width="6.5" style="1" customWidth="1"/>
    <col min="6130" max="6130" width="29.5" style="1" customWidth="1"/>
    <col min="6131" max="6131" width="23.625" style="1" customWidth="1"/>
    <col min="6132" max="6132" width="8" style="1" customWidth="1"/>
    <col min="6133" max="6133" width="9.125" style="1" customWidth="1"/>
    <col min="6134" max="6134" width="13.875" style="1" customWidth="1"/>
    <col min="6135" max="6135" width="13.5" style="1" customWidth="1"/>
    <col min="6136" max="6382" width="8.875" style="1"/>
    <col min="6383" max="6383" width="5" style="1" customWidth="1"/>
    <col min="6384" max="6384" width="33.375" style="1" customWidth="1"/>
    <col min="6385" max="6385" width="6.5" style="1" customWidth="1"/>
    <col min="6386" max="6386" width="29.5" style="1" customWidth="1"/>
    <col min="6387" max="6387" width="23.625" style="1" customWidth="1"/>
    <col min="6388" max="6388" width="8" style="1" customWidth="1"/>
    <col min="6389" max="6389" width="9.125" style="1" customWidth="1"/>
    <col min="6390" max="6390" width="13.875" style="1" customWidth="1"/>
    <col min="6391" max="6391" width="13.5" style="1" customWidth="1"/>
    <col min="6392" max="6638" width="8.875" style="1"/>
    <col min="6639" max="6639" width="5" style="1" customWidth="1"/>
    <col min="6640" max="6640" width="33.375" style="1" customWidth="1"/>
    <col min="6641" max="6641" width="6.5" style="1" customWidth="1"/>
    <col min="6642" max="6642" width="29.5" style="1" customWidth="1"/>
    <col min="6643" max="6643" width="23.625" style="1" customWidth="1"/>
    <col min="6644" max="6644" width="8" style="1" customWidth="1"/>
    <col min="6645" max="6645" width="9.125" style="1" customWidth="1"/>
    <col min="6646" max="6646" width="13.875" style="1" customWidth="1"/>
    <col min="6647" max="6647" width="13.5" style="1" customWidth="1"/>
    <col min="6648" max="6894" width="8.875" style="1"/>
    <col min="6895" max="6895" width="5" style="1" customWidth="1"/>
    <col min="6896" max="6896" width="33.375" style="1" customWidth="1"/>
    <col min="6897" max="6897" width="6.5" style="1" customWidth="1"/>
    <col min="6898" max="6898" width="29.5" style="1" customWidth="1"/>
    <col min="6899" max="6899" width="23.625" style="1" customWidth="1"/>
    <col min="6900" max="6900" width="8" style="1" customWidth="1"/>
    <col min="6901" max="6901" width="9.125" style="1" customWidth="1"/>
    <col min="6902" max="6902" width="13.875" style="1" customWidth="1"/>
    <col min="6903" max="6903" width="13.5" style="1" customWidth="1"/>
    <col min="6904" max="7150" width="8.875" style="1"/>
    <col min="7151" max="7151" width="5" style="1" customWidth="1"/>
    <col min="7152" max="7152" width="33.375" style="1" customWidth="1"/>
    <col min="7153" max="7153" width="6.5" style="1" customWidth="1"/>
    <col min="7154" max="7154" width="29.5" style="1" customWidth="1"/>
    <col min="7155" max="7155" width="23.625" style="1" customWidth="1"/>
    <col min="7156" max="7156" width="8" style="1" customWidth="1"/>
    <col min="7157" max="7157" width="9.125" style="1" customWidth="1"/>
    <col min="7158" max="7158" width="13.875" style="1" customWidth="1"/>
    <col min="7159" max="7159" width="13.5" style="1" customWidth="1"/>
    <col min="7160" max="7406" width="8.875" style="1"/>
    <col min="7407" max="7407" width="5" style="1" customWidth="1"/>
    <col min="7408" max="7408" width="33.375" style="1" customWidth="1"/>
    <col min="7409" max="7409" width="6.5" style="1" customWidth="1"/>
    <col min="7410" max="7410" width="29.5" style="1" customWidth="1"/>
    <col min="7411" max="7411" width="23.625" style="1" customWidth="1"/>
    <col min="7412" max="7412" width="8" style="1" customWidth="1"/>
    <col min="7413" max="7413" width="9.125" style="1" customWidth="1"/>
    <col min="7414" max="7414" width="13.875" style="1" customWidth="1"/>
    <col min="7415" max="7415" width="13.5" style="1" customWidth="1"/>
    <col min="7416" max="7662" width="8.875" style="1"/>
    <col min="7663" max="7663" width="5" style="1" customWidth="1"/>
    <col min="7664" max="7664" width="33.375" style="1" customWidth="1"/>
    <col min="7665" max="7665" width="6.5" style="1" customWidth="1"/>
    <col min="7666" max="7666" width="29.5" style="1" customWidth="1"/>
    <col min="7667" max="7667" width="23.625" style="1" customWidth="1"/>
    <col min="7668" max="7668" width="8" style="1" customWidth="1"/>
    <col min="7669" max="7669" width="9.125" style="1" customWidth="1"/>
    <col min="7670" max="7670" width="13.875" style="1" customWidth="1"/>
    <col min="7671" max="7671" width="13.5" style="1" customWidth="1"/>
    <col min="7672" max="7918" width="8.875" style="1"/>
    <col min="7919" max="7919" width="5" style="1" customWidth="1"/>
    <col min="7920" max="7920" width="33.375" style="1" customWidth="1"/>
    <col min="7921" max="7921" width="6.5" style="1" customWidth="1"/>
    <col min="7922" max="7922" width="29.5" style="1" customWidth="1"/>
    <col min="7923" max="7923" width="23.625" style="1" customWidth="1"/>
    <col min="7924" max="7924" width="8" style="1" customWidth="1"/>
    <col min="7925" max="7925" width="9.125" style="1" customWidth="1"/>
    <col min="7926" max="7926" width="13.875" style="1" customWidth="1"/>
    <col min="7927" max="7927" width="13.5" style="1" customWidth="1"/>
    <col min="7928" max="8174" width="8.875" style="1"/>
    <col min="8175" max="8175" width="5" style="1" customWidth="1"/>
    <col min="8176" max="8176" width="33.375" style="1" customWidth="1"/>
    <col min="8177" max="8177" width="6.5" style="1" customWidth="1"/>
    <col min="8178" max="8178" width="29.5" style="1" customWidth="1"/>
    <col min="8179" max="8179" width="23.625" style="1" customWidth="1"/>
    <col min="8180" max="8180" width="8" style="1" customWidth="1"/>
    <col min="8181" max="8181" width="9.125" style="1" customWidth="1"/>
    <col min="8182" max="8182" width="13.875" style="1" customWidth="1"/>
    <col min="8183" max="8183" width="13.5" style="1" customWidth="1"/>
    <col min="8184" max="8430" width="8.875" style="1"/>
    <col min="8431" max="8431" width="5" style="1" customWidth="1"/>
    <col min="8432" max="8432" width="33.375" style="1" customWidth="1"/>
    <col min="8433" max="8433" width="6.5" style="1" customWidth="1"/>
    <col min="8434" max="8434" width="29.5" style="1" customWidth="1"/>
    <col min="8435" max="8435" width="23.625" style="1" customWidth="1"/>
    <col min="8436" max="8436" width="8" style="1" customWidth="1"/>
    <col min="8437" max="8437" width="9.125" style="1" customWidth="1"/>
    <col min="8438" max="8438" width="13.875" style="1" customWidth="1"/>
    <col min="8439" max="8439" width="13.5" style="1" customWidth="1"/>
    <col min="8440" max="8686" width="8.875" style="1"/>
    <col min="8687" max="8687" width="5" style="1" customWidth="1"/>
    <col min="8688" max="8688" width="33.375" style="1" customWidth="1"/>
    <col min="8689" max="8689" width="6.5" style="1" customWidth="1"/>
    <col min="8690" max="8690" width="29.5" style="1" customWidth="1"/>
    <col min="8691" max="8691" width="23.625" style="1" customWidth="1"/>
    <col min="8692" max="8692" width="8" style="1" customWidth="1"/>
    <col min="8693" max="8693" width="9.125" style="1" customWidth="1"/>
    <col min="8694" max="8694" width="13.875" style="1" customWidth="1"/>
    <col min="8695" max="8695" width="13.5" style="1" customWidth="1"/>
    <col min="8696" max="8942" width="8.875" style="1"/>
    <col min="8943" max="8943" width="5" style="1" customWidth="1"/>
    <col min="8944" max="8944" width="33.375" style="1" customWidth="1"/>
    <col min="8945" max="8945" width="6.5" style="1" customWidth="1"/>
    <col min="8946" max="8946" width="29.5" style="1" customWidth="1"/>
    <col min="8947" max="8947" width="23.625" style="1" customWidth="1"/>
    <col min="8948" max="8948" width="8" style="1" customWidth="1"/>
    <col min="8949" max="8949" width="9.125" style="1" customWidth="1"/>
    <col min="8950" max="8950" width="13.875" style="1" customWidth="1"/>
    <col min="8951" max="8951" width="13.5" style="1" customWidth="1"/>
    <col min="8952" max="9198" width="8.875" style="1"/>
    <col min="9199" max="9199" width="5" style="1" customWidth="1"/>
    <col min="9200" max="9200" width="33.375" style="1" customWidth="1"/>
    <col min="9201" max="9201" width="6.5" style="1" customWidth="1"/>
    <col min="9202" max="9202" width="29.5" style="1" customWidth="1"/>
    <col min="9203" max="9203" width="23.625" style="1" customWidth="1"/>
    <col min="9204" max="9204" width="8" style="1" customWidth="1"/>
    <col min="9205" max="9205" width="9.125" style="1" customWidth="1"/>
    <col min="9206" max="9206" width="13.875" style="1" customWidth="1"/>
    <col min="9207" max="9207" width="13.5" style="1" customWidth="1"/>
    <col min="9208" max="9454" width="8.875" style="1"/>
    <col min="9455" max="9455" width="5" style="1" customWidth="1"/>
    <col min="9456" max="9456" width="33.375" style="1" customWidth="1"/>
    <col min="9457" max="9457" width="6.5" style="1" customWidth="1"/>
    <col min="9458" max="9458" width="29.5" style="1" customWidth="1"/>
    <col min="9459" max="9459" width="23.625" style="1" customWidth="1"/>
    <col min="9460" max="9460" width="8" style="1" customWidth="1"/>
    <col min="9461" max="9461" width="9.125" style="1" customWidth="1"/>
    <col min="9462" max="9462" width="13.875" style="1" customWidth="1"/>
    <col min="9463" max="9463" width="13.5" style="1" customWidth="1"/>
    <col min="9464" max="9710" width="8.875" style="1"/>
    <col min="9711" max="9711" width="5" style="1" customWidth="1"/>
    <col min="9712" max="9712" width="33.375" style="1" customWidth="1"/>
    <col min="9713" max="9713" width="6.5" style="1" customWidth="1"/>
    <col min="9714" max="9714" width="29.5" style="1" customWidth="1"/>
    <col min="9715" max="9715" width="23.625" style="1" customWidth="1"/>
    <col min="9716" max="9716" width="8" style="1" customWidth="1"/>
    <col min="9717" max="9717" width="9.125" style="1" customWidth="1"/>
    <col min="9718" max="9718" width="13.875" style="1" customWidth="1"/>
    <col min="9719" max="9719" width="13.5" style="1" customWidth="1"/>
    <col min="9720" max="9966" width="8.875" style="1"/>
    <col min="9967" max="9967" width="5" style="1" customWidth="1"/>
    <col min="9968" max="9968" width="33.375" style="1" customWidth="1"/>
    <col min="9969" max="9969" width="6.5" style="1" customWidth="1"/>
    <col min="9970" max="9970" width="29.5" style="1" customWidth="1"/>
    <col min="9971" max="9971" width="23.625" style="1" customWidth="1"/>
    <col min="9972" max="9972" width="8" style="1" customWidth="1"/>
    <col min="9973" max="9973" width="9.125" style="1" customWidth="1"/>
    <col min="9974" max="9974" width="13.875" style="1" customWidth="1"/>
    <col min="9975" max="9975" width="13.5" style="1" customWidth="1"/>
    <col min="9976" max="10222" width="8.875" style="1"/>
    <col min="10223" max="10223" width="5" style="1" customWidth="1"/>
    <col min="10224" max="10224" width="33.375" style="1" customWidth="1"/>
    <col min="10225" max="10225" width="6.5" style="1" customWidth="1"/>
    <col min="10226" max="10226" width="29.5" style="1" customWidth="1"/>
    <col min="10227" max="10227" width="23.625" style="1" customWidth="1"/>
    <col min="10228" max="10228" width="8" style="1" customWidth="1"/>
    <col min="10229" max="10229" width="9.125" style="1" customWidth="1"/>
    <col min="10230" max="10230" width="13.875" style="1" customWidth="1"/>
    <col min="10231" max="10231" width="13.5" style="1" customWidth="1"/>
    <col min="10232" max="10478" width="8.875" style="1"/>
    <col min="10479" max="10479" width="5" style="1" customWidth="1"/>
    <col min="10480" max="10480" width="33.375" style="1" customWidth="1"/>
    <col min="10481" max="10481" width="6.5" style="1" customWidth="1"/>
    <col min="10482" max="10482" width="29.5" style="1" customWidth="1"/>
    <col min="10483" max="10483" width="23.625" style="1" customWidth="1"/>
    <col min="10484" max="10484" width="8" style="1" customWidth="1"/>
    <col min="10485" max="10485" width="9.125" style="1" customWidth="1"/>
    <col min="10486" max="10486" width="13.875" style="1" customWidth="1"/>
    <col min="10487" max="10487" width="13.5" style="1" customWidth="1"/>
    <col min="10488" max="10734" width="8.875" style="1"/>
    <col min="10735" max="10735" width="5" style="1" customWidth="1"/>
    <col min="10736" max="10736" width="33.375" style="1" customWidth="1"/>
    <col min="10737" max="10737" width="6.5" style="1" customWidth="1"/>
    <col min="10738" max="10738" width="29.5" style="1" customWidth="1"/>
    <col min="10739" max="10739" width="23.625" style="1" customWidth="1"/>
    <col min="10740" max="10740" width="8" style="1" customWidth="1"/>
    <col min="10741" max="10741" width="9.125" style="1" customWidth="1"/>
    <col min="10742" max="10742" width="13.875" style="1" customWidth="1"/>
    <col min="10743" max="10743" width="13.5" style="1" customWidth="1"/>
    <col min="10744" max="10990" width="8.875" style="1"/>
    <col min="10991" max="10991" width="5" style="1" customWidth="1"/>
    <col min="10992" max="10992" width="33.375" style="1" customWidth="1"/>
    <col min="10993" max="10993" width="6.5" style="1" customWidth="1"/>
    <col min="10994" max="10994" width="29.5" style="1" customWidth="1"/>
    <col min="10995" max="10995" width="23.625" style="1" customWidth="1"/>
    <col min="10996" max="10996" width="8" style="1" customWidth="1"/>
    <col min="10997" max="10997" width="9.125" style="1" customWidth="1"/>
    <col min="10998" max="10998" width="13.875" style="1" customWidth="1"/>
    <col min="10999" max="10999" width="13.5" style="1" customWidth="1"/>
    <col min="11000" max="11246" width="8.875" style="1"/>
    <col min="11247" max="11247" width="5" style="1" customWidth="1"/>
    <col min="11248" max="11248" width="33.375" style="1" customWidth="1"/>
    <col min="11249" max="11249" width="6.5" style="1" customWidth="1"/>
    <col min="11250" max="11250" width="29.5" style="1" customWidth="1"/>
    <col min="11251" max="11251" width="23.625" style="1" customWidth="1"/>
    <col min="11252" max="11252" width="8" style="1" customWidth="1"/>
    <col min="11253" max="11253" width="9.125" style="1" customWidth="1"/>
    <col min="11254" max="11254" width="13.875" style="1" customWidth="1"/>
    <col min="11255" max="11255" width="13.5" style="1" customWidth="1"/>
    <col min="11256" max="11502" width="8.875" style="1"/>
    <col min="11503" max="11503" width="5" style="1" customWidth="1"/>
    <col min="11504" max="11504" width="33.375" style="1" customWidth="1"/>
    <col min="11505" max="11505" width="6.5" style="1" customWidth="1"/>
    <col min="11506" max="11506" width="29.5" style="1" customWidth="1"/>
    <col min="11507" max="11507" width="23.625" style="1" customWidth="1"/>
    <col min="11508" max="11508" width="8" style="1" customWidth="1"/>
    <col min="11509" max="11509" width="9.125" style="1" customWidth="1"/>
    <col min="11510" max="11510" width="13.875" style="1" customWidth="1"/>
    <col min="11511" max="11511" width="13.5" style="1" customWidth="1"/>
    <col min="11512" max="11758" width="8.875" style="1"/>
    <col min="11759" max="11759" width="5" style="1" customWidth="1"/>
    <col min="11760" max="11760" width="33.375" style="1" customWidth="1"/>
    <col min="11761" max="11761" width="6.5" style="1" customWidth="1"/>
    <col min="11762" max="11762" width="29.5" style="1" customWidth="1"/>
    <col min="11763" max="11763" width="23.625" style="1" customWidth="1"/>
    <col min="11764" max="11764" width="8" style="1" customWidth="1"/>
    <col min="11765" max="11765" width="9.125" style="1" customWidth="1"/>
    <col min="11766" max="11766" width="13.875" style="1" customWidth="1"/>
    <col min="11767" max="11767" width="13.5" style="1" customWidth="1"/>
    <col min="11768" max="12014" width="8.875" style="1"/>
    <col min="12015" max="12015" width="5" style="1" customWidth="1"/>
    <col min="12016" max="12016" width="33.375" style="1" customWidth="1"/>
    <col min="12017" max="12017" width="6.5" style="1" customWidth="1"/>
    <col min="12018" max="12018" width="29.5" style="1" customWidth="1"/>
    <col min="12019" max="12019" width="23.625" style="1" customWidth="1"/>
    <col min="12020" max="12020" width="8" style="1" customWidth="1"/>
    <col min="12021" max="12021" width="9.125" style="1" customWidth="1"/>
    <col min="12022" max="12022" width="13.875" style="1" customWidth="1"/>
    <col min="12023" max="12023" width="13.5" style="1" customWidth="1"/>
    <col min="12024" max="12270" width="8.875" style="1"/>
    <col min="12271" max="12271" width="5" style="1" customWidth="1"/>
    <col min="12272" max="12272" width="33.375" style="1" customWidth="1"/>
    <col min="12273" max="12273" width="6.5" style="1" customWidth="1"/>
    <col min="12274" max="12274" width="29.5" style="1" customWidth="1"/>
    <col min="12275" max="12275" width="23.625" style="1" customWidth="1"/>
    <col min="12276" max="12276" width="8" style="1" customWidth="1"/>
    <col min="12277" max="12277" width="9.125" style="1" customWidth="1"/>
    <col min="12278" max="12278" width="13.875" style="1" customWidth="1"/>
    <col min="12279" max="12279" width="13.5" style="1" customWidth="1"/>
    <col min="12280" max="12526" width="8.875" style="1"/>
    <col min="12527" max="12527" width="5" style="1" customWidth="1"/>
    <col min="12528" max="12528" width="33.375" style="1" customWidth="1"/>
    <col min="12529" max="12529" width="6.5" style="1" customWidth="1"/>
    <col min="12530" max="12530" width="29.5" style="1" customWidth="1"/>
    <col min="12531" max="12531" width="23.625" style="1" customWidth="1"/>
    <col min="12532" max="12532" width="8" style="1" customWidth="1"/>
    <col min="12533" max="12533" width="9.125" style="1" customWidth="1"/>
    <col min="12534" max="12534" width="13.875" style="1" customWidth="1"/>
    <col min="12535" max="12535" width="13.5" style="1" customWidth="1"/>
    <col min="12536" max="12782" width="8.875" style="1"/>
    <col min="12783" max="12783" width="5" style="1" customWidth="1"/>
    <col min="12784" max="12784" width="33.375" style="1" customWidth="1"/>
    <col min="12785" max="12785" width="6.5" style="1" customWidth="1"/>
    <col min="12786" max="12786" width="29.5" style="1" customWidth="1"/>
    <col min="12787" max="12787" width="23.625" style="1" customWidth="1"/>
    <col min="12788" max="12788" width="8" style="1" customWidth="1"/>
    <col min="12789" max="12789" width="9.125" style="1" customWidth="1"/>
    <col min="12790" max="12790" width="13.875" style="1" customWidth="1"/>
    <col min="12791" max="12791" width="13.5" style="1" customWidth="1"/>
    <col min="12792" max="13038" width="8.875" style="1"/>
    <col min="13039" max="13039" width="5" style="1" customWidth="1"/>
    <col min="13040" max="13040" width="33.375" style="1" customWidth="1"/>
    <col min="13041" max="13041" width="6.5" style="1" customWidth="1"/>
    <col min="13042" max="13042" width="29.5" style="1" customWidth="1"/>
    <col min="13043" max="13043" width="23.625" style="1" customWidth="1"/>
    <col min="13044" max="13044" width="8" style="1" customWidth="1"/>
    <col min="13045" max="13045" width="9.125" style="1" customWidth="1"/>
    <col min="13046" max="13046" width="13.875" style="1" customWidth="1"/>
    <col min="13047" max="13047" width="13.5" style="1" customWidth="1"/>
    <col min="13048" max="13294" width="8.875" style="1"/>
    <col min="13295" max="13295" width="5" style="1" customWidth="1"/>
    <col min="13296" max="13296" width="33.375" style="1" customWidth="1"/>
    <col min="13297" max="13297" width="6.5" style="1" customWidth="1"/>
    <col min="13298" max="13298" width="29.5" style="1" customWidth="1"/>
    <col min="13299" max="13299" width="23.625" style="1" customWidth="1"/>
    <col min="13300" max="13300" width="8" style="1" customWidth="1"/>
    <col min="13301" max="13301" width="9.125" style="1" customWidth="1"/>
    <col min="13302" max="13302" width="13.875" style="1" customWidth="1"/>
    <col min="13303" max="13303" width="13.5" style="1" customWidth="1"/>
    <col min="13304" max="13550" width="8.875" style="1"/>
    <col min="13551" max="13551" width="5" style="1" customWidth="1"/>
    <col min="13552" max="13552" width="33.375" style="1" customWidth="1"/>
    <col min="13553" max="13553" width="6.5" style="1" customWidth="1"/>
    <col min="13554" max="13554" width="29.5" style="1" customWidth="1"/>
    <col min="13555" max="13555" width="23.625" style="1" customWidth="1"/>
    <col min="13556" max="13556" width="8" style="1" customWidth="1"/>
    <col min="13557" max="13557" width="9.125" style="1" customWidth="1"/>
    <col min="13558" max="13558" width="13.875" style="1" customWidth="1"/>
    <col min="13559" max="13559" width="13.5" style="1" customWidth="1"/>
    <col min="13560" max="13806" width="8.875" style="1"/>
    <col min="13807" max="13807" width="5" style="1" customWidth="1"/>
    <col min="13808" max="13808" width="33.375" style="1" customWidth="1"/>
    <col min="13809" max="13809" width="6.5" style="1" customWidth="1"/>
    <col min="13810" max="13810" width="29.5" style="1" customWidth="1"/>
    <col min="13811" max="13811" width="23.625" style="1" customWidth="1"/>
    <col min="13812" max="13812" width="8" style="1" customWidth="1"/>
    <col min="13813" max="13813" width="9.125" style="1" customWidth="1"/>
    <col min="13814" max="13814" width="13.875" style="1" customWidth="1"/>
    <col min="13815" max="13815" width="13.5" style="1" customWidth="1"/>
    <col min="13816" max="14062" width="8.875" style="1"/>
    <col min="14063" max="14063" width="5" style="1" customWidth="1"/>
    <col min="14064" max="14064" width="33.375" style="1" customWidth="1"/>
    <col min="14065" max="14065" width="6.5" style="1" customWidth="1"/>
    <col min="14066" max="14066" width="29.5" style="1" customWidth="1"/>
    <col min="14067" max="14067" width="23.625" style="1" customWidth="1"/>
    <col min="14068" max="14068" width="8" style="1" customWidth="1"/>
    <col min="14069" max="14069" width="9.125" style="1" customWidth="1"/>
    <col min="14070" max="14070" width="13.875" style="1" customWidth="1"/>
    <col min="14071" max="14071" width="13.5" style="1" customWidth="1"/>
    <col min="14072" max="14318" width="8.875" style="1"/>
    <col min="14319" max="14319" width="5" style="1" customWidth="1"/>
    <col min="14320" max="14320" width="33.375" style="1" customWidth="1"/>
    <col min="14321" max="14321" width="6.5" style="1" customWidth="1"/>
    <col min="14322" max="14322" width="29.5" style="1" customWidth="1"/>
    <col min="14323" max="14323" width="23.625" style="1" customWidth="1"/>
    <col min="14324" max="14324" width="8" style="1" customWidth="1"/>
    <col min="14325" max="14325" width="9.125" style="1" customWidth="1"/>
    <col min="14326" max="14326" width="13.875" style="1" customWidth="1"/>
    <col min="14327" max="14327" width="13.5" style="1" customWidth="1"/>
    <col min="14328" max="14574" width="8.875" style="1"/>
    <col min="14575" max="14575" width="5" style="1" customWidth="1"/>
    <col min="14576" max="14576" width="33.375" style="1" customWidth="1"/>
    <col min="14577" max="14577" width="6.5" style="1" customWidth="1"/>
    <col min="14578" max="14578" width="29.5" style="1" customWidth="1"/>
    <col min="14579" max="14579" width="23.625" style="1" customWidth="1"/>
    <col min="14580" max="14580" width="8" style="1" customWidth="1"/>
    <col min="14581" max="14581" width="9.125" style="1" customWidth="1"/>
    <col min="14582" max="14582" width="13.875" style="1" customWidth="1"/>
    <col min="14583" max="14583" width="13.5" style="1" customWidth="1"/>
    <col min="14584" max="14830" width="8.875" style="1"/>
    <col min="14831" max="14831" width="5" style="1" customWidth="1"/>
    <col min="14832" max="14832" width="33.375" style="1" customWidth="1"/>
    <col min="14833" max="14833" width="6.5" style="1" customWidth="1"/>
    <col min="14834" max="14834" width="29.5" style="1" customWidth="1"/>
    <col min="14835" max="14835" width="23.625" style="1" customWidth="1"/>
    <col min="14836" max="14836" width="8" style="1" customWidth="1"/>
    <col min="14837" max="14837" width="9.125" style="1" customWidth="1"/>
    <col min="14838" max="14838" width="13.875" style="1" customWidth="1"/>
    <col min="14839" max="14839" width="13.5" style="1" customWidth="1"/>
    <col min="14840" max="15086" width="8.875" style="1"/>
    <col min="15087" max="15087" width="5" style="1" customWidth="1"/>
    <col min="15088" max="15088" width="33.375" style="1" customWidth="1"/>
    <col min="15089" max="15089" width="6.5" style="1" customWidth="1"/>
    <col min="15090" max="15090" width="29.5" style="1" customWidth="1"/>
    <col min="15091" max="15091" width="23.625" style="1" customWidth="1"/>
    <col min="15092" max="15092" width="8" style="1" customWidth="1"/>
    <col min="15093" max="15093" width="9.125" style="1" customWidth="1"/>
    <col min="15094" max="15094" width="13.875" style="1" customWidth="1"/>
    <col min="15095" max="15095" width="13.5" style="1" customWidth="1"/>
    <col min="15096" max="15342" width="8.875" style="1"/>
    <col min="15343" max="15343" width="5" style="1" customWidth="1"/>
    <col min="15344" max="15344" width="33.375" style="1" customWidth="1"/>
    <col min="15345" max="15345" width="6.5" style="1" customWidth="1"/>
    <col min="15346" max="15346" width="29.5" style="1" customWidth="1"/>
    <col min="15347" max="15347" width="23.625" style="1" customWidth="1"/>
    <col min="15348" max="15348" width="8" style="1" customWidth="1"/>
    <col min="15349" max="15349" width="9.125" style="1" customWidth="1"/>
    <col min="15350" max="15350" width="13.875" style="1" customWidth="1"/>
    <col min="15351" max="15351" width="13.5" style="1" customWidth="1"/>
    <col min="15352" max="15598" width="8.875" style="1"/>
    <col min="15599" max="15599" width="5" style="1" customWidth="1"/>
    <col min="15600" max="15600" width="33.375" style="1" customWidth="1"/>
    <col min="15601" max="15601" width="6.5" style="1" customWidth="1"/>
    <col min="15602" max="15602" width="29.5" style="1" customWidth="1"/>
    <col min="15603" max="15603" width="23.625" style="1" customWidth="1"/>
    <col min="15604" max="15604" width="8" style="1" customWidth="1"/>
    <col min="15605" max="15605" width="9.125" style="1" customWidth="1"/>
    <col min="15606" max="15606" width="13.875" style="1" customWidth="1"/>
    <col min="15607" max="15607" width="13.5" style="1" customWidth="1"/>
    <col min="15608" max="15854" width="8.875" style="1"/>
    <col min="15855" max="15855" width="5" style="1" customWidth="1"/>
    <col min="15856" max="15856" width="33.375" style="1" customWidth="1"/>
    <col min="15857" max="15857" width="6.5" style="1" customWidth="1"/>
    <col min="15858" max="15858" width="29.5" style="1" customWidth="1"/>
    <col min="15859" max="15859" width="23.625" style="1" customWidth="1"/>
    <col min="15860" max="15860" width="8" style="1" customWidth="1"/>
    <col min="15861" max="15861" width="9.125" style="1" customWidth="1"/>
    <col min="15862" max="15862" width="13.875" style="1" customWidth="1"/>
    <col min="15863" max="15863" width="13.5" style="1" customWidth="1"/>
    <col min="15864" max="16384" width="8.875" style="1"/>
  </cols>
  <sheetData>
    <row r="2" spans="2:18" s="375" customFormat="1">
      <c r="B2" s="374" t="s">
        <v>464</v>
      </c>
      <c r="C2" s="140" t="s">
        <v>132</v>
      </c>
    </row>
    <row r="3" spans="2:18" s="375" customFormat="1">
      <c r="B3" s="374" t="s">
        <v>465</v>
      </c>
      <c r="C3" s="209" t="s">
        <v>255</v>
      </c>
    </row>
    <row r="4" spans="2:18" s="375" customFormat="1">
      <c r="B4" s="374" t="s">
        <v>466</v>
      </c>
      <c r="C4" s="140" t="s">
        <v>133</v>
      </c>
    </row>
    <row r="5" spans="2:18">
      <c r="E5" s="2"/>
      <c r="G5" s="1"/>
      <c r="H5" s="1"/>
      <c r="M5" s="2"/>
      <c r="Q5" s="1"/>
    </row>
    <row r="6" spans="2:18" s="3" customFormat="1" ht="23.1" customHeight="1">
      <c r="B6" s="99" t="s">
        <v>61</v>
      </c>
      <c r="C6" s="376" t="s">
        <v>616</v>
      </c>
      <c r="D6" s="95"/>
      <c r="E6" s="95"/>
      <c r="F6" s="7"/>
      <c r="G6" s="7"/>
      <c r="H6" s="7"/>
      <c r="I6" s="7"/>
      <c r="J6" s="7"/>
      <c r="K6" s="7"/>
      <c r="L6" s="7"/>
      <c r="M6" s="7"/>
    </row>
    <row r="7" spans="2:18" s="3" customFormat="1" ht="3.95" customHeight="1">
      <c r="M7" s="44"/>
    </row>
    <row r="8" spans="2:18" s="3" customFormat="1" ht="20.100000000000001" customHeight="1">
      <c r="B8" s="213" t="s">
        <v>279</v>
      </c>
      <c r="C8" s="213" t="s">
        <v>571</v>
      </c>
      <c r="D8" s="212"/>
      <c r="E8" s="212" t="s">
        <v>405</v>
      </c>
      <c r="F8" s="212" t="s">
        <v>441</v>
      </c>
      <c r="G8" s="212"/>
      <c r="H8" s="212"/>
      <c r="I8" s="31"/>
    </row>
    <row r="9" spans="2:18" s="3" customFormat="1" ht="18.95" customHeight="1">
      <c r="B9" s="213" t="s">
        <v>280</v>
      </c>
      <c r="C9" s="472" t="s">
        <v>572</v>
      </c>
      <c r="D9" s="212"/>
      <c r="E9" s="212" t="s">
        <v>467</v>
      </c>
      <c r="F9" s="211" t="s">
        <v>471</v>
      </c>
      <c r="G9" s="211"/>
      <c r="H9" s="211"/>
      <c r="I9" s="31"/>
    </row>
    <row r="10" spans="2:18" s="3" customFormat="1">
      <c r="M10" s="44"/>
    </row>
    <row r="11" spans="2:18" ht="20.100000000000001" customHeight="1">
      <c r="B11" s="377" t="s">
        <v>21</v>
      </c>
      <c r="C11" s="378" t="s">
        <v>468</v>
      </c>
      <c r="D11" s="379"/>
      <c r="E11" s="380"/>
      <c r="F11" s="380"/>
      <c r="G11" s="381"/>
      <c r="H11" s="381"/>
      <c r="I11" s="380"/>
      <c r="J11" s="380"/>
      <c r="K11" s="380"/>
      <c r="L11" s="382"/>
      <c r="M11" s="382"/>
      <c r="N11" s="382"/>
      <c r="O11" s="383"/>
      <c r="P11" s="384"/>
      <c r="Q11" s="385">
        <f>Q13+Q14</f>
        <v>0</v>
      </c>
    </row>
    <row r="12" spans="2:18" s="4" customFormat="1" ht="27.95" customHeight="1">
      <c r="B12" s="386"/>
      <c r="C12" s="1081" t="s">
        <v>8</v>
      </c>
      <c r="D12" s="1082"/>
      <c r="E12" s="1082"/>
      <c r="F12" s="1082"/>
      <c r="G12" s="1082"/>
      <c r="H12" s="1082"/>
      <c r="I12" s="1083" t="s">
        <v>154</v>
      </c>
      <c r="J12" s="1083"/>
      <c r="K12" s="1083"/>
      <c r="L12" s="1083" t="s">
        <v>174</v>
      </c>
      <c r="M12" s="1083"/>
      <c r="N12" s="388" t="s">
        <v>173</v>
      </c>
      <c r="O12" s="387" t="s">
        <v>32</v>
      </c>
      <c r="P12" s="387" t="s">
        <v>2</v>
      </c>
      <c r="Q12" s="386" t="s">
        <v>20</v>
      </c>
    </row>
    <row r="13" spans="2:18" ht="21" customHeight="1">
      <c r="B13" s="86">
        <v>1</v>
      </c>
      <c r="C13" s="1084" t="s">
        <v>185</v>
      </c>
      <c r="D13" s="1084"/>
      <c r="E13" s="1084"/>
      <c r="F13" s="1084"/>
      <c r="G13" s="1084"/>
      <c r="H13" s="1084"/>
      <c r="I13" s="1085">
        <v>0.4</v>
      </c>
      <c r="J13" s="1085"/>
      <c r="K13" s="1085"/>
      <c r="L13" s="1086">
        <v>1</v>
      </c>
      <c r="M13" s="1086"/>
      <c r="N13" s="390"/>
      <c r="O13" s="390">
        <f>N13/L13</f>
        <v>0</v>
      </c>
      <c r="P13" s="390"/>
      <c r="Q13" s="391">
        <f>I13*O13</f>
        <v>0</v>
      </c>
      <c r="R13" s="69"/>
    </row>
    <row r="14" spans="2:18" ht="21" customHeight="1">
      <c r="B14" s="86">
        <v>2</v>
      </c>
      <c r="C14" s="1087" t="s">
        <v>469</v>
      </c>
      <c r="D14" s="1087"/>
      <c r="E14" s="1087"/>
      <c r="F14" s="1087"/>
      <c r="G14" s="1087"/>
      <c r="H14" s="1087"/>
      <c r="I14" s="1088">
        <v>0.6</v>
      </c>
      <c r="J14" s="1088"/>
      <c r="K14" s="1088"/>
      <c r="L14" s="1089">
        <v>1</v>
      </c>
      <c r="M14" s="1089"/>
      <c r="N14" s="392"/>
      <c r="O14" s="392">
        <f>N14/L14</f>
        <v>0</v>
      </c>
      <c r="P14" s="392"/>
      <c r="Q14" s="391">
        <f>I14*O14</f>
        <v>0</v>
      </c>
      <c r="R14" s="69"/>
    </row>
    <row r="15" spans="2:18" ht="21" customHeight="1">
      <c r="B15" s="377" t="s">
        <v>22</v>
      </c>
      <c r="C15" s="393" t="s">
        <v>54</v>
      </c>
      <c r="D15" s="379"/>
      <c r="E15" s="380"/>
      <c r="F15" s="380"/>
      <c r="G15" s="381"/>
      <c r="H15" s="381"/>
      <c r="I15" s="380"/>
      <c r="J15" s="380"/>
      <c r="K15" s="380"/>
      <c r="L15" s="1090"/>
      <c r="M15" s="1090"/>
      <c r="N15" s="1090"/>
      <c r="O15" s="383"/>
      <c r="P15" s="384"/>
      <c r="Q15" s="394">
        <f>SUM(Q17:Q21)</f>
        <v>0</v>
      </c>
      <c r="R15" s="69"/>
    </row>
    <row r="16" spans="2:18" s="4" customFormat="1" ht="29.1" customHeight="1">
      <c r="B16" s="386"/>
      <c r="C16" s="387" t="s">
        <v>31</v>
      </c>
      <c r="D16" s="387" t="s">
        <v>152</v>
      </c>
      <c r="E16" s="1083" t="s">
        <v>39</v>
      </c>
      <c r="F16" s="1091"/>
      <c r="G16" s="1083" t="s">
        <v>17</v>
      </c>
      <c r="H16" s="1091"/>
      <c r="I16" s="1083" t="s">
        <v>116</v>
      </c>
      <c r="J16" s="1083"/>
      <c r="K16" s="1083"/>
      <c r="L16" s="1083" t="s">
        <v>19</v>
      </c>
      <c r="M16" s="1083"/>
      <c r="N16" s="388" t="s">
        <v>174</v>
      </c>
      <c r="O16" s="387" t="s">
        <v>164</v>
      </c>
      <c r="P16" s="387" t="s">
        <v>32</v>
      </c>
      <c r="Q16" s="386" t="s">
        <v>20</v>
      </c>
    </row>
    <row r="17" spans="2:17" ht="54.95" customHeight="1">
      <c r="B17" s="86">
        <v>1</v>
      </c>
      <c r="C17" s="343" t="s">
        <v>588</v>
      </c>
      <c r="D17" s="469">
        <v>0.25</v>
      </c>
      <c r="E17" s="1084" t="s">
        <v>432</v>
      </c>
      <c r="F17" s="1084"/>
      <c r="G17" s="1092" t="s">
        <v>413</v>
      </c>
      <c r="H17" s="1093"/>
      <c r="I17" s="1094" t="s">
        <v>471</v>
      </c>
      <c r="J17" s="1095"/>
      <c r="K17" s="1096"/>
      <c r="L17" s="1097" t="s">
        <v>414</v>
      </c>
      <c r="M17" s="1097"/>
      <c r="N17" s="364">
        <v>4</v>
      </c>
      <c r="O17" s="364"/>
      <c r="P17" s="365" t="str">
        <f>IF(LEN(O17)=0,"",IF(O17=N17,1,0))</f>
        <v/>
      </c>
      <c r="Q17" s="358" t="str">
        <f t="shared" ref="Q17:Q21" si="0">IFERROR(P17*D17,"")</f>
        <v/>
      </c>
    </row>
    <row r="18" spans="2:17" ht="54" customHeight="1">
      <c r="B18" s="86">
        <v>2</v>
      </c>
      <c r="C18" s="343" t="s">
        <v>424</v>
      </c>
      <c r="D18" s="469">
        <v>0.2</v>
      </c>
      <c r="E18" s="1087" t="s">
        <v>504</v>
      </c>
      <c r="F18" s="1087"/>
      <c r="G18" s="1092" t="s">
        <v>413</v>
      </c>
      <c r="H18" s="1093"/>
      <c r="I18" s="1094" t="s">
        <v>529</v>
      </c>
      <c r="J18" s="1095"/>
      <c r="K18" s="1096"/>
      <c r="L18" s="1097" t="s">
        <v>414</v>
      </c>
      <c r="M18" s="1097"/>
      <c r="N18" s="364">
        <v>0</v>
      </c>
      <c r="O18" s="364"/>
      <c r="P18" s="365" t="str">
        <f>IF(LEN(O18)=0,"",IF(O18=N18,1,0))</f>
        <v/>
      </c>
      <c r="Q18" s="358" t="str">
        <f t="shared" si="0"/>
        <v/>
      </c>
    </row>
    <row r="19" spans="2:17" ht="51" customHeight="1">
      <c r="B19" s="86">
        <v>3</v>
      </c>
      <c r="C19" s="525" t="s">
        <v>462</v>
      </c>
      <c r="D19" s="530">
        <v>0.2</v>
      </c>
      <c r="E19" s="1087" t="s">
        <v>505</v>
      </c>
      <c r="F19" s="1087"/>
      <c r="G19" s="1092" t="s">
        <v>413</v>
      </c>
      <c r="H19" s="1093"/>
      <c r="I19" s="1094" t="s">
        <v>471</v>
      </c>
      <c r="J19" s="1095"/>
      <c r="K19" s="1096"/>
      <c r="L19" s="1097" t="s">
        <v>414</v>
      </c>
      <c r="M19" s="1097"/>
      <c r="N19" s="364">
        <v>0</v>
      </c>
      <c r="O19" s="364"/>
      <c r="P19" s="365" t="str">
        <f>IF(LEN(O19)=0,"",IF(O19=N19,1,0))</f>
        <v/>
      </c>
      <c r="Q19" s="358" t="str">
        <f t="shared" si="0"/>
        <v/>
      </c>
    </row>
    <row r="20" spans="2:17" ht="51" customHeight="1">
      <c r="B20" s="86">
        <v>4</v>
      </c>
      <c r="C20" s="361" t="s">
        <v>392</v>
      </c>
      <c r="D20" s="469">
        <v>0.15</v>
      </c>
      <c r="E20" s="1087" t="s">
        <v>354</v>
      </c>
      <c r="F20" s="1087"/>
      <c r="G20" s="1092" t="s">
        <v>319</v>
      </c>
      <c r="H20" s="1093"/>
      <c r="I20" s="1094" t="s">
        <v>321</v>
      </c>
      <c r="J20" s="1095"/>
      <c r="K20" s="1096"/>
      <c r="L20" s="1097" t="s">
        <v>326</v>
      </c>
      <c r="M20" s="1097"/>
      <c r="N20" s="346">
        <v>0.05</v>
      </c>
      <c r="O20" s="346"/>
      <c r="P20" s="345" t="str">
        <f>IF(LEN(O20)=0,"",IF(O20&lt;N20*80%,0,MIN(120%,O20/N20*100%)))</f>
        <v/>
      </c>
      <c r="Q20" s="358" t="str">
        <f t="shared" si="0"/>
        <v/>
      </c>
    </row>
    <row r="21" spans="2:17" ht="51" customHeight="1">
      <c r="B21" s="86">
        <v>5</v>
      </c>
      <c r="C21" s="361" t="s">
        <v>463</v>
      </c>
      <c r="D21" s="469">
        <v>0.2</v>
      </c>
      <c r="E21" s="1087" t="s">
        <v>506</v>
      </c>
      <c r="F21" s="1087"/>
      <c r="G21" s="1092" t="s">
        <v>413</v>
      </c>
      <c r="H21" s="1093"/>
      <c r="I21" s="1094" t="s">
        <v>471</v>
      </c>
      <c r="J21" s="1095"/>
      <c r="K21" s="1096"/>
      <c r="L21" s="1097" t="s">
        <v>414</v>
      </c>
      <c r="M21" s="1097"/>
      <c r="N21" s="364">
        <v>0</v>
      </c>
      <c r="O21" s="364"/>
      <c r="P21" s="365" t="str">
        <f>IF(LEN(O21)=0,"",IF(O21=N21,1,0))</f>
        <v/>
      </c>
      <c r="Q21" s="358" t="str">
        <f t="shared" si="0"/>
        <v/>
      </c>
    </row>
    <row r="22" spans="2:17" ht="20.100000000000001" customHeight="1">
      <c r="B22" s="377" t="s">
        <v>40</v>
      </c>
      <c r="C22" s="378" t="s">
        <v>186</v>
      </c>
      <c r="D22" s="379"/>
      <c r="E22" s="380"/>
      <c r="F22" s="380"/>
      <c r="G22" s="381"/>
      <c r="H22" s="381"/>
      <c r="I22" s="380"/>
      <c r="J22" s="380"/>
      <c r="K22" s="380"/>
      <c r="L22" s="1090"/>
      <c r="M22" s="1090"/>
      <c r="N22" s="1090"/>
      <c r="O22" s="383"/>
      <c r="P22" s="384"/>
      <c r="Q22" s="385" t="e">
        <f>SUM(Q25:Q29)/5</f>
        <v>#DIV/0!</v>
      </c>
    </row>
    <row r="23" spans="2:17" s="4" customFormat="1" ht="26.1" customHeight="1">
      <c r="B23" s="1098"/>
      <c r="C23" s="1081" t="s">
        <v>8</v>
      </c>
      <c r="D23" s="1081"/>
      <c r="E23" s="1081"/>
      <c r="F23" s="1081"/>
      <c r="G23" s="1081"/>
      <c r="H23" s="1081"/>
      <c r="I23" s="1100" t="s">
        <v>118</v>
      </c>
      <c r="J23" s="1100"/>
      <c r="K23" s="1100"/>
      <c r="L23" s="1100"/>
      <c r="M23" s="1100"/>
      <c r="N23" s="1100"/>
      <c r="O23" s="1101" t="s">
        <v>123</v>
      </c>
      <c r="P23" s="1100" t="s">
        <v>125</v>
      </c>
      <c r="Q23" s="1098" t="s">
        <v>102</v>
      </c>
    </row>
    <row r="24" spans="2:17" s="4" customFormat="1" ht="39" customHeight="1">
      <c r="B24" s="1098"/>
      <c r="C24" s="1099"/>
      <c r="D24" s="1099"/>
      <c r="E24" s="1099"/>
      <c r="F24" s="1099"/>
      <c r="G24" s="1099"/>
      <c r="H24" s="1099"/>
      <c r="I24" s="1104" t="s">
        <v>119</v>
      </c>
      <c r="J24" s="1104"/>
      <c r="K24" s="398" t="s">
        <v>120</v>
      </c>
      <c r="L24" s="398" t="s">
        <v>153</v>
      </c>
      <c r="M24" s="398" t="s">
        <v>121</v>
      </c>
      <c r="N24" s="398" t="s">
        <v>122</v>
      </c>
      <c r="O24" s="1102"/>
      <c r="P24" s="1103"/>
      <c r="Q24" s="1098"/>
    </row>
    <row r="25" spans="2:17" s="45" customFormat="1" ht="32.1" customHeight="1">
      <c r="B25" s="86">
        <v>1</v>
      </c>
      <c r="C25" s="1105" t="s">
        <v>62</v>
      </c>
      <c r="D25" s="1105"/>
      <c r="E25" s="1105"/>
      <c r="F25" s="1105"/>
      <c r="G25" s="1105"/>
      <c r="H25" s="1105"/>
      <c r="I25" s="1106">
        <v>1</v>
      </c>
      <c r="J25" s="1106"/>
      <c r="K25" s="400">
        <v>2</v>
      </c>
      <c r="L25" s="399">
        <v>3</v>
      </c>
      <c r="M25" s="400">
        <v>4</v>
      </c>
      <c r="N25" s="399">
        <v>5</v>
      </c>
      <c r="O25" s="401"/>
      <c r="P25" s="399"/>
      <c r="Q25" s="391" t="e">
        <f>P25/O25</f>
        <v>#DIV/0!</v>
      </c>
    </row>
    <row r="26" spans="2:17" s="45" customFormat="1" ht="32.1" customHeight="1">
      <c r="B26" s="86">
        <f>B25+1</f>
        <v>2</v>
      </c>
      <c r="C26" s="1105" t="s">
        <v>63</v>
      </c>
      <c r="D26" s="1105"/>
      <c r="E26" s="1105"/>
      <c r="F26" s="1105"/>
      <c r="G26" s="1105"/>
      <c r="H26" s="1105"/>
      <c r="I26" s="1106">
        <v>1</v>
      </c>
      <c r="J26" s="1106"/>
      <c r="K26" s="400">
        <v>2</v>
      </c>
      <c r="L26" s="399">
        <v>3</v>
      </c>
      <c r="M26" s="400">
        <v>4</v>
      </c>
      <c r="N26" s="399">
        <v>5</v>
      </c>
      <c r="O26" s="401"/>
      <c r="P26" s="399"/>
      <c r="Q26" s="391" t="e">
        <f>P26/O26</f>
        <v>#DIV/0!</v>
      </c>
    </row>
    <row r="27" spans="2:17" s="45" customFormat="1" ht="32.1" customHeight="1">
      <c r="B27" s="86">
        <v>3</v>
      </c>
      <c r="C27" s="1105" t="s">
        <v>64</v>
      </c>
      <c r="D27" s="1105"/>
      <c r="E27" s="1105"/>
      <c r="F27" s="1105"/>
      <c r="G27" s="1105"/>
      <c r="H27" s="1105"/>
      <c r="I27" s="1106">
        <v>1</v>
      </c>
      <c r="J27" s="1106"/>
      <c r="K27" s="400">
        <v>2</v>
      </c>
      <c r="L27" s="399">
        <v>3</v>
      </c>
      <c r="M27" s="400">
        <v>4</v>
      </c>
      <c r="N27" s="399">
        <v>5</v>
      </c>
      <c r="O27" s="401"/>
      <c r="P27" s="399"/>
      <c r="Q27" s="391" t="e">
        <f>P27/O27</f>
        <v>#DIV/0!</v>
      </c>
    </row>
    <row r="28" spans="2:17" s="45" customFormat="1" ht="32.1" customHeight="1">
      <c r="B28" s="86">
        <f>B27+1</f>
        <v>4</v>
      </c>
      <c r="C28" s="1105" t="s">
        <v>65</v>
      </c>
      <c r="D28" s="1105"/>
      <c r="E28" s="1105"/>
      <c r="F28" s="1105"/>
      <c r="G28" s="1105"/>
      <c r="H28" s="1105"/>
      <c r="I28" s="1106">
        <v>1</v>
      </c>
      <c r="J28" s="1106"/>
      <c r="K28" s="400">
        <v>2</v>
      </c>
      <c r="L28" s="399">
        <v>3</v>
      </c>
      <c r="M28" s="400">
        <v>4</v>
      </c>
      <c r="N28" s="399">
        <v>5</v>
      </c>
      <c r="O28" s="401"/>
      <c r="P28" s="399"/>
      <c r="Q28" s="391" t="e">
        <f>P28/O28</f>
        <v>#DIV/0!</v>
      </c>
    </row>
    <row r="29" spans="2:17" s="45" customFormat="1" ht="32.1" customHeight="1">
      <c r="B29" s="86">
        <v>5</v>
      </c>
      <c r="C29" s="1107" t="s">
        <v>66</v>
      </c>
      <c r="D29" s="1107"/>
      <c r="E29" s="1107"/>
      <c r="F29" s="1107"/>
      <c r="G29" s="1107"/>
      <c r="H29" s="1107"/>
      <c r="I29" s="1108">
        <v>1</v>
      </c>
      <c r="J29" s="1108"/>
      <c r="K29" s="403">
        <v>2</v>
      </c>
      <c r="L29" s="402">
        <v>3</v>
      </c>
      <c r="M29" s="403">
        <v>4</v>
      </c>
      <c r="N29" s="402">
        <v>5</v>
      </c>
      <c r="O29" s="404"/>
      <c r="P29" s="402"/>
      <c r="Q29" s="391" t="e">
        <f>P29/O29</f>
        <v>#DIV/0!</v>
      </c>
    </row>
    <row r="30" spans="2:17" ht="20.100000000000001" customHeight="1">
      <c r="B30" s="377" t="s">
        <v>41</v>
      </c>
      <c r="C30" s="378" t="s">
        <v>42</v>
      </c>
      <c r="D30" s="379"/>
      <c r="E30" s="380"/>
      <c r="F30" s="380"/>
      <c r="G30" s="381"/>
      <c r="H30" s="381"/>
      <c r="I30" s="380"/>
      <c r="J30" s="380"/>
      <c r="K30" s="380"/>
      <c r="L30" s="382"/>
      <c r="M30" s="382"/>
      <c r="N30" s="382"/>
      <c r="O30" s="383"/>
      <c r="P30" s="384"/>
      <c r="Q30" s="385" t="e">
        <f>SUM(N32:N34)</f>
        <v>#DIV/0!</v>
      </c>
    </row>
    <row r="31" spans="2:17" s="4" customFormat="1" ht="18.95" customHeight="1">
      <c r="B31" s="386"/>
      <c r="C31" s="1082" t="s">
        <v>8</v>
      </c>
      <c r="D31" s="1082"/>
      <c r="E31" s="1082"/>
      <c r="F31" s="1082"/>
      <c r="G31" s="1082"/>
      <c r="H31" s="1082"/>
      <c r="I31" s="1083" t="s">
        <v>43</v>
      </c>
      <c r="J31" s="1083"/>
      <c r="K31" s="1083"/>
      <c r="L31" s="1083" t="s">
        <v>154</v>
      </c>
      <c r="M31" s="1083"/>
      <c r="N31" s="387" t="s">
        <v>67</v>
      </c>
      <c r="O31" s="1083" t="s">
        <v>44</v>
      </c>
      <c r="P31" s="1083"/>
      <c r="Q31" s="1098"/>
    </row>
    <row r="32" spans="2:17" s="45" customFormat="1" ht="21" customHeight="1">
      <c r="B32" s="86">
        <v>1</v>
      </c>
      <c r="C32" s="1109" t="s">
        <v>470</v>
      </c>
      <c r="D32" s="1109"/>
      <c r="E32" s="1109"/>
      <c r="F32" s="1109"/>
      <c r="G32" s="1109"/>
      <c r="H32" s="1109"/>
      <c r="I32" s="1085">
        <f>Q11</f>
        <v>0</v>
      </c>
      <c r="J32" s="1085"/>
      <c r="K32" s="1085"/>
      <c r="L32" s="1110">
        <v>0.2</v>
      </c>
      <c r="M32" s="1110"/>
      <c r="N32" s="390">
        <f>I32*L32</f>
        <v>0</v>
      </c>
      <c r="O32" s="1111" t="e">
        <f>IF(Q30=0,"",IF(Q30&gt;100%,"XUẤT SẮC",IF(Q30&gt;=90%,"TỐT",IF(Q30&gt;=80%,"HOÀN THÀNH","KHÔNG HOÀN THÀNH"))))</f>
        <v>#DIV/0!</v>
      </c>
      <c r="P32" s="1112"/>
      <c r="Q32" s="1112"/>
    </row>
    <row r="33" spans="2:17" s="45" customFormat="1" ht="21" customHeight="1">
      <c r="B33" s="86">
        <f>B32+1</f>
        <v>2</v>
      </c>
      <c r="C33" s="1109" t="s">
        <v>155</v>
      </c>
      <c r="D33" s="1109"/>
      <c r="E33" s="1109"/>
      <c r="F33" s="1109"/>
      <c r="G33" s="1109"/>
      <c r="H33" s="1109"/>
      <c r="I33" s="1085">
        <f>Q15</f>
        <v>0</v>
      </c>
      <c r="J33" s="1085"/>
      <c r="K33" s="1085"/>
      <c r="L33" s="1110">
        <v>0.7</v>
      </c>
      <c r="M33" s="1110"/>
      <c r="N33" s="390">
        <f>I33*L33</f>
        <v>0</v>
      </c>
      <c r="O33" s="1112"/>
      <c r="P33" s="1112"/>
      <c r="Q33" s="1112"/>
    </row>
    <row r="34" spans="2:17" s="45" customFormat="1" ht="21" customHeight="1">
      <c r="B34" s="86">
        <f>B33+1</f>
        <v>3</v>
      </c>
      <c r="C34" s="1114" t="s">
        <v>187</v>
      </c>
      <c r="D34" s="1114"/>
      <c r="E34" s="1114"/>
      <c r="F34" s="1114"/>
      <c r="G34" s="1114"/>
      <c r="H34" s="1114"/>
      <c r="I34" s="1088" t="e">
        <f>Q22</f>
        <v>#DIV/0!</v>
      </c>
      <c r="J34" s="1088"/>
      <c r="K34" s="1088"/>
      <c r="L34" s="1115">
        <v>0.1</v>
      </c>
      <c r="M34" s="1115"/>
      <c r="N34" s="392" t="e">
        <f>I34*L34</f>
        <v>#DIV/0!</v>
      </c>
      <c r="O34" s="1113"/>
      <c r="P34" s="1113"/>
      <c r="Q34" s="1113"/>
    </row>
    <row r="35" spans="2:17" ht="18.95" customHeight="1">
      <c r="B35" s="377" t="s">
        <v>45</v>
      </c>
      <c r="C35" s="393" t="s">
        <v>46</v>
      </c>
      <c r="D35" s="380"/>
      <c r="E35" s="380"/>
      <c r="F35" s="380"/>
      <c r="G35" s="381"/>
      <c r="H35" s="381"/>
      <c r="I35" s="380"/>
      <c r="J35" s="380"/>
      <c r="K35" s="380"/>
      <c r="L35" s="380"/>
      <c r="M35" s="380"/>
      <c r="N35" s="380"/>
      <c r="O35" s="380"/>
      <c r="P35" s="380"/>
      <c r="Q35" s="405"/>
    </row>
    <row r="36" spans="2:17" ht="57.95" customHeight="1">
      <c r="B36" s="406">
        <v>1</v>
      </c>
      <c r="C36" s="1116" t="s">
        <v>47</v>
      </c>
      <c r="D36" s="1116"/>
      <c r="E36" s="1116"/>
      <c r="F36" s="1116"/>
      <c r="G36" s="1116"/>
      <c r="H36" s="1116"/>
      <c r="I36" s="1117" t="s">
        <v>48</v>
      </c>
      <c r="J36" s="1117"/>
      <c r="K36" s="1117"/>
      <c r="L36" s="1117"/>
      <c r="M36" s="1117"/>
      <c r="N36" s="1118" t="s">
        <v>49</v>
      </c>
      <c r="O36" s="1118"/>
      <c r="P36" s="1118" t="s">
        <v>50</v>
      </c>
      <c r="Q36" s="1118"/>
    </row>
    <row r="37" spans="2:17" ht="105" customHeight="1">
      <c r="B37" s="406">
        <v>2</v>
      </c>
      <c r="C37" s="1119" t="s">
        <v>51</v>
      </c>
      <c r="D37" s="1119"/>
      <c r="E37" s="1119"/>
      <c r="F37" s="1119"/>
      <c r="G37" s="1119"/>
      <c r="H37" s="1119"/>
      <c r="I37" s="1120" t="s">
        <v>52</v>
      </c>
      <c r="J37" s="1093"/>
      <c r="K37" s="1093"/>
      <c r="L37" s="1093"/>
      <c r="M37" s="1093"/>
      <c r="N37" s="1093"/>
      <c r="O37" s="1093"/>
      <c r="P37" s="1093"/>
      <c r="Q37" s="1093"/>
    </row>
    <row r="38" spans="2:17">
      <c r="B38" s="5"/>
      <c r="C38" s="5"/>
      <c r="D38" s="5"/>
      <c r="E38" s="5"/>
      <c r="F38" s="5"/>
      <c r="G38" s="6"/>
      <c r="H38" s="6"/>
      <c r="I38" s="5"/>
      <c r="J38" s="5"/>
      <c r="K38" s="5"/>
      <c r="L38" s="5"/>
      <c r="M38" s="5"/>
      <c r="N38" s="5"/>
      <c r="O38" s="5"/>
      <c r="P38" s="5"/>
      <c r="Q38" s="6"/>
    </row>
    <row r="39" spans="2:17" ht="12.95" customHeight="1">
      <c r="B39" s="37"/>
      <c r="C39" s="47"/>
      <c r="D39" s="38"/>
      <c r="E39" s="38"/>
      <c r="F39" s="38"/>
      <c r="G39" s="37"/>
      <c r="H39" s="37"/>
      <c r="I39" s="38"/>
      <c r="J39" s="38"/>
      <c r="K39" s="38"/>
      <c r="L39" s="38"/>
      <c r="M39" s="38"/>
      <c r="N39" s="38"/>
      <c r="O39" s="38"/>
      <c r="P39" s="38"/>
      <c r="Q39" s="37"/>
    </row>
    <row r="40" spans="2:17" s="51" customFormat="1" ht="32.1" customHeight="1">
      <c r="B40" s="1079" t="s">
        <v>539</v>
      </c>
      <c r="C40" s="975"/>
      <c r="D40" s="1079" t="s">
        <v>537</v>
      </c>
      <c r="E40" s="975"/>
      <c r="F40" s="975"/>
      <c r="G40" s="975"/>
      <c r="H40" s="975"/>
      <c r="I40" s="471"/>
      <c r="J40" s="1079" t="s">
        <v>540</v>
      </c>
      <c r="K40" s="1079"/>
      <c r="L40" s="1079"/>
      <c r="M40" s="1079"/>
      <c r="N40" s="1079"/>
      <c r="O40" s="1079"/>
      <c r="P40" s="1079"/>
      <c r="Q40" s="1079"/>
    </row>
    <row r="41" spans="2:17">
      <c r="B41" s="6"/>
      <c r="C41" s="5"/>
      <c r="D41" s="5"/>
      <c r="E41" s="5"/>
      <c r="F41" s="5"/>
      <c r="G41" s="6"/>
      <c r="I41" s="6"/>
      <c r="J41" s="6"/>
      <c r="K41" s="6"/>
      <c r="L41" s="5"/>
      <c r="M41" s="5"/>
      <c r="N41" s="5"/>
      <c r="O41" s="5"/>
      <c r="P41" s="5"/>
      <c r="Q41" s="5"/>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6"/>
      <c r="C45" s="5"/>
      <c r="D45" s="5"/>
      <c r="E45" s="5"/>
      <c r="F45" s="5"/>
      <c r="G45" s="6"/>
      <c r="I45" s="5"/>
      <c r="J45" s="6"/>
      <c r="K45" s="5"/>
      <c r="L45" s="5"/>
      <c r="M45" s="5"/>
      <c r="N45" s="5"/>
      <c r="O45" s="5"/>
      <c r="P45" s="5"/>
      <c r="Q45" s="6"/>
    </row>
    <row r="46" spans="2:17">
      <c r="B46" s="6"/>
      <c r="C46" s="5"/>
      <c r="D46" s="5"/>
      <c r="E46" s="5"/>
      <c r="F46" s="5"/>
      <c r="G46" s="6"/>
      <c r="I46" s="5"/>
      <c r="J46" s="6"/>
      <c r="K46" s="5"/>
      <c r="L46" s="5"/>
      <c r="M46" s="5"/>
      <c r="N46" s="5"/>
      <c r="O46" s="5"/>
      <c r="P46" s="5"/>
      <c r="Q46" s="6"/>
    </row>
    <row r="47" spans="2:17">
      <c r="B47" s="972" t="s">
        <v>29</v>
      </c>
      <c r="C47" s="972"/>
      <c r="D47" s="972" t="s">
        <v>29</v>
      </c>
      <c r="E47" s="972"/>
      <c r="F47" s="972"/>
      <c r="G47" s="972"/>
      <c r="H47" s="972"/>
      <c r="I47" s="5"/>
      <c r="J47" s="972" t="s">
        <v>29</v>
      </c>
      <c r="K47" s="972"/>
      <c r="L47" s="972"/>
      <c r="M47" s="972"/>
      <c r="N47" s="972"/>
      <c r="O47" s="972"/>
      <c r="P47" s="972"/>
      <c r="Q47" s="972"/>
    </row>
    <row r="48" spans="2:17">
      <c r="B48" s="6"/>
      <c r="C48" s="5"/>
      <c r="D48" s="5"/>
      <c r="E48" s="5"/>
      <c r="F48" s="5"/>
      <c r="G48" s="6"/>
      <c r="I48" s="5"/>
      <c r="J48" s="6"/>
      <c r="K48" s="5"/>
      <c r="L48" s="5"/>
      <c r="M48" s="5"/>
      <c r="N48" s="5"/>
      <c r="O48" s="5"/>
      <c r="P48" s="5"/>
      <c r="Q48" s="6"/>
    </row>
    <row r="49" spans="2:17">
      <c r="B49" s="37"/>
      <c r="C49" s="47"/>
      <c r="D49" s="38"/>
      <c r="E49" s="38"/>
      <c r="F49" s="38"/>
      <c r="G49" s="37"/>
      <c r="I49" s="38"/>
      <c r="J49" s="37"/>
      <c r="K49" s="38"/>
      <c r="L49" s="38"/>
      <c r="M49" s="38"/>
      <c r="N49" s="38"/>
      <c r="O49" s="38"/>
      <c r="P49" s="38"/>
      <c r="Q49" s="37"/>
    </row>
    <row r="50" spans="2:17" ht="24" customHeight="1">
      <c r="B50" s="1080"/>
      <c r="C50" s="972"/>
      <c r="D50" s="1080"/>
      <c r="E50" s="972"/>
      <c r="F50" s="972"/>
      <c r="G50" s="972"/>
      <c r="H50" s="972"/>
      <c r="I50" s="245"/>
      <c r="J50" s="972"/>
      <c r="K50" s="972"/>
      <c r="L50" s="972"/>
      <c r="M50" s="972"/>
      <c r="N50" s="245"/>
      <c r="O50" s="1080"/>
      <c r="P50" s="972"/>
      <c r="Q50" s="972"/>
    </row>
    <row r="51" spans="2:17">
      <c r="B51" s="6"/>
      <c r="C51" s="5"/>
      <c r="D51" s="5"/>
      <c r="E51" s="5"/>
      <c r="F51" s="5"/>
      <c r="G51" s="6"/>
      <c r="I51" s="6"/>
      <c r="J51" s="6"/>
      <c r="K51" s="6"/>
      <c r="L51" s="5"/>
      <c r="M51" s="5"/>
      <c r="N51" s="5"/>
      <c r="O51" s="5"/>
      <c r="P51" s="5"/>
      <c r="Q51" s="5"/>
    </row>
    <row r="52" spans="2:17">
      <c r="B52" s="6"/>
      <c r="C52" s="5"/>
      <c r="D52" s="5"/>
      <c r="E52" s="5"/>
      <c r="F52" s="5"/>
      <c r="G52" s="6"/>
      <c r="I52" s="5"/>
      <c r="J52" s="6"/>
      <c r="K52" s="5"/>
      <c r="L52" s="5"/>
      <c r="M52" s="5"/>
      <c r="N52" s="5"/>
      <c r="O52" s="5"/>
      <c r="P52" s="5"/>
      <c r="Q52" s="6"/>
    </row>
    <row r="53" spans="2:17">
      <c r="B53" s="6"/>
      <c r="C53" s="5"/>
      <c r="D53" s="5"/>
      <c r="E53" s="5"/>
      <c r="F53" s="5"/>
      <c r="G53" s="6"/>
      <c r="I53" s="5"/>
      <c r="J53" s="6"/>
      <c r="K53" s="5"/>
      <c r="L53" s="5"/>
      <c r="M53" s="5"/>
      <c r="N53" s="5"/>
      <c r="O53" s="5"/>
      <c r="P53" s="5"/>
      <c r="Q53" s="6"/>
    </row>
    <row r="54" spans="2:17">
      <c r="B54" s="6"/>
      <c r="C54" s="5"/>
      <c r="D54" s="5"/>
      <c r="E54" s="5"/>
      <c r="F54" s="5"/>
      <c r="G54" s="6"/>
      <c r="I54" s="5"/>
      <c r="J54" s="6"/>
      <c r="K54" s="5"/>
      <c r="L54" s="5"/>
      <c r="M54" s="5"/>
      <c r="N54" s="5"/>
      <c r="O54" s="5"/>
      <c r="P54" s="5"/>
      <c r="Q54" s="6"/>
    </row>
    <row r="55" spans="2:17">
      <c r="B55" s="6"/>
      <c r="C55" s="5"/>
      <c r="D55" s="5"/>
      <c r="E55" s="5"/>
      <c r="F55" s="5"/>
      <c r="G55" s="6"/>
      <c r="I55" s="5"/>
      <c r="J55" s="6"/>
      <c r="K55" s="5"/>
      <c r="L55" s="5"/>
      <c r="M55" s="5"/>
      <c r="N55" s="5"/>
      <c r="O55" s="5"/>
      <c r="P55" s="5"/>
      <c r="Q55" s="6"/>
    </row>
    <row r="56" spans="2:17">
      <c r="B56" s="6"/>
      <c r="C56" s="5"/>
      <c r="D56" s="5"/>
      <c r="E56" s="5"/>
      <c r="F56" s="5"/>
      <c r="G56" s="6"/>
      <c r="I56" s="5"/>
      <c r="J56" s="6"/>
      <c r="K56" s="5"/>
      <c r="L56" s="5"/>
      <c r="M56" s="5"/>
      <c r="N56" s="5"/>
      <c r="O56" s="5"/>
      <c r="P56" s="5"/>
      <c r="Q56" s="6"/>
    </row>
    <row r="57" spans="2:17">
      <c r="B57" s="972"/>
      <c r="C57" s="972"/>
      <c r="D57" s="972"/>
      <c r="E57" s="972"/>
      <c r="F57" s="972"/>
      <c r="G57" s="972"/>
      <c r="H57" s="972"/>
      <c r="I57" s="5"/>
      <c r="J57" s="972"/>
      <c r="K57" s="972"/>
      <c r="L57" s="972"/>
      <c r="M57" s="972"/>
      <c r="N57" s="5"/>
      <c r="O57" s="972"/>
      <c r="P57" s="972"/>
      <c r="Q57" s="972"/>
    </row>
    <row r="58" spans="2:17">
      <c r="B58" s="2"/>
    </row>
    <row r="59" spans="2:17">
      <c r="B59" s="2"/>
    </row>
  </sheetData>
  <mergeCells count="86">
    <mergeCell ref="C12:H12"/>
    <mergeCell ref="I12:K12"/>
    <mergeCell ref="L12:M12"/>
    <mergeCell ref="C13:H13"/>
    <mergeCell ref="I13:K13"/>
    <mergeCell ref="L13:M13"/>
    <mergeCell ref="C14:H14"/>
    <mergeCell ref="I14:K14"/>
    <mergeCell ref="L14:M14"/>
    <mergeCell ref="L15:N15"/>
    <mergeCell ref="E16:F16"/>
    <mergeCell ref="G16:H16"/>
    <mergeCell ref="I16:K16"/>
    <mergeCell ref="L16:M16"/>
    <mergeCell ref="E17:F17"/>
    <mergeCell ref="G17:H17"/>
    <mergeCell ref="I17:K17"/>
    <mergeCell ref="L17:M17"/>
    <mergeCell ref="E18:F18"/>
    <mergeCell ref="G18:H18"/>
    <mergeCell ref="I18:K18"/>
    <mergeCell ref="L18:M18"/>
    <mergeCell ref="B23:B24"/>
    <mergeCell ref="C23:H24"/>
    <mergeCell ref="I23:N23"/>
    <mergeCell ref="E19:F19"/>
    <mergeCell ref="G19:H19"/>
    <mergeCell ref="I19:K19"/>
    <mergeCell ref="L19:M19"/>
    <mergeCell ref="E20:F20"/>
    <mergeCell ref="G20:H20"/>
    <mergeCell ref="I20:K20"/>
    <mergeCell ref="L20:M20"/>
    <mergeCell ref="E21:F21"/>
    <mergeCell ref="G21:H21"/>
    <mergeCell ref="I21:K21"/>
    <mergeCell ref="L21:M21"/>
    <mergeCell ref="L22:N22"/>
    <mergeCell ref="O23:O24"/>
    <mergeCell ref="P23:P24"/>
    <mergeCell ref="Q23:Q24"/>
    <mergeCell ref="I24:J24"/>
    <mergeCell ref="C25:H25"/>
    <mergeCell ref="I25:J25"/>
    <mergeCell ref="O31:Q31"/>
    <mergeCell ref="C26:H26"/>
    <mergeCell ref="I26:J26"/>
    <mergeCell ref="C27:H27"/>
    <mergeCell ref="I27:J27"/>
    <mergeCell ref="C28:H28"/>
    <mergeCell ref="I28:J28"/>
    <mergeCell ref="C29:H29"/>
    <mergeCell ref="I29:J29"/>
    <mergeCell ref="C31:H31"/>
    <mergeCell ref="I31:K31"/>
    <mergeCell ref="L31:M31"/>
    <mergeCell ref="C32:H32"/>
    <mergeCell ref="I32:K32"/>
    <mergeCell ref="L32:M32"/>
    <mergeCell ref="O32:Q34"/>
    <mergeCell ref="C33:H33"/>
    <mergeCell ref="I33:K33"/>
    <mergeCell ref="L33:M33"/>
    <mergeCell ref="C34:H34"/>
    <mergeCell ref="I34:K34"/>
    <mergeCell ref="L34:M34"/>
    <mergeCell ref="C36:H36"/>
    <mergeCell ref="I36:M36"/>
    <mergeCell ref="N36:O36"/>
    <mergeCell ref="P36:Q36"/>
    <mergeCell ref="C37:H37"/>
    <mergeCell ref="I37:Q37"/>
    <mergeCell ref="B40:C40"/>
    <mergeCell ref="D40:H40"/>
    <mergeCell ref="J40:Q40"/>
    <mergeCell ref="B47:C47"/>
    <mergeCell ref="D47:H47"/>
    <mergeCell ref="J47:Q47"/>
    <mergeCell ref="B50:C50"/>
    <mergeCell ref="D50:H50"/>
    <mergeCell ref="J50:M50"/>
    <mergeCell ref="O50:Q50"/>
    <mergeCell ref="B57:C57"/>
    <mergeCell ref="D57:H57"/>
    <mergeCell ref="J57:M57"/>
    <mergeCell ref="O57:Q5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43EAE-82DB-4088-B5E4-4F45672DB262}">
  <dimension ref="B2:R59"/>
  <sheetViews>
    <sheetView showGridLines="0" zoomScale="125" workbookViewId="0">
      <selection activeCell="C14" sqref="C14:H14"/>
    </sheetView>
  </sheetViews>
  <sheetFormatPr defaultColWidth="8.875" defaultRowHeight="12.75"/>
  <cols>
    <col min="1" max="1" width="1.125" style="1" customWidth="1"/>
    <col min="2" max="2" width="12.875" style="1" bestFit="1" customWidth="1"/>
    <col min="3" max="3" width="35.875" style="1" customWidth="1"/>
    <col min="4" max="4" width="9" style="1" customWidth="1"/>
    <col min="5" max="5" width="10.125" style="1" customWidth="1"/>
    <col min="6" max="6" width="14.5" style="1" customWidth="1"/>
    <col min="7" max="7" width="6.625" style="2" customWidth="1"/>
    <col min="8" max="8" width="20.625" style="2" customWidth="1"/>
    <col min="9" max="9" width="2.5" style="1" customWidth="1"/>
    <col min="10" max="10" width="5.5" style="1" customWidth="1"/>
    <col min="11" max="11" width="7.625" style="1" customWidth="1"/>
    <col min="12" max="12" width="7.5" style="1" customWidth="1"/>
    <col min="13" max="13" width="7.625" style="1" customWidth="1"/>
    <col min="14" max="14" width="13.625" style="1" customWidth="1"/>
    <col min="15" max="16" width="10.125" style="1" customWidth="1"/>
    <col min="17" max="17" width="10.875" style="2" customWidth="1"/>
    <col min="18" max="18" width="11.375" style="1" customWidth="1"/>
    <col min="19" max="19" width="6.875" style="1" customWidth="1"/>
    <col min="20" max="238" width="8.875" style="1"/>
    <col min="239" max="239" width="5" style="1" customWidth="1"/>
    <col min="240" max="240" width="33.375" style="1" customWidth="1"/>
    <col min="241" max="241" width="6.5" style="1" customWidth="1"/>
    <col min="242" max="242" width="29.5" style="1" customWidth="1"/>
    <col min="243" max="243" width="23.625" style="1" customWidth="1"/>
    <col min="244" max="244" width="8" style="1" customWidth="1"/>
    <col min="245" max="245" width="9.125" style="1" customWidth="1"/>
    <col min="246" max="246" width="13.875" style="1" customWidth="1"/>
    <col min="247" max="247" width="13.5" style="1" customWidth="1"/>
    <col min="248" max="494" width="8.875" style="1"/>
    <col min="495" max="495" width="5" style="1" customWidth="1"/>
    <col min="496" max="496" width="33.375" style="1" customWidth="1"/>
    <col min="497" max="497" width="6.5" style="1" customWidth="1"/>
    <col min="498" max="498" width="29.5" style="1" customWidth="1"/>
    <col min="499" max="499" width="23.625" style="1" customWidth="1"/>
    <col min="500" max="500" width="8" style="1" customWidth="1"/>
    <col min="501" max="501" width="9.125" style="1" customWidth="1"/>
    <col min="502" max="502" width="13.875" style="1" customWidth="1"/>
    <col min="503" max="503" width="13.5" style="1" customWidth="1"/>
    <col min="504" max="750" width="8.875" style="1"/>
    <col min="751" max="751" width="5" style="1" customWidth="1"/>
    <col min="752" max="752" width="33.375" style="1" customWidth="1"/>
    <col min="753" max="753" width="6.5" style="1" customWidth="1"/>
    <col min="754" max="754" width="29.5" style="1" customWidth="1"/>
    <col min="755" max="755" width="23.625" style="1" customWidth="1"/>
    <col min="756" max="756" width="8" style="1" customWidth="1"/>
    <col min="757" max="757" width="9.125" style="1" customWidth="1"/>
    <col min="758" max="758" width="13.875" style="1" customWidth="1"/>
    <col min="759" max="759" width="13.5" style="1" customWidth="1"/>
    <col min="760" max="1006" width="8.875" style="1"/>
    <col min="1007" max="1007" width="5" style="1" customWidth="1"/>
    <col min="1008" max="1008" width="33.375" style="1" customWidth="1"/>
    <col min="1009" max="1009" width="6.5" style="1" customWidth="1"/>
    <col min="1010" max="1010" width="29.5" style="1" customWidth="1"/>
    <col min="1011" max="1011" width="23.625" style="1" customWidth="1"/>
    <col min="1012" max="1012" width="8" style="1" customWidth="1"/>
    <col min="1013" max="1013" width="9.125" style="1" customWidth="1"/>
    <col min="1014" max="1014" width="13.875" style="1" customWidth="1"/>
    <col min="1015" max="1015" width="13.5" style="1" customWidth="1"/>
    <col min="1016" max="1262" width="8.875" style="1"/>
    <col min="1263" max="1263" width="5" style="1" customWidth="1"/>
    <col min="1264" max="1264" width="33.375" style="1" customWidth="1"/>
    <col min="1265" max="1265" width="6.5" style="1" customWidth="1"/>
    <col min="1266" max="1266" width="29.5" style="1" customWidth="1"/>
    <col min="1267" max="1267" width="23.625" style="1" customWidth="1"/>
    <col min="1268" max="1268" width="8" style="1" customWidth="1"/>
    <col min="1269" max="1269" width="9.125" style="1" customWidth="1"/>
    <col min="1270" max="1270" width="13.875" style="1" customWidth="1"/>
    <col min="1271" max="1271" width="13.5" style="1" customWidth="1"/>
    <col min="1272" max="1518" width="8.875" style="1"/>
    <col min="1519" max="1519" width="5" style="1" customWidth="1"/>
    <col min="1520" max="1520" width="33.375" style="1" customWidth="1"/>
    <col min="1521" max="1521" width="6.5" style="1" customWidth="1"/>
    <col min="1522" max="1522" width="29.5" style="1" customWidth="1"/>
    <col min="1523" max="1523" width="23.625" style="1" customWidth="1"/>
    <col min="1524" max="1524" width="8" style="1" customWidth="1"/>
    <col min="1525" max="1525" width="9.125" style="1" customWidth="1"/>
    <col min="1526" max="1526" width="13.875" style="1" customWidth="1"/>
    <col min="1527" max="1527" width="13.5" style="1" customWidth="1"/>
    <col min="1528" max="1774" width="8.875" style="1"/>
    <col min="1775" max="1775" width="5" style="1" customWidth="1"/>
    <col min="1776" max="1776" width="33.375" style="1" customWidth="1"/>
    <col min="1777" max="1777" width="6.5" style="1" customWidth="1"/>
    <col min="1778" max="1778" width="29.5" style="1" customWidth="1"/>
    <col min="1779" max="1779" width="23.625" style="1" customWidth="1"/>
    <col min="1780" max="1780" width="8" style="1" customWidth="1"/>
    <col min="1781" max="1781" width="9.125" style="1" customWidth="1"/>
    <col min="1782" max="1782" width="13.875" style="1" customWidth="1"/>
    <col min="1783" max="1783" width="13.5" style="1" customWidth="1"/>
    <col min="1784" max="2030" width="8.875" style="1"/>
    <col min="2031" max="2031" width="5" style="1" customWidth="1"/>
    <col min="2032" max="2032" width="33.375" style="1" customWidth="1"/>
    <col min="2033" max="2033" width="6.5" style="1" customWidth="1"/>
    <col min="2034" max="2034" width="29.5" style="1" customWidth="1"/>
    <col min="2035" max="2035" width="23.625" style="1" customWidth="1"/>
    <col min="2036" max="2036" width="8" style="1" customWidth="1"/>
    <col min="2037" max="2037" width="9.125" style="1" customWidth="1"/>
    <col min="2038" max="2038" width="13.875" style="1" customWidth="1"/>
    <col min="2039" max="2039" width="13.5" style="1" customWidth="1"/>
    <col min="2040" max="2286" width="8.875" style="1"/>
    <col min="2287" max="2287" width="5" style="1" customWidth="1"/>
    <col min="2288" max="2288" width="33.375" style="1" customWidth="1"/>
    <col min="2289" max="2289" width="6.5" style="1" customWidth="1"/>
    <col min="2290" max="2290" width="29.5" style="1" customWidth="1"/>
    <col min="2291" max="2291" width="23.625" style="1" customWidth="1"/>
    <col min="2292" max="2292" width="8" style="1" customWidth="1"/>
    <col min="2293" max="2293" width="9.125" style="1" customWidth="1"/>
    <col min="2294" max="2294" width="13.875" style="1" customWidth="1"/>
    <col min="2295" max="2295" width="13.5" style="1" customWidth="1"/>
    <col min="2296" max="2542" width="8.875" style="1"/>
    <col min="2543" max="2543" width="5" style="1" customWidth="1"/>
    <col min="2544" max="2544" width="33.375" style="1" customWidth="1"/>
    <col min="2545" max="2545" width="6.5" style="1" customWidth="1"/>
    <col min="2546" max="2546" width="29.5" style="1" customWidth="1"/>
    <col min="2547" max="2547" width="23.625" style="1" customWidth="1"/>
    <col min="2548" max="2548" width="8" style="1" customWidth="1"/>
    <col min="2549" max="2549" width="9.125" style="1" customWidth="1"/>
    <col min="2550" max="2550" width="13.875" style="1" customWidth="1"/>
    <col min="2551" max="2551" width="13.5" style="1" customWidth="1"/>
    <col min="2552" max="2798" width="8.875" style="1"/>
    <col min="2799" max="2799" width="5" style="1" customWidth="1"/>
    <col min="2800" max="2800" width="33.375" style="1" customWidth="1"/>
    <col min="2801" max="2801" width="6.5" style="1" customWidth="1"/>
    <col min="2802" max="2802" width="29.5" style="1" customWidth="1"/>
    <col min="2803" max="2803" width="23.625" style="1" customWidth="1"/>
    <col min="2804" max="2804" width="8" style="1" customWidth="1"/>
    <col min="2805" max="2805" width="9.125" style="1" customWidth="1"/>
    <col min="2806" max="2806" width="13.875" style="1" customWidth="1"/>
    <col min="2807" max="2807" width="13.5" style="1" customWidth="1"/>
    <col min="2808" max="3054" width="8.875" style="1"/>
    <col min="3055" max="3055" width="5" style="1" customWidth="1"/>
    <col min="3056" max="3056" width="33.375" style="1" customWidth="1"/>
    <col min="3057" max="3057" width="6.5" style="1" customWidth="1"/>
    <col min="3058" max="3058" width="29.5" style="1" customWidth="1"/>
    <col min="3059" max="3059" width="23.625" style="1" customWidth="1"/>
    <col min="3060" max="3060" width="8" style="1" customWidth="1"/>
    <col min="3061" max="3061" width="9.125" style="1" customWidth="1"/>
    <col min="3062" max="3062" width="13.875" style="1" customWidth="1"/>
    <col min="3063" max="3063" width="13.5" style="1" customWidth="1"/>
    <col min="3064" max="3310" width="8.875" style="1"/>
    <col min="3311" max="3311" width="5" style="1" customWidth="1"/>
    <col min="3312" max="3312" width="33.375" style="1" customWidth="1"/>
    <col min="3313" max="3313" width="6.5" style="1" customWidth="1"/>
    <col min="3314" max="3314" width="29.5" style="1" customWidth="1"/>
    <col min="3315" max="3315" width="23.625" style="1" customWidth="1"/>
    <col min="3316" max="3316" width="8" style="1" customWidth="1"/>
    <col min="3317" max="3317" width="9.125" style="1" customWidth="1"/>
    <col min="3318" max="3318" width="13.875" style="1" customWidth="1"/>
    <col min="3319" max="3319" width="13.5" style="1" customWidth="1"/>
    <col min="3320" max="3566" width="8.875" style="1"/>
    <col min="3567" max="3567" width="5" style="1" customWidth="1"/>
    <col min="3568" max="3568" width="33.375" style="1" customWidth="1"/>
    <col min="3569" max="3569" width="6.5" style="1" customWidth="1"/>
    <col min="3570" max="3570" width="29.5" style="1" customWidth="1"/>
    <col min="3571" max="3571" width="23.625" style="1" customWidth="1"/>
    <col min="3572" max="3572" width="8" style="1" customWidth="1"/>
    <col min="3573" max="3573" width="9.125" style="1" customWidth="1"/>
    <col min="3574" max="3574" width="13.875" style="1" customWidth="1"/>
    <col min="3575" max="3575" width="13.5" style="1" customWidth="1"/>
    <col min="3576" max="3822" width="8.875" style="1"/>
    <col min="3823" max="3823" width="5" style="1" customWidth="1"/>
    <col min="3824" max="3824" width="33.375" style="1" customWidth="1"/>
    <col min="3825" max="3825" width="6.5" style="1" customWidth="1"/>
    <col min="3826" max="3826" width="29.5" style="1" customWidth="1"/>
    <col min="3827" max="3827" width="23.625" style="1" customWidth="1"/>
    <col min="3828" max="3828" width="8" style="1" customWidth="1"/>
    <col min="3829" max="3829" width="9.125" style="1" customWidth="1"/>
    <col min="3830" max="3830" width="13.875" style="1" customWidth="1"/>
    <col min="3831" max="3831" width="13.5" style="1" customWidth="1"/>
    <col min="3832" max="4078" width="8.875" style="1"/>
    <col min="4079" max="4079" width="5" style="1" customWidth="1"/>
    <col min="4080" max="4080" width="33.375" style="1" customWidth="1"/>
    <col min="4081" max="4081" width="6.5" style="1" customWidth="1"/>
    <col min="4082" max="4082" width="29.5" style="1" customWidth="1"/>
    <col min="4083" max="4083" width="23.625" style="1" customWidth="1"/>
    <col min="4084" max="4084" width="8" style="1" customWidth="1"/>
    <col min="4085" max="4085" width="9.125" style="1" customWidth="1"/>
    <col min="4086" max="4086" width="13.875" style="1" customWidth="1"/>
    <col min="4087" max="4087" width="13.5" style="1" customWidth="1"/>
    <col min="4088" max="4334" width="8.875" style="1"/>
    <col min="4335" max="4335" width="5" style="1" customWidth="1"/>
    <col min="4336" max="4336" width="33.375" style="1" customWidth="1"/>
    <col min="4337" max="4337" width="6.5" style="1" customWidth="1"/>
    <col min="4338" max="4338" width="29.5" style="1" customWidth="1"/>
    <col min="4339" max="4339" width="23.625" style="1" customWidth="1"/>
    <col min="4340" max="4340" width="8" style="1" customWidth="1"/>
    <col min="4341" max="4341" width="9.125" style="1" customWidth="1"/>
    <col min="4342" max="4342" width="13.875" style="1" customWidth="1"/>
    <col min="4343" max="4343" width="13.5" style="1" customWidth="1"/>
    <col min="4344" max="4590" width="8.875" style="1"/>
    <col min="4591" max="4591" width="5" style="1" customWidth="1"/>
    <col min="4592" max="4592" width="33.375" style="1" customWidth="1"/>
    <col min="4593" max="4593" width="6.5" style="1" customWidth="1"/>
    <col min="4594" max="4594" width="29.5" style="1" customWidth="1"/>
    <col min="4595" max="4595" width="23.625" style="1" customWidth="1"/>
    <col min="4596" max="4596" width="8" style="1" customWidth="1"/>
    <col min="4597" max="4597" width="9.125" style="1" customWidth="1"/>
    <col min="4598" max="4598" width="13.875" style="1" customWidth="1"/>
    <col min="4599" max="4599" width="13.5" style="1" customWidth="1"/>
    <col min="4600" max="4846" width="8.875" style="1"/>
    <col min="4847" max="4847" width="5" style="1" customWidth="1"/>
    <col min="4848" max="4848" width="33.375" style="1" customWidth="1"/>
    <col min="4849" max="4849" width="6.5" style="1" customWidth="1"/>
    <col min="4850" max="4850" width="29.5" style="1" customWidth="1"/>
    <col min="4851" max="4851" width="23.625" style="1" customWidth="1"/>
    <col min="4852" max="4852" width="8" style="1" customWidth="1"/>
    <col min="4853" max="4853" width="9.125" style="1" customWidth="1"/>
    <col min="4854" max="4854" width="13.875" style="1" customWidth="1"/>
    <col min="4855" max="4855" width="13.5" style="1" customWidth="1"/>
    <col min="4856" max="5102" width="8.875" style="1"/>
    <col min="5103" max="5103" width="5" style="1" customWidth="1"/>
    <col min="5104" max="5104" width="33.375" style="1" customWidth="1"/>
    <col min="5105" max="5105" width="6.5" style="1" customWidth="1"/>
    <col min="5106" max="5106" width="29.5" style="1" customWidth="1"/>
    <col min="5107" max="5107" width="23.625" style="1" customWidth="1"/>
    <col min="5108" max="5108" width="8" style="1" customWidth="1"/>
    <col min="5109" max="5109" width="9.125" style="1" customWidth="1"/>
    <col min="5110" max="5110" width="13.875" style="1" customWidth="1"/>
    <col min="5111" max="5111" width="13.5" style="1" customWidth="1"/>
    <col min="5112" max="5358" width="8.875" style="1"/>
    <col min="5359" max="5359" width="5" style="1" customWidth="1"/>
    <col min="5360" max="5360" width="33.375" style="1" customWidth="1"/>
    <col min="5361" max="5361" width="6.5" style="1" customWidth="1"/>
    <col min="5362" max="5362" width="29.5" style="1" customWidth="1"/>
    <col min="5363" max="5363" width="23.625" style="1" customWidth="1"/>
    <col min="5364" max="5364" width="8" style="1" customWidth="1"/>
    <col min="5365" max="5365" width="9.125" style="1" customWidth="1"/>
    <col min="5366" max="5366" width="13.875" style="1" customWidth="1"/>
    <col min="5367" max="5367" width="13.5" style="1" customWidth="1"/>
    <col min="5368" max="5614" width="8.875" style="1"/>
    <col min="5615" max="5615" width="5" style="1" customWidth="1"/>
    <col min="5616" max="5616" width="33.375" style="1" customWidth="1"/>
    <col min="5617" max="5617" width="6.5" style="1" customWidth="1"/>
    <col min="5618" max="5618" width="29.5" style="1" customWidth="1"/>
    <col min="5619" max="5619" width="23.625" style="1" customWidth="1"/>
    <col min="5620" max="5620" width="8" style="1" customWidth="1"/>
    <col min="5621" max="5621" width="9.125" style="1" customWidth="1"/>
    <col min="5622" max="5622" width="13.875" style="1" customWidth="1"/>
    <col min="5623" max="5623" width="13.5" style="1" customWidth="1"/>
    <col min="5624" max="5870" width="8.875" style="1"/>
    <col min="5871" max="5871" width="5" style="1" customWidth="1"/>
    <col min="5872" max="5872" width="33.375" style="1" customWidth="1"/>
    <col min="5873" max="5873" width="6.5" style="1" customWidth="1"/>
    <col min="5874" max="5874" width="29.5" style="1" customWidth="1"/>
    <col min="5875" max="5875" width="23.625" style="1" customWidth="1"/>
    <col min="5876" max="5876" width="8" style="1" customWidth="1"/>
    <col min="5877" max="5877" width="9.125" style="1" customWidth="1"/>
    <col min="5878" max="5878" width="13.875" style="1" customWidth="1"/>
    <col min="5879" max="5879" width="13.5" style="1" customWidth="1"/>
    <col min="5880" max="6126" width="8.875" style="1"/>
    <col min="6127" max="6127" width="5" style="1" customWidth="1"/>
    <col min="6128" max="6128" width="33.375" style="1" customWidth="1"/>
    <col min="6129" max="6129" width="6.5" style="1" customWidth="1"/>
    <col min="6130" max="6130" width="29.5" style="1" customWidth="1"/>
    <col min="6131" max="6131" width="23.625" style="1" customWidth="1"/>
    <col min="6132" max="6132" width="8" style="1" customWidth="1"/>
    <col min="6133" max="6133" width="9.125" style="1" customWidth="1"/>
    <col min="6134" max="6134" width="13.875" style="1" customWidth="1"/>
    <col min="6135" max="6135" width="13.5" style="1" customWidth="1"/>
    <col min="6136" max="6382" width="8.875" style="1"/>
    <col min="6383" max="6383" width="5" style="1" customWidth="1"/>
    <col min="6384" max="6384" width="33.375" style="1" customWidth="1"/>
    <col min="6385" max="6385" width="6.5" style="1" customWidth="1"/>
    <col min="6386" max="6386" width="29.5" style="1" customWidth="1"/>
    <col min="6387" max="6387" width="23.625" style="1" customWidth="1"/>
    <col min="6388" max="6388" width="8" style="1" customWidth="1"/>
    <col min="6389" max="6389" width="9.125" style="1" customWidth="1"/>
    <col min="6390" max="6390" width="13.875" style="1" customWidth="1"/>
    <col min="6391" max="6391" width="13.5" style="1" customWidth="1"/>
    <col min="6392" max="6638" width="8.875" style="1"/>
    <col min="6639" max="6639" width="5" style="1" customWidth="1"/>
    <col min="6640" max="6640" width="33.375" style="1" customWidth="1"/>
    <col min="6641" max="6641" width="6.5" style="1" customWidth="1"/>
    <col min="6642" max="6642" width="29.5" style="1" customWidth="1"/>
    <col min="6643" max="6643" width="23.625" style="1" customWidth="1"/>
    <col min="6644" max="6644" width="8" style="1" customWidth="1"/>
    <col min="6645" max="6645" width="9.125" style="1" customWidth="1"/>
    <col min="6646" max="6646" width="13.875" style="1" customWidth="1"/>
    <col min="6647" max="6647" width="13.5" style="1" customWidth="1"/>
    <col min="6648" max="6894" width="8.875" style="1"/>
    <col min="6895" max="6895" width="5" style="1" customWidth="1"/>
    <col min="6896" max="6896" width="33.375" style="1" customWidth="1"/>
    <col min="6897" max="6897" width="6.5" style="1" customWidth="1"/>
    <col min="6898" max="6898" width="29.5" style="1" customWidth="1"/>
    <col min="6899" max="6899" width="23.625" style="1" customWidth="1"/>
    <col min="6900" max="6900" width="8" style="1" customWidth="1"/>
    <col min="6901" max="6901" width="9.125" style="1" customWidth="1"/>
    <col min="6902" max="6902" width="13.875" style="1" customWidth="1"/>
    <col min="6903" max="6903" width="13.5" style="1" customWidth="1"/>
    <col min="6904" max="7150" width="8.875" style="1"/>
    <col min="7151" max="7151" width="5" style="1" customWidth="1"/>
    <col min="7152" max="7152" width="33.375" style="1" customWidth="1"/>
    <col min="7153" max="7153" width="6.5" style="1" customWidth="1"/>
    <col min="7154" max="7154" width="29.5" style="1" customWidth="1"/>
    <col min="7155" max="7155" width="23.625" style="1" customWidth="1"/>
    <col min="7156" max="7156" width="8" style="1" customWidth="1"/>
    <col min="7157" max="7157" width="9.125" style="1" customWidth="1"/>
    <col min="7158" max="7158" width="13.875" style="1" customWidth="1"/>
    <col min="7159" max="7159" width="13.5" style="1" customWidth="1"/>
    <col min="7160" max="7406" width="8.875" style="1"/>
    <col min="7407" max="7407" width="5" style="1" customWidth="1"/>
    <col min="7408" max="7408" width="33.375" style="1" customWidth="1"/>
    <col min="7409" max="7409" width="6.5" style="1" customWidth="1"/>
    <col min="7410" max="7410" width="29.5" style="1" customWidth="1"/>
    <col min="7411" max="7411" width="23.625" style="1" customWidth="1"/>
    <col min="7412" max="7412" width="8" style="1" customWidth="1"/>
    <col min="7413" max="7413" width="9.125" style="1" customWidth="1"/>
    <col min="7414" max="7414" width="13.875" style="1" customWidth="1"/>
    <col min="7415" max="7415" width="13.5" style="1" customWidth="1"/>
    <col min="7416" max="7662" width="8.875" style="1"/>
    <col min="7663" max="7663" width="5" style="1" customWidth="1"/>
    <col min="7664" max="7664" width="33.375" style="1" customWidth="1"/>
    <col min="7665" max="7665" width="6.5" style="1" customWidth="1"/>
    <col min="7666" max="7666" width="29.5" style="1" customWidth="1"/>
    <col min="7667" max="7667" width="23.625" style="1" customWidth="1"/>
    <col min="7668" max="7668" width="8" style="1" customWidth="1"/>
    <col min="7669" max="7669" width="9.125" style="1" customWidth="1"/>
    <col min="7670" max="7670" width="13.875" style="1" customWidth="1"/>
    <col min="7671" max="7671" width="13.5" style="1" customWidth="1"/>
    <col min="7672" max="7918" width="8.875" style="1"/>
    <col min="7919" max="7919" width="5" style="1" customWidth="1"/>
    <col min="7920" max="7920" width="33.375" style="1" customWidth="1"/>
    <col min="7921" max="7921" width="6.5" style="1" customWidth="1"/>
    <col min="7922" max="7922" width="29.5" style="1" customWidth="1"/>
    <col min="7923" max="7923" width="23.625" style="1" customWidth="1"/>
    <col min="7924" max="7924" width="8" style="1" customWidth="1"/>
    <col min="7925" max="7925" width="9.125" style="1" customWidth="1"/>
    <col min="7926" max="7926" width="13.875" style="1" customWidth="1"/>
    <col min="7927" max="7927" width="13.5" style="1" customWidth="1"/>
    <col min="7928" max="8174" width="8.875" style="1"/>
    <col min="8175" max="8175" width="5" style="1" customWidth="1"/>
    <col min="8176" max="8176" width="33.375" style="1" customWidth="1"/>
    <col min="8177" max="8177" width="6.5" style="1" customWidth="1"/>
    <col min="8178" max="8178" width="29.5" style="1" customWidth="1"/>
    <col min="8179" max="8179" width="23.625" style="1" customWidth="1"/>
    <col min="8180" max="8180" width="8" style="1" customWidth="1"/>
    <col min="8181" max="8181" width="9.125" style="1" customWidth="1"/>
    <col min="8182" max="8182" width="13.875" style="1" customWidth="1"/>
    <col min="8183" max="8183" width="13.5" style="1" customWidth="1"/>
    <col min="8184" max="8430" width="8.875" style="1"/>
    <col min="8431" max="8431" width="5" style="1" customWidth="1"/>
    <col min="8432" max="8432" width="33.375" style="1" customWidth="1"/>
    <col min="8433" max="8433" width="6.5" style="1" customWidth="1"/>
    <col min="8434" max="8434" width="29.5" style="1" customWidth="1"/>
    <col min="8435" max="8435" width="23.625" style="1" customWidth="1"/>
    <col min="8436" max="8436" width="8" style="1" customWidth="1"/>
    <col min="8437" max="8437" width="9.125" style="1" customWidth="1"/>
    <col min="8438" max="8438" width="13.875" style="1" customWidth="1"/>
    <col min="8439" max="8439" width="13.5" style="1" customWidth="1"/>
    <col min="8440" max="8686" width="8.875" style="1"/>
    <col min="8687" max="8687" width="5" style="1" customWidth="1"/>
    <col min="8688" max="8688" width="33.375" style="1" customWidth="1"/>
    <col min="8689" max="8689" width="6.5" style="1" customWidth="1"/>
    <col min="8690" max="8690" width="29.5" style="1" customWidth="1"/>
    <col min="8691" max="8691" width="23.625" style="1" customWidth="1"/>
    <col min="8692" max="8692" width="8" style="1" customWidth="1"/>
    <col min="8693" max="8693" width="9.125" style="1" customWidth="1"/>
    <col min="8694" max="8694" width="13.875" style="1" customWidth="1"/>
    <col min="8695" max="8695" width="13.5" style="1" customWidth="1"/>
    <col min="8696" max="8942" width="8.875" style="1"/>
    <col min="8943" max="8943" width="5" style="1" customWidth="1"/>
    <col min="8944" max="8944" width="33.375" style="1" customWidth="1"/>
    <col min="8945" max="8945" width="6.5" style="1" customWidth="1"/>
    <col min="8946" max="8946" width="29.5" style="1" customWidth="1"/>
    <col min="8947" max="8947" width="23.625" style="1" customWidth="1"/>
    <col min="8948" max="8948" width="8" style="1" customWidth="1"/>
    <col min="8949" max="8949" width="9.125" style="1" customWidth="1"/>
    <col min="8950" max="8950" width="13.875" style="1" customWidth="1"/>
    <col min="8951" max="8951" width="13.5" style="1" customWidth="1"/>
    <col min="8952" max="9198" width="8.875" style="1"/>
    <col min="9199" max="9199" width="5" style="1" customWidth="1"/>
    <col min="9200" max="9200" width="33.375" style="1" customWidth="1"/>
    <col min="9201" max="9201" width="6.5" style="1" customWidth="1"/>
    <col min="9202" max="9202" width="29.5" style="1" customWidth="1"/>
    <col min="9203" max="9203" width="23.625" style="1" customWidth="1"/>
    <col min="9204" max="9204" width="8" style="1" customWidth="1"/>
    <col min="9205" max="9205" width="9.125" style="1" customWidth="1"/>
    <col min="9206" max="9206" width="13.875" style="1" customWidth="1"/>
    <col min="9207" max="9207" width="13.5" style="1" customWidth="1"/>
    <col min="9208" max="9454" width="8.875" style="1"/>
    <col min="9455" max="9455" width="5" style="1" customWidth="1"/>
    <col min="9456" max="9456" width="33.375" style="1" customWidth="1"/>
    <col min="9457" max="9457" width="6.5" style="1" customWidth="1"/>
    <col min="9458" max="9458" width="29.5" style="1" customWidth="1"/>
    <col min="9459" max="9459" width="23.625" style="1" customWidth="1"/>
    <col min="9460" max="9460" width="8" style="1" customWidth="1"/>
    <col min="9461" max="9461" width="9.125" style="1" customWidth="1"/>
    <col min="9462" max="9462" width="13.875" style="1" customWidth="1"/>
    <col min="9463" max="9463" width="13.5" style="1" customWidth="1"/>
    <col min="9464" max="9710" width="8.875" style="1"/>
    <col min="9711" max="9711" width="5" style="1" customWidth="1"/>
    <col min="9712" max="9712" width="33.375" style="1" customWidth="1"/>
    <col min="9713" max="9713" width="6.5" style="1" customWidth="1"/>
    <col min="9714" max="9714" width="29.5" style="1" customWidth="1"/>
    <col min="9715" max="9715" width="23.625" style="1" customWidth="1"/>
    <col min="9716" max="9716" width="8" style="1" customWidth="1"/>
    <col min="9717" max="9717" width="9.125" style="1" customWidth="1"/>
    <col min="9718" max="9718" width="13.875" style="1" customWidth="1"/>
    <col min="9719" max="9719" width="13.5" style="1" customWidth="1"/>
    <col min="9720" max="9966" width="8.875" style="1"/>
    <col min="9967" max="9967" width="5" style="1" customWidth="1"/>
    <col min="9968" max="9968" width="33.375" style="1" customWidth="1"/>
    <col min="9969" max="9969" width="6.5" style="1" customWidth="1"/>
    <col min="9970" max="9970" width="29.5" style="1" customWidth="1"/>
    <col min="9971" max="9971" width="23.625" style="1" customWidth="1"/>
    <col min="9972" max="9972" width="8" style="1" customWidth="1"/>
    <col min="9973" max="9973" width="9.125" style="1" customWidth="1"/>
    <col min="9974" max="9974" width="13.875" style="1" customWidth="1"/>
    <col min="9975" max="9975" width="13.5" style="1" customWidth="1"/>
    <col min="9976" max="10222" width="8.875" style="1"/>
    <col min="10223" max="10223" width="5" style="1" customWidth="1"/>
    <col min="10224" max="10224" width="33.375" style="1" customWidth="1"/>
    <col min="10225" max="10225" width="6.5" style="1" customWidth="1"/>
    <col min="10226" max="10226" width="29.5" style="1" customWidth="1"/>
    <col min="10227" max="10227" width="23.625" style="1" customWidth="1"/>
    <col min="10228" max="10228" width="8" style="1" customWidth="1"/>
    <col min="10229" max="10229" width="9.125" style="1" customWidth="1"/>
    <col min="10230" max="10230" width="13.875" style="1" customWidth="1"/>
    <col min="10231" max="10231" width="13.5" style="1" customWidth="1"/>
    <col min="10232" max="10478" width="8.875" style="1"/>
    <col min="10479" max="10479" width="5" style="1" customWidth="1"/>
    <col min="10480" max="10480" width="33.375" style="1" customWidth="1"/>
    <col min="10481" max="10481" width="6.5" style="1" customWidth="1"/>
    <col min="10482" max="10482" width="29.5" style="1" customWidth="1"/>
    <col min="10483" max="10483" width="23.625" style="1" customWidth="1"/>
    <col min="10484" max="10484" width="8" style="1" customWidth="1"/>
    <col min="10485" max="10485" width="9.125" style="1" customWidth="1"/>
    <col min="10486" max="10486" width="13.875" style="1" customWidth="1"/>
    <col min="10487" max="10487" width="13.5" style="1" customWidth="1"/>
    <col min="10488" max="10734" width="8.875" style="1"/>
    <col min="10735" max="10735" width="5" style="1" customWidth="1"/>
    <col min="10736" max="10736" width="33.375" style="1" customWidth="1"/>
    <col min="10737" max="10737" width="6.5" style="1" customWidth="1"/>
    <col min="10738" max="10738" width="29.5" style="1" customWidth="1"/>
    <col min="10739" max="10739" width="23.625" style="1" customWidth="1"/>
    <col min="10740" max="10740" width="8" style="1" customWidth="1"/>
    <col min="10741" max="10741" width="9.125" style="1" customWidth="1"/>
    <col min="10742" max="10742" width="13.875" style="1" customWidth="1"/>
    <col min="10743" max="10743" width="13.5" style="1" customWidth="1"/>
    <col min="10744" max="10990" width="8.875" style="1"/>
    <col min="10991" max="10991" width="5" style="1" customWidth="1"/>
    <col min="10992" max="10992" width="33.375" style="1" customWidth="1"/>
    <col min="10993" max="10993" width="6.5" style="1" customWidth="1"/>
    <col min="10994" max="10994" width="29.5" style="1" customWidth="1"/>
    <col min="10995" max="10995" width="23.625" style="1" customWidth="1"/>
    <col min="10996" max="10996" width="8" style="1" customWidth="1"/>
    <col min="10997" max="10997" width="9.125" style="1" customWidth="1"/>
    <col min="10998" max="10998" width="13.875" style="1" customWidth="1"/>
    <col min="10999" max="10999" width="13.5" style="1" customWidth="1"/>
    <col min="11000" max="11246" width="8.875" style="1"/>
    <col min="11247" max="11247" width="5" style="1" customWidth="1"/>
    <col min="11248" max="11248" width="33.375" style="1" customWidth="1"/>
    <col min="11249" max="11249" width="6.5" style="1" customWidth="1"/>
    <col min="11250" max="11250" width="29.5" style="1" customWidth="1"/>
    <col min="11251" max="11251" width="23.625" style="1" customWidth="1"/>
    <col min="11252" max="11252" width="8" style="1" customWidth="1"/>
    <col min="11253" max="11253" width="9.125" style="1" customWidth="1"/>
    <col min="11254" max="11254" width="13.875" style="1" customWidth="1"/>
    <col min="11255" max="11255" width="13.5" style="1" customWidth="1"/>
    <col min="11256" max="11502" width="8.875" style="1"/>
    <col min="11503" max="11503" width="5" style="1" customWidth="1"/>
    <col min="11504" max="11504" width="33.375" style="1" customWidth="1"/>
    <col min="11505" max="11505" width="6.5" style="1" customWidth="1"/>
    <col min="11506" max="11506" width="29.5" style="1" customWidth="1"/>
    <col min="11507" max="11507" width="23.625" style="1" customWidth="1"/>
    <col min="11508" max="11508" width="8" style="1" customWidth="1"/>
    <col min="11509" max="11509" width="9.125" style="1" customWidth="1"/>
    <col min="11510" max="11510" width="13.875" style="1" customWidth="1"/>
    <col min="11511" max="11511" width="13.5" style="1" customWidth="1"/>
    <col min="11512" max="11758" width="8.875" style="1"/>
    <col min="11759" max="11759" width="5" style="1" customWidth="1"/>
    <col min="11760" max="11760" width="33.375" style="1" customWidth="1"/>
    <col min="11761" max="11761" width="6.5" style="1" customWidth="1"/>
    <col min="11762" max="11762" width="29.5" style="1" customWidth="1"/>
    <col min="11763" max="11763" width="23.625" style="1" customWidth="1"/>
    <col min="11764" max="11764" width="8" style="1" customWidth="1"/>
    <col min="11765" max="11765" width="9.125" style="1" customWidth="1"/>
    <col min="11766" max="11766" width="13.875" style="1" customWidth="1"/>
    <col min="11767" max="11767" width="13.5" style="1" customWidth="1"/>
    <col min="11768" max="12014" width="8.875" style="1"/>
    <col min="12015" max="12015" width="5" style="1" customWidth="1"/>
    <col min="12016" max="12016" width="33.375" style="1" customWidth="1"/>
    <col min="12017" max="12017" width="6.5" style="1" customWidth="1"/>
    <col min="12018" max="12018" width="29.5" style="1" customWidth="1"/>
    <col min="12019" max="12019" width="23.625" style="1" customWidth="1"/>
    <col min="12020" max="12020" width="8" style="1" customWidth="1"/>
    <col min="12021" max="12021" width="9.125" style="1" customWidth="1"/>
    <col min="12022" max="12022" width="13.875" style="1" customWidth="1"/>
    <col min="12023" max="12023" width="13.5" style="1" customWidth="1"/>
    <col min="12024" max="12270" width="8.875" style="1"/>
    <col min="12271" max="12271" width="5" style="1" customWidth="1"/>
    <col min="12272" max="12272" width="33.375" style="1" customWidth="1"/>
    <col min="12273" max="12273" width="6.5" style="1" customWidth="1"/>
    <col min="12274" max="12274" width="29.5" style="1" customWidth="1"/>
    <col min="12275" max="12275" width="23.625" style="1" customWidth="1"/>
    <col min="12276" max="12276" width="8" style="1" customWidth="1"/>
    <col min="12277" max="12277" width="9.125" style="1" customWidth="1"/>
    <col min="12278" max="12278" width="13.875" style="1" customWidth="1"/>
    <col min="12279" max="12279" width="13.5" style="1" customWidth="1"/>
    <col min="12280" max="12526" width="8.875" style="1"/>
    <col min="12527" max="12527" width="5" style="1" customWidth="1"/>
    <col min="12528" max="12528" width="33.375" style="1" customWidth="1"/>
    <col min="12529" max="12529" width="6.5" style="1" customWidth="1"/>
    <col min="12530" max="12530" width="29.5" style="1" customWidth="1"/>
    <col min="12531" max="12531" width="23.625" style="1" customWidth="1"/>
    <col min="12532" max="12532" width="8" style="1" customWidth="1"/>
    <col min="12533" max="12533" width="9.125" style="1" customWidth="1"/>
    <col min="12534" max="12534" width="13.875" style="1" customWidth="1"/>
    <col min="12535" max="12535" width="13.5" style="1" customWidth="1"/>
    <col min="12536" max="12782" width="8.875" style="1"/>
    <col min="12783" max="12783" width="5" style="1" customWidth="1"/>
    <col min="12784" max="12784" width="33.375" style="1" customWidth="1"/>
    <col min="12785" max="12785" width="6.5" style="1" customWidth="1"/>
    <col min="12786" max="12786" width="29.5" style="1" customWidth="1"/>
    <col min="12787" max="12787" width="23.625" style="1" customWidth="1"/>
    <col min="12788" max="12788" width="8" style="1" customWidth="1"/>
    <col min="12789" max="12789" width="9.125" style="1" customWidth="1"/>
    <col min="12790" max="12790" width="13.875" style="1" customWidth="1"/>
    <col min="12791" max="12791" width="13.5" style="1" customWidth="1"/>
    <col min="12792" max="13038" width="8.875" style="1"/>
    <col min="13039" max="13039" width="5" style="1" customWidth="1"/>
    <col min="13040" max="13040" width="33.375" style="1" customWidth="1"/>
    <col min="13041" max="13041" width="6.5" style="1" customWidth="1"/>
    <col min="13042" max="13042" width="29.5" style="1" customWidth="1"/>
    <col min="13043" max="13043" width="23.625" style="1" customWidth="1"/>
    <col min="13044" max="13044" width="8" style="1" customWidth="1"/>
    <col min="13045" max="13045" width="9.125" style="1" customWidth="1"/>
    <col min="13046" max="13046" width="13.875" style="1" customWidth="1"/>
    <col min="13047" max="13047" width="13.5" style="1" customWidth="1"/>
    <col min="13048" max="13294" width="8.875" style="1"/>
    <col min="13295" max="13295" width="5" style="1" customWidth="1"/>
    <col min="13296" max="13296" width="33.375" style="1" customWidth="1"/>
    <col min="13297" max="13297" width="6.5" style="1" customWidth="1"/>
    <col min="13298" max="13298" width="29.5" style="1" customWidth="1"/>
    <col min="13299" max="13299" width="23.625" style="1" customWidth="1"/>
    <col min="13300" max="13300" width="8" style="1" customWidth="1"/>
    <col min="13301" max="13301" width="9.125" style="1" customWidth="1"/>
    <col min="13302" max="13302" width="13.875" style="1" customWidth="1"/>
    <col min="13303" max="13303" width="13.5" style="1" customWidth="1"/>
    <col min="13304" max="13550" width="8.875" style="1"/>
    <col min="13551" max="13551" width="5" style="1" customWidth="1"/>
    <col min="13552" max="13552" width="33.375" style="1" customWidth="1"/>
    <col min="13553" max="13553" width="6.5" style="1" customWidth="1"/>
    <col min="13554" max="13554" width="29.5" style="1" customWidth="1"/>
    <col min="13555" max="13555" width="23.625" style="1" customWidth="1"/>
    <col min="13556" max="13556" width="8" style="1" customWidth="1"/>
    <col min="13557" max="13557" width="9.125" style="1" customWidth="1"/>
    <col min="13558" max="13558" width="13.875" style="1" customWidth="1"/>
    <col min="13559" max="13559" width="13.5" style="1" customWidth="1"/>
    <col min="13560" max="13806" width="8.875" style="1"/>
    <col min="13807" max="13807" width="5" style="1" customWidth="1"/>
    <col min="13808" max="13808" width="33.375" style="1" customWidth="1"/>
    <col min="13809" max="13809" width="6.5" style="1" customWidth="1"/>
    <col min="13810" max="13810" width="29.5" style="1" customWidth="1"/>
    <col min="13811" max="13811" width="23.625" style="1" customWidth="1"/>
    <col min="13812" max="13812" width="8" style="1" customWidth="1"/>
    <col min="13813" max="13813" width="9.125" style="1" customWidth="1"/>
    <col min="13814" max="13814" width="13.875" style="1" customWidth="1"/>
    <col min="13815" max="13815" width="13.5" style="1" customWidth="1"/>
    <col min="13816" max="14062" width="8.875" style="1"/>
    <col min="14063" max="14063" width="5" style="1" customWidth="1"/>
    <col min="14064" max="14064" width="33.375" style="1" customWidth="1"/>
    <col min="14065" max="14065" width="6.5" style="1" customWidth="1"/>
    <col min="14066" max="14066" width="29.5" style="1" customWidth="1"/>
    <col min="14067" max="14067" width="23.625" style="1" customWidth="1"/>
    <col min="14068" max="14068" width="8" style="1" customWidth="1"/>
    <col min="14069" max="14069" width="9.125" style="1" customWidth="1"/>
    <col min="14070" max="14070" width="13.875" style="1" customWidth="1"/>
    <col min="14071" max="14071" width="13.5" style="1" customWidth="1"/>
    <col min="14072" max="14318" width="8.875" style="1"/>
    <col min="14319" max="14319" width="5" style="1" customWidth="1"/>
    <col min="14320" max="14320" width="33.375" style="1" customWidth="1"/>
    <col min="14321" max="14321" width="6.5" style="1" customWidth="1"/>
    <col min="14322" max="14322" width="29.5" style="1" customWidth="1"/>
    <col min="14323" max="14323" width="23.625" style="1" customWidth="1"/>
    <col min="14324" max="14324" width="8" style="1" customWidth="1"/>
    <col min="14325" max="14325" width="9.125" style="1" customWidth="1"/>
    <col min="14326" max="14326" width="13.875" style="1" customWidth="1"/>
    <col min="14327" max="14327" width="13.5" style="1" customWidth="1"/>
    <col min="14328" max="14574" width="8.875" style="1"/>
    <col min="14575" max="14575" width="5" style="1" customWidth="1"/>
    <col min="14576" max="14576" width="33.375" style="1" customWidth="1"/>
    <col min="14577" max="14577" width="6.5" style="1" customWidth="1"/>
    <col min="14578" max="14578" width="29.5" style="1" customWidth="1"/>
    <col min="14579" max="14579" width="23.625" style="1" customWidth="1"/>
    <col min="14580" max="14580" width="8" style="1" customWidth="1"/>
    <col min="14581" max="14581" width="9.125" style="1" customWidth="1"/>
    <col min="14582" max="14582" width="13.875" style="1" customWidth="1"/>
    <col min="14583" max="14583" width="13.5" style="1" customWidth="1"/>
    <col min="14584" max="14830" width="8.875" style="1"/>
    <col min="14831" max="14831" width="5" style="1" customWidth="1"/>
    <col min="14832" max="14832" width="33.375" style="1" customWidth="1"/>
    <col min="14833" max="14833" width="6.5" style="1" customWidth="1"/>
    <col min="14834" max="14834" width="29.5" style="1" customWidth="1"/>
    <col min="14835" max="14835" width="23.625" style="1" customWidth="1"/>
    <col min="14836" max="14836" width="8" style="1" customWidth="1"/>
    <col min="14837" max="14837" width="9.125" style="1" customWidth="1"/>
    <col min="14838" max="14838" width="13.875" style="1" customWidth="1"/>
    <col min="14839" max="14839" width="13.5" style="1" customWidth="1"/>
    <col min="14840" max="15086" width="8.875" style="1"/>
    <col min="15087" max="15087" width="5" style="1" customWidth="1"/>
    <col min="15088" max="15088" width="33.375" style="1" customWidth="1"/>
    <col min="15089" max="15089" width="6.5" style="1" customWidth="1"/>
    <col min="15090" max="15090" width="29.5" style="1" customWidth="1"/>
    <col min="15091" max="15091" width="23.625" style="1" customWidth="1"/>
    <col min="15092" max="15092" width="8" style="1" customWidth="1"/>
    <col min="15093" max="15093" width="9.125" style="1" customWidth="1"/>
    <col min="15094" max="15094" width="13.875" style="1" customWidth="1"/>
    <col min="15095" max="15095" width="13.5" style="1" customWidth="1"/>
    <col min="15096" max="15342" width="8.875" style="1"/>
    <col min="15343" max="15343" width="5" style="1" customWidth="1"/>
    <col min="15344" max="15344" width="33.375" style="1" customWidth="1"/>
    <col min="15345" max="15345" width="6.5" style="1" customWidth="1"/>
    <col min="15346" max="15346" width="29.5" style="1" customWidth="1"/>
    <col min="15347" max="15347" width="23.625" style="1" customWidth="1"/>
    <col min="15348" max="15348" width="8" style="1" customWidth="1"/>
    <col min="15349" max="15349" width="9.125" style="1" customWidth="1"/>
    <col min="15350" max="15350" width="13.875" style="1" customWidth="1"/>
    <col min="15351" max="15351" width="13.5" style="1" customWidth="1"/>
    <col min="15352" max="15598" width="8.875" style="1"/>
    <col min="15599" max="15599" width="5" style="1" customWidth="1"/>
    <col min="15600" max="15600" width="33.375" style="1" customWidth="1"/>
    <col min="15601" max="15601" width="6.5" style="1" customWidth="1"/>
    <col min="15602" max="15602" width="29.5" style="1" customWidth="1"/>
    <col min="15603" max="15603" width="23.625" style="1" customWidth="1"/>
    <col min="15604" max="15604" width="8" style="1" customWidth="1"/>
    <col min="15605" max="15605" width="9.125" style="1" customWidth="1"/>
    <col min="15606" max="15606" width="13.875" style="1" customWidth="1"/>
    <col min="15607" max="15607" width="13.5" style="1" customWidth="1"/>
    <col min="15608" max="15854" width="8.875" style="1"/>
    <col min="15855" max="15855" width="5" style="1" customWidth="1"/>
    <col min="15856" max="15856" width="33.375" style="1" customWidth="1"/>
    <col min="15857" max="15857" width="6.5" style="1" customWidth="1"/>
    <col min="15858" max="15858" width="29.5" style="1" customWidth="1"/>
    <col min="15859" max="15859" width="23.625" style="1" customWidth="1"/>
    <col min="15860" max="15860" width="8" style="1" customWidth="1"/>
    <col min="15861" max="15861" width="9.125" style="1" customWidth="1"/>
    <col min="15862" max="15862" width="13.875" style="1" customWidth="1"/>
    <col min="15863" max="15863" width="13.5" style="1" customWidth="1"/>
    <col min="15864" max="16384" width="8.875" style="1"/>
  </cols>
  <sheetData>
    <row r="2" spans="2:18" s="375" customFormat="1">
      <c r="B2" s="374" t="s">
        <v>464</v>
      </c>
      <c r="C2" s="140" t="s">
        <v>132</v>
      </c>
    </row>
    <row r="3" spans="2:18" s="375" customFormat="1">
      <c r="B3" s="374" t="s">
        <v>465</v>
      </c>
      <c r="C3" s="209" t="s">
        <v>255</v>
      </c>
    </row>
    <row r="4" spans="2:18" s="375" customFormat="1">
      <c r="B4" s="374" t="s">
        <v>466</v>
      </c>
      <c r="C4" s="140" t="s">
        <v>133</v>
      </c>
    </row>
    <row r="5" spans="2:18">
      <c r="E5" s="2"/>
      <c r="G5" s="1"/>
      <c r="H5" s="1"/>
      <c r="M5" s="2"/>
      <c r="Q5" s="1"/>
    </row>
    <row r="6" spans="2:18" s="3" customFormat="1" ht="23.1" customHeight="1">
      <c r="B6" s="99" t="s">
        <v>61</v>
      </c>
      <c r="C6" s="376" t="s">
        <v>616</v>
      </c>
      <c r="D6" s="95"/>
      <c r="E6" s="95"/>
      <c r="F6" s="7"/>
      <c r="G6" s="7"/>
      <c r="H6" s="7"/>
      <c r="I6" s="7"/>
      <c r="J6" s="7"/>
      <c r="K6" s="7"/>
      <c r="L6" s="7"/>
      <c r="M6" s="7"/>
    </row>
    <row r="7" spans="2:18" s="3" customFormat="1" ht="3.95" customHeight="1">
      <c r="M7" s="44"/>
    </row>
    <row r="8" spans="2:18" s="3" customFormat="1" ht="20.100000000000001" customHeight="1">
      <c r="B8" s="213" t="s">
        <v>279</v>
      </c>
      <c r="C8" s="213" t="s">
        <v>573</v>
      </c>
      <c r="D8" s="212"/>
      <c r="E8" s="212" t="s">
        <v>405</v>
      </c>
      <c r="F8" s="212" t="s">
        <v>441</v>
      </c>
      <c r="G8" s="212"/>
      <c r="H8" s="212"/>
      <c r="I8" s="31"/>
    </row>
    <row r="9" spans="2:18" s="3" customFormat="1" ht="18.95" customHeight="1">
      <c r="B9" s="213" t="s">
        <v>280</v>
      </c>
      <c r="C9" s="472" t="s">
        <v>574</v>
      </c>
      <c r="D9" s="212"/>
      <c r="E9" s="212" t="s">
        <v>467</v>
      </c>
      <c r="F9" s="211" t="s">
        <v>471</v>
      </c>
      <c r="G9" s="211"/>
      <c r="H9" s="211"/>
      <c r="I9" s="31"/>
    </row>
    <row r="10" spans="2:18" s="3" customFormat="1">
      <c r="M10" s="44"/>
    </row>
    <row r="11" spans="2:18" ht="20.100000000000001" customHeight="1">
      <c r="B11" s="377" t="s">
        <v>21</v>
      </c>
      <c r="C11" s="378" t="s">
        <v>468</v>
      </c>
      <c r="D11" s="379"/>
      <c r="E11" s="380"/>
      <c r="F11" s="380"/>
      <c r="G11" s="381"/>
      <c r="H11" s="381"/>
      <c r="I11" s="380"/>
      <c r="J11" s="380"/>
      <c r="K11" s="380"/>
      <c r="L11" s="382"/>
      <c r="M11" s="382"/>
      <c r="N11" s="382"/>
      <c r="O11" s="383"/>
      <c r="P11" s="384"/>
      <c r="Q11" s="385">
        <f>Q13+Q14</f>
        <v>0</v>
      </c>
    </row>
    <row r="12" spans="2:18" s="4" customFormat="1" ht="27.95" customHeight="1">
      <c r="B12" s="386"/>
      <c r="C12" s="1081" t="s">
        <v>8</v>
      </c>
      <c r="D12" s="1082"/>
      <c r="E12" s="1082"/>
      <c r="F12" s="1082"/>
      <c r="G12" s="1082"/>
      <c r="H12" s="1082"/>
      <c r="I12" s="1083" t="s">
        <v>154</v>
      </c>
      <c r="J12" s="1083"/>
      <c r="K12" s="1083"/>
      <c r="L12" s="1083" t="s">
        <v>174</v>
      </c>
      <c r="M12" s="1083"/>
      <c r="N12" s="388" t="s">
        <v>173</v>
      </c>
      <c r="O12" s="387" t="s">
        <v>32</v>
      </c>
      <c r="P12" s="387" t="s">
        <v>2</v>
      </c>
      <c r="Q12" s="386" t="s">
        <v>20</v>
      </c>
    </row>
    <row r="13" spans="2:18" ht="21" customHeight="1">
      <c r="B13" s="86">
        <v>1</v>
      </c>
      <c r="C13" s="1084" t="s">
        <v>185</v>
      </c>
      <c r="D13" s="1084"/>
      <c r="E13" s="1084"/>
      <c r="F13" s="1084"/>
      <c r="G13" s="1084"/>
      <c r="H13" s="1084"/>
      <c r="I13" s="1085">
        <v>0.4</v>
      </c>
      <c r="J13" s="1085"/>
      <c r="K13" s="1085"/>
      <c r="L13" s="1086">
        <v>1</v>
      </c>
      <c r="M13" s="1086"/>
      <c r="N13" s="390"/>
      <c r="O13" s="390">
        <f>N13/L13</f>
        <v>0</v>
      </c>
      <c r="P13" s="390"/>
      <c r="Q13" s="391">
        <f>I13*O13</f>
        <v>0</v>
      </c>
      <c r="R13" s="69"/>
    </row>
    <row r="14" spans="2:18" ht="21" customHeight="1">
      <c r="B14" s="86">
        <v>2</v>
      </c>
      <c r="C14" s="1087" t="s">
        <v>469</v>
      </c>
      <c r="D14" s="1087"/>
      <c r="E14" s="1087"/>
      <c r="F14" s="1087"/>
      <c r="G14" s="1087"/>
      <c r="H14" s="1087"/>
      <c r="I14" s="1088">
        <v>0.6</v>
      </c>
      <c r="J14" s="1088"/>
      <c r="K14" s="1088"/>
      <c r="L14" s="1089">
        <v>1</v>
      </c>
      <c r="M14" s="1089"/>
      <c r="N14" s="392"/>
      <c r="O14" s="392">
        <f>N14/L14</f>
        <v>0</v>
      </c>
      <c r="P14" s="392"/>
      <c r="Q14" s="391">
        <f>I14*O14</f>
        <v>0</v>
      </c>
      <c r="R14" s="69"/>
    </row>
    <row r="15" spans="2:18" ht="21" customHeight="1">
      <c r="B15" s="377" t="s">
        <v>22</v>
      </c>
      <c r="C15" s="393" t="s">
        <v>54</v>
      </c>
      <c r="D15" s="379"/>
      <c r="E15" s="380"/>
      <c r="F15" s="380"/>
      <c r="G15" s="381"/>
      <c r="H15" s="381"/>
      <c r="I15" s="380"/>
      <c r="J15" s="380"/>
      <c r="K15" s="380"/>
      <c r="L15" s="1090"/>
      <c r="M15" s="1090"/>
      <c r="N15" s="1090"/>
      <c r="O15" s="383"/>
      <c r="P15" s="384"/>
      <c r="Q15" s="394">
        <f>SUM(Q17:Q21)</f>
        <v>0</v>
      </c>
      <c r="R15" s="69"/>
    </row>
    <row r="16" spans="2:18" s="4" customFormat="1" ht="29.1" customHeight="1">
      <c r="B16" s="386"/>
      <c r="C16" s="387" t="s">
        <v>31</v>
      </c>
      <c r="D16" s="387" t="s">
        <v>152</v>
      </c>
      <c r="E16" s="1083" t="s">
        <v>39</v>
      </c>
      <c r="F16" s="1091"/>
      <c r="G16" s="1083" t="s">
        <v>17</v>
      </c>
      <c r="H16" s="1091"/>
      <c r="I16" s="1083" t="s">
        <v>116</v>
      </c>
      <c r="J16" s="1083"/>
      <c r="K16" s="1083"/>
      <c r="L16" s="1083" t="s">
        <v>19</v>
      </c>
      <c r="M16" s="1083"/>
      <c r="N16" s="388" t="s">
        <v>174</v>
      </c>
      <c r="O16" s="387" t="s">
        <v>164</v>
      </c>
      <c r="P16" s="387" t="s">
        <v>32</v>
      </c>
      <c r="Q16" s="386" t="s">
        <v>20</v>
      </c>
    </row>
    <row r="17" spans="2:17" ht="54.95" customHeight="1">
      <c r="B17" s="86">
        <v>1</v>
      </c>
      <c r="C17" s="343" t="s">
        <v>588</v>
      </c>
      <c r="D17" s="469">
        <v>0.25</v>
      </c>
      <c r="E17" s="1084" t="s">
        <v>432</v>
      </c>
      <c r="F17" s="1084"/>
      <c r="G17" s="1092" t="s">
        <v>413</v>
      </c>
      <c r="H17" s="1093"/>
      <c r="I17" s="1094" t="s">
        <v>471</v>
      </c>
      <c r="J17" s="1095"/>
      <c r="K17" s="1096"/>
      <c r="L17" s="1097" t="s">
        <v>414</v>
      </c>
      <c r="M17" s="1097"/>
      <c r="N17" s="364">
        <v>4</v>
      </c>
      <c r="O17" s="364"/>
      <c r="P17" s="365" t="str">
        <f>IF(LEN(O17)=0,"",IF(O17=N17,1,0))</f>
        <v/>
      </c>
      <c r="Q17" s="358" t="str">
        <f t="shared" ref="Q17:Q21" si="0">IFERROR(P17*D17,"")</f>
        <v/>
      </c>
    </row>
    <row r="18" spans="2:17" ht="54" customHeight="1">
      <c r="B18" s="86">
        <v>2</v>
      </c>
      <c r="C18" s="343" t="s">
        <v>424</v>
      </c>
      <c r="D18" s="469">
        <v>0.2</v>
      </c>
      <c r="E18" s="1087" t="s">
        <v>504</v>
      </c>
      <c r="F18" s="1087"/>
      <c r="G18" s="1092" t="s">
        <v>413</v>
      </c>
      <c r="H18" s="1093"/>
      <c r="I18" s="1094" t="s">
        <v>529</v>
      </c>
      <c r="J18" s="1095"/>
      <c r="K18" s="1096"/>
      <c r="L18" s="1097" t="s">
        <v>414</v>
      </c>
      <c r="M18" s="1097"/>
      <c r="N18" s="364">
        <v>0</v>
      </c>
      <c r="O18" s="364"/>
      <c r="P18" s="365" t="str">
        <f>IF(LEN(O18)=0,"",IF(O18=N18,1,0))</f>
        <v/>
      </c>
      <c r="Q18" s="358" t="str">
        <f t="shared" si="0"/>
        <v/>
      </c>
    </row>
    <row r="19" spans="2:17" ht="51" customHeight="1">
      <c r="B19" s="86">
        <v>3</v>
      </c>
      <c r="C19" s="525" t="s">
        <v>462</v>
      </c>
      <c r="D19" s="530">
        <v>0.2</v>
      </c>
      <c r="E19" s="1087" t="s">
        <v>505</v>
      </c>
      <c r="F19" s="1087"/>
      <c r="G19" s="1092" t="s">
        <v>413</v>
      </c>
      <c r="H19" s="1093"/>
      <c r="I19" s="1094" t="s">
        <v>471</v>
      </c>
      <c r="J19" s="1095"/>
      <c r="K19" s="1096"/>
      <c r="L19" s="1097" t="s">
        <v>414</v>
      </c>
      <c r="M19" s="1097"/>
      <c r="N19" s="364">
        <v>0</v>
      </c>
      <c r="O19" s="364"/>
      <c r="P19" s="365" t="str">
        <f>IF(LEN(O19)=0,"",IF(O19=N19,1,0))</f>
        <v/>
      </c>
      <c r="Q19" s="358" t="str">
        <f t="shared" si="0"/>
        <v/>
      </c>
    </row>
    <row r="20" spans="2:17" ht="51" customHeight="1">
      <c r="B20" s="86">
        <v>4</v>
      </c>
      <c r="C20" s="361" t="s">
        <v>392</v>
      </c>
      <c r="D20" s="469">
        <v>0.15</v>
      </c>
      <c r="E20" s="1087" t="s">
        <v>354</v>
      </c>
      <c r="F20" s="1087"/>
      <c r="G20" s="1092" t="s">
        <v>319</v>
      </c>
      <c r="H20" s="1093"/>
      <c r="I20" s="1094" t="s">
        <v>321</v>
      </c>
      <c r="J20" s="1095"/>
      <c r="K20" s="1096"/>
      <c r="L20" s="1097" t="s">
        <v>326</v>
      </c>
      <c r="M20" s="1097"/>
      <c r="N20" s="346">
        <v>0.05</v>
      </c>
      <c r="O20" s="346"/>
      <c r="P20" s="345" t="str">
        <f>IF(LEN(O20)=0,"",IF(O20&lt;N20*80%,0,MIN(120%,O20/N20*100%)))</f>
        <v/>
      </c>
      <c r="Q20" s="358" t="str">
        <f t="shared" si="0"/>
        <v/>
      </c>
    </row>
    <row r="21" spans="2:17" ht="51" customHeight="1">
      <c r="B21" s="86">
        <v>5</v>
      </c>
      <c r="C21" s="361" t="s">
        <v>463</v>
      </c>
      <c r="D21" s="469">
        <v>0.2</v>
      </c>
      <c r="E21" s="1087" t="s">
        <v>506</v>
      </c>
      <c r="F21" s="1087"/>
      <c r="G21" s="1092" t="s">
        <v>413</v>
      </c>
      <c r="H21" s="1093"/>
      <c r="I21" s="1094" t="s">
        <v>471</v>
      </c>
      <c r="J21" s="1095"/>
      <c r="K21" s="1096"/>
      <c r="L21" s="1097" t="s">
        <v>414</v>
      </c>
      <c r="M21" s="1097"/>
      <c r="N21" s="364">
        <v>0</v>
      </c>
      <c r="O21" s="364"/>
      <c r="P21" s="365" t="str">
        <f>IF(LEN(O21)=0,"",IF(O21=N21,1,0))</f>
        <v/>
      </c>
      <c r="Q21" s="358" t="str">
        <f t="shared" si="0"/>
        <v/>
      </c>
    </row>
    <row r="22" spans="2:17" ht="20.100000000000001" customHeight="1">
      <c r="B22" s="377" t="s">
        <v>40</v>
      </c>
      <c r="C22" s="378" t="s">
        <v>186</v>
      </c>
      <c r="D22" s="379"/>
      <c r="E22" s="380"/>
      <c r="F22" s="380"/>
      <c r="G22" s="381"/>
      <c r="H22" s="381"/>
      <c r="I22" s="380"/>
      <c r="J22" s="380"/>
      <c r="K22" s="380"/>
      <c r="L22" s="1090"/>
      <c r="M22" s="1090"/>
      <c r="N22" s="1090"/>
      <c r="O22" s="383"/>
      <c r="P22" s="384"/>
      <c r="Q22" s="385" t="e">
        <f>SUM(Q25:Q29)/5</f>
        <v>#DIV/0!</v>
      </c>
    </row>
    <row r="23" spans="2:17" s="4" customFormat="1" ht="26.1" customHeight="1">
      <c r="B23" s="1098"/>
      <c r="C23" s="1081" t="s">
        <v>8</v>
      </c>
      <c r="D23" s="1081"/>
      <c r="E23" s="1081"/>
      <c r="F23" s="1081"/>
      <c r="G23" s="1081"/>
      <c r="H23" s="1081"/>
      <c r="I23" s="1100" t="s">
        <v>118</v>
      </c>
      <c r="J23" s="1100"/>
      <c r="K23" s="1100"/>
      <c r="L23" s="1100"/>
      <c r="M23" s="1100"/>
      <c r="N23" s="1100"/>
      <c r="O23" s="1101" t="s">
        <v>123</v>
      </c>
      <c r="P23" s="1100" t="s">
        <v>125</v>
      </c>
      <c r="Q23" s="1098" t="s">
        <v>102</v>
      </c>
    </row>
    <row r="24" spans="2:17" s="4" customFormat="1" ht="39" customHeight="1">
      <c r="B24" s="1098"/>
      <c r="C24" s="1099"/>
      <c r="D24" s="1099"/>
      <c r="E24" s="1099"/>
      <c r="F24" s="1099"/>
      <c r="G24" s="1099"/>
      <c r="H24" s="1099"/>
      <c r="I24" s="1104" t="s">
        <v>119</v>
      </c>
      <c r="J24" s="1104"/>
      <c r="K24" s="398" t="s">
        <v>120</v>
      </c>
      <c r="L24" s="398" t="s">
        <v>153</v>
      </c>
      <c r="M24" s="398" t="s">
        <v>121</v>
      </c>
      <c r="N24" s="398" t="s">
        <v>122</v>
      </c>
      <c r="O24" s="1102"/>
      <c r="P24" s="1103"/>
      <c r="Q24" s="1098"/>
    </row>
    <row r="25" spans="2:17" s="45" customFormat="1" ht="32.1" customHeight="1">
      <c r="B25" s="86">
        <v>1</v>
      </c>
      <c r="C25" s="1105" t="s">
        <v>62</v>
      </c>
      <c r="D25" s="1105"/>
      <c r="E25" s="1105"/>
      <c r="F25" s="1105"/>
      <c r="G25" s="1105"/>
      <c r="H25" s="1105"/>
      <c r="I25" s="1106">
        <v>1</v>
      </c>
      <c r="J25" s="1106"/>
      <c r="K25" s="400">
        <v>2</v>
      </c>
      <c r="L25" s="399">
        <v>3</v>
      </c>
      <c r="M25" s="400">
        <v>4</v>
      </c>
      <c r="N25" s="399">
        <v>5</v>
      </c>
      <c r="O25" s="401"/>
      <c r="P25" s="399"/>
      <c r="Q25" s="391" t="e">
        <f>P25/O25</f>
        <v>#DIV/0!</v>
      </c>
    </row>
    <row r="26" spans="2:17" s="45" customFormat="1" ht="32.1" customHeight="1">
      <c r="B26" s="86">
        <f>B25+1</f>
        <v>2</v>
      </c>
      <c r="C26" s="1105" t="s">
        <v>63</v>
      </c>
      <c r="D26" s="1105"/>
      <c r="E26" s="1105"/>
      <c r="F26" s="1105"/>
      <c r="G26" s="1105"/>
      <c r="H26" s="1105"/>
      <c r="I26" s="1106">
        <v>1</v>
      </c>
      <c r="J26" s="1106"/>
      <c r="K26" s="400">
        <v>2</v>
      </c>
      <c r="L26" s="399">
        <v>3</v>
      </c>
      <c r="M26" s="400">
        <v>4</v>
      </c>
      <c r="N26" s="399">
        <v>5</v>
      </c>
      <c r="O26" s="401"/>
      <c r="P26" s="399"/>
      <c r="Q26" s="391" t="e">
        <f>P26/O26</f>
        <v>#DIV/0!</v>
      </c>
    </row>
    <row r="27" spans="2:17" s="45" customFormat="1" ht="32.1" customHeight="1">
      <c r="B27" s="86">
        <v>3</v>
      </c>
      <c r="C27" s="1105" t="s">
        <v>64</v>
      </c>
      <c r="D27" s="1105"/>
      <c r="E27" s="1105"/>
      <c r="F27" s="1105"/>
      <c r="G27" s="1105"/>
      <c r="H27" s="1105"/>
      <c r="I27" s="1106">
        <v>1</v>
      </c>
      <c r="J27" s="1106"/>
      <c r="K27" s="400">
        <v>2</v>
      </c>
      <c r="L27" s="399">
        <v>3</v>
      </c>
      <c r="M27" s="400">
        <v>4</v>
      </c>
      <c r="N27" s="399">
        <v>5</v>
      </c>
      <c r="O27" s="401"/>
      <c r="P27" s="399"/>
      <c r="Q27" s="391" t="e">
        <f>P27/O27</f>
        <v>#DIV/0!</v>
      </c>
    </row>
    <row r="28" spans="2:17" s="45" customFormat="1" ht="32.1" customHeight="1">
      <c r="B28" s="86">
        <f>B27+1</f>
        <v>4</v>
      </c>
      <c r="C28" s="1105" t="s">
        <v>65</v>
      </c>
      <c r="D28" s="1105"/>
      <c r="E28" s="1105"/>
      <c r="F28" s="1105"/>
      <c r="G28" s="1105"/>
      <c r="H28" s="1105"/>
      <c r="I28" s="1106">
        <v>1</v>
      </c>
      <c r="J28" s="1106"/>
      <c r="K28" s="400">
        <v>2</v>
      </c>
      <c r="L28" s="399">
        <v>3</v>
      </c>
      <c r="M28" s="400">
        <v>4</v>
      </c>
      <c r="N28" s="399">
        <v>5</v>
      </c>
      <c r="O28" s="401"/>
      <c r="P28" s="399"/>
      <c r="Q28" s="391" t="e">
        <f>P28/O28</f>
        <v>#DIV/0!</v>
      </c>
    </row>
    <row r="29" spans="2:17" s="45" customFormat="1" ht="32.1" customHeight="1">
      <c r="B29" s="86">
        <v>5</v>
      </c>
      <c r="C29" s="1107" t="s">
        <v>66</v>
      </c>
      <c r="D29" s="1107"/>
      <c r="E29" s="1107"/>
      <c r="F29" s="1107"/>
      <c r="G29" s="1107"/>
      <c r="H29" s="1107"/>
      <c r="I29" s="1108">
        <v>1</v>
      </c>
      <c r="J29" s="1108"/>
      <c r="K29" s="403">
        <v>2</v>
      </c>
      <c r="L29" s="402">
        <v>3</v>
      </c>
      <c r="M29" s="403">
        <v>4</v>
      </c>
      <c r="N29" s="402">
        <v>5</v>
      </c>
      <c r="O29" s="404"/>
      <c r="P29" s="402"/>
      <c r="Q29" s="391" t="e">
        <f>P29/O29</f>
        <v>#DIV/0!</v>
      </c>
    </row>
    <row r="30" spans="2:17" ht="20.100000000000001" customHeight="1">
      <c r="B30" s="377" t="s">
        <v>41</v>
      </c>
      <c r="C30" s="378" t="s">
        <v>42</v>
      </c>
      <c r="D30" s="379"/>
      <c r="E30" s="380"/>
      <c r="F30" s="380"/>
      <c r="G30" s="381"/>
      <c r="H30" s="381"/>
      <c r="I30" s="380"/>
      <c r="J30" s="380"/>
      <c r="K30" s="380"/>
      <c r="L30" s="382"/>
      <c r="M30" s="382"/>
      <c r="N30" s="382"/>
      <c r="O30" s="383"/>
      <c r="P30" s="384"/>
      <c r="Q30" s="385" t="e">
        <f>SUM(N32:N34)</f>
        <v>#DIV/0!</v>
      </c>
    </row>
    <row r="31" spans="2:17" s="4" customFormat="1" ht="18.95" customHeight="1">
      <c r="B31" s="386"/>
      <c r="C31" s="1082" t="s">
        <v>8</v>
      </c>
      <c r="D31" s="1082"/>
      <c r="E31" s="1082"/>
      <c r="F31" s="1082"/>
      <c r="G31" s="1082"/>
      <c r="H31" s="1082"/>
      <c r="I31" s="1083" t="s">
        <v>43</v>
      </c>
      <c r="J31" s="1083"/>
      <c r="K31" s="1083"/>
      <c r="L31" s="1083" t="s">
        <v>154</v>
      </c>
      <c r="M31" s="1083"/>
      <c r="N31" s="387" t="s">
        <v>67</v>
      </c>
      <c r="O31" s="1083" t="s">
        <v>44</v>
      </c>
      <c r="P31" s="1083"/>
      <c r="Q31" s="1098"/>
    </row>
    <row r="32" spans="2:17" s="45" customFormat="1" ht="21" customHeight="1">
      <c r="B32" s="86">
        <v>1</v>
      </c>
      <c r="C32" s="1109" t="s">
        <v>470</v>
      </c>
      <c r="D32" s="1109"/>
      <c r="E32" s="1109"/>
      <c r="F32" s="1109"/>
      <c r="G32" s="1109"/>
      <c r="H32" s="1109"/>
      <c r="I32" s="1085">
        <f>Q11</f>
        <v>0</v>
      </c>
      <c r="J32" s="1085"/>
      <c r="K32" s="1085"/>
      <c r="L32" s="1110">
        <v>0.2</v>
      </c>
      <c r="M32" s="1110"/>
      <c r="N32" s="390">
        <f>I32*L32</f>
        <v>0</v>
      </c>
      <c r="O32" s="1111" t="e">
        <f>IF(Q30=0,"",IF(Q30&gt;100%,"XUẤT SẮC",IF(Q30&gt;=90%,"TỐT",IF(Q30&gt;=80%,"HOÀN THÀNH","KHÔNG HOÀN THÀNH"))))</f>
        <v>#DIV/0!</v>
      </c>
      <c r="P32" s="1112"/>
      <c r="Q32" s="1112"/>
    </row>
    <row r="33" spans="2:17" s="45" customFormat="1" ht="21" customHeight="1">
      <c r="B33" s="86">
        <f>B32+1</f>
        <v>2</v>
      </c>
      <c r="C33" s="1109" t="s">
        <v>155</v>
      </c>
      <c r="D33" s="1109"/>
      <c r="E33" s="1109"/>
      <c r="F33" s="1109"/>
      <c r="G33" s="1109"/>
      <c r="H33" s="1109"/>
      <c r="I33" s="1085">
        <f>Q15</f>
        <v>0</v>
      </c>
      <c r="J33" s="1085"/>
      <c r="K33" s="1085"/>
      <c r="L33" s="1110">
        <v>0.7</v>
      </c>
      <c r="M33" s="1110"/>
      <c r="N33" s="390">
        <f>I33*L33</f>
        <v>0</v>
      </c>
      <c r="O33" s="1112"/>
      <c r="P33" s="1112"/>
      <c r="Q33" s="1112"/>
    </row>
    <row r="34" spans="2:17" s="45" customFormat="1" ht="21" customHeight="1">
      <c r="B34" s="86">
        <f>B33+1</f>
        <v>3</v>
      </c>
      <c r="C34" s="1114" t="s">
        <v>187</v>
      </c>
      <c r="D34" s="1114"/>
      <c r="E34" s="1114"/>
      <c r="F34" s="1114"/>
      <c r="G34" s="1114"/>
      <c r="H34" s="1114"/>
      <c r="I34" s="1088" t="e">
        <f>Q22</f>
        <v>#DIV/0!</v>
      </c>
      <c r="J34" s="1088"/>
      <c r="K34" s="1088"/>
      <c r="L34" s="1115">
        <v>0.1</v>
      </c>
      <c r="M34" s="1115"/>
      <c r="N34" s="392" t="e">
        <f>I34*L34</f>
        <v>#DIV/0!</v>
      </c>
      <c r="O34" s="1113"/>
      <c r="P34" s="1113"/>
      <c r="Q34" s="1113"/>
    </row>
    <row r="35" spans="2:17" ht="18.95" customHeight="1">
      <c r="B35" s="377" t="s">
        <v>45</v>
      </c>
      <c r="C35" s="393" t="s">
        <v>46</v>
      </c>
      <c r="D35" s="380"/>
      <c r="E35" s="380"/>
      <c r="F35" s="380"/>
      <c r="G35" s="381"/>
      <c r="H35" s="381"/>
      <c r="I35" s="380"/>
      <c r="J35" s="380"/>
      <c r="K35" s="380"/>
      <c r="L35" s="380"/>
      <c r="M35" s="380"/>
      <c r="N35" s="380"/>
      <c r="O35" s="380"/>
      <c r="P35" s="380"/>
      <c r="Q35" s="405"/>
    </row>
    <row r="36" spans="2:17" ht="57.95" customHeight="1">
      <c r="B36" s="406">
        <v>1</v>
      </c>
      <c r="C36" s="1116" t="s">
        <v>47</v>
      </c>
      <c r="D36" s="1116"/>
      <c r="E36" s="1116"/>
      <c r="F36" s="1116"/>
      <c r="G36" s="1116"/>
      <c r="H36" s="1116"/>
      <c r="I36" s="1117" t="s">
        <v>48</v>
      </c>
      <c r="J36" s="1117"/>
      <c r="K36" s="1117"/>
      <c r="L36" s="1117"/>
      <c r="M36" s="1117"/>
      <c r="N36" s="1118" t="s">
        <v>49</v>
      </c>
      <c r="O36" s="1118"/>
      <c r="P36" s="1118" t="s">
        <v>50</v>
      </c>
      <c r="Q36" s="1118"/>
    </row>
    <row r="37" spans="2:17" ht="105" customHeight="1">
      <c r="B37" s="406">
        <v>2</v>
      </c>
      <c r="C37" s="1119" t="s">
        <v>51</v>
      </c>
      <c r="D37" s="1119"/>
      <c r="E37" s="1119"/>
      <c r="F37" s="1119"/>
      <c r="G37" s="1119"/>
      <c r="H37" s="1119"/>
      <c r="I37" s="1120" t="s">
        <v>52</v>
      </c>
      <c r="J37" s="1093"/>
      <c r="K37" s="1093"/>
      <c r="L37" s="1093"/>
      <c r="M37" s="1093"/>
      <c r="N37" s="1093"/>
      <c r="O37" s="1093"/>
      <c r="P37" s="1093"/>
      <c r="Q37" s="1093"/>
    </row>
    <row r="38" spans="2:17">
      <c r="B38" s="5"/>
      <c r="C38" s="5"/>
      <c r="D38" s="5"/>
      <c r="E38" s="5"/>
      <c r="F38" s="5"/>
      <c r="G38" s="6"/>
      <c r="H38" s="6"/>
      <c r="I38" s="5"/>
      <c r="J38" s="5"/>
      <c r="K38" s="5"/>
      <c r="L38" s="5"/>
      <c r="M38" s="5"/>
      <c r="N38" s="5"/>
      <c r="O38" s="5"/>
      <c r="P38" s="5"/>
      <c r="Q38" s="6"/>
    </row>
    <row r="39" spans="2:17" ht="12.95" customHeight="1">
      <c r="B39" s="37"/>
      <c r="C39" s="47"/>
      <c r="D39" s="38"/>
      <c r="E39" s="38"/>
      <c r="F39" s="38"/>
      <c r="G39" s="37"/>
      <c r="H39" s="37"/>
      <c r="I39" s="38"/>
      <c r="J39" s="38"/>
      <c r="K39" s="38"/>
      <c r="L39" s="38"/>
      <c r="M39" s="38"/>
      <c r="N39" s="38"/>
      <c r="O39" s="38"/>
      <c r="P39" s="38"/>
      <c r="Q39" s="37"/>
    </row>
    <row r="40" spans="2:17" s="51" customFormat="1" ht="32.1" customHeight="1">
      <c r="B40" s="1079" t="s">
        <v>539</v>
      </c>
      <c r="C40" s="975"/>
      <c r="D40" s="1079" t="s">
        <v>537</v>
      </c>
      <c r="E40" s="975"/>
      <c r="F40" s="975"/>
      <c r="G40" s="975"/>
      <c r="H40" s="975"/>
      <c r="I40" s="471"/>
      <c r="J40" s="1079" t="s">
        <v>540</v>
      </c>
      <c r="K40" s="1079"/>
      <c r="L40" s="1079"/>
      <c r="M40" s="1079"/>
      <c r="N40" s="1079"/>
      <c r="O40" s="1079"/>
      <c r="P40" s="1079"/>
      <c r="Q40" s="1079"/>
    </row>
    <row r="41" spans="2:17">
      <c r="B41" s="6"/>
      <c r="C41" s="5"/>
      <c r="D41" s="5"/>
      <c r="E41" s="5"/>
      <c r="F41" s="5"/>
      <c r="G41" s="6"/>
      <c r="I41" s="6"/>
      <c r="J41" s="6"/>
      <c r="K41" s="6"/>
      <c r="L41" s="5"/>
      <c r="M41" s="5"/>
      <c r="N41" s="5"/>
      <c r="O41" s="5"/>
      <c r="P41" s="5"/>
      <c r="Q41" s="5"/>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6"/>
      <c r="C45" s="5"/>
      <c r="D45" s="5"/>
      <c r="E45" s="5"/>
      <c r="F45" s="5"/>
      <c r="G45" s="6"/>
      <c r="I45" s="5"/>
      <c r="J45" s="6"/>
      <c r="K45" s="5"/>
      <c r="L45" s="5"/>
      <c r="M45" s="5"/>
      <c r="N45" s="5"/>
      <c r="O45" s="5"/>
      <c r="P45" s="5"/>
      <c r="Q45" s="6"/>
    </row>
    <row r="46" spans="2:17">
      <c r="B46" s="6"/>
      <c r="C46" s="5"/>
      <c r="D46" s="5"/>
      <c r="E46" s="5"/>
      <c r="F46" s="5"/>
      <c r="G46" s="6"/>
      <c r="I46" s="5"/>
      <c r="J46" s="6"/>
      <c r="K46" s="5"/>
      <c r="L46" s="5"/>
      <c r="M46" s="5"/>
      <c r="N46" s="5"/>
      <c r="O46" s="5"/>
      <c r="P46" s="5"/>
      <c r="Q46" s="6"/>
    </row>
    <row r="47" spans="2:17">
      <c r="B47" s="972" t="s">
        <v>29</v>
      </c>
      <c r="C47" s="972"/>
      <c r="D47" s="972" t="s">
        <v>29</v>
      </c>
      <c r="E47" s="972"/>
      <c r="F47" s="972"/>
      <c r="G47" s="972"/>
      <c r="H47" s="972"/>
      <c r="I47" s="5"/>
      <c r="J47" s="972" t="s">
        <v>29</v>
      </c>
      <c r="K47" s="972"/>
      <c r="L47" s="972"/>
      <c r="M47" s="972"/>
      <c r="N47" s="972"/>
      <c r="O47" s="972"/>
      <c r="P47" s="972"/>
      <c r="Q47" s="972"/>
    </row>
    <row r="48" spans="2:17">
      <c r="B48" s="6"/>
      <c r="C48" s="5"/>
      <c r="D48" s="5"/>
      <c r="E48" s="5"/>
      <c r="F48" s="5"/>
      <c r="G48" s="6"/>
      <c r="I48" s="5"/>
      <c r="J48" s="6"/>
      <c r="K48" s="5"/>
      <c r="L48" s="5"/>
      <c r="M48" s="5"/>
      <c r="N48" s="5"/>
      <c r="O48" s="5"/>
      <c r="P48" s="5"/>
      <c r="Q48" s="6"/>
    </row>
    <row r="49" spans="2:17">
      <c r="B49" s="37"/>
      <c r="C49" s="47"/>
      <c r="D49" s="38"/>
      <c r="E49" s="38"/>
      <c r="F49" s="38"/>
      <c r="G49" s="37"/>
      <c r="I49" s="38"/>
      <c r="J49" s="37"/>
      <c r="K49" s="38"/>
      <c r="L49" s="38"/>
      <c r="M49" s="38"/>
      <c r="N49" s="38"/>
      <c r="O49" s="38"/>
      <c r="P49" s="38"/>
      <c r="Q49" s="37"/>
    </row>
    <row r="50" spans="2:17" ht="24" customHeight="1">
      <c r="B50" s="1080"/>
      <c r="C50" s="972"/>
      <c r="D50" s="1080"/>
      <c r="E50" s="972"/>
      <c r="F50" s="972"/>
      <c r="G50" s="972"/>
      <c r="H50" s="972"/>
      <c r="I50" s="245"/>
      <c r="J50" s="972"/>
      <c r="K50" s="972"/>
      <c r="L50" s="972"/>
      <c r="M50" s="972"/>
      <c r="N50" s="245"/>
      <c r="O50" s="1080"/>
      <c r="P50" s="972"/>
      <c r="Q50" s="972"/>
    </row>
    <row r="51" spans="2:17">
      <c r="B51" s="6"/>
      <c r="C51" s="5"/>
      <c r="D51" s="5"/>
      <c r="E51" s="5"/>
      <c r="F51" s="5"/>
      <c r="G51" s="6"/>
      <c r="I51" s="6"/>
      <c r="J51" s="6"/>
      <c r="K51" s="6"/>
      <c r="L51" s="5"/>
      <c r="M51" s="5"/>
      <c r="N51" s="5"/>
      <c r="O51" s="5"/>
      <c r="P51" s="5"/>
      <c r="Q51" s="5"/>
    </row>
    <row r="52" spans="2:17">
      <c r="B52" s="6"/>
      <c r="C52" s="5"/>
      <c r="D52" s="5"/>
      <c r="E52" s="5"/>
      <c r="F52" s="5"/>
      <c r="G52" s="6"/>
      <c r="I52" s="5"/>
      <c r="J52" s="6"/>
      <c r="K52" s="5"/>
      <c r="L52" s="5"/>
      <c r="M52" s="5"/>
      <c r="N52" s="5"/>
      <c r="O52" s="5"/>
      <c r="P52" s="5"/>
      <c r="Q52" s="6"/>
    </row>
    <row r="53" spans="2:17">
      <c r="B53" s="6"/>
      <c r="C53" s="5"/>
      <c r="D53" s="5"/>
      <c r="E53" s="5"/>
      <c r="F53" s="5"/>
      <c r="G53" s="6"/>
      <c r="I53" s="5"/>
      <c r="J53" s="6"/>
      <c r="K53" s="5"/>
      <c r="L53" s="5"/>
      <c r="M53" s="5"/>
      <c r="N53" s="5"/>
      <c r="O53" s="5"/>
      <c r="P53" s="5"/>
      <c r="Q53" s="6"/>
    </row>
    <row r="54" spans="2:17">
      <c r="B54" s="6"/>
      <c r="C54" s="5"/>
      <c r="D54" s="5"/>
      <c r="E54" s="5"/>
      <c r="F54" s="5"/>
      <c r="G54" s="6"/>
      <c r="I54" s="5"/>
      <c r="J54" s="6"/>
      <c r="K54" s="5"/>
      <c r="L54" s="5"/>
      <c r="M54" s="5"/>
      <c r="N54" s="5"/>
      <c r="O54" s="5"/>
      <c r="P54" s="5"/>
      <c r="Q54" s="6"/>
    </row>
    <row r="55" spans="2:17">
      <c r="B55" s="6"/>
      <c r="C55" s="5"/>
      <c r="D55" s="5"/>
      <c r="E55" s="5"/>
      <c r="F55" s="5"/>
      <c r="G55" s="6"/>
      <c r="I55" s="5"/>
      <c r="J55" s="6"/>
      <c r="K55" s="5"/>
      <c r="L55" s="5"/>
      <c r="M55" s="5"/>
      <c r="N55" s="5"/>
      <c r="O55" s="5"/>
      <c r="P55" s="5"/>
      <c r="Q55" s="6"/>
    </row>
    <row r="56" spans="2:17">
      <c r="B56" s="6"/>
      <c r="C56" s="5"/>
      <c r="D56" s="5"/>
      <c r="E56" s="5"/>
      <c r="F56" s="5"/>
      <c r="G56" s="6"/>
      <c r="I56" s="5"/>
      <c r="J56" s="6"/>
      <c r="K56" s="5"/>
      <c r="L56" s="5"/>
      <c r="M56" s="5"/>
      <c r="N56" s="5"/>
      <c r="O56" s="5"/>
      <c r="P56" s="5"/>
      <c r="Q56" s="6"/>
    </row>
    <row r="57" spans="2:17">
      <c r="B57" s="972"/>
      <c r="C57" s="972"/>
      <c r="D57" s="972"/>
      <c r="E57" s="972"/>
      <c r="F57" s="972"/>
      <c r="G57" s="972"/>
      <c r="H57" s="972"/>
      <c r="I57" s="5"/>
      <c r="J57" s="972"/>
      <c r="K57" s="972"/>
      <c r="L57" s="972"/>
      <c r="M57" s="972"/>
      <c r="N57" s="5"/>
      <c r="O57" s="972"/>
      <c r="P57" s="972"/>
      <c r="Q57" s="972"/>
    </row>
    <row r="58" spans="2:17">
      <c r="B58" s="2"/>
    </row>
    <row r="59" spans="2:17">
      <c r="B59" s="2"/>
    </row>
  </sheetData>
  <mergeCells count="86">
    <mergeCell ref="C12:H12"/>
    <mergeCell ref="I12:K12"/>
    <mergeCell ref="L12:M12"/>
    <mergeCell ref="C13:H13"/>
    <mergeCell ref="I13:K13"/>
    <mergeCell ref="L13:M13"/>
    <mergeCell ref="C14:H14"/>
    <mergeCell ref="I14:K14"/>
    <mergeCell ref="L14:M14"/>
    <mergeCell ref="L15:N15"/>
    <mergeCell ref="E16:F16"/>
    <mergeCell ref="G16:H16"/>
    <mergeCell ref="I16:K16"/>
    <mergeCell ref="L16:M16"/>
    <mergeCell ref="E17:F17"/>
    <mergeCell ref="G17:H17"/>
    <mergeCell ref="I17:K17"/>
    <mergeCell ref="L17:M17"/>
    <mergeCell ref="E18:F18"/>
    <mergeCell ref="G18:H18"/>
    <mergeCell ref="I18:K18"/>
    <mergeCell ref="L18:M18"/>
    <mergeCell ref="B23:B24"/>
    <mergeCell ref="C23:H24"/>
    <mergeCell ref="I23:N23"/>
    <mergeCell ref="E19:F19"/>
    <mergeCell ref="G19:H19"/>
    <mergeCell ref="I19:K19"/>
    <mergeCell ref="L19:M19"/>
    <mergeCell ref="E20:F20"/>
    <mergeCell ref="G20:H20"/>
    <mergeCell ref="I20:K20"/>
    <mergeCell ref="L20:M20"/>
    <mergeCell ref="E21:F21"/>
    <mergeCell ref="G21:H21"/>
    <mergeCell ref="I21:K21"/>
    <mergeCell ref="L21:M21"/>
    <mergeCell ref="L22:N22"/>
    <mergeCell ref="O23:O24"/>
    <mergeCell ref="P23:P24"/>
    <mergeCell ref="Q23:Q24"/>
    <mergeCell ref="I24:J24"/>
    <mergeCell ref="C25:H25"/>
    <mergeCell ref="I25:J25"/>
    <mergeCell ref="O31:Q31"/>
    <mergeCell ref="C26:H26"/>
    <mergeCell ref="I26:J26"/>
    <mergeCell ref="C27:H27"/>
    <mergeCell ref="I27:J27"/>
    <mergeCell ref="C28:H28"/>
    <mergeCell ref="I28:J28"/>
    <mergeCell ref="C29:H29"/>
    <mergeCell ref="I29:J29"/>
    <mergeCell ref="C31:H31"/>
    <mergeCell ref="I31:K31"/>
    <mergeCell ref="L31:M31"/>
    <mergeCell ref="C32:H32"/>
    <mergeCell ref="I32:K32"/>
    <mergeCell ref="L32:M32"/>
    <mergeCell ref="O32:Q34"/>
    <mergeCell ref="C33:H33"/>
    <mergeCell ref="I33:K33"/>
    <mergeCell ref="L33:M33"/>
    <mergeCell ref="C34:H34"/>
    <mergeCell ref="I34:K34"/>
    <mergeCell ref="L34:M34"/>
    <mergeCell ref="C36:H36"/>
    <mergeCell ref="I36:M36"/>
    <mergeCell ref="N36:O36"/>
    <mergeCell ref="P36:Q36"/>
    <mergeCell ref="C37:H37"/>
    <mergeCell ref="I37:Q37"/>
    <mergeCell ref="B40:C40"/>
    <mergeCell ref="D40:H40"/>
    <mergeCell ref="J40:Q40"/>
    <mergeCell ref="B47:C47"/>
    <mergeCell ref="D47:H47"/>
    <mergeCell ref="J47:Q47"/>
    <mergeCell ref="B50:C50"/>
    <mergeCell ref="D50:H50"/>
    <mergeCell ref="J50:M50"/>
    <mergeCell ref="O50:Q50"/>
    <mergeCell ref="B57:C57"/>
    <mergeCell ref="D57:H57"/>
    <mergeCell ref="J57:M57"/>
    <mergeCell ref="O57:Q57"/>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R59"/>
  <sheetViews>
    <sheetView showGridLines="0" zoomScale="125" workbookViewId="0">
      <selection activeCell="G18" sqref="G18:H18"/>
    </sheetView>
  </sheetViews>
  <sheetFormatPr defaultColWidth="8.875" defaultRowHeight="12.75"/>
  <cols>
    <col min="1" max="1" width="1.125" style="1" customWidth="1"/>
    <col min="2" max="2" width="12.875" style="1" bestFit="1" customWidth="1"/>
    <col min="3" max="3" width="35.875" style="1" customWidth="1"/>
    <col min="4" max="4" width="9" style="1" customWidth="1"/>
    <col min="5" max="5" width="10.125" style="1" customWidth="1"/>
    <col min="6" max="6" width="14.5" style="1" customWidth="1"/>
    <col min="7" max="7" width="6.625" style="2" customWidth="1"/>
    <col min="8" max="8" width="20.625" style="2" customWidth="1"/>
    <col min="9" max="9" width="2.5" style="1" customWidth="1"/>
    <col min="10" max="10" width="5.5" style="1" customWidth="1"/>
    <col min="11" max="11" width="7.625" style="1" customWidth="1"/>
    <col min="12" max="12" width="7.5" style="1" customWidth="1"/>
    <col min="13" max="13" width="7.625" style="1" customWidth="1"/>
    <col min="14" max="14" width="13.625" style="1" customWidth="1"/>
    <col min="15" max="16" width="10.125" style="1" customWidth="1"/>
    <col min="17" max="17" width="10.875" style="2" customWidth="1"/>
    <col min="18" max="18" width="11.375" style="1" customWidth="1"/>
    <col min="19" max="19" width="6.875" style="1" customWidth="1"/>
    <col min="20" max="238" width="8.875" style="1"/>
    <col min="239" max="239" width="5" style="1" customWidth="1"/>
    <col min="240" max="240" width="33.375" style="1" customWidth="1"/>
    <col min="241" max="241" width="6.5" style="1" customWidth="1"/>
    <col min="242" max="242" width="29.5" style="1" customWidth="1"/>
    <col min="243" max="243" width="23.625" style="1" customWidth="1"/>
    <col min="244" max="244" width="8" style="1" customWidth="1"/>
    <col min="245" max="245" width="9.125" style="1" customWidth="1"/>
    <col min="246" max="246" width="13.875" style="1" customWidth="1"/>
    <col min="247" max="247" width="13.5" style="1" customWidth="1"/>
    <col min="248" max="494" width="8.875" style="1"/>
    <col min="495" max="495" width="5" style="1" customWidth="1"/>
    <col min="496" max="496" width="33.375" style="1" customWidth="1"/>
    <col min="497" max="497" width="6.5" style="1" customWidth="1"/>
    <col min="498" max="498" width="29.5" style="1" customWidth="1"/>
    <col min="499" max="499" width="23.625" style="1" customWidth="1"/>
    <col min="500" max="500" width="8" style="1" customWidth="1"/>
    <col min="501" max="501" width="9.125" style="1" customWidth="1"/>
    <col min="502" max="502" width="13.875" style="1" customWidth="1"/>
    <col min="503" max="503" width="13.5" style="1" customWidth="1"/>
    <col min="504" max="750" width="8.875" style="1"/>
    <col min="751" max="751" width="5" style="1" customWidth="1"/>
    <col min="752" max="752" width="33.375" style="1" customWidth="1"/>
    <col min="753" max="753" width="6.5" style="1" customWidth="1"/>
    <col min="754" max="754" width="29.5" style="1" customWidth="1"/>
    <col min="755" max="755" width="23.625" style="1" customWidth="1"/>
    <col min="756" max="756" width="8" style="1" customWidth="1"/>
    <col min="757" max="757" width="9.125" style="1" customWidth="1"/>
    <col min="758" max="758" width="13.875" style="1" customWidth="1"/>
    <col min="759" max="759" width="13.5" style="1" customWidth="1"/>
    <col min="760" max="1006" width="8.875" style="1"/>
    <col min="1007" max="1007" width="5" style="1" customWidth="1"/>
    <col min="1008" max="1008" width="33.375" style="1" customWidth="1"/>
    <col min="1009" max="1009" width="6.5" style="1" customWidth="1"/>
    <col min="1010" max="1010" width="29.5" style="1" customWidth="1"/>
    <col min="1011" max="1011" width="23.625" style="1" customWidth="1"/>
    <col min="1012" max="1012" width="8" style="1" customWidth="1"/>
    <col min="1013" max="1013" width="9.125" style="1" customWidth="1"/>
    <col min="1014" max="1014" width="13.875" style="1" customWidth="1"/>
    <col min="1015" max="1015" width="13.5" style="1" customWidth="1"/>
    <col min="1016" max="1262" width="8.875" style="1"/>
    <col min="1263" max="1263" width="5" style="1" customWidth="1"/>
    <col min="1264" max="1264" width="33.375" style="1" customWidth="1"/>
    <col min="1265" max="1265" width="6.5" style="1" customWidth="1"/>
    <col min="1266" max="1266" width="29.5" style="1" customWidth="1"/>
    <col min="1267" max="1267" width="23.625" style="1" customWidth="1"/>
    <col min="1268" max="1268" width="8" style="1" customWidth="1"/>
    <col min="1269" max="1269" width="9.125" style="1" customWidth="1"/>
    <col min="1270" max="1270" width="13.875" style="1" customWidth="1"/>
    <col min="1271" max="1271" width="13.5" style="1" customWidth="1"/>
    <col min="1272" max="1518" width="8.875" style="1"/>
    <col min="1519" max="1519" width="5" style="1" customWidth="1"/>
    <col min="1520" max="1520" width="33.375" style="1" customWidth="1"/>
    <col min="1521" max="1521" width="6.5" style="1" customWidth="1"/>
    <col min="1522" max="1522" width="29.5" style="1" customWidth="1"/>
    <col min="1523" max="1523" width="23.625" style="1" customWidth="1"/>
    <col min="1524" max="1524" width="8" style="1" customWidth="1"/>
    <col min="1525" max="1525" width="9.125" style="1" customWidth="1"/>
    <col min="1526" max="1526" width="13.875" style="1" customWidth="1"/>
    <col min="1527" max="1527" width="13.5" style="1" customWidth="1"/>
    <col min="1528" max="1774" width="8.875" style="1"/>
    <col min="1775" max="1775" width="5" style="1" customWidth="1"/>
    <col min="1776" max="1776" width="33.375" style="1" customWidth="1"/>
    <col min="1777" max="1777" width="6.5" style="1" customWidth="1"/>
    <col min="1778" max="1778" width="29.5" style="1" customWidth="1"/>
    <col min="1779" max="1779" width="23.625" style="1" customWidth="1"/>
    <col min="1780" max="1780" width="8" style="1" customWidth="1"/>
    <col min="1781" max="1781" width="9.125" style="1" customWidth="1"/>
    <col min="1782" max="1782" width="13.875" style="1" customWidth="1"/>
    <col min="1783" max="1783" width="13.5" style="1" customWidth="1"/>
    <col min="1784" max="2030" width="8.875" style="1"/>
    <col min="2031" max="2031" width="5" style="1" customWidth="1"/>
    <col min="2032" max="2032" width="33.375" style="1" customWidth="1"/>
    <col min="2033" max="2033" width="6.5" style="1" customWidth="1"/>
    <col min="2034" max="2034" width="29.5" style="1" customWidth="1"/>
    <col min="2035" max="2035" width="23.625" style="1" customWidth="1"/>
    <col min="2036" max="2036" width="8" style="1" customWidth="1"/>
    <col min="2037" max="2037" width="9.125" style="1" customWidth="1"/>
    <col min="2038" max="2038" width="13.875" style="1" customWidth="1"/>
    <col min="2039" max="2039" width="13.5" style="1" customWidth="1"/>
    <col min="2040" max="2286" width="8.875" style="1"/>
    <col min="2287" max="2287" width="5" style="1" customWidth="1"/>
    <col min="2288" max="2288" width="33.375" style="1" customWidth="1"/>
    <col min="2289" max="2289" width="6.5" style="1" customWidth="1"/>
    <col min="2290" max="2290" width="29.5" style="1" customWidth="1"/>
    <col min="2291" max="2291" width="23.625" style="1" customWidth="1"/>
    <col min="2292" max="2292" width="8" style="1" customWidth="1"/>
    <col min="2293" max="2293" width="9.125" style="1" customWidth="1"/>
    <col min="2294" max="2294" width="13.875" style="1" customWidth="1"/>
    <col min="2295" max="2295" width="13.5" style="1" customWidth="1"/>
    <col min="2296" max="2542" width="8.875" style="1"/>
    <col min="2543" max="2543" width="5" style="1" customWidth="1"/>
    <col min="2544" max="2544" width="33.375" style="1" customWidth="1"/>
    <col min="2545" max="2545" width="6.5" style="1" customWidth="1"/>
    <col min="2546" max="2546" width="29.5" style="1" customWidth="1"/>
    <col min="2547" max="2547" width="23.625" style="1" customWidth="1"/>
    <col min="2548" max="2548" width="8" style="1" customWidth="1"/>
    <col min="2549" max="2549" width="9.125" style="1" customWidth="1"/>
    <col min="2550" max="2550" width="13.875" style="1" customWidth="1"/>
    <col min="2551" max="2551" width="13.5" style="1" customWidth="1"/>
    <col min="2552" max="2798" width="8.875" style="1"/>
    <col min="2799" max="2799" width="5" style="1" customWidth="1"/>
    <col min="2800" max="2800" width="33.375" style="1" customWidth="1"/>
    <col min="2801" max="2801" width="6.5" style="1" customWidth="1"/>
    <col min="2802" max="2802" width="29.5" style="1" customWidth="1"/>
    <col min="2803" max="2803" width="23.625" style="1" customWidth="1"/>
    <col min="2804" max="2804" width="8" style="1" customWidth="1"/>
    <col min="2805" max="2805" width="9.125" style="1" customWidth="1"/>
    <col min="2806" max="2806" width="13.875" style="1" customWidth="1"/>
    <col min="2807" max="2807" width="13.5" style="1" customWidth="1"/>
    <col min="2808" max="3054" width="8.875" style="1"/>
    <col min="3055" max="3055" width="5" style="1" customWidth="1"/>
    <col min="3056" max="3056" width="33.375" style="1" customWidth="1"/>
    <col min="3057" max="3057" width="6.5" style="1" customWidth="1"/>
    <col min="3058" max="3058" width="29.5" style="1" customWidth="1"/>
    <col min="3059" max="3059" width="23.625" style="1" customWidth="1"/>
    <col min="3060" max="3060" width="8" style="1" customWidth="1"/>
    <col min="3061" max="3061" width="9.125" style="1" customWidth="1"/>
    <col min="3062" max="3062" width="13.875" style="1" customWidth="1"/>
    <col min="3063" max="3063" width="13.5" style="1" customWidth="1"/>
    <col min="3064" max="3310" width="8.875" style="1"/>
    <col min="3311" max="3311" width="5" style="1" customWidth="1"/>
    <col min="3312" max="3312" width="33.375" style="1" customWidth="1"/>
    <col min="3313" max="3313" width="6.5" style="1" customWidth="1"/>
    <col min="3314" max="3314" width="29.5" style="1" customWidth="1"/>
    <col min="3315" max="3315" width="23.625" style="1" customWidth="1"/>
    <col min="3316" max="3316" width="8" style="1" customWidth="1"/>
    <col min="3317" max="3317" width="9.125" style="1" customWidth="1"/>
    <col min="3318" max="3318" width="13.875" style="1" customWidth="1"/>
    <col min="3319" max="3319" width="13.5" style="1" customWidth="1"/>
    <col min="3320" max="3566" width="8.875" style="1"/>
    <col min="3567" max="3567" width="5" style="1" customWidth="1"/>
    <col min="3568" max="3568" width="33.375" style="1" customWidth="1"/>
    <col min="3569" max="3569" width="6.5" style="1" customWidth="1"/>
    <col min="3570" max="3570" width="29.5" style="1" customWidth="1"/>
    <col min="3571" max="3571" width="23.625" style="1" customWidth="1"/>
    <col min="3572" max="3572" width="8" style="1" customWidth="1"/>
    <col min="3573" max="3573" width="9.125" style="1" customWidth="1"/>
    <col min="3574" max="3574" width="13.875" style="1" customWidth="1"/>
    <col min="3575" max="3575" width="13.5" style="1" customWidth="1"/>
    <col min="3576" max="3822" width="8.875" style="1"/>
    <col min="3823" max="3823" width="5" style="1" customWidth="1"/>
    <col min="3824" max="3824" width="33.375" style="1" customWidth="1"/>
    <col min="3825" max="3825" width="6.5" style="1" customWidth="1"/>
    <col min="3826" max="3826" width="29.5" style="1" customWidth="1"/>
    <col min="3827" max="3827" width="23.625" style="1" customWidth="1"/>
    <col min="3828" max="3828" width="8" style="1" customWidth="1"/>
    <col min="3829" max="3829" width="9.125" style="1" customWidth="1"/>
    <col min="3830" max="3830" width="13.875" style="1" customWidth="1"/>
    <col min="3831" max="3831" width="13.5" style="1" customWidth="1"/>
    <col min="3832" max="4078" width="8.875" style="1"/>
    <col min="4079" max="4079" width="5" style="1" customWidth="1"/>
    <col min="4080" max="4080" width="33.375" style="1" customWidth="1"/>
    <col min="4081" max="4081" width="6.5" style="1" customWidth="1"/>
    <col min="4082" max="4082" width="29.5" style="1" customWidth="1"/>
    <col min="4083" max="4083" width="23.625" style="1" customWidth="1"/>
    <col min="4084" max="4084" width="8" style="1" customWidth="1"/>
    <col min="4085" max="4085" width="9.125" style="1" customWidth="1"/>
    <col min="4086" max="4086" width="13.875" style="1" customWidth="1"/>
    <col min="4087" max="4087" width="13.5" style="1" customWidth="1"/>
    <col min="4088" max="4334" width="8.875" style="1"/>
    <col min="4335" max="4335" width="5" style="1" customWidth="1"/>
    <col min="4336" max="4336" width="33.375" style="1" customWidth="1"/>
    <col min="4337" max="4337" width="6.5" style="1" customWidth="1"/>
    <col min="4338" max="4338" width="29.5" style="1" customWidth="1"/>
    <col min="4339" max="4339" width="23.625" style="1" customWidth="1"/>
    <col min="4340" max="4340" width="8" style="1" customWidth="1"/>
    <col min="4341" max="4341" width="9.125" style="1" customWidth="1"/>
    <col min="4342" max="4342" width="13.875" style="1" customWidth="1"/>
    <col min="4343" max="4343" width="13.5" style="1" customWidth="1"/>
    <col min="4344" max="4590" width="8.875" style="1"/>
    <col min="4591" max="4591" width="5" style="1" customWidth="1"/>
    <col min="4592" max="4592" width="33.375" style="1" customWidth="1"/>
    <col min="4593" max="4593" width="6.5" style="1" customWidth="1"/>
    <col min="4594" max="4594" width="29.5" style="1" customWidth="1"/>
    <col min="4595" max="4595" width="23.625" style="1" customWidth="1"/>
    <col min="4596" max="4596" width="8" style="1" customWidth="1"/>
    <col min="4597" max="4597" width="9.125" style="1" customWidth="1"/>
    <col min="4598" max="4598" width="13.875" style="1" customWidth="1"/>
    <col min="4599" max="4599" width="13.5" style="1" customWidth="1"/>
    <col min="4600" max="4846" width="8.875" style="1"/>
    <col min="4847" max="4847" width="5" style="1" customWidth="1"/>
    <col min="4848" max="4848" width="33.375" style="1" customWidth="1"/>
    <col min="4849" max="4849" width="6.5" style="1" customWidth="1"/>
    <col min="4850" max="4850" width="29.5" style="1" customWidth="1"/>
    <col min="4851" max="4851" width="23.625" style="1" customWidth="1"/>
    <col min="4852" max="4852" width="8" style="1" customWidth="1"/>
    <col min="4853" max="4853" width="9.125" style="1" customWidth="1"/>
    <col min="4854" max="4854" width="13.875" style="1" customWidth="1"/>
    <col min="4855" max="4855" width="13.5" style="1" customWidth="1"/>
    <col min="4856" max="5102" width="8.875" style="1"/>
    <col min="5103" max="5103" width="5" style="1" customWidth="1"/>
    <col min="5104" max="5104" width="33.375" style="1" customWidth="1"/>
    <col min="5105" max="5105" width="6.5" style="1" customWidth="1"/>
    <col min="5106" max="5106" width="29.5" style="1" customWidth="1"/>
    <col min="5107" max="5107" width="23.625" style="1" customWidth="1"/>
    <col min="5108" max="5108" width="8" style="1" customWidth="1"/>
    <col min="5109" max="5109" width="9.125" style="1" customWidth="1"/>
    <col min="5110" max="5110" width="13.875" style="1" customWidth="1"/>
    <col min="5111" max="5111" width="13.5" style="1" customWidth="1"/>
    <col min="5112" max="5358" width="8.875" style="1"/>
    <col min="5359" max="5359" width="5" style="1" customWidth="1"/>
    <col min="5360" max="5360" width="33.375" style="1" customWidth="1"/>
    <col min="5361" max="5361" width="6.5" style="1" customWidth="1"/>
    <col min="5362" max="5362" width="29.5" style="1" customWidth="1"/>
    <col min="5363" max="5363" width="23.625" style="1" customWidth="1"/>
    <col min="5364" max="5364" width="8" style="1" customWidth="1"/>
    <col min="5365" max="5365" width="9.125" style="1" customWidth="1"/>
    <col min="5366" max="5366" width="13.875" style="1" customWidth="1"/>
    <col min="5367" max="5367" width="13.5" style="1" customWidth="1"/>
    <col min="5368" max="5614" width="8.875" style="1"/>
    <col min="5615" max="5615" width="5" style="1" customWidth="1"/>
    <col min="5616" max="5616" width="33.375" style="1" customWidth="1"/>
    <col min="5617" max="5617" width="6.5" style="1" customWidth="1"/>
    <col min="5618" max="5618" width="29.5" style="1" customWidth="1"/>
    <col min="5619" max="5619" width="23.625" style="1" customWidth="1"/>
    <col min="5620" max="5620" width="8" style="1" customWidth="1"/>
    <col min="5621" max="5621" width="9.125" style="1" customWidth="1"/>
    <col min="5622" max="5622" width="13.875" style="1" customWidth="1"/>
    <col min="5623" max="5623" width="13.5" style="1" customWidth="1"/>
    <col min="5624" max="5870" width="8.875" style="1"/>
    <col min="5871" max="5871" width="5" style="1" customWidth="1"/>
    <col min="5872" max="5872" width="33.375" style="1" customWidth="1"/>
    <col min="5873" max="5873" width="6.5" style="1" customWidth="1"/>
    <col min="5874" max="5874" width="29.5" style="1" customWidth="1"/>
    <col min="5875" max="5875" width="23.625" style="1" customWidth="1"/>
    <col min="5876" max="5876" width="8" style="1" customWidth="1"/>
    <col min="5877" max="5877" width="9.125" style="1" customWidth="1"/>
    <col min="5878" max="5878" width="13.875" style="1" customWidth="1"/>
    <col min="5879" max="5879" width="13.5" style="1" customWidth="1"/>
    <col min="5880" max="6126" width="8.875" style="1"/>
    <col min="6127" max="6127" width="5" style="1" customWidth="1"/>
    <col min="6128" max="6128" width="33.375" style="1" customWidth="1"/>
    <col min="6129" max="6129" width="6.5" style="1" customWidth="1"/>
    <col min="6130" max="6130" width="29.5" style="1" customWidth="1"/>
    <col min="6131" max="6131" width="23.625" style="1" customWidth="1"/>
    <col min="6132" max="6132" width="8" style="1" customWidth="1"/>
    <col min="6133" max="6133" width="9.125" style="1" customWidth="1"/>
    <col min="6134" max="6134" width="13.875" style="1" customWidth="1"/>
    <col min="6135" max="6135" width="13.5" style="1" customWidth="1"/>
    <col min="6136" max="6382" width="8.875" style="1"/>
    <col min="6383" max="6383" width="5" style="1" customWidth="1"/>
    <col min="6384" max="6384" width="33.375" style="1" customWidth="1"/>
    <col min="6385" max="6385" width="6.5" style="1" customWidth="1"/>
    <col min="6386" max="6386" width="29.5" style="1" customWidth="1"/>
    <col min="6387" max="6387" width="23.625" style="1" customWidth="1"/>
    <col min="6388" max="6388" width="8" style="1" customWidth="1"/>
    <col min="6389" max="6389" width="9.125" style="1" customWidth="1"/>
    <col min="6390" max="6390" width="13.875" style="1" customWidth="1"/>
    <col min="6391" max="6391" width="13.5" style="1" customWidth="1"/>
    <col min="6392" max="6638" width="8.875" style="1"/>
    <col min="6639" max="6639" width="5" style="1" customWidth="1"/>
    <col min="6640" max="6640" width="33.375" style="1" customWidth="1"/>
    <col min="6641" max="6641" width="6.5" style="1" customWidth="1"/>
    <col min="6642" max="6642" width="29.5" style="1" customWidth="1"/>
    <col min="6643" max="6643" width="23.625" style="1" customWidth="1"/>
    <col min="6644" max="6644" width="8" style="1" customWidth="1"/>
    <col min="6645" max="6645" width="9.125" style="1" customWidth="1"/>
    <col min="6646" max="6646" width="13.875" style="1" customWidth="1"/>
    <col min="6647" max="6647" width="13.5" style="1" customWidth="1"/>
    <col min="6648" max="6894" width="8.875" style="1"/>
    <col min="6895" max="6895" width="5" style="1" customWidth="1"/>
    <col min="6896" max="6896" width="33.375" style="1" customWidth="1"/>
    <col min="6897" max="6897" width="6.5" style="1" customWidth="1"/>
    <col min="6898" max="6898" width="29.5" style="1" customWidth="1"/>
    <col min="6899" max="6899" width="23.625" style="1" customWidth="1"/>
    <col min="6900" max="6900" width="8" style="1" customWidth="1"/>
    <col min="6901" max="6901" width="9.125" style="1" customWidth="1"/>
    <col min="6902" max="6902" width="13.875" style="1" customWidth="1"/>
    <col min="6903" max="6903" width="13.5" style="1" customWidth="1"/>
    <col min="6904" max="7150" width="8.875" style="1"/>
    <col min="7151" max="7151" width="5" style="1" customWidth="1"/>
    <col min="7152" max="7152" width="33.375" style="1" customWidth="1"/>
    <col min="7153" max="7153" width="6.5" style="1" customWidth="1"/>
    <col min="7154" max="7154" width="29.5" style="1" customWidth="1"/>
    <col min="7155" max="7155" width="23.625" style="1" customWidth="1"/>
    <col min="7156" max="7156" width="8" style="1" customWidth="1"/>
    <col min="7157" max="7157" width="9.125" style="1" customWidth="1"/>
    <col min="7158" max="7158" width="13.875" style="1" customWidth="1"/>
    <col min="7159" max="7159" width="13.5" style="1" customWidth="1"/>
    <col min="7160" max="7406" width="8.875" style="1"/>
    <col min="7407" max="7407" width="5" style="1" customWidth="1"/>
    <col min="7408" max="7408" width="33.375" style="1" customWidth="1"/>
    <col min="7409" max="7409" width="6.5" style="1" customWidth="1"/>
    <col min="7410" max="7410" width="29.5" style="1" customWidth="1"/>
    <col min="7411" max="7411" width="23.625" style="1" customWidth="1"/>
    <col min="7412" max="7412" width="8" style="1" customWidth="1"/>
    <col min="7413" max="7413" width="9.125" style="1" customWidth="1"/>
    <col min="7414" max="7414" width="13.875" style="1" customWidth="1"/>
    <col min="7415" max="7415" width="13.5" style="1" customWidth="1"/>
    <col min="7416" max="7662" width="8.875" style="1"/>
    <col min="7663" max="7663" width="5" style="1" customWidth="1"/>
    <col min="7664" max="7664" width="33.375" style="1" customWidth="1"/>
    <col min="7665" max="7665" width="6.5" style="1" customWidth="1"/>
    <col min="7666" max="7666" width="29.5" style="1" customWidth="1"/>
    <col min="7667" max="7667" width="23.625" style="1" customWidth="1"/>
    <col min="7668" max="7668" width="8" style="1" customWidth="1"/>
    <col min="7669" max="7669" width="9.125" style="1" customWidth="1"/>
    <col min="7670" max="7670" width="13.875" style="1" customWidth="1"/>
    <col min="7671" max="7671" width="13.5" style="1" customWidth="1"/>
    <col min="7672" max="7918" width="8.875" style="1"/>
    <col min="7919" max="7919" width="5" style="1" customWidth="1"/>
    <col min="7920" max="7920" width="33.375" style="1" customWidth="1"/>
    <col min="7921" max="7921" width="6.5" style="1" customWidth="1"/>
    <col min="7922" max="7922" width="29.5" style="1" customWidth="1"/>
    <col min="7923" max="7923" width="23.625" style="1" customWidth="1"/>
    <col min="7924" max="7924" width="8" style="1" customWidth="1"/>
    <col min="7925" max="7925" width="9.125" style="1" customWidth="1"/>
    <col min="7926" max="7926" width="13.875" style="1" customWidth="1"/>
    <col min="7927" max="7927" width="13.5" style="1" customWidth="1"/>
    <col min="7928" max="8174" width="8.875" style="1"/>
    <col min="8175" max="8175" width="5" style="1" customWidth="1"/>
    <col min="8176" max="8176" width="33.375" style="1" customWidth="1"/>
    <col min="8177" max="8177" width="6.5" style="1" customWidth="1"/>
    <col min="8178" max="8178" width="29.5" style="1" customWidth="1"/>
    <col min="8179" max="8179" width="23.625" style="1" customWidth="1"/>
    <col min="8180" max="8180" width="8" style="1" customWidth="1"/>
    <col min="8181" max="8181" width="9.125" style="1" customWidth="1"/>
    <col min="8182" max="8182" width="13.875" style="1" customWidth="1"/>
    <col min="8183" max="8183" width="13.5" style="1" customWidth="1"/>
    <col min="8184" max="8430" width="8.875" style="1"/>
    <col min="8431" max="8431" width="5" style="1" customWidth="1"/>
    <col min="8432" max="8432" width="33.375" style="1" customWidth="1"/>
    <col min="8433" max="8433" width="6.5" style="1" customWidth="1"/>
    <col min="8434" max="8434" width="29.5" style="1" customWidth="1"/>
    <col min="8435" max="8435" width="23.625" style="1" customWidth="1"/>
    <col min="8436" max="8436" width="8" style="1" customWidth="1"/>
    <col min="8437" max="8437" width="9.125" style="1" customWidth="1"/>
    <col min="8438" max="8438" width="13.875" style="1" customWidth="1"/>
    <col min="8439" max="8439" width="13.5" style="1" customWidth="1"/>
    <col min="8440" max="8686" width="8.875" style="1"/>
    <col min="8687" max="8687" width="5" style="1" customWidth="1"/>
    <col min="8688" max="8688" width="33.375" style="1" customWidth="1"/>
    <col min="8689" max="8689" width="6.5" style="1" customWidth="1"/>
    <col min="8690" max="8690" width="29.5" style="1" customWidth="1"/>
    <col min="8691" max="8691" width="23.625" style="1" customWidth="1"/>
    <col min="8692" max="8692" width="8" style="1" customWidth="1"/>
    <col min="8693" max="8693" width="9.125" style="1" customWidth="1"/>
    <col min="8694" max="8694" width="13.875" style="1" customWidth="1"/>
    <col min="8695" max="8695" width="13.5" style="1" customWidth="1"/>
    <col min="8696" max="8942" width="8.875" style="1"/>
    <col min="8943" max="8943" width="5" style="1" customWidth="1"/>
    <col min="8944" max="8944" width="33.375" style="1" customWidth="1"/>
    <col min="8945" max="8945" width="6.5" style="1" customWidth="1"/>
    <col min="8946" max="8946" width="29.5" style="1" customWidth="1"/>
    <col min="8947" max="8947" width="23.625" style="1" customWidth="1"/>
    <col min="8948" max="8948" width="8" style="1" customWidth="1"/>
    <col min="8949" max="8949" width="9.125" style="1" customWidth="1"/>
    <col min="8950" max="8950" width="13.875" style="1" customWidth="1"/>
    <col min="8951" max="8951" width="13.5" style="1" customWidth="1"/>
    <col min="8952" max="9198" width="8.875" style="1"/>
    <col min="9199" max="9199" width="5" style="1" customWidth="1"/>
    <col min="9200" max="9200" width="33.375" style="1" customWidth="1"/>
    <col min="9201" max="9201" width="6.5" style="1" customWidth="1"/>
    <col min="9202" max="9202" width="29.5" style="1" customWidth="1"/>
    <col min="9203" max="9203" width="23.625" style="1" customWidth="1"/>
    <col min="9204" max="9204" width="8" style="1" customWidth="1"/>
    <col min="9205" max="9205" width="9.125" style="1" customWidth="1"/>
    <col min="9206" max="9206" width="13.875" style="1" customWidth="1"/>
    <col min="9207" max="9207" width="13.5" style="1" customWidth="1"/>
    <col min="9208" max="9454" width="8.875" style="1"/>
    <col min="9455" max="9455" width="5" style="1" customWidth="1"/>
    <col min="9456" max="9456" width="33.375" style="1" customWidth="1"/>
    <col min="9457" max="9457" width="6.5" style="1" customWidth="1"/>
    <col min="9458" max="9458" width="29.5" style="1" customWidth="1"/>
    <col min="9459" max="9459" width="23.625" style="1" customWidth="1"/>
    <col min="9460" max="9460" width="8" style="1" customWidth="1"/>
    <col min="9461" max="9461" width="9.125" style="1" customWidth="1"/>
    <col min="9462" max="9462" width="13.875" style="1" customWidth="1"/>
    <col min="9463" max="9463" width="13.5" style="1" customWidth="1"/>
    <col min="9464" max="9710" width="8.875" style="1"/>
    <col min="9711" max="9711" width="5" style="1" customWidth="1"/>
    <col min="9712" max="9712" width="33.375" style="1" customWidth="1"/>
    <col min="9713" max="9713" width="6.5" style="1" customWidth="1"/>
    <col min="9714" max="9714" width="29.5" style="1" customWidth="1"/>
    <col min="9715" max="9715" width="23.625" style="1" customWidth="1"/>
    <col min="9716" max="9716" width="8" style="1" customWidth="1"/>
    <col min="9717" max="9717" width="9.125" style="1" customWidth="1"/>
    <col min="9718" max="9718" width="13.875" style="1" customWidth="1"/>
    <col min="9719" max="9719" width="13.5" style="1" customWidth="1"/>
    <col min="9720" max="9966" width="8.875" style="1"/>
    <col min="9967" max="9967" width="5" style="1" customWidth="1"/>
    <col min="9968" max="9968" width="33.375" style="1" customWidth="1"/>
    <col min="9969" max="9969" width="6.5" style="1" customWidth="1"/>
    <col min="9970" max="9970" width="29.5" style="1" customWidth="1"/>
    <col min="9971" max="9971" width="23.625" style="1" customWidth="1"/>
    <col min="9972" max="9972" width="8" style="1" customWidth="1"/>
    <col min="9973" max="9973" width="9.125" style="1" customWidth="1"/>
    <col min="9974" max="9974" width="13.875" style="1" customWidth="1"/>
    <col min="9975" max="9975" width="13.5" style="1" customWidth="1"/>
    <col min="9976" max="10222" width="8.875" style="1"/>
    <col min="10223" max="10223" width="5" style="1" customWidth="1"/>
    <col min="10224" max="10224" width="33.375" style="1" customWidth="1"/>
    <col min="10225" max="10225" width="6.5" style="1" customWidth="1"/>
    <col min="10226" max="10226" width="29.5" style="1" customWidth="1"/>
    <col min="10227" max="10227" width="23.625" style="1" customWidth="1"/>
    <col min="10228" max="10228" width="8" style="1" customWidth="1"/>
    <col min="10229" max="10229" width="9.125" style="1" customWidth="1"/>
    <col min="10230" max="10230" width="13.875" style="1" customWidth="1"/>
    <col min="10231" max="10231" width="13.5" style="1" customWidth="1"/>
    <col min="10232" max="10478" width="8.875" style="1"/>
    <col min="10479" max="10479" width="5" style="1" customWidth="1"/>
    <col min="10480" max="10480" width="33.375" style="1" customWidth="1"/>
    <col min="10481" max="10481" width="6.5" style="1" customWidth="1"/>
    <col min="10482" max="10482" width="29.5" style="1" customWidth="1"/>
    <col min="10483" max="10483" width="23.625" style="1" customWidth="1"/>
    <col min="10484" max="10484" width="8" style="1" customWidth="1"/>
    <col min="10485" max="10485" width="9.125" style="1" customWidth="1"/>
    <col min="10486" max="10486" width="13.875" style="1" customWidth="1"/>
    <col min="10487" max="10487" width="13.5" style="1" customWidth="1"/>
    <col min="10488" max="10734" width="8.875" style="1"/>
    <col min="10735" max="10735" width="5" style="1" customWidth="1"/>
    <col min="10736" max="10736" width="33.375" style="1" customWidth="1"/>
    <col min="10737" max="10737" width="6.5" style="1" customWidth="1"/>
    <col min="10738" max="10738" width="29.5" style="1" customWidth="1"/>
    <col min="10739" max="10739" width="23.625" style="1" customWidth="1"/>
    <col min="10740" max="10740" width="8" style="1" customWidth="1"/>
    <col min="10741" max="10741" width="9.125" style="1" customWidth="1"/>
    <col min="10742" max="10742" width="13.875" style="1" customWidth="1"/>
    <col min="10743" max="10743" width="13.5" style="1" customWidth="1"/>
    <col min="10744" max="10990" width="8.875" style="1"/>
    <col min="10991" max="10991" width="5" style="1" customWidth="1"/>
    <col min="10992" max="10992" width="33.375" style="1" customWidth="1"/>
    <col min="10993" max="10993" width="6.5" style="1" customWidth="1"/>
    <col min="10994" max="10994" width="29.5" style="1" customWidth="1"/>
    <col min="10995" max="10995" width="23.625" style="1" customWidth="1"/>
    <col min="10996" max="10996" width="8" style="1" customWidth="1"/>
    <col min="10997" max="10997" width="9.125" style="1" customWidth="1"/>
    <col min="10998" max="10998" width="13.875" style="1" customWidth="1"/>
    <col min="10999" max="10999" width="13.5" style="1" customWidth="1"/>
    <col min="11000" max="11246" width="8.875" style="1"/>
    <col min="11247" max="11247" width="5" style="1" customWidth="1"/>
    <col min="11248" max="11248" width="33.375" style="1" customWidth="1"/>
    <col min="11249" max="11249" width="6.5" style="1" customWidth="1"/>
    <col min="11250" max="11250" width="29.5" style="1" customWidth="1"/>
    <col min="11251" max="11251" width="23.625" style="1" customWidth="1"/>
    <col min="11252" max="11252" width="8" style="1" customWidth="1"/>
    <col min="11253" max="11253" width="9.125" style="1" customWidth="1"/>
    <col min="11254" max="11254" width="13.875" style="1" customWidth="1"/>
    <col min="11255" max="11255" width="13.5" style="1" customWidth="1"/>
    <col min="11256" max="11502" width="8.875" style="1"/>
    <col min="11503" max="11503" width="5" style="1" customWidth="1"/>
    <col min="11504" max="11504" width="33.375" style="1" customWidth="1"/>
    <col min="11505" max="11505" width="6.5" style="1" customWidth="1"/>
    <col min="11506" max="11506" width="29.5" style="1" customWidth="1"/>
    <col min="11507" max="11507" width="23.625" style="1" customWidth="1"/>
    <col min="11508" max="11508" width="8" style="1" customWidth="1"/>
    <col min="11509" max="11509" width="9.125" style="1" customWidth="1"/>
    <col min="11510" max="11510" width="13.875" style="1" customWidth="1"/>
    <col min="11511" max="11511" width="13.5" style="1" customWidth="1"/>
    <col min="11512" max="11758" width="8.875" style="1"/>
    <col min="11759" max="11759" width="5" style="1" customWidth="1"/>
    <col min="11760" max="11760" width="33.375" style="1" customWidth="1"/>
    <col min="11761" max="11761" width="6.5" style="1" customWidth="1"/>
    <col min="11762" max="11762" width="29.5" style="1" customWidth="1"/>
    <col min="11763" max="11763" width="23.625" style="1" customWidth="1"/>
    <col min="11764" max="11764" width="8" style="1" customWidth="1"/>
    <col min="11765" max="11765" width="9.125" style="1" customWidth="1"/>
    <col min="11766" max="11766" width="13.875" style="1" customWidth="1"/>
    <col min="11767" max="11767" width="13.5" style="1" customWidth="1"/>
    <col min="11768" max="12014" width="8.875" style="1"/>
    <col min="12015" max="12015" width="5" style="1" customWidth="1"/>
    <col min="12016" max="12016" width="33.375" style="1" customWidth="1"/>
    <col min="12017" max="12017" width="6.5" style="1" customWidth="1"/>
    <col min="12018" max="12018" width="29.5" style="1" customWidth="1"/>
    <col min="12019" max="12019" width="23.625" style="1" customWidth="1"/>
    <col min="12020" max="12020" width="8" style="1" customWidth="1"/>
    <col min="12021" max="12021" width="9.125" style="1" customWidth="1"/>
    <col min="12022" max="12022" width="13.875" style="1" customWidth="1"/>
    <col min="12023" max="12023" width="13.5" style="1" customWidth="1"/>
    <col min="12024" max="12270" width="8.875" style="1"/>
    <col min="12271" max="12271" width="5" style="1" customWidth="1"/>
    <col min="12272" max="12272" width="33.375" style="1" customWidth="1"/>
    <col min="12273" max="12273" width="6.5" style="1" customWidth="1"/>
    <col min="12274" max="12274" width="29.5" style="1" customWidth="1"/>
    <col min="12275" max="12275" width="23.625" style="1" customWidth="1"/>
    <col min="12276" max="12276" width="8" style="1" customWidth="1"/>
    <col min="12277" max="12277" width="9.125" style="1" customWidth="1"/>
    <col min="12278" max="12278" width="13.875" style="1" customWidth="1"/>
    <col min="12279" max="12279" width="13.5" style="1" customWidth="1"/>
    <col min="12280" max="12526" width="8.875" style="1"/>
    <col min="12527" max="12527" width="5" style="1" customWidth="1"/>
    <col min="12528" max="12528" width="33.375" style="1" customWidth="1"/>
    <col min="12529" max="12529" width="6.5" style="1" customWidth="1"/>
    <col min="12530" max="12530" width="29.5" style="1" customWidth="1"/>
    <col min="12531" max="12531" width="23.625" style="1" customWidth="1"/>
    <col min="12532" max="12532" width="8" style="1" customWidth="1"/>
    <col min="12533" max="12533" width="9.125" style="1" customWidth="1"/>
    <col min="12534" max="12534" width="13.875" style="1" customWidth="1"/>
    <col min="12535" max="12535" width="13.5" style="1" customWidth="1"/>
    <col min="12536" max="12782" width="8.875" style="1"/>
    <col min="12783" max="12783" width="5" style="1" customWidth="1"/>
    <col min="12784" max="12784" width="33.375" style="1" customWidth="1"/>
    <col min="12785" max="12785" width="6.5" style="1" customWidth="1"/>
    <col min="12786" max="12786" width="29.5" style="1" customWidth="1"/>
    <col min="12787" max="12787" width="23.625" style="1" customWidth="1"/>
    <col min="12788" max="12788" width="8" style="1" customWidth="1"/>
    <col min="12789" max="12789" width="9.125" style="1" customWidth="1"/>
    <col min="12790" max="12790" width="13.875" style="1" customWidth="1"/>
    <col min="12791" max="12791" width="13.5" style="1" customWidth="1"/>
    <col min="12792" max="13038" width="8.875" style="1"/>
    <col min="13039" max="13039" width="5" style="1" customWidth="1"/>
    <col min="13040" max="13040" width="33.375" style="1" customWidth="1"/>
    <col min="13041" max="13041" width="6.5" style="1" customWidth="1"/>
    <col min="13042" max="13042" width="29.5" style="1" customWidth="1"/>
    <col min="13043" max="13043" width="23.625" style="1" customWidth="1"/>
    <col min="13044" max="13044" width="8" style="1" customWidth="1"/>
    <col min="13045" max="13045" width="9.125" style="1" customWidth="1"/>
    <col min="13046" max="13046" width="13.875" style="1" customWidth="1"/>
    <col min="13047" max="13047" width="13.5" style="1" customWidth="1"/>
    <col min="13048" max="13294" width="8.875" style="1"/>
    <col min="13295" max="13295" width="5" style="1" customWidth="1"/>
    <col min="13296" max="13296" width="33.375" style="1" customWidth="1"/>
    <col min="13297" max="13297" width="6.5" style="1" customWidth="1"/>
    <col min="13298" max="13298" width="29.5" style="1" customWidth="1"/>
    <col min="13299" max="13299" width="23.625" style="1" customWidth="1"/>
    <col min="13300" max="13300" width="8" style="1" customWidth="1"/>
    <col min="13301" max="13301" width="9.125" style="1" customWidth="1"/>
    <col min="13302" max="13302" width="13.875" style="1" customWidth="1"/>
    <col min="13303" max="13303" width="13.5" style="1" customWidth="1"/>
    <col min="13304" max="13550" width="8.875" style="1"/>
    <col min="13551" max="13551" width="5" style="1" customWidth="1"/>
    <col min="13552" max="13552" width="33.375" style="1" customWidth="1"/>
    <col min="13553" max="13553" width="6.5" style="1" customWidth="1"/>
    <col min="13554" max="13554" width="29.5" style="1" customWidth="1"/>
    <col min="13555" max="13555" width="23.625" style="1" customWidth="1"/>
    <col min="13556" max="13556" width="8" style="1" customWidth="1"/>
    <col min="13557" max="13557" width="9.125" style="1" customWidth="1"/>
    <col min="13558" max="13558" width="13.875" style="1" customWidth="1"/>
    <col min="13559" max="13559" width="13.5" style="1" customWidth="1"/>
    <col min="13560" max="13806" width="8.875" style="1"/>
    <col min="13807" max="13807" width="5" style="1" customWidth="1"/>
    <col min="13808" max="13808" width="33.375" style="1" customWidth="1"/>
    <col min="13809" max="13809" width="6.5" style="1" customWidth="1"/>
    <col min="13810" max="13810" width="29.5" style="1" customWidth="1"/>
    <col min="13811" max="13811" width="23.625" style="1" customWidth="1"/>
    <col min="13812" max="13812" width="8" style="1" customWidth="1"/>
    <col min="13813" max="13813" width="9.125" style="1" customWidth="1"/>
    <col min="13814" max="13814" width="13.875" style="1" customWidth="1"/>
    <col min="13815" max="13815" width="13.5" style="1" customWidth="1"/>
    <col min="13816" max="14062" width="8.875" style="1"/>
    <col min="14063" max="14063" width="5" style="1" customWidth="1"/>
    <col min="14064" max="14064" width="33.375" style="1" customWidth="1"/>
    <col min="14065" max="14065" width="6.5" style="1" customWidth="1"/>
    <col min="14066" max="14066" width="29.5" style="1" customWidth="1"/>
    <col min="14067" max="14067" width="23.625" style="1" customWidth="1"/>
    <col min="14068" max="14068" width="8" style="1" customWidth="1"/>
    <col min="14069" max="14069" width="9.125" style="1" customWidth="1"/>
    <col min="14070" max="14070" width="13.875" style="1" customWidth="1"/>
    <col min="14071" max="14071" width="13.5" style="1" customWidth="1"/>
    <col min="14072" max="14318" width="8.875" style="1"/>
    <col min="14319" max="14319" width="5" style="1" customWidth="1"/>
    <col min="14320" max="14320" width="33.375" style="1" customWidth="1"/>
    <col min="14321" max="14321" width="6.5" style="1" customWidth="1"/>
    <col min="14322" max="14322" width="29.5" style="1" customWidth="1"/>
    <col min="14323" max="14323" width="23.625" style="1" customWidth="1"/>
    <col min="14324" max="14324" width="8" style="1" customWidth="1"/>
    <col min="14325" max="14325" width="9.125" style="1" customWidth="1"/>
    <col min="14326" max="14326" width="13.875" style="1" customWidth="1"/>
    <col min="14327" max="14327" width="13.5" style="1" customWidth="1"/>
    <col min="14328" max="14574" width="8.875" style="1"/>
    <col min="14575" max="14575" width="5" style="1" customWidth="1"/>
    <col min="14576" max="14576" width="33.375" style="1" customWidth="1"/>
    <col min="14577" max="14577" width="6.5" style="1" customWidth="1"/>
    <col min="14578" max="14578" width="29.5" style="1" customWidth="1"/>
    <col min="14579" max="14579" width="23.625" style="1" customWidth="1"/>
    <col min="14580" max="14580" width="8" style="1" customWidth="1"/>
    <col min="14581" max="14581" width="9.125" style="1" customWidth="1"/>
    <col min="14582" max="14582" width="13.875" style="1" customWidth="1"/>
    <col min="14583" max="14583" width="13.5" style="1" customWidth="1"/>
    <col min="14584" max="14830" width="8.875" style="1"/>
    <col min="14831" max="14831" width="5" style="1" customWidth="1"/>
    <col min="14832" max="14832" width="33.375" style="1" customWidth="1"/>
    <col min="14833" max="14833" width="6.5" style="1" customWidth="1"/>
    <col min="14834" max="14834" width="29.5" style="1" customWidth="1"/>
    <col min="14835" max="14835" width="23.625" style="1" customWidth="1"/>
    <col min="14836" max="14836" width="8" style="1" customWidth="1"/>
    <col min="14837" max="14837" width="9.125" style="1" customWidth="1"/>
    <col min="14838" max="14838" width="13.875" style="1" customWidth="1"/>
    <col min="14839" max="14839" width="13.5" style="1" customWidth="1"/>
    <col min="14840" max="15086" width="8.875" style="1"/>
    <col min="15087" max="15087" width="5" style="1" customWidth="1"/>
    <col min="15088" max="15088" width="33.375" style="1" customWidth="1"/>
    <col min="15089" max="15089" width="6.5" style="1" customWidth="1"/>
    <col min="15090" max="15090" width="29.5" style="1" customWidth="1"/>
    <col min="15091" max="15091" width="23.625" style="1" customWidth="1"/>
    <col min="15092" max="15092" width="8" style="1" customWidth="1"/>
    <col min="15093" max="15093" width="9.125" style="1" customWidth="1"/>
    <col min="15094" max="15094" width="13.875" style="1" customWidth="1"/>
    <col min="15095" max="15095" width="13.5" style="1" customWidth="1"/>
    <col min="15096" max="15342" width="8.875" style="1"/>
    <col min="15343" max="15343" width="5" style="1" customWidth="1"/>
    <col min="15344" max="15344" width="33.375" style="1" customWidth="1"/>
    <col min="15345" max="15345" width="6.5" style="1" customWidth="1"/>
    <col min="15346" max="15346" width="29.5" style="1" customWidth="1"/>
    <col min="15347" max="15347" width="23.625" style="1" customWidth="1"/>
    <col min="15348" max="15348" width="8" style="1" customWidth="1"/>
    <col min="15349" max="15349" width="9.125" style="1" customWidth="1"/>
    <col min="15350" max="15350" width="13.875" style="1" customWidth="1"/>
    <col min="15351" max="15351" width="13.5" style="1" customWidth="1"/>
    <col min="15352" max="15598" width="8.875" style="1"/>
    <col min="15599" max="15599" width="5" style="1" customWidth="1"/>
    <col min="15600" max="15600" width="33.375" style="1" customWidth="1"/>
    <col min="15601" max="15601" width="6.5" style="1" customWidth="1"/>
    <col min="15602" max="15602" width="29.5" style="1" customWidth="1"/>
    <col min="15603" max="15603" width="23.625" style="1" customWidth="1"/>
    <col min="15604" max="15604" width="8" style="1" customWidth="1"/>
    <col min="15605" max="15605" width="9.125" style="1" customWidth="1"/>
    <col min="15606" max="15606" width="13.875" style="1" customWidth="1"/>
    <col min="15607" max="15607" width="13.5" style="1" customWidth="1"/>
    <col min="15608" max="15854" width="8.875" style="1"/>
    <col min="15855" max="15855" width="5" style="1" customWidth="1"/>
    <col min="15856" max="15856" width="33.375" style="1" customWidth="1"/>
    <col min="15857" max="15857" width="6.5" style="1" customWidth="1"/>
    <col min="15858" max="15858" width="29.5" style="1" customWidth="1"/>
    <col min="15859" max="15859" width="23.625" style="1" customWidth="1"/>
    <col min="15860" max="15860" width="8" style="1" customWidth="1"/>
    <col min="15861" max="15861" width="9.125" style="1" customWidth="1"/>
    <col min="15862" max="15862" width="13.875" style="1" customWidth="1"/>
    <col min="15863" max="15863" width="13.5" style="1" customWidth="1"/>
    <col min="15864" max="16384" width="8.875" style="1"/>
  </cols>
  <sheetData>
    <row r="2" spans="2:18" s="375" customFormat="1">
      <c r="B2" s="374" t="s">
        <v>464</v>
      </c>
      <c r="C2" s="140" t="s">
        <v>132</v>
      </c>
    </row>
    <row r="3" spans="2:18" s="375" customFormat="1">
      <c r="B3" s="374" t="s">
        <v>465</v>
      </c>
      <c r="C3" s="209" t="s">
        <v>255</v>
      </c>
    </row>
    <row r="4" spans="2:18" s="375" customFormat="1">
      <c r="B4" s="374" t="s">
        <v>466</v>
      </c>
      <c r="C4" s="140" t="s">
        <v>133</v>
      </c>
    </row>
    <row r="5" spans="2:18">
      <c r="E5" s="2"/>
      <c r="G5" s="1"/>
      <c r="H5" s="1"/>
      <c r="M5" s="2"/>
      <c r="Q5" s="1"/>
    </row>
    <row r="6" spans="2:18" s="3" customFormat="1" ht="23.1" customHeight="1">
      <c r="B6" s="99" t="s">
        <v>61</v>
      </c>
      <c r="C6" s="376" t="s">
        <v>616</v>
      </c>
      <c r="D6" s="95"/>
      <c r="E6" s="95"/>
      <c r="F6" s="7"/>
      <c r="G6" s="7"/>
      <c r="H6" s="7"/>
      <c r="I6" s="7"/>
      <c r="J6" s="7"/>
      <c r="K6" s="7"/>
      <c r="L6" s="7"/>
      <c r="M6" s="7"/>
    </row>
    <row r="7" spans="2:18" s="3" customFormat="1" ht="3.95" customHeight="1">
      <c r="M7" s="44"/>
    </row>
    <row r="8" spans="2:18" s="3" customFormat="1" ht="20.100000000000001" customHeight="1">
      <c r="B8" s="213" t="s">
        <v>279</v>
      </c>
      <c r="C8" s="213" t="s">
        <v>556</v>
      </c>
      <c r="D8" s="212"/>
      <c r="E8" s="212" t="s">
        <v>405</v>
      </c>
      <c r="F8" s="212" t="s">
        <v>441</v>
      </c>
      <c r="G8" s="212"/>
      <c r="H8" s="212"/>
      <c r="I8" s="31"/>
    </row>
    <row r="9" spans="2:18" s="3" customFormat="1" ht="18.95" customHeight="1">
      <c r="B9" s="213" t="s">
        <v>280</v>
      </c>
      <c r="C9" s="472" t="s">
        <v>557</v>
      </c>
      <c r="D9" s="212"/>
      <c r="E9" s="212" t="s">
        <v>467</v>
      </c>
      <c r="F9" s="211" t="s">
        <v>471</v>
      </c>
      <c r="G9" s="211"/>
      <c r="H9" s="211"/>
      <c r="I9" s="31"/>
    </row>
    <row r="10" spans="2:18" s="3" customFormat="1">
      <c r="M10" s="44"/>
    </row>
    <row r="11" spans="2:18" ht="20.100000000000001" customHeight="1">
      <c r="B11" s="377" t="s">
        <v>21</v>
      </c>
      <c r="C11" s="378" t="s">
        <v>468</v>
      </c>
      <c r="D11" s="379"/>
      <c r="E11" s="380"/>
      <c r="F11" s="380"/>
      <c r="G11" s="381"/>
      <c r="H11" s="381"/>
      <c r="I11" s="380"/>
      <c r="J11" s="380"/>
      <c r="K11" s="380"/>
      <c r="L11" s="382"/>
      <c r="M11" s="382"/>
      <c r="N11" s="382"/>
      <c r="O11" s="383"/>
      <c r="P11" s="384"/>
      <c r="Q11" s="385">
        <f>Q13+Q14</f>
        <v>0</v>
      </c>
    </row>
    <row r="12" spans="2:18" s="4" customFormat="1" ht="27.95" customHeight="1">
      <c r="B12" s="386"/>
      <c r="C12" s="1081" t="s">
        <v>8</v>
      </c>
      <c r="D12" s="1082"/>
      <c r="E12" s="1082"/>
      <c r="F12" s="1082"/>
      <c r="G12" s="1082"/>
      <c r="H12" s="1082"/>
      <c r="I12" s="1083" t="s">
        <v>154</v>
      </c>
      <c r="J12" s="1083"/>
      <c r="K12" s="1083"/>
      <c r="L12" s="1083" t="s">
        <v>174</v>
      </c>
      <c r="M12" s="1083"/>
      <c r="N12" s="388" t="s">
        <v>173</v>
      </c>
      <c r="O12" s="387" t="s">
        <v>32</v>
      </c>
      <c r="P12" s="387" t="s">
        <v>2</v>
      </c>
      <c r="Q12" s="386" t="s">
        <v>20</v>
      </c>
    </row>
    <row r="13" spans="2:18" ht="21" customHeight="1">
      <c r="B13" s="86">
        <v>1</v>
      </c>
      <c r="C13" s="1084" t="s">
        <v>185</v>
      </c>
      <c r="D13" s="1084"/>
      <c r="E13" s="1084"/>
      <c r="F13" s="1084"/>
      <c r="G13" s="1084"/>
      <c r="H13" s="1084"/>
      <c r="I13" s="1085">
        <v>0.4</v>
      </c>
      <c r="J13" s="1085"/>
      <c r="K13" s="1085"/>
      <c r="L13" s="1086">
        <v>1</v>
      </c>
      <c r="M13" s="1086"/>
      <c r="N13" s="390"/>
      <c r="O13" s="390">
        <f>N13/L13</f>
        <v>0</v>
      </c>
      <c r="P13" s="390"/>
      <c r="Q13" s="391">
        <f>I13*O13</f>
        <v>0</v>
      </c>
      <c r="R13" s="69"/>
    </row>
    <row r="14" spans="2:18" ht="21" customHeight="1">
      <c r="B14" s="86">
        <v>2</v>
      </c>
      <c r="C14" s="1087" t="s">
        <v>469</v>
      </c>
      <c r="D14" s="1087"/>
      <c r="E14" s="1087"/>
      <c r="F14" s="1087"/>
      <c r="G14" s="1087"/>
      <c r="H14" s="1087"/>
      <c r="I14" s="1088">
        <v>0.6</v>
      </c>
      <c r="J14" s="1088"/>
      <c r="K14" s="1088"/>
      <c r="L14" s="1089">
        <v>1</v>
      </c>
      <c r="M14" s="1089"/>
      <c r="N14" s="392"/>
      <c r="O14" s="392">
        <f>N14/L14</f>
        <v>0</v>
      </c>
      <c r="P14" s="392"/>
      <c r="Q14" s="391">
        <f>I14*O14</f>
        <v>0</v>
      </c>
      <c r="R14" s="69"/>
    </row>
    <row r="15" spans="2:18" ht="21" customHeight="1">
      <c r="B15" s="377" t="s">
        <v>22</v>
      </c>
      <c r="C15" s="393" t="s">
        <v>54</v>
      </c>
      <c r="D15" s="379"/>
      <c r="E15" s="380"/>
      <c r="F15" s="380"/>
      <c r="G15" s="381"/>
      <c r="H15" s="381"/>
      <c r="I15" s="380"/>
      <c r="J15" s="380"/>
      <c r="K15" s="380"/>
      <c r="L15" s="1090"/>
      <c r="M15" s="1090"/>
      <c r="N15" s="1090"/>
      <c r="O15" s="383"/>
      <c r="P15" s="384"/>
      <c r="Q15" s="394">
        <f>SUM(Q17:Q21)</f>
        <v>0</v>
      </c>
      <c r="R15" s="69"/>
    </row>
    <row r="16" spans="2:18" s="4" customFormat="1" ht="29.1" customHeight="1">
      <c r="B16" s="386"/>
      <c r="C16" s="387" t="s">
        <v>31</v>
      </c>
      <c r="D16" s="387" t="s">
        <v>152</v>
      </c>
      <c r="E16" s="1083" t="s">
        <v>39</v>
      </c>
      <c r="F16" s="1091"/>
      <c r="G16" s="1083" t="s">
        <v>17</v>
      </c>
      <c r="H16" s="1091"/>
      <c r="I16" s="1083" t="s">
        <v>116</v>
      </c>
      <c r="J16" s="1083"/>
      <c r="K16" s="1083"/>
      <c r="L16" s="1083" t="s">
        <v>19</v>
      </c>
      <c r="M16" s="1083"/>
      <c r="N16" s="388" t="s">
        <v>174</v>
      </c>
      <c r="O16" s="387" t="s">
        <v>164</v>
      </c>
      <c r="P16" s="387" t="s">
        <v>32</v>
      </c>
      <c r="Q16" s="386" t="s">
        <v>20</v>
      </c>
    </row>
    <row r="17" spans="2:17" ht="54.95" customHeight="1">
      <c r="B17" s="86">
        <v>1</v>
      </c>
      <c r="C17" s="343" t="s">
        <v>588</v>
      </c>
      <c r="D17" s="469">
        <v>0.25</v>
      </c>
      <c r="E17" s="1084" t="s">
        <v>432</v>
      </c>
      <c r="F17" s="1084"/>
      <c r="G17" s="1092" t="s">
        <v>413</v>
      </c>
      <c r="H17" s="1093"/>
      <c r="I17" s="1094" t="s">
        <v>471</v>
      </c>
      <c r="J17" s="1095"/>
      <c r="K17" s="1096"/>
      <c r="L17" s="1097" t="s">
        <v>414</v>
      </c>
      <c r="M17" s="1097"/>
      <c r="N17" s="364">
        <v>4</v>
      </c>
      <c r="O17" s="364"/>
      <c r="P17" s="365" t="str">
        <f>IF(LEN(O17)=0,"",IF(O17=N17,1,0))</f>
        <v/>
      </c>
      <c r="Q17" s="358" t="str">
        <f t="shared" ref="Q17:Q21" si="0">IFERROR(P17*D17,"")</f>
        <v/>
      </c>
    </row>
    <row r="18" spans="2:17" ht="54" customHeight="1">
      <c r="B18" s="86">
        <v>2</v>
      </c>
      <c r="C18" s="343" t="s">
        <v>424</v>
      </c>
      <c r="D18" s="469">
        <v>0.2</v>
      </c>
      <c r="E18" s="1087" t="s">
        <v>504</v>
      </c>
      <c r="F18" s="1087"/>
      <c r="G18" s="1092" t="s">
        <v>413</v>
      </c>
      <c r="H18" s="1093"/>
      <c r="I18" s="1094" t="s">
        <v>529</v>
      </c>
      <c r="J18" s="1095"/>
      <c r="K18" s="1096"/>
      <c r="L18" s="1097" t="s">
        <v>414</v>
      </c>
      <c r="M18" s="1097"/>
      <c r="N18" s="364">
        <v>0</v>
      </c>
      <c r="O18" s="364"/>
      <c r="P18" s="365" t="str">
        <f>IF(LEN(O18)=0,"",IF(O18=N18,1,0))</f>
        <v/>
      </c>
      <c r="Q18" s="358" t="str">
        <f t="shared" si="0"/>
        <v/>
      </c>
    </row>
    <row r="19" spans="2:17" ht="51" customHeight="1">
      <c r="B19" s="86">
        <v>3</v>
      </c>
      <c r="C19" s="525" t="s">
        <v>462</v>
      </c>
      <c r="D19" s="530">
        <v>0.2</v>
      </c>
      <c r="E19" s="1087" t="s">
        <v>505</v>
      </c>
      <c r="F19" s="1087"/>
      <c r="G19" s="1092" t="s">
        <v>413</v>
      </c>
      <c r="H19" s="1093"/>
      <c r="I19" s="1094" t="s">
        <v>471</v>
      </c>
      <c r="J19" s="1095"/>
      <c r="K19" s="1096"/>
      <c r="L19" s="1097" t="s">
        <v>414</v>
      </c>
      <c r="M19" s="1097"/>
      <c r="N19" s="364">
        <v>0</v>
      </c>
      <c r="O19" s="364"/>
      <c r="P19" s="365" t="str">
        <f>IF(LEN(O19)=0,"",IF(O19=N19,1,0))</f>
        <v/>
      </c>
      <c r="Q19" s="358" t="str">
        <f t="shared" si="0"/>
        <v/>
      </c>
    </row>
    <row r="20" spans="2:17" ht="51" customHeight="1">
      <c r="B20" s="86">
        <v>4</v>
      </c>
      <c r="C20" s="361" t="s">
        <v>392</v>
      </c>
      <c r="D20" s="469">
        <v>0.15</v>
      </c>
      <c r="E20" s="1087" t="s">
        <v>354</v>
      </c>
      <c r="F20" s="1087"/>
      <c r="G20" s="1092" t="s">
        <v>319</v>
      </c>
      <c r="H20" s="1093"/>
      <c r="I20" s="1094" t="s">
        <v>321</v>
      </c>
      <c r="J20" s="1095"/>
      <c r="K20" s="1096"/>
      <c r="L20" s="1097" t="s">
        <v>326</v>
      </c>
      <c r="M20" s="1097"/>
      <c r="N20" s="346">
        <v>0.05</v>
      </c>
      <c r="O20" s="346"/>
      <c r="P20" s="345" t="str">
        <f>IF(LEN(O20)=0,"",IF(O20&lt;N20*80%,0,MIN(120%,O20/N20*100%)))</f>
        <v/>
      </c>
      <c r="Q20" s="358" t="str">
        <f t="shared" si="0"/>
        <v/>
      </c>
    </row>
    <row r="21" spans="2:17" ht="51" customHeight="1">
      <c r="B21" s="86">
        <v>5</v>
      </c>
      <c r="C21" s="361" t="s">
        <v>463</v>
      </c>
      <c r="D21" s="469">
        <v>0.2</v>
      </c>
      <c r="E21" s="1087" t="s">
        <v>506</v>
      </c>
      <c r="F21" s="1087"/>
      <c r="G21" s="1092" t="s">
        <v>413</v>
      </c>
      <c r="H21" s="1093"/>
      <c r="I21" s="1094" t="s">
        <v>471</v>
      </c>
      <c r="J21" s="1095"/>
      <c r="K21" s="1096"/>
      <c r="L21" s="1097" t="s">
        <v>414</v>
      </c>
      <c r="M21" s="1097"/>
      <c r="N21" s="364">
        <v>0</v>
      </c>
      <c r="O21" s="364"/>
      <c r="P21" s="365" t="str">
        <f>IF(LEN(O21)=0,"",IF(O21=N21,1,0))</f>
        <v/>
      </c>
      <c r="Q21" s="358" t="str">
        <f t="shared" si="0"/>
        <v/>
      </c>
    </row>
    <row r="22" spans="2:17" ht="20.100000000000001" customHeight="1">
      <c r="B22" s="377" t="s">
        <v>40</v>
      </c>
      <c r="C22" s="378" t="s">
        <v>186</v>
      </c>
      <c r="D22" s="379"/>
      <c r="E22" s="380"/>
      <c r="F22" s="380"/>
      <c r="G22" s="381"/>
      <c r="H22" s="381"/>
      <c r="I22" s="380"/>
      <c r="J22" s="380"/>
      <c r="K22" s="380"/>
      <c r="L22" s="1090"/>
      <c r="M22" s="1090"/>
      <c r="N22" s="1090"/>
      <c r="O22" s="383"/>
      <c r="P22" s="384"/>
      <c r="Q22" s="385" t="e">
        <f>SUM(Q25:Q29)/5</f>
        <v>#DIV/0!</v>
      </c>
    </row>
    <row r="23" spans="2:17" s="4" customFormat="1" ht="26.1" customHeight="1">
      <c r="B23" s="1098"/>
      <c r="C23" s="1081" t="s">
        <v>8</v>
      </c>
      <c r="D23" s="1081"/>
      <c r="E23" s="1081"/>
      <c r="F23" s="1081"/>
      <c r="G23" s="1081"/>
      <c r="H23" s="1081"/>
      <c r="I23" s="1100" t="s">
        <v>118</v>
      </c>
      <c r="J23" s="1100"/>
      <c r="K23" s="1100"/>
      <c r="L23" s="1100"/>
      <c r="M23" s="1100"/>
      <c r="N23" s="1100"/>
      <c r="O23" s="1101" t="s">
        <v>123</v>
      </c>
      <c r="P23" s="1100" t="s">
        <v>125</v>
      </c>
      <c r="Q23" s="1098" t="s">
        <v>102</v>
      </c>
    </row>
    <row r="24" spans="2:17" s="4" customFormat="1" ht="39" customHeight="1">
      <c r="B24" s="1098"/>
      <c r="C24" s="1099"/>
      <c r="D24" s="1099"/>
      <c r="E24" s="1099"/>
      <c r="F24" s="1099"/>
      <c r="G24" s="1099"/>
      <c r="H24" s="1099"/>
      <c r="I24" s="1104" t="s">
        <v>119</v>
      </c>
      <c r="J24" s="1104"/>
      <c r="K24" s="398" t="s">
        <v>120</v>
      </c>
      <c r="L24" s="398" t="s">
        <v>153</v>
      </c>
      <c r="M24" s="398" t="s">
        <v>121</v>
      </c>
      <c r="N24" s="398" t="s">
        <v>122</v>
      </c>
      <c r="O24" s="1102"/>
      <c r="P24" s="1103"/>
      <c r="Q24" s="1098"/>
    </row>
    <row r="25" spans="2:17" s="45" customFormat="1" ht="32.1" customHeight="1">
      <c r="B25" s="86">
        <v>1</v>
      </c>
      <c r="C25" s="1105" t="s">
        <v>62</v>
      </c>
      <c r="D25" s="1105"/>
      <c r="E25" s="1105"/>
      <c r="F25" s="1105"/>
      <c r="G25" s="1105"/>
      <c r="H25" s="1105"/>
      <c r="I25" s="1106">
        <v>1</v>
      </c>
      <c r="J25" s="1106"/>
      <c r="K25" s="400">
        <v>2</v>
      </c>
      <c r="L25" s="399">
        <v>3</v>
      </c>
      <c r="M25" s="400">
        <v>4</v>
      </c>
      <c r="N25" s="399">
        <v>5</v>
      </c>
      <c r="O25" s="401"/>
      <c r="P25" s="399"/>
      <c r="Q25" s="391" t="e">
        <f>P25/O25</f>
        <v>#DIV/0!</v>
      </c>
    </row>
    <row r="26" spans="2:17" s="45" customFormat="1" ht="32.1" customHeight="1">
      <c r="B26" s="86">
        <f>B25+1</f>
        <v>2</v>
      </c>
      <c r="C26" s="1105" t="s">
        <v>63</v>
      </c>
      <c r="D26" s="1105"/>
      <c r="E26" s="1105"/>
      <c r="F26" s="1105"/>
      <c r="G26" s="1105"/>
      <c r="H26" s="1105"/>
      <c r="I26" s="1106">
        <v>1</v>
      </c>
      <c r="J26" s="1106"/>
      <c r="K26" s="400">
        <v>2</v>
      </c>
      <c r="L26" s="399">
        <v>3</v>
      </c>
      <c r="M26" s="400">
        <v>4</v>
      </c>
      <c r="N26" s="399">
        <v>5</v>
      </c>
      <c r="O26" s="401"/>
      <c r="P26" s="399"/>
      <c r="Q26" s="391" t="e">
        <f>P26/O26</f>
        <v>#DIV/0!</v>
      </c>
    </row>
    <row r="27" spans="2:17" s="45" customFormat="1" ht="32.1" customHeight="1">
      <c r="B27" s="86">
        <v>3</v>
      </c>
      <c r="C27" s="1105" t="s">
        <v>64</v>
      </c>
      <c r="D27" s="1105"/>
      <c r="E27" s="1105"/>
      <c r="F27" s="1105"/>
      <c r="G27" s="1105"/>
      <c r="H27" s="1105"/>
      <c r="I27" s="1106">
        <v>1</v>
      </c>
      <c r="J27" s="1106"/>
      <c r="K27" s="400">
        <v>2</v>
      </c>
      <c r="L27" s="399">
        <v>3</v>
      </c>
      <c r="M27" s="400">
        <v>4</v>
      </c>
      <c r="N27" s="399">
        <v>5</v>
      </c>
      <c r="O27" s="401"/>
      <c r="P27" s="399"/>
      <c r="Q27" s="391" t="e">
        <f>P27/O27</f>
        <v>#DIV/0!</v>
      </c>
    </row>
    <row r="28" spans="2:17" s="45" customFormat="1" ht="32.1" customHeight="1">
      <c r="B28" s="86">
        <f>B27+1</f>
        <v>4</v>
      </c>
      <c r="C28" s="1105" t="s">
        <v>65</v>
      </c>
      <c r="D28" s="1105"/>
      <c r="E28" s="1105"/>
      <c r="F28" s="1105"/>
      <c r="G28" s="1105"/>
      <c r="H28" s="1105"/>
      <c r="I28" s="1106">
        <v>1</v>
      </c>
      <c r="J28" s="1106"/>
      <c r="K28" s="400">
        <v>2</v>
      </c>
      <c r="L28" s="399">
        <v>3</v>
      </c>
      <c r="M28" s="400">
        <v>4</v>
      </c>
      <c r="N28" s="399">
        <v>5</v>
      </c>
      <c r="O28" s="401"/>
      <c r="P28" s="399"/>
      <c r="Q28" s="391" t="e">
        <f>P28/O28</f>
        <v>#DIV/0!</v>
      </c>
    </row>
    <row r="29" spans="2:17" s="45" customFormat="1" ht="32.1" customHeight="1">
      <c r="B29" s="86">
        <v>5</v>
      </c>
      <c r="C29" s="1107" t="s">
        <v>66</v>
      </c>
      <c r="D29" s="1107"/>
      <c r="E29" s="1107"/>
      <c r="F29" s="1107"/>
      <c r="G29" s="1107"/>
      <c r="H29" s="1107"/>
      <c r="I29" s="1108">
        <v>1</v>
      </c>
      <c r="J29" s="1108"/>
      <c r="K29" s="403">
        <v>2</v>
      </c>
      <c r="L29" s="402">
        <v>3</v>
      </c>
      <c r="M29" s="403">
        <v>4</v>
      </c>
      <c r="N29" s="402">
        <v>5</v>
      </c>
      <c r="O29" s="404"/>
      <c r="P29" s="402"/>
      <c r="Q29" s="391" t="e">
        <f>P29/O29</f>
        <v>#DIV/0!</v>
      </c>
    </row>
    <row r="30" spans="2:17" ht="20.100000000000001" customHeight="1">
      <c r="B30" s="377" t="s">
        <v>41</v>
      </c>
      <c r="C30" s="378" t="s">
        <v>42</v>
      </c>
      <c r="D30" s="379"/>
      <c r="E30" s="380"/>
      <c r="F30" s="380"/>
      <c r="G30" s="381"/>
      <c r="H30" s="381"/>
      <c r="I30" s="380"/>
      <c r="J30" s="380"/>
      <c r="K30" s="380"/>
      <c r="L30" s="382"/>
      <c r="M30" s="382"/>
      <c r="N30" s="382"/>
      <c r="O30" s="383"/>
      <c r="P30" s="384"/>
      <c r="Q30" s="385" t="e">
        <f>SUM(N32:N34)</f>
        <v>#DIV/0!</v>
      </c>
    </row>
    <row r="31" spans="2:17" s="4" customFormat="1" ht="18.95" customHeight="1">
      <c r="B31" s="386"/>
      <c r="C31" s="1082" t="s">
        <v>8</v>
      </c>
      <c r="D31" s="1082"/>
      <c r="E31" s="1082"/>
      <c r="F31" s="1082"/>
      <c r="G31" s="1082"/>
      <c r="H31" s="1082"/>
      <c r="I31" s="1083" t="s">
        <v>43</v>
      </c>
      <c r="J31" s="1083"/>
      <c r="K31" s="1083"/>
      <c r="L31" s="1083" t="s">
        <v>154</v>
      </c>
      <c r="M31" s="1083"/>
      <c r="N31" s="387" t="s">
        <v>67</v>
      </c>
      <c r="O31" s="1083" t="s">
        <v>44</v>
      </c>
      <c r="P31" s="1083"/>
      <c r="Q31" s="1098"/>
    </row>
    <row r="32" spans="2:17" s="45" customFormat="1" ht="21" customHeight="1">
      <c r="B32" s="86">
        <v>1</v>
      </c>
      <c r="C32" s="1109" t="s">
        <v>470</v>
      </c>
      <c r="D32" s="1109"/>
      <c r="E32" s="1109"/>
      <c r="F32" s="1109"/>
      <c r="G32" s="1109"/>
      <c r="H32" s="1109"/>
      <c r="I32" s="1085">
        <f>Q11</f>
        <v>0</v>
      </c>
      <c r="J32" s="1085"/>
      <c r="K32" s="1085"/>
      <c r="L32" s="1110">
        <v>0.2</v>
      </c>
      <c r="M32" s="1110"/>
      <c r="N32" s="390">
        <f>I32*L32</f>
        <v>0</v>
      </c>
      <c r="O32" s="1111" t="e">
        <f>IF(Q30=0,"",IF(Q30&gt;100%,"XUẤT SẮC",IF(Q30&gt;=90%,"TỐT",IF(Q30&gt;=80%,"HOÀN THÀNH","KHÔNG HOÀN THÀNH"))))</f>
        <v>#DIV/0!</v>
      </c>
      <c r="P32" s="1112"/>
      <c r="Q32" s="1112"/>
    </row>
    <row r="33" spans="2:17" s="45" customFormat="1" ht="21" customHeight="1">
      <c r="B33" s="86">
        <f>B32+1</f>
        <v>2</v>
      </c>
      <c r="C33" s="1109" t="s">
        <v>155</v>
      </c>
      <c r="D33" s="1109"/>
      <c r="E33" s="1109"/>
      <c r="F33" s="1109"/>
      <c r="G33" s="1109"/>
      <c r="H33" s="1109"/>
      <c r="I33" s="1085">
        <f>Q15</f>
        <v>0</v>
      </c>
      <c r="J33" s="1085"/>
      <c r="K33" s="1085"/>
      <c r="L33" s="1110">
        <v>0.7</v>
      </c>
      <c r="M33" s="1110"/>
      <c r="N33" s="390">
        <f>I33*L33</f>
        <v>0</v>
      </c>
      <c r="O33" s="1112"/>
      <c r="P33" s="1112"/>
      <c r="Q33" s="1112"/>
    </row>
    <row r="34" spans="2:17" s="45" customFormat="1" ht="21" customHeight="1">
      <c r="B34" s="86">
        <f>B33+1</f>
        <v>3</v>
      </c>
      <c r="C34" s="1114" t="s">
        <v>187</v>
      </c>
      <c r="D34" s="1114"/>
      <c r="E34" s="1114"/>
      <c r="F34" s="1114"/>
      <c r="G34" s="1114"/>
      <c r="H34" s="1114"/>
      <c r="I34" s="1088" t="e">
        <f>Q22</f>
        <v>#DIV/0!</v>
      </c>
      <c r="J34" s="1088"/>
      <c r="K34" s="1088"/>
      <c r="L34" s="1115">
        <v>0.1</v>
      </c>
      <c r="M34" s="1115"/>
      <c r="N34" s="392" t="e">
        <f>I34*L34</f>
        <v>#DIV/0!</v>
      </c>
      <c r="O34" s="1113"/>
      <c r="P34" s="1113"/>
      <c r="Q34" s="1113"/>
    </row>
    <row r="35" spans="2:17" ht="18.95" customHeight="1">
      <c r="B35" s="377" t="s">
        <v>45</v>
      </c>
      <c r="C35" s="393" t="s">
        <v>46</v>
      </c>
      <c r="D35" s="380"/>
      <c r="E35" s="380"/>
      <c r="F35" s="380"/>
      <c r="G35" s="381"/>
      <c r="H35" s="381"/>
      <c r="I35" s="380"/>
      <c r="J35" s="380"/>
      <c r="K35" s="380"/>
      <c r="L35" s="380"/>
      <c r="M35" s="380"/>
      <c r="N35" s="380"/>
      <c r="O35" s="380"/>
      <c r="P35" s="380"/>
      <c r="Q35" s="405"/>
    </row>
    <row r="36" spans="2:17" ht="57.95" customHeight="1">
      <c r="B36" s="406">
        <v>1</v>
      </c>
      <c r="C36" s="1116" t="s">
        <v>47</v>
      </c>
      <c r="D36" s="1116"/>
      <c r="E36" s="1116"/>
      <c r="F36" s="1116"/>
      <c r="G36" s="1116"/>
      <c r="H36" s="1116"/>
      <c r="I36" s="1117" t="s">
        <v>48</v>
      </c>
      <c r="J36" s="1117"/>
      <c r="K36" s="1117"/>
      <c r="L36" s="1117"/>
      <c r="M36" s="1117"/>
      <c r="N36" s="1118" t="s">
        <v>49</v>
      </c>
      <c r="O36" s="1118"/>
      <c r="P36" s="1118" t="s">
        <v>50</v>
      </c>
      <c r="Q36" s="1118"/>
    </row>
    <row r="37" spans="2:17" ht="105" customHeight="1">
      <c r="B37" s="406">
        <v>2</v>
      </c>
      <c r="C37" s="1119" t="s">
        <v>51</v>
      </c>
      <c r="D37" s="1119"/>
      <c r="E37" s="1119"/>
      <c r="F37" s="1119"/>
      <c r="G37" s="1119"/>
      <c r="H37" s="1119"/>
      <c r="I37" s="1120" t="s">
        <v>52</v>
      </c>
      <c r="J37" s="1093"/>
      <c r="K37" s="1093"/>
      <c r="L37" s="1093"/>
      <c r="M37" s="1093"/>
      <c r="N37" s="1093"/>
      <c r="O37" s="1093"/>
      <c r="P37" s="1093"/>
      <c r="Q37" s="1093"/>
    </row>
    <row r="38" spans="2:17">
      <c r="B38" s="5"/>
      <c r="C38" s="5"/>
      <c r="D38" s="5"/>
      <c r="E38" s="5"/>
      <c r="F38" s="5"/>
      <c r="G38" s="6"/>
      <c r="H38" s="6"/>
      <c r="I38" s="5"/>
      <c r="J38" s="5"/>
      <c r="K38" s="5"/>
      <c r="L38" s="5"/>
      <c r="M38" s="5"/>
      <c r="N38" s="5"/>
      <c r="O38" s="5"/>
      <c r="P38" s="5"/>
      <c r="Q38" s="6"/>
    </row>
    <row r="39" spans="2:17" ht="12.95" customHeight="1">
      <c r="B39" s="37"/>
      <c r="C39" s="47"/>
      <c r="D39" s="38"/>
      <c r="E39" s="38"/>
      <c r="F39" s="38"/>
      <c r="G39" s="37"/>
      <c r="H39" s="37"/>
      <c r="I39" s="38"/>
      <c r="J39" s="38"/>
      <c r="K39" s="38"/>
      <c r="L39" s="38"/>
      <c r="M39" s="38"/>
      <c r="N39" s="38"/>
      <c r="O39" s="38"/>
      <c r="P39" s="38"/>
      <c r="Q39" s="37"/>
    </row>
    <row r="40" spans="2:17" s="51" customFormat="1" ht="32.1" customHeight="1">
      <c r="B40" s="1079" t="s">
        <v>539</v>
      </c>
      <c r="C40" s="975"/>
      <c r="D40" s="1079" t="s">
        <v>537</v>
      </c>
      <c r="E40" s="975"/>
      <c r="F40" s="975"/>
      <c r="G40" s="975"/>
      <c r="H40" s="975"/>
      <c r="I40" s="471"/>
      <c r="J40" s="1079" t="s">
        <v>540</v>
      </c>
      <c r="K40" s="1079"/>
      <c r="L40" s="1079"/>
      <c r="M40" s="1079"/>
      <c r="N40" s="1079"/>
      <c r="O40" s="1079"/>
      <c r="P40" s="1079"/>
      <c r="Q40" s="1079"/>
    </row>
    <row r="41" spans="2:17">
      <c r="B41" s="6"/>
      <c r="C41" s="5"/>
      <c r="D41" s="5"/>
      <c r="E41" s="5"/>
      <c r="F41" s="5"/>
      <c r="G41" s="6"/>
      <c r="I41" s="6"/>
      <c r="J41" s="6"/>
      <c r="K41" s="6"/>
      <c r="L41" s="5"/>
      <c r="M41" s="5"/>
      <c r="N41" s="5"/>
      <c r="O41" s="5"/>
      <c r="P41" s="5"/>
      <c r="Q41" s="5"/>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6"/>
      <c r="C45" s="5"/>
      <c r="D45" s="5"/>
      <c r="E45" s="5"/>
      <c r="F45" s="5"/>
      <c r="G45" s="6"/>
      <c r="I45" s="5"/>
      <c r="J45" s="6"/>
      <c r="K45" s="5"/>
      <c r="L45" s="5"/>
      <c r="M45" s="5"/>
      <c r="N45" s="5"/>
      <c r="O45" s="5"/>
      <c r="P45" s="5"/>
      <c r="Q45" s="6"/>
    </row>
    <row r="46" spans="2:17">
      <c r="B46" s="6"/>
      <c r="C46" s="5"/>
      <c r="D46" s="5"/>
      <c r="E46" s="5"/>
      <c r="F46" s="5"/>
      <c r="G46" s="6"/>
      <c r="I46" s="5"/>
      <c r="J46" s="6"/>
      <c r="K46" s="5"/>
      <c r="L46" s="5"/>
      <c r="M46" s="5"/>
      <c r="N46" s="5"/>
      <c r="O46" s="5"/>
      <c r="P46" s="5"/>
      <c r="Q46" s="6"/>
    </row>
    <row r="47" spans="2:17">
      <c r="B47" s="972" t="s">
        <v>29</v>
      </c>
      <c r="C47" s="972"/>
      <c r="D47" s="972" t="s">
        <v>29</v>
      </c>
      <c r="E47" s="972"/>
      <c r="F47" s="972"/>
      <c r="G47" s="972"/>
      <c r="H47" s="972"/>
      <c r="I47" s="5"/>
      <c r="J47" s="972" t="s">
        <v>29</v>
      </c>
      <c r="K47" s="972"/>
      <c r="L47" s="972"/>
      <c r="M47" s="972"/>
      <c r="N47" s="972"/>
      <c r="O47" s="972"/>
      <c r="P47" s="972"/>
      <c r="Q47" s="972"/>
    </row>
    <row r="48" spans="2:17">
      <c r="B48" s="6"/>
      <c r="C48" s="5"/>
      <c r="D48" s="5"/>
      <c r="E48" s="5"/>
      <c r="F48" s="5"/>
      <c r="G48" s="6"/>
      <c r="I48" s="5"/>
      <c r="J48" s="6"/>
      <c r="K48" s="5"/>
      <c r="L48" s="5"/>
      <c r="M48" s="5"/>
      <c r="N48" s="5"/>
      <c r="O48" s="5"/>
      <c r="P48" s="5"/>
      <c r="Q48" s="6"/>
    </row>
    <row r="49" spans="2:17">
      <c r="B49" s="37"/>
      <c r="C49" s="47"/>
      <c r="D49" s="38"/>
      <c r="E49" s="38"/>
      <c r="F49" s="38"/>
      <c r="G49" s="37"/>
      <c r="I49" s="38"/>
      <c r="J49" s="37"/>
      <c r="K49" s="38"/>
      <c r="L49" s="38"/>
      <c r="M49" s="38"/>
      <c r="N49" s="38"/>
      <c r="O49" s="38"/>
      <c r="P49" s="38"/>
      <c r="Q49" s="37"/>
    </row>
    <row r="50" spans="2:17" ht="24" customHeight="1">
      <c r="B50" s="1080"/>
      <c r="C50" s="972"/>
      <c r="D50" s="1080"/>
      <c r="E50" s="972"/>
      <c r="F50" s="972"/>
      <c r="G50" s="972"/>
      <c r="H50" s="972"/>
      <c r="I50" s="245"/>
      <c r="J50" s="972"/>
      <c r="K50" s="972"/>
      <c r="L50" s="972"/>
      <c r="M50" s="972"/>
      <c r="N50" s="245"/>
      <c r="O50" s="1080"/>
      <c r="P50" s="972"/>
      <c r="Q50" s="972"/>
    </row>
    <row r="51" spans="2:17">
      <c r="B51" s="6"/>
      <c r="C51" s="5"/>
      <c r="D51" s="5"/>
      <c r="E51" s="5"/>
      <c r="F51" s="5"/>
      <c r="G51" s="6"/>
      <c r="I51" s="6"/>
      <c r="J51" s="6"/>
      <c r="K51" s="6"/>
      <c r="L51" s="5"/>
      <c r="M51" s="5"/>
      <c r="N51" s="5"/>
      <c r="O51" s="5"/>
      <c r="P51" s="5"/>
      <c r="Q51" s="5"/>
    </row>
    <row r="52" spans="2:17">
      <c r="B52" s="6"/>
      <c r="C52" s="5"/>
      <c r="D52" s="5"/>
      <c r="E52" s="5"/>
      <c r="F52" s="5"/>
      <c r="G52" s="6"/>
      <c r="I52" s="5"/>
      <c r="J52" s="6"/>
      <c r="K52" s="5"/>
      <c r="L52" s="5"/>
      <c r="M52" s="5"/>
      <c r="N52" s="5"/>
      <c r="O52" s="5"/>
      <c r="P52" s="5"/>
      <c r="Q52" s="6"/>
    </row>
    <row r="53" spans="2:17">
      <c r="B53" s="6"/>
      <c r="C53" s="5"/>
      <c r="D53" s="5"/>
      <c r="E53" s="5"/>
      <c r="F53" s="5"/>
      <c r="G53" s="6"/>
      <c r="I53" s="5"/>
      <c r="J53" s="6"/>
      <c r="K53" s="5"/>
      <c r="L53" s="5"/>
      <c r="M53" s="5"/>
      <c r="N53" s="5"/>
      <c r="O53" s="5"/>
      <c r="P53" s="5"/>
      <c r="Q53" s="6"/>
    </row>
    <row r="54" spans="2:17">
      <c r="B54" s="6"/>
      <c r="C54" s="5"/>
      <c r="D54" s="5"/>
      <c r="E54" s="5"/>
      <c r="F54" s="5"/>
      <c r="G54" s="6"/>
      <c r="I54" s="5"/>
      <c r="J54" s="6"/>
      <c r="K54" s="5"/>
      <c r="L54" s="5"/>
      <c r="M54" s="5"/>
      <c r="N54" s="5"/>
      <c r="O54" s="5"/>
      <c r="P54" s="5"/>
      <c r="Q54" s="6"/>
    </row>
    <row r="55" spans="2:17">
      <c r="B55" s="6"/>
      <c r="C55" s="5"/>
      <c r="D55" s="5"/>
      <c r="E55" s="5"/>
      <c r="F55" s="5"/>
      <c r="G55" s="6"/>
      <c r="I55" s="5"/>
      <c r="J55" s="6"/>
      <c r="K55" s="5"/>
      <c r="L55" s="5"/>
      <c r="M55" s="5"/>
      <c r="N55" s="5"/>
      <c r="O55" s="5"/>
      <c r="P55" s="5"/>
      <c r="Q55" s="6"/>
    </row>
    <row r="56" spans="2:17">
      <c r="B56" s="6"/>
      <c r="C56" s="5"/>
      <c r="D56" s="5"/>
      <c r="E56" s="5"/>
      <c r="F56" s="5"/>
      <c r="G56" s="6"/>
      <c r="I56" s="5"/>
      <c r="J56" s="6"/>
      <c r="K56" s="5"/>
      <c r="L56" s="5"/>
      <c r="M56" s="5"/>
      <c r="N56" s="5"/>
      <c r="O56" s="5"/>
      <c r="P56" s="5"/>
      <c r="Q56" s="6"/>
    </row>
    <row r="57" spans="2:17">
      <c r="B57" s="972"/>
      <c r="C57" s="972"/>
      <c r="D57" s="972"/>
      <c r="E57" s="972"/>
      <c r="F57" s="972"/>
      <c r="G57" s="972"/>
      <c r="H57" s="972"/>
      <c r="I57" s="5"/>
      <c r="J57" s="972"/>
      <c r="K57" s="972"/>
      <c r="L57" s="972"/>
      <c r="M57" s="972"/>
      <c r="N57" s="5"/>
      <c r="O57" s="972"/>
      <c r="P57" s="972"/>
      <c r="Q57" s="972"/>
    </row>
    <row r="58" spans="2:17">
      <c r="B58" s="2"/>
    </row>
    <row r="59" spans="2:17">
      <c r="B59" s="2"/>
    </row>
  </sheetData>
  <mergeCells count="86">
    <mergeCell ref="B40:C40"/>
    <mergeCell ref="D40:H40"/>
    <mergeCell ref="J40:Q40"/>
    <mergeCell ref="B57:C57"/>
    <mergeCell ref="D57:H57"/>
    <mergeCell ref="J57:M57"/>
    <mergeCell ref="O57:Q57"/>
    <mergeCell ref="B47:C47"/>
    <mergeCell ref="D47:H47"/>
    <mergeCell ref="J47:Q47"/>
    <mergeCell ref="B50:C50"/>
    <mergeCell ref="D50:H50"/>
    <mergeCell ref="J50:M50"/>
    <mergeCell ref="O50:Q50"/>
    <mergeCell ref="C36:H36"/>
    <mergeCell ref="I36:M36"/>
    <mergeCell ref="N36:O36"/>
    <mergeCell ref="P36:Q36"/>
    <mergeCell ref="C37:H37"/>
    <mergeCell ref="I37:Q37"/>
    <mergeCell ref="C31:H31"/>
    <mergeCell ref="I31:K31"/>
    <mergeCell ref="L31:M31"/>
    <mergeCell ref="O31:Q31"/>
    <mergeCell ref="C32:H32"/>
    <mergeCell ref="I32:K32"/>
    <mergeCell ref="L32:M32"/>
    <mergeCell ref="O32:Q34"/>
    <mergeCell ref="C33:H33"/>
    <mergeCell ref="I33:K33"/>
    <mergeCell ref="L33:M33"/>
    <mergeCell ref="C34:H34"/>
    <mergeCell ref="I34:K34"/>
    <mergeCell ref="L34:M34"/>
    <mergeCell ref="C27:H27"/>
    <mergeCell ref="I27:J27"/>
    <mergeCell ref="C28:H28"/>
    <mergeCell ref="I28:J28"/>
    <mergeCell ref="C29:H29"/>
    <mergeCell ref="I29:J29"/>
    <mergeCell ref="C25:H25"/>
    <mergeCell ref="I25:J25"/>
    <mergeCell ref="C26:H26"/>
    <mergeCell ref="I26:J26"/>
    <mergeCell ref="P23:P24"/>
    <mergeCell ref="B23:B24"/>
    <mergeCell ref="C23:H24"/>
    <mergeCell ref="I23:N23"/>
    <mergeCell ref="O23:O24"/>
    <mergeCell ref="Q23:Q24"/>
    <mergeCell ref="I24:J24"/>
    <mergeCell ref="E21:F21"/>
    <mergeCell ref="G21:H21"/>
    <mergeCell ref="I21:K21"/>
    <mergeCell ref="L21:M21"/>
    <mergeCell ref="L22:N22"/>
    <mergeCell ref="E19:F19"/>
    <mergeCell ref="G19:H19"/>
    <mergeCell ref="I19:K19"/>
    <mergeCell ref="L19:M19"/>
    <mergeCell ref="E20:F20"/>
    <mergeCell ref="G20:H20"/>
    <mergeCell ref="I20:K20"/>
    <mergeCell ref="L20:M20"/>
    <mergeCell ref="E17:F17"/>
    <mergeCell ref="G17:H17"/>
    <mergeCell ref="I17:K17"/>
    <mergeCell ref="L17:M17"/>
    <mergeCell ref="E18:F18"/>
    <mergeCell ref="G18:H18"/>
    <mergeCell ref="I18:K18"/>
    <mergeCell ref="L18:M18"/>
    <mergeCell ref="C14:H14"/>
    <mergeCell ref="I14:K14"/>
    <mergeCell ref="L14:M14"/>
    <mergeCell ref="L15:N15"/>
    <mergeCell ref="E16:F16"/>
    <mergeCell ref="G16:H16"/>
    <mergeCell ref="I16:K16"/>
    <mergeCell ref="L16:M16"/>
    <mergeCell ref="C12:H12"/>
    <mergeCell ref="I12:K12"/>
    <mergeCell ref="L12:M12"/>
    <mergeCell ref="C13:H13"/>
    <mergeCell ref="I13:K13"/>
    <mergeCell ref="L13:M13"/>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4DD3F-9CDB-4303-B474-8E40434350BC}">
  <dimension ref="B2:R59"/>
  <sheetViews>
    <sheetView showGridLines="0" zoomScale="125" workbookViewId="0">
      <selection activeCell="C14" sqref="C14:H14"/>
    </sheetView>
  </sheetViews>
  <sheetFormatPr defaultColWidth="8.875" defaultRowHeight="12.75"/>
  <cols>
    <col min="1" max="1" width="1.125" style="1" customWidth="1"/>
    <col min="2" max="2" width="12.875" style="1" bestFit="1" customWidth="1"/>
    <col min="3" max="3" width="35.875" style="1" customWidth="1"/>
    <col min="4" max="4" width="9" style="1" customWidth="1"/>
    <col min="5" max="5" width="10.125" style="1" customWidth="1"/>
    <col min="6" max="6" width="14.5" style="1" customWidth="1"/>
    <col min="7" max="7" width="6.625" style="2" customWidth="1"/>
    <col min="8" max="8" width="20.625" style="2" customWidth="1"/>
    <col min="9" max="9" width="2.5" style="1" customWidth="1"/>
    <col min="10" max="10" width="5.5" style="1" customWidth="1"/>
    <col min="11" max="11" width="7.625" style="1" customWidth="1"/>
    <col min="12" max="12" width="7.5" style="1" customWidth="1"/>
    <col min="13" max="13" width="7.625" style="1" customWidth="1"/>
    <col min="14" max="14" width="13.625" style="1" customWidth="1"/>
    <col min="15" max="16" width="10.125" style="1" customWidth="1"/>
    <col min="17" max="17" width="10.875" style="2" customWidth="1"/>
    <col min="18" max="18" width="11.375" style="1" customWidth="1"/>
    <col min="19" max="19" width="6.875" style="1" customWidth="1"/>
    <col min="20" max="238" width="8.875" style="1"/>
    <col min="239" max="239" width="5" style="1" customWidth="1"/>
    <col min="240" max="240" width="33.375" style="1" customWidth="1"/>
    <col min="241" max="241" width="6.5" style="1" customWidth="1"/>
    <col min="242" max="242" width="29.5" style="1" customWidth="1"/>
    <col min="243" max="243" width="23.625" style="1" customWidth="1"/>
    <col min="244" max="244" width="8" style="1" customWidth="1"/>
    <col min="245" max="245" width="9.125" style="1" customWidth="1"/>
    <col min="246" max="246" width="13.875" style="1" customWidth="1"/>
    <col min="247" max="247" width="13.5" style="1" customWidth="1"/>
    <col min="248" max="494" width="8.875" style="1"/>
    <col min="495" max="495" width="5" style="1" customWidth="1"/>
    <col min="496" max="496" width="33.375" style="1" customWidth="1"/>
    <col min="497" max="497" width="6.5" style="1" customWidth="1"/>
    <col min="498" max="498" width="29.5" style="1" customWidth="1"/>
    <col min="499" max="499" width="23.625" style="1" customWidth="1"/>
    <col min="500" max="500" width="8" style="1" customWidth="1"/>
    <col min="501" max="501" width="9.125" style="1" customWidth="1"/>
    <col min="502" max="502" width="13.875" style="1" customWidth="1"/>
    <col min="503" max="503" width="13.5" style="1" customWidth="1"/>
    <col min="504" max="750" width="8.875" style="1"/>
    <col min="751" max="751" width="5" style="1" customWidth="1"/>
    <col min="752" max="752" width="33.375" style="1" customWidth="1"/>
    <col min="753" max="753" width="6.5" style="1" customWidth="1"/>
    <col min="754" max="754" width="29.5" style="1" customWidth="1"/>
    <col min="755" max="755" width="23.625" style="1" customWidth="1"/>
    <col min="756" max="756" width="8" style="1" customWidth="1"/>
    <col min="757" max="757" width="9.125" style="1" customWidth="1"/>
    <col min="758" max="758" width="13.875" style="1" customWidth="1"/>
    <col min="759" max="759" width="13.5" style="1" customWidth="1"/>
    <col min="760" max="1006" width="8.875" style="1"/>
    <col min="1007" max="1007" width="5" style="1" customWidth="1"/>
    <col min="1008" max="1008" width="33.375" style="1" customWidth="1"/>
    <col min="1009" max="1009" width="6.5" style="1" customWidth="1"/>
    <col min="1010" max="1010" width="29.5" style="1" customWidth="1"/>
    <col min="1011" max="1011" width="23.625" style="1" customWidth="1"/>
    <col min="1012" max="1012" width="8" style="1" customWidth="1"/>
    <col min="1013" max="1013" width="9.125" style="1" customWidth="1"/>
    <col min="1014" max="1014" width="13.875" style="1" customWidth="1"/>
    <col min="1015" max="1015" width="13.5" style="1" customWidth="1"/>
    <col min="1016" max="1262" width="8.875" style="1"/>
    <col min="1263" max="1263" width="5" style="1" customWidth="1"/>
    <col min="1264" max="1264" width="33.375" style="1" customWidth="1"/>
    <col min="1265" max="1265" width="6.5" style="1" customWidth="1"/>
    <col min="1266" max="1266" width="29.5" style="1" customWidth="1"/>
    <col min="1267" max="1267" width="23.625" style="1" customWidth="1"/>
    <col min="1268" max="1268" width="8" style="1" customWidth="1"/>
    <col min="1269" max="1269" width="9.125" style="1" customWidth="1"/>
    <col min="1270" max="1270" width="13.875" style="1" customWidth="1"/>
    <col min="1271" max="1271" width="13.5" style="1" customWidth="1"/>
    <col min="1272" max="1518" width="8.875" style="1"/>
    <col min="1519" max="1519" width="5" style="1" customWidth="1"/>
    <col min="1520" max="1520" width="33.375" style="1" customWidth="1"/>
    <col min="1521" max="1521" width="6.5" style="1" customWidth="1"/>
    <col min="1522" max="1522" width="29.5" style="1" customWidth="1"/>
    <col min="1523" max="1523" width="23.625" style="1" customWidth="1"/>
    <col min="1524" max="1524" width="8" style="1" customWidth="1"/>
    <col min="1525" max="1525" width="9.125" style="1" customWidth="1"/>
    <col min="1526" max="1526" width="13.875" style="1" customWidth="1"/>
    <col min="1527" max="1527" width="13.5" style="1" customWidth="1"/>
    <col min="1528" max="1774" width="8.875" style="1"/>
    <col min="1775" max="1775" width="5" style="1" customWidth="1"/>
    <col min="1776" max="1776" width="33.375" style="1" customWidth="1"/>
    <col min="1777" max="1777" width="6.5" style="1" customWidth="1"/>
    <col min="1778" max="1778" width="29.5" style="1" customWidth="1"/>
    <col min="1779" max="1779" width="23.625" style="1" customWidth="1"/>
    <col min="1780" max="1780" width="8" style="1" customWidth="1"/>
    <col min="1781" max="1781" width="9.125" style="1" customWidth="1"/>
    <col min="1782" max="1782" width="13.875" style="1" customWidth="1"/>
    <col min="1783" max="1783" width="13.5" style="1" customWidth="1"/>
    <col min="1784" max="2030" width="8.875" style="1"/>
    <col min="2031" max="2031" width="5" style="1" customWidth="1"/>
    <col min="2032" max="2032" width="33.375" style="1" customWidth="1"/>
    <col min="2033" max="2033" width="6.5" style="1" customWidth="1"/>
    <col min="2034" max="2034" width="29.5" style="1" customWidth="1"/>
    <col min="2035" max="2035" width="23.625" style="1" customWidth="1"/>
    <col min="2036" max="2036" width="8" style="1" customWidth="1"/>
    <col min="2037" max="2037" width="9.125" style="1" customWidth="1"/>
    <col min="2038" max="2038" width="13.875" style="1" customWidth="1"/>
    <col min="2039" max="2039" width="13.5" style="1" customWidth="1"/>
    <col min="2040" max="2286" width="8.875" style="1"/>
    <col min="2287" max="2287" width="5" style="1" customWidth="1"/>
    <col min="2288" max="2288" width="33.375" style="1" customWidth="1"/>
    <col min="2289" max="2289" width="6.5" style="1" customWidth="1"/>
    <col min="2290" max="2290" width="29.5" style="1" customWidth="1"/>
    <col min="2291" max="2291" width="23.625" style="1" customWidth="1"/>
    <col min="2292" max="2292" width="8" style="1" customWidth="1"/>
    <col min="2293" max="2293" width="9.125" style="1" customWidth="1"/>
    <col min="2294" max="2294" width="13.875" style="1" customWidth="1"/>
    <col min="2295" max="2295" width="13.5" style="1" customWidth="1"/>
    <col min="2296" max="2542" width="8.875" style="1"/>
    <col min="2543" max="2543" width="5" style="1" customWidth="1"/>
    <col min="2544" max="2544" width="33.375" style="1" customWidth="1"/>
    <col min="2545" max="2545" width="6.5" style="1" customWidth="1"/>
    <col min="2546" max="2546" width="29.5" style="1" customWidth="1"/>
    <col min="2547" max="2547" width="23.625" style="1" customWidth="1"/>
    <col min="2548" max="2548" width="8" style="1" customWidth="1"/>
    <col min="2549" max="2549" width="9.125" style="1" customWidth="1"/>
    <col min="2550" max="2550" width="13.875" style="1" customWidth="1"/>
    <col min="2551" max="2551" width="13.5" style="1" customWidth="1"/>
    <col min="2552" max="2798" width="8.875" style="1"/>
    <col min="2799" max="2799" width="5" style="1" customWidth="1"/>
    <col min="2800" max="2800" width="33.375" style="1" customWidth="1"/>
    <col min="2801" max="2801" width="6.5" style="1" customWidth="1"/>
    <col min="2802" max="2802" width="29.5" style="1" customWidth="1"/>
    <col min="2803" max="2803" width="23.625" style="1" customWidth="1"/>
    <col min="2804" max="2804" width="8" style="1" customWidth="1"/>
    <col min="2805" max="2805" width="9.125" style="1" customWidth="1"/>
    <col min="2806" max="2806" width="13.875" style="1" customWidth="1"/>
    <col min="2807" max="2807" width="13.5" style="1" customWidth="1"/>
    <col min="2808" max="3054" width="8.875" style="1"/>
    <col min="3055" max="3055" width="5" style="1" customWidth="1"/>
    <col min="3056" max="3056" width="33.375" style="1" customWidth="1"/>
    <col min="3057" max="3057" width="6.5" style="1" customWidth="1"/>
    <col min="3058" max="3058" width="29.5" style="1" customWidth="1"/>
    <col min="3059" max="3059" width="23.625" style="1" customWidth="1"/>
    <col min="3060" max="3060" width="8" style="1" customWidth="1"/>
    <col min="3061" max="3061" width="9.125" style="1" customWidth="1"/>
    <col min="3062" max="3062" width="13.875" style="1" customWidth="1"/>
    <col min="3063" max="3063" width="13.5" style="1" customWidth="1"/>
    <col min="3064" max="3310" width="8.875" style="1"/>
    <col min="3311" max="3311" width="5" style="1" customWidth="1"/>
    <col min="3312" max="3312" width="33.375" style="1" customWidth="1"/>
    <col min="3313" max="3313" width="6.5" style="1" customWidth="1"/>
    <col min="3314" max="3314" width="29.5" style="1" customWidth="1"/>
    <col min="3315" max="3315" width="23.625" style="1" customWidth="1"/>
    <col min="3316" max="3316" width="8" style="1" customWidth="1"/>
    <col min="3317" max="3317" width="9.125" style="1" customWidth="1"/>
    <col min="3318" max="3318" width="13.875" style="1" customWidth="1"/>
    <col min="3319" max="3319" width="13.5" style="1" customWidth="1"/>
    <col min="3320" max="3566" width="8.875" style="1"/>
    <col min="3567" max="3567" width="5" style="1" customWidth="1"/>
    <col min="3568" max="3568" width="33.375" style="1" customWidth="1"/>
    <col min="3569" max="3569" width="6.5" style="1" customWidth="1"/>
    <col min="3570" max="3570" width="29.5" style="1" customWidth="1"/>
    <col min="3571" max="3571" width="23.625" style="1" customWidth="1"/>
    <col min="3572" max="3572" width="8" style="1" customWidth="1"/>
    <col min="3573" max="3573" width="9.125" style="1" customWidth="1"/>
    <col min="3574" max="3574" width="13.875" style="1" customWidth="1"/>
    <col min="3575" max="3575" width="13.5" style="1" customWidth="1"/>
    <col min="3576" max="3822" width="8.875" style="1"/>
    <col min="3823" max="3823" width="5" style="1" customWidth="1"/>
    <col min="3824" max="3824" width="33.375" style="1" customWidth="1"/>
    <col min="3825" max="3825" width="6.5" style="1" customWidth="1"/>
    <col min="3826" max="3826" width="29.5" style="1" customWidth="1"/>
    <col min="3827" max="3827" width="23.625" style="1" customWidth="1"/>
    <col min="3828" max="3828" width="8" style="1" customWidth="1"/>
    <col min="3829" max="3829" width="9.125" style="1" customWidth="1"/>
    <col min="3830" max="3830" width="13.875" style="1" customWidth="1"/>
    <col min="3831" max="3831" width="13.5" style="1" customWidth="1"/>
    <col min="3832" max="4078" width="8.875" style="1"/>
    <col min="4079" max="4079" width="5" style="1" customWidth="1"/>
    <col min="4080" max="4080" width="33.375" style="1" customWidth="1"/>
    <col min="4081" max="4081" width="6.5" style="1" customWidth="1"/>
    <col min="4082" max="4082" width="29.5" style="1" customWidth="1"/>
    <col min="4083" max="4083" width="23.625" style="1" customWidth="1"/>
    <col min="4084" max="4084" width="8" style="1" customWidth="1"/>
    <col min="4085" max="4085" width="9.125" style="1" customWidth="1"/>
    <col min="4086" max="4086" width="13.875" style="1" customWidth="1"/>
    <col min="4087" max="4087" width="13.5" style="1" customWidth="1"/>
    <col min="4088" max="4334" width="8.875" style="1"/>
    <col min="4335" max="4335" width="5" style="1" customWidth="1"/>
    <col min="4336" max="4336" width="33.375" style="1" customWidth="1"/>
    <col min="4337" max="4337" width="6.5" style="1" customWidth="1"/>
    <col min="4338" max="4338" width="29.5" style="1" customWidth="1"/>
    <col min="4339" max="4339" width="23.625" style="1" customWidth="1"/>
    <col min="4340" max="4340" width="8" style="1" customWidth="1"/>
    <col min="4341" max="4341" width="9.125" style="1" customWidth="1"/>
    <col min="4342" max="4342" width="13.875" style="1" customWidth="1"/>
    <col min="4343" max="4343" width="13.5" style="1" customWidth="1"/>
    <col min="4344" max="4590" width="8.875" style="1"/>
    <col min="4591" max="4591" width="5" style="1" customWidth="1"/>
    <col min="4592" max="4592" width="33.375" style="1" customWidth="1"/>
    <col min="4593" max="4593" width="6.5" style="1" customWidth="1"/>
    <col min="4594" max="4594" width="29.5" style="1" customWidth="1"/>
    <col min="4595" max="4595" width="23.625" style="1" customWidth="1"/>
    <col min="4596" max="4596" width="8" style="1" customWidth="1"/>
    <col min="4597" max="4597" width="9.125" style="1" customWidth="1"/>
    <col min="4598" max="4598" width="13.875" style="1" customWidth="1"/>
    <col min="4599" max="4599" width="13.5" style="1" customWidth="1"/>
    <col min="4600" max="4846" width="8.875" style="1"/>
    <col min="4847" max="4847" width="5" style="1" customWidth="1"/>
    <col min="4848" max="4848" width="33.375" style="1" customWidth="1"/>
    <col min="4849" max="4849" width="6.5" style="1" customWidth="1"/>
    <col min="4850" max="4850" width="29.5" style="1" customWidth="1"/>
    <col min="4851" max="4851" width="23.625" style="1" customWidth="1"/>
    <col min="4852" max="4852" width="8" style="1" customWidth="1"/>
    <col min="4853" max="4853" width="9.125" style="1" customWidth="1"/>
    <col min="4854" max="4854" width="13.875" style="1" customWidth="1"/>
    <col min="4855" max="4855" width="13.5" style="1" customWidth="1"/>
    <col min="4856" max="5102" width="8.875" style="1"/>
    <col min="5103" max="5103" width="5" style="1" customWidth="1"/>
    <col min="5104" max="5104" width="33.375" style="1" customWidth="1"/>
    <col min="5105" max="5105" width="6.5" style="1" customWidth="1"/>
    <col min="5106" max="5106" width="29.5" style="1" customWidth="1"/>
    <col min="5107" max="5107" width="23.625" style="1" customWidth="1"/>
    <col min="5108" max="5108" width="8" style="1" customWidth="1"/>
    <col min="5109" max="5109" width="9.125" style="1" customWidth="1"/>
    <col min="5110" max="5110" width="13.875" style="1" customWidth="1"/>
    <col min="5111" max="5111" width="13.5" style="1" customWidth="1"/>
    <col min="5112" max="5358" width="8.875" style="1"/>
    <col min="5359" max="5359" width="5" style="1" customWidth="1"/>
    <col min="5360" max="5360" width="33.375" style="1" customWidth="1"/>
    <col min="5361" max="5361" width="6.5" style="1" customWidth="1"/>
    <col min="5362" max="5362" width="29.5" style="1" customWidth="1"/>
    <col min="5363" max="5363" width="23.625" style="1" customWidth="1"/>
    <col min="5364" max="5364" width="8" style="1" customWidth="1"/>
    <col min="5365" max="5365" width="9.125" style="1" customWidth="1"/>
    <col min="5366" max="5366" width="13.875" style="1" customWidth="1"/>
    <col min="5367" max="5367" width="13.5" style="1" customWidth="1"/>
    <col min="5368" max="5614" width="8.875" style="1"/>
    <col min="5615" max="5615" width="5" style="1" customWidth="1"/>
    <col min="5616" max="5616" width="33.375" style="1" customWidth="1"/>
    <col min="5617" max="5617" width="6.5" style="1" customWidth="1"/>
    <col min="5618" max="5618" width="29.5" style="1" customWidth="1"/>
    <col min="5619" max="5619" width="23.625" style="1" customWidth="1"/>
    <col min="5620" max="5620" width="8" style="1" customWidth="1"/>
    <col min="5621" max="5621" width="9.125" style="1" customWidth="1"/>
    <col min="5622" max="5622" width="13.875" style="1" customWidth="1"/>
    <col min="5623" max="5623" width="13.5" style="1" customWidth="1"/>
    <col min="5624" max="5870" width="8.875" style="1"/>
    <col min="5871" max="5871" width="5" style="1" customWidth="1"/>
    <col min="5872" max="5872" width="33.375" style="1" customWidth="1"/>
    <col min="5873" max="5873" width="6.5" style="1" customWidth="1"/>
    <col min="5874" max="5874" width="29.5" style="1" customWidth="1"/>
    <col min="5875" max="5875" width="23.625" style="1" customWidth="1"/>
    <col min="5876" max="5876" width="8" style="1" customWidth="1"/>
    <col min="5877" max="5877" width="9.125" style="1" customWidth="1"/>
    <col min="5878" max="5878" width="13.875" style="1" customWidth="1"/>
    <col min="5879" max="5879" width="13.5" style="1" customWidth="1"/>
    <col min="5880" max="6126" width="8.875" style="1"/>
    <col min="6127" max="6127" width="5" style="1" customWidth="1"/>
    <col min="6128" max="6128" width="33.375" style="1" customWidth="1"/>
    <col min="6129" max="6129" width="6.5" style="1" customWidth="1"/>
    <col min="6130" max="6130" width="29.5" style="1" customWidth="1"/>
    <col min="6131" max="6131" width="23.625" style="1" customWidth="1"/>
    <col min="6132" max="6132" width="8" style="1" customWidth="1"/>
    <col min="6133" max="6133" width="9.125" style="1" customWidth="1"/>
    <col min="6134" max="6134" width="13.875" style="1" customWidth="1"/>
    <col min="6135" max="6135" width="13.5" style="1" customWidth="1"/>
    <col min="6136" max="6382" width="8.875" style="1"/>
    <col min="6383" max="6383" width="5" style="1" customWidth="1"/>
    <col min="6384" max="6384" width="33.375" style="1" customWidth="1"/>
    <col min="6385" max="6385" width="6.5" style="1" customWidth="1"/>
    <col min="6386" max="6386" width="29.5" style="1" customWidth="1"/>
    <col min="6387" max="6387" width="23.625" style="1" customWidth="1"/>
    <col min="6388" max="6388" width="8" style="1" customWidth="1"/>
    <col min="6389" max="6389" width="9.125" style="1" customWidth="1"/>
    <col min="6390" max="6390" width="13.875" style="1" customWidth="1"/>
    <col min="6391" max="6391" width="13.5" style="1" customWidth="1"/>
    <col min="6392" max="6638" width="8.875" style="1"/>
    <col min="6639" max="6639" width="5" style="1" customWidth="1"/>
    <col min="6640" max="6640" width="33.375" style="1" customWidth="1"/>
    <col min="6641" max="6641" width="6.5" style="1" customWidth="1"/>
    <col min="6642" max="6642" width="29.5" style="1" customWidth="1"/>
    <col min="6643" max="6643" width="23.625" style="1" customWidth="1"/>
    <col min="6644" max="6644" width="8" style="1" customWidth="1"/>
    <col min="6645" max="6645" width="9.125" style="1" customWidth="1"/>
    <col min="6646" max="6646" width="13.875" style="1" customWidth="1"/>
    <col min="6647" max="6647" width="13.5" style="1" customWidth="1"/>
    <col min="6648" max="6894" width="8.875" style="1"/>
    <col min="6895" max="6895" width="5" style="1" customWidth="1"/>
    <col min="6896" max="6896" width="33.375" style="1" customWidth="1"/>
    <col min="6897" max="6897" width="6.5" style="1" customWidth="1"/>
    <col min="6898" max="6898" width="29.5" style="1" customWidth="1"/>
    <col min="6899" max="6899" width="23.625" style="1" customWidth="1"/>
    <col min="6900" max="6900" width="8" style="1" customWidth="1"/>
    <col min="6901" max="6901" width="9.125" style="1" customWidth="1"/>
    <col min="6902" max="6902" width="13.875" style="1" customWidth="1"/>
    <col min="6903" max="6903" width="13.5" style="1" customWidth="1"/>
    <col min="6904" max="7150" width="8.875" style="1"/>
    <col min="7151" max="7151" width="5" style="1" customWidth="1"/>
    <col min="7152" max="7152" width="33.375" style="1" customWidth="1"/>
    <col min="7153" max="7153" width="6.5" style="1" customWidth="1"/>
    <col min="7154" max="7154" width="29.5" style="1" customWidth="1"/>
    <col min="7155" max="7155" width="23.625" style="1" customWidth="1"/>
    <col min="7156" max="7156" width="8" style="1" customWidth="1"/>
    <col min="7157" max="7157" width="9.125" style="1" customWidth="1"/>
    <col min="7158" max="7158" width="13.875" style="1" customWidth="1"/>
    <col min="7159" max="7159" width="13.5" style="1" customWidth="1"/>
    <col min="7160" max="7406" width="8.875" style="1"/>
    <col min="7407" max="7407" width="5" style="1" customWidth="1"/>
    <col min="7408" max="7408" width="33.375" style="1" customWidth="1"/>
    <col min="7409" max="7409" width="6.5" style="1" customWidth="1"/>
    <col min="7410" max="7410" width="29.5" style="1" customWidth="1"/>
    <col min="7411" max="7411" width="23.625" style="1" customWidth="1"/>
    <col min="7412" max="7412" width="8" style="1" customWidth="1"/>
    <col min="7413" max="7413" width="9.125" style="1" customWidth="1"/>
    <col min="7414" max="7414" width="13.875" style="1" customWidth="1"/>
    <col min="7415" max="7415" width="13.5" style="1" customWidth="1"/>
    <col min="7416" max="7662" width="8.875" style="1"/>
    <col min="7663" max="7663" width="5" style="1" customWidth="1"/>
    <col min="7664" max="7664" width="33.375" style="1" customWidth="1"/>
    <col min="7665" max="7665" width="6.5" style="1" customWidth="1"/>
    <col min="7666" max="7666" width="29.5" style="1" customWidth="1"/>
    <col min="7667" max="7667" width="23.625" style="1" customWidth="1"/>
    <col min="7668" max="7668" width="8" style="1" customWidth="1"/>
    <col min="7669" max="7669" width="9.125" style="1" customWidth="1"/>
    <col min="7670" max="7670" width="13.875" style="1" customWidth="1"/>
    <col min="7671" max="7671" width="13.5" style="1" customWidth="1"/>
    <col min="7672" max="7918" width="8.875" style="1"/>
    <col min="7919" max="7919" width="5" style="1" customWidth="1"/>
    <col min="7920" max="7920" width="33.375" style="1" customWidth="1"/>
    <col min="7921" max="7921" width="6.5" style="1" customWidth="1"/>
    <col min="7922" max="7922" width="29.5" style="1" customWidth="1"/>
    <col min="7923" max="7923" width="23.625" style="1" customWidth="1"/>
    <col min="7924" max="7924" width="8" style="1" customWidth="1"/>
    <col min="7925" max="7925" width="9.125" style="1" customWidth="1"/>
    <col min="7926" max="7926" width="13.875" style="1" customWidth="1"/>
    <col min="7927" max="7927" width="13.5" style="1" customWidth="1"/>
    <col min="7928" max="8174" width="8.875" style="1"/>
    <col min="8175" max="8175" width="5" style="1" customWidth="1"/>
    <col min="8176" max="8176" width="33.375" style="1" customWidth="1"/>
    <col min="8177" max="8177" width="6.5" style="1" customWidth="1"/>
    <col min="8178" max="8178" width="29.5" style="1" customWidth="1"/>
    <col min="8179" max="8179" width="23.625" style="1" customWidth="1"/>
    <col min="8180" max="8180" width="8" style="1" customWidth="1"/>
    <col min="8181" max="8181" width="9.125" style="1" customWidth="1"/>
    <col min="8182" max="8182" width="13.875" style="1" customWidth="1"/>
    <col min="8183" max="8183" width="13.5" style="1" customWidth="1"/>
    <col min="8184" max="8430" width="8.875" style="1"/>
    <col min="8431" max="8431" width="5" style="1" customWidth="1"/>
    <col min="8432" max="8432" width="33.375" style="1" customWidth="1"/>
    <col min="8433" max="8433" width="6.5" style="1" customWidth="1"/>
    <col min="8434" max="8434" width="29.5" style="1" customWidth="1"/>
    <col min="8435" max="8435" width="23.625" style="1" customWidth="1"/>
    <col min="8436" max="8436" width="8" style="1" customWidth="1"/>
    <col min="8437" max="8437" width="9.125" style="1" customWidth="1"/>
    <col min="8438" max="8438" width="13.875" style="1" customWidth="1"/>
    <col min="8439" max="8439" width="13.5" style="1" customWidth="1"/>
    <col min="8440" max="8686" width="8.875" style="1"/>
    <col min="8687" max="8687" width="5" style="1" customWidth="1"/>
    <col min="8688" max="8688" width="33.375" style="1" customWidth="1"/>
    <col min="8689" max="8689" width="6.5" style="1" customWidth="1"/>
    <col min="8690" max="8690" width="29.5" style="1" customWidth="1"/>
    <col min="8691" max="8691" width="23.625" style="1" customWidth="1"/>
    <col min="8692" max="8692" width="8" style="1" customWidth="1"/>
    <col min="8693" max="8693" width="9.125" style="1" customWidth="1"/>
    <col min="8694" max="8694" width="13.875" style="1" customWidth="1"/>
    <col min="8695" max="8695" width="13.5" style="1" customWidth="1"/>
    <col min="8696" max="8942" width="8.875" style="1"/>
    <col min="8943" max="8943" width="5" style="1" customWidth="1"/>
    <col min="8944" max="8944" width="33.375" style="1" customWidth="1"/>
    <col min="8945" max="8945" width="6.5" style="1" customWidth="1"/>
    <col min="8946" max="8946" width="29.5" style="1" customWidth="1"/>
    <col min="8947" max="8947" width="23.625" style="1" customWidth="1"/>
    <col min="8948" max="8948" width="8" style="1" customWidth="1"/>
    <col min="8949" max="8949" width="9.125" style="1" customWidth="1"/>
    <col min="8950" max="8950" width="13.875" style="1" customWidth="1"/>
    <col min="8951" max="8951" width="13.5" style="1" customWidth="1"/>
    <col min="8952" max="9198" width="8.875" style="1"/>
    <col min="9199" max="9199" width="5" style="1" customWidth="1"/>
    <col min="9200" max="9200" width="33.375" style="1" customWidth="1"/>
    <col min="9201" max="9201" width="6.5" style="1" customWidth="1"/>
    <col min="9202" max="9202" width="29.5" style="1" customWidth="1"/>
    <col min="9203" max="9203" width="23.625" style="1" customWidth="1"/>
    <col min="9204" max="9204" width="8" style="1" customWidth="1"/>
    <col min="9205" max="9205" width="9.125" style="1" customWidth="1"/>
    <col min="9206" max="9206" width="13.875" style="1" customWidth="1"/>
    <col min="9207" max="9207" width="13.5" style="1" customWidth="1"/>
    <col min="9208" max="9454" width="8.875" style="1"/>
    <col min="9455" max="9455" width="5" style="1" customWidth="1"/>
    <col min="9456" max="9456" width="33.375" style="1" customWidth="1"/>
    <col min="9457" max="9457" width="6.5" style="1" customWidth="1"/>
    <col min="9458" max="9458" width="29.5" style="1" customWidth="1"/>
    <col min="9459" max="9459" width="23.625" style="1" customWidth="1"/>
    <col min="9460" max="9460" width="8" style="1" customWidth="1"/>
    <col min="9461" max="9461" width="9.125" style="1" customWidth="1"/>
    <col min="9462" max="9462" width="13.875" style="1" customWidth="1"/>
    <col min="9463" max="9463" width="13.5" style="1" customWidth="1"/>
    <col min="9464" max="9710" width="8.875" style="1"/>
    <col min="9711" max="9711" width="5" style="1" customWidth="1"/>
    <col min="9712" max="9712" width="33.375" style="1" customWidth="1"/>
    <col min="9713" max="9713" width="6.5" style="1" customWidth="1"/>
    <col min="9714" max="9714" width="29.5" style="1" customWidth="1"/>
    <col min="9715" max="9715" width="23.625" style="1" customWidth="1"/>
    <col min="9716" max="9716" width="8" style="1" customWidth="1"/>
    <col min="9717" max="9717" width="9.125" style="1" customWidth="1"/>
    <col min="9718" max="9718" width="13.875" style="1" customWidth="1"/>
    <col min="9719" max="9719" width="13.5" style="1" customWidth="1"/>
    <col min="9720" max="9966" width="8.875" style="1"/>
    <col min="9967" max="9967" width="5" style="1" customWidth="1"/>
    <col min="9968" max="9968" width="33.375" style="1" customWidth="1"/>
    <col min="9969" max="9969" width="6.5" style="1" customWidth="1"/>
    <col min="9970" max="9970" width="29.5" style="1" customWidth="1"/>
    <col min="9971" max="9971" width="23.625" style="1" customWidth="1"/>
    <col min="9972" max="9972" width="8" style="1" customWidth="1"/>
    <col min="9973" max="9973" width="9.125" style="1" customWidth="1"/>
    <col min="9974" max="9974" width="13.875" style="1" customWidth="1"/>
    <col min="9975" max="9975" width="13.5" style="1" customWidth="1"/>
    <col min="9976" max="10222" width="8.875" style="1"/>
    <col min="10223" max="10223" width="5" style="1" customWidth="1"/>
    <col min="10224" max="10224" width="33.375" style="1" customWidth="1"/>
    <col min="10225" max="10225" width="6.5" style="1" customWidth="1"/>
    <col min="10226" max="10226" width="29.5" style="1" customWidth="1"/>
    <col min="10227" max="10227" width="23.625" style="1" customWidth="1"/>
    <col min="10228" max="10228" width="8" style="1" customWidth="1"/>
    <col min="10229" max="10229" width="9.125" style="1" customWidth="1"/>
    <col min="10230" max="10230" width="13.875" style="1" customWidth="1"/>
    <col min="10231" max="10231" width="13.5" style="1" customWidth="1"/>
    <col min="10232" max="10478" width="8.875" style="1"/>
    <col min="10479" max="10479" width="5" style="1" customWidth="1"/>
    <col min="10480" max="10480" width="33.375" style="1" customWidth="1"/>
    <col min="10481" max="10481" width="6.5" style="1" customWidth="1"/>
    <col min="10482" max="10482" width="29.5" style="1" customWidth="1"/>
    <col min="10483" max="10483" width="23.625" style="1" customWidth="1"/>
    <col min="10484" max="10484" width="8" style="1" customWidth="1"/>
    <col min="10485" max="10485" width="9.125" style="1" customWidth="1"/>
    <col min="10486" max="10486" width="13.875" style="1" customWidth="1"/>
    <col min="10487" max="10487" width="13.5" style="1" customWidth="1"/>
    <col min="10488" max="10734" width="8.875" style="1"/>
    <col min="10735" max="10735" width="5" style="1" customWidth="1"/>
    <col min="10736" max="10736" width="33.375" style="1" customWidth="1"/>
    <col min="10737" max="10737" width="6.5" style="1" customWidth="1"/>
    <col min="10738" max="10738" width="29.5" style="1" customWidth="1"/>
    <col min="10739" max="10739" width="23.625" style="1" customWidth="1"/>
    <col min="10740" max="10740" width="8" style="1" customWidth="1"/>
    <col min="10741" max="10741" width="9.125" style="1" customWidth="1"/>
    <col min="10742" max="10742" width="13.875" style="1" customWidth="1"/>
    <col min="10743" max="10743" width="13.5" style="1" customWidth="1"/>
    <col min="10744" max="10990" width="8.875" style="1"/>
    <col min="10991" max="10991" width="5" style="1" customWidth="1"/>
    <col min="10992" max="10992" width="33.375" style="1" customWidth="1"/>
    <col min="10993" max="10993" width="6.5" style="1" customWidth="1"/>
    <col min="10994" max="10994" width="29.5" style="1" customWidth="1"/>
    <col min="10995" max="10995" width="23.625" style="1" customWidth="1"/>
    <col min="10996" max="10996" width="8" style="1" customWidth="1"/>
    <col min="10997" max="10997" width="9.125" style="1" customWidth="1"/>
    <col min="10998" max="10998" width="13.875" style="1" customWidth="1"/>
    <col min="10999" max="10999" width="13.5" style="1" customWidth="1"/>
    <col min="11000" max="11246" width="8.875" style="1"/>
    <col min="11247" max="11247" width="5" style="1" customWidth="1"/>
    <col min="11248" max="11248" width="33.375" style="1" customWidth="1"/>
    <col min="11249" max="11249" width="6.5" style="1" customWidth="1"/>
    <col min="11250" max="11250" width="29.5" style="1" customWidth="1"/>
    <col min="11251" max="11251" width="23.625" style="1" customWidth="1"/>
    <col min="11252" max="11252" width="8" style="1" customWidth="1"/>
    <col min="11253" max="11253" width="9.125" style="1" customWidth="1"/>
    <col min="11254" max="11254" width="13.875" style="1" customWidth="1"/>
    <col min="11255" max="11255" width="13.5" style="1" customWidth="1"/>
    <col min="11256" max="11502" width="8.875" style="1"/>
    <col min="11503" max="11503" width="5" style="1" customWidth="1"/>
    <col min="11504" max="11504" width="33.375" style="1" customWidth="1"/>
    <col min="11505" max="11505" width="6.5" style="1" customWidth="1"/>
    <col min="11506" max="11506" width="29.5" style="1" customWidth="1"/>
    <col min="11507" max="11507" width="23.625" style="1" customWidth="1"/>
    <col min="11508" max="11508" width="8" style="1" customWidth="1"/>
    <col min="11509" max="11509" width="9.125" style="1" customWidth="1"/>
    <col min="11510" max="11510" width="13.875" style="1" customWidth="1"/>
    <col min="11511" max="11511" width="13.5" style="1" customWidth="1"/>
    <col min="11512" max="11758" width="8.875" style="1"/>
    <col min="11759" max="11759" width="5" style="1" customWidth="1"/>
    <col min="11760" max="11760" width="33.375" style="1" customWidth="1"/>
    <col min="11761" max="11761" width="6.5" style="1" customWidth="1"/>
    <col min="11762" max="11762" width="29.5" style="1" customWidth="1"/>
    <col min="11763" max="11763" width="23.625" style="1" customWidth="1"/>
    <col min="11764" max="11764" width="8" style="1" customWidth="1"/>
    <col min="11765" max="11765" width="9.125" style="1" customWidth="1"/>
    <col min="11766" max="11766" width="13.875" style="1" customWidth="1"/>
    <col min="11767" max="11767" width="13.5" style="1" customWidth="1"/>
    <col min="11768" max="12014" width="8.875" style="1"/>
    <col min="12015" max="12015" width="5" style="1" customWidth="1"/>
    <col min="12016" max="12016" width="33.375" style="1" customWidth="1"/>
    <col min="12017" max="12017" width="6.5" style="1" customWidth="1"/>
    <col min="12018" max="12018" width="29.5" style="1" customWidth="1"/>
    <col min="12019" max="12019" width="23.625" style="1" customWidth="1"/>
    <col min="12020" max="12020" width="8" style="1" customWidth="1"/>
    <col min="12021" max="12021" width="9.125" style="1" customWidth="1"/>
    <col min="12022" max="12022" width="13.875" style="1" customWidth="1"/>
    <col min="12023" max="12023" width="13.5" style="1" customWidth="1"/>
    <col min="12024" max="12270" width="8.875" style="1"/>
    <col min="12271" max="12271" width="5" style="1" customWidth="1"/>
    <col min="12272" max="12272" width="33.375" style="1" customWidth="1"/>
    <col min="12273" max="12273" width="6.5" style="1" customWidth="1"/>
    <col min="12274" max="12274" width="29.5" style="1" customWidth="1"/>
    <col min="12275" max="12275" width="23.625" style="1" customWidth="1"/>
    <col min="12276" max="12276" width="8" style="1" customWidth="1"/>
    <col min="12277" max="12277" width="9.125" style="1" customWidth="1"/>
    <col min="12278" max="12278" width="13.875" style="1" customWidth="1"/>
    <col min="12279" max="12279" width="13.5" style="1" customWidth="1"/>
    <col min="12280" max="12526" width="8.875" style="1"/>
    <col min="12527" max="12527" width="5" style="1" customWidth="1"/>
    <col min="12528" max="12528" width="33.375" style="1" customWidth="1"/>
    <col min="12529" max="12529" width="6.5" style="1" customWidth="1"/>
    <col min="12530" max="12530" width="29.5" style="1" customWidth="1"/>
    <col min="12531" max="12531" width="23.625" style="1" customWidth="1"/>
    <col min="12532" max="12532" width="8" style="1" customWidth="1"/>
    <col min="12533" max="12533" width="9.125" style="1" customWidth="1"/>
    <col min="12534" max="12534" width="13.875" style="1" customWidth="1"/>
    <col min="12535" max="12535" width="13.5" style="1" customWidth="1"/>
    <col min="12536" max="12782" width="8.875" style="1"/>
    <col min="12783" max="12783" width="5" style="1" customWidth="1"/>
    <col min="12784" max="12784" width="33.375" style="1" customWidth="1"/>
    <col min="12785" max="12785" width="6.5" style="1" customWidth="1"/>
    <col min="12786" max="12786" width="29.5" style="1" customWidth="1"/>
    <col min="12787" max="12787" width="23.625" style="1" customWidth="1"/>
    <col min="12788" max="12788" width="8" style="1" customWidth="1"/>
    <col min="12789" max="12789" width="9.125" style="1" customWidth="1"/>
    <col min="12790" max="12790" width="13.875" style="1" customWidth="1"/>
    <col min="12791" max="12791" width="13.5" style="1" customWidth="1"/>
    <col min="12792" max="13038" width="8.875" style="1"/>
    <col min="13039" max="13039" width="5" style="1" customWidth="1"/>
    <col min="13040" max="13040" width="33.375" style="1" customWidth="1"/>
    <col min="13041" max="13041" width="6.5" style="1" customWidth="1"/>
    <col min="13042" max="13042" width="29.5" style="1" customWidth="1"/>
    <col min="13043" max="13043" width="23.625" style="1" customWidth="1"/>
    <col min="13044" max="13044" width="8" style="1" customWidth="1"/>
    <col min="13045" max="13045" width="9.125" style="1" customWidth="1"/>
    <col min="13046" max="13046" width="13.875" style="1" customWidth="1"/>
    <col min="13047" max="13047" width="13.5" style="1" customWidth="1"/>
    <col min="13048" max="13294" width="8.875" style="1"/>
    <col min="13295" max="13295" width="5" style="1" customWidth="1"/>
    <col min="13296" max="13296" width="33.375" style="1" customWidth="1"/>
    <col min="13297" max="13297" width="6.5" style="1" customWidth="1"/>
    <col min="13298" max="13298" width="29.5" style="1" customWidth="1"/>
    <col min="13299" max="13299" width="23.625" style="1" customWidth="1"/>
    <col min="13300" max="13300" width="8" style="1" customWidth="1"/>
    <col min="13301" max="13301" width="9.125" style="1" customWidth="1"/>
    <col min="13302" max="13302" width="13.875" style="1" customWidth="1"/>
    <col min="13303" max="13303" width="13.5" style="1" customWidth="1"/>
    <col min="13304" max="13550" width="8.875" style="1"/>
    <col min="13551" max="13551" width="5" style="1" customWidth="1"/>
    <col min="13552" max="13552" width="33.375" style="1" customWidth="1"/>
    <col min="13553" max="13553" width="6.5" style="1" customWidth="1"/>
    <col min="13554" max="13554" width="29.5" style="1" customWidth="1"/>
    <col min="13555" max="13555" width="23.625" style="1" customWidth="1"/>
    <col min="13556" max="13556" width="8" style="1" customWidth="1"/>
    <col min="13557" max="13557" width="9.125" style="1" customWidth="1"/>
    <col min="13558" max="13558" width="13.875" style="1" customWidth="1"/>
    <col min="13559" max="13559" width="13.5" style="1" customWidth="1"/>
    <col min="13560" max="13806" width="8.875" style="1"/>
    <col min="13807" max="13807" width="5" style="1" customWidth="1"/>
    <col min="13808" max="13808" width="33.375" style="1" customWidth="1"/>
    <col min="13809" max="13809" width="6.5" style="1" customWidth="1"/>
    <col min="13810" max="13810" width="29.5" style="1" customWidth="1"/>
    <col min="13811" max="13811" width="23.625" style="1" customWidth="1"/>
    <col min="13812" max="13812" width="8" style="1" customWidth="1"/>
    <col min="13813" max="13813" width="9.125" style="1" customWidth="1"/>
    <col min="13814" max="13814" width="13.875" style="1" customWidth="1"/>
    <col min="13815" max="13815" width="13.5" style="1" customWidth="1"/>
    <col min="13816" max="14062" width="8.875" style="1"/>
    <col min="14063" max="14063" width="5" style="1" customWidth="1"/>
    <col min="14064" max="14064" width="33.375" style="1" customWidth="1"/>
    <col min="14065" max="14065" width="6.5" style="1" customWidth="1"/>
    <col min="14066" max="14066" width="29.5" style="1" customWidth="1"/>
    <col min="14067" max="14067" width="23.625" style="1" customWidth="1"/>
    <col min="14068" max="14068" width="8" style="1" customWidth="1"/>
    <col min="14069" max="14069" width="9.125" style="1" customWidth="1"/>
    <col min="14070" max="14070" width="13.875" style="1" customWidth="1"/>
    <col min="14071" max="14071" width="13.5" style="1" customWidth="1"/>
    <col min="14072" max="14318" width="8.875" style="1"/>
    <col min="14319" max="14319" width="5" style="1" customWidth="1"/>
    <col min="14320" max="14320" width="33.375" style="1" customWidth="1"/>
    <col min="14321" max="14321" width="6.5" style="1" customWidth="1"/>
    <col min="14322" max="14322" width="29.5" style="1" customWidth="1"/>
    <col min="14323" max="14323" width="23.625" style="1" customWidth="1"/>
    <col min="14324" max="14324" width="8" style="1" customWidth="1"/>
    <col min="14325" max="14325" width="9.125" style="1" customWidth="1"/>
    <col min="14326" max="14326" width="13.875" style="1" customWidth="1"/>
    <col min="14327" max="14327" width="13.5" style="1" customWidth="1"/>
    <col min="14328" max="14574" width="8.875" style="1"/>
    <col min="14575" max="14575" width="5" style="1" customWidth="1"/>
    <col min="14576" max="14576" width="33.375" style="1" customWidth="1"/>
    <col min="14577" max="14577" width="6.5" style="1" customWidth="1"/>
    <col min="14578" max="14578" width="29.5" style="1" customWidth="1"/>
    <col min="14579" max="14579" width="23.625" style="1" customWidth="1"/>
    <col min="14580" max="14580" width="8" style="1" customWidth="1"/>
    <col min="14581" max="14581" width="9.125" style="1" customWidth="1"/>
    <col min="14582" max="14582" width="13.875" style="1" customWidth="1"/>
    <col min="14583" max="14583" width="13.5" style="1" customWidth="1"/>
    <col min="14584" max="14830" width="8.875" style="1"/>
    <col min="14831" max="14831" width="5" style="1" customWidth="1"/>
    <col min="14832" max="14832" width="33.375" style="1" customWidth="1"/>
    <col min="14833" max="14833" width="6.5" style="1" customWidth="1"/>
    <col min="14834" max="14834" width="29.5" style="1" customWidth="1"/>
    <col min="14835" max="14835" width="23.625" style="1" customWidth="1"/>
    <col min="14836" max="14836" width="8" style="1" customWidth="1"/>
    <col min="14837" max="14837" width="9.125" style="1" customWidth="1"/>
    <col min="14838" max="14838" width="13.875" style="1" customWidth="1"/>
    <col min="14839" max="14839" width="13.5" style="1" customWidth="1"/>
    <col min="14840" max="15086" width="8.875" style="1"/>
    <col min="15087" max="15087" width="5" style="1" customWidth="1"/>
    <col min="15088" max="15088" width="33.375" style="1" customWidth="1"/>
    <col min="15089" max="15089" width="6.5" style="1" customWidth="1"/>
    <col min="15090" max="15090" width="29.5" style="1" customWidth="1"/>
    <col min="15091" max="15091" width="23.625" style="1" customWidth="1"/>
    <col min="15092" max="15092" width="8" style="1" customWidth="1"/>
    <col min="15093" max="15093" width="9.125" style="1" customWidth="1"/>
    <col min="15094" max="15094" width="13.875" style="1" customWidth="1"/>
    <col min="15095" max="15095" width="13.5" style="1" customWidth="1"/>
    <col min="15096" max="15342" width="8.875" style="1"/>
    <col min="15343" max="15343" width="5" style="1" customWidth="1"/>
    <col min="15344" max="15344" width="33.375" style="1" customWidth="1"/>
    <col min="15345" max="15345" width="6.5" style="1" customWidth="1"/>
    <col min="15346" max="15346" width="29.5" style="1" customWidth="1"/>
    <col min="15347" max="15347" width="23.625" style="1" customWidth="1"/>
    <col min="15348" max="15348" width="8" style="1" customWidth="1"/>
    <col min="15349" max="15349" width="9.125" style="1" customWidth="1"/>
    <col min="15350" max="15350" width="13.875" style="1" customWidth="1"/>
    <col min="15351" max="15351" width="13.5" style="1" customWidth="1"/>
    <col min="15352" max="15598" width="8.875" style="1"/>
    <col min="15599" max="15599" width="5" style="1" customWidth="1"/>
    <col min="15600" max="15600" width="33.375" style="1" customWidth="1"/>
    <col min="15601" max="15601" width="6.5" style="1" customWidth="1"/>
    <col min="15602" max="15602" width="29.5" style="1" customWidth="1"/>
    <col min="15603" max="15603" width="23.625" style="1" customWidth="1"/>
    <col min="15604" max="15604" width="8" style="1" customWidth="1"/>
    <col min="15605" max="15605" width="9.125" style="1" customWidth="1"/>
    <col min="15606" max="15606" width="13.875" style="1" customWidth="1"/>
    <col min="15607" max="15607" width="13.5" style="1" customWidth="1"/>
    <col min="15608" max="15854" width="8.875" style="1"/>
    <col min="15855" max="15855" width="5" style="1" customWidth="1"/>
    <col min="15856" max="15856" width="33.375" style="1" customWidth="1"/>
    <col min="15857" max="15857" width="6.5" style="1" customWidth="1"/>
    <col min="15858" max="15858" width="29.5" style="1" customWidth="1"/>
    <col min="15859" max="15859" width="23.625" style="1" customWidth="1"/>
    <col min="15860" max="15860" width="8" style="1" customWidth="1"/>
    <col min="15861" max="15861" width="9.125" style="1" customWidth="1"/>
    <col min="15862" max="15862" width="13.875" style="1" customWidth="1"/>
    <col min="15863" max="15863" width="13.5" style="1" customWidth="1"/>
    <col min="15864" max="16384" width="8.875" style="1"/>
  </cols>
  <sheetData>
    <row r="2" spans="2:18" s="375" customFormat="1">
      <c r="B2" s="374" t="s">
        <v>464</v>
      </c>
      <c r="C2" s="140" t="s">
        <v>132</v>
      </c>
    </row>
    <row r="3" spans="2:18" s="375" customFormat="1">
      <c r="B3" s="374" t="s">
        <v>465</v>
      </c>
      <c r="C3" s="209" t="s">
        <v>255</v>
      </c>
    </row>
    <row r="4" spans="2:18" s="375" customFormat="1">
      <c r="B4" s="374" t="s">
        <v>466</v>
      </c>
      <c r="C4" s="140" t="s">
        <v>133</v>
      </c>
    </row>
    <row r="5" spans="2:18">
      <c r="E5" s="2"/>
      <c r="G5" s="1"/>
      <c r="H5" s="1"/>
      <c r="M5" s="2"/>
      <c r="Q5" s="1"/>
    </row>
    <row r="6" spans="2:18" s="3" customFormat="1" ht="23.1" customHeight="1">
      <c r="B6" s="99" t="s">
        <v>61</v>
      </c>
      <c r="C6" s="376" t="s">
        <v>616</v>
      </c>
      <c r="D6" s="95"/>
      <c r="E6" s="95"/>
      <c r="F6" s="7"/>
      <c r="G6" s="7"/>
      <c r="H6" s="7"/>
      <c r="I6" s="7"/>
      <c r="J6" s="7"/>
      <c r="K6" s="7"/>
      <c r="L6" s="7"/>
      <c r="M6" s="7"/>
    </row>
    <row r="7" spans="2:18" s="3" customFormat="1" ht="3.95" customHeight="1">
      <c r="M7" s="44"/>
    </row>
    <row r="8" spans="2:18" s="3" customFormat="1" ht="20.100000000000001" customHeight="1">
      <c r="B8" s="213" t="s">
        <v>279</v>
      </c>
      <c r="C8" s="213" t="s">
        <v>575</v>
      </c>
      <c r="D8" s="212"/>
      <c r="E8" s="212" t="s">
        <v>405</v>
      </c>
      <c r="F8" s="212" t="s">
        <v>441</v>
      </c>
      <c r="G8" s="212"/>
      <c r="H8" s="212"/>
      <c r="I8" s="31"/>
    </row>
    <row r="9" spans="2:18" s="3" customFormat="1" ht="18.95" customHeight="1">
      <c r="B9" s="213" t="s">
        <v>280</v>
      </c>
      <c r="C9" s="472" t="s">
        <v>576</v>
      </c>
      <c r="D9" s="212"/>
      <c r="E9" s="212" t="s">
        <v>467</v>
      </c>
      <c r="F9" s="211" t="s">
        <v>471</v>
      </c>
      <c r="G9" s="211"/>
      <c r="H9" s="211"/>
      <c r="I9" s="31"/>
    </row>
    <row r="10" spans="2:18" s="3" customFormat="1">
      <c r="M10" s="44"/>
    </row>
    <row r="11" spans="2:18" ht="20.100000000000001" customHeight="1">
      <c r="B11" s="377" t="s">
        <v>21</v>
      </c>
      <c r="C11" s="378" t="s">
        <v>468</v>
      </c>
      <c r="D11" s="379"/>
      <c r="E11" s="380"/>
      <c r="F11" s="380"/>
      <c r="G11" s="381"/>
      <c r="H11" s="381"/>
      <c r="I11" s="380"/>
      <c r="J11" s="380"/>
      <c r="K11" s="380"/>
      <c r="L11" s="382"/>
      <c r="M11" s="382"/>
      <c r="N11" s="382"/>
      <c r="O11" s="383"/>
      <c r="P11" s="384"/>
      <c r="Q11" s="385">
        <f>Q13+Q14</f>
        <v>0</v>
      </c>
    </row>
    <row r="12" spans="2:18" s="4" customFormat="1" ht="27.95" customHeight="1">
      <c r="B12" s="386"/>
      <c r="C12" s="1081" t="s">
        <v>8</v>
      </c>
      <c r="D12" s="1082"/>
      <c r="E12" s="1082"/>
      <c r="F12" s="1082"/>
      <c r="G12" s="1082"/>
      <c r="H12" s="1082"/>
      <c r="I12" s="1083" t="s">
        <v>154</v>
      </c>
      <c r="J12" s="1083"/>
      <c r="K12" s="1083"/>
      <c r="L12" s="1083" t="s">
        <v>174</v>
      </c>
      <c r="M12" s="1083"/>
      <c r="N12" s="388" t="s">
        <v>173</v>
      </c>
      <c r="O12" s="387" t="s">
        <v>32</v>
      </c>
      <c r="P12" s="387" t="s">
        <v>2</v>
      </c>
      <c r="Q12" s="386" t="s">
        <v>20</v>
      </c>
    </row>
    <row r="13" spans="2:18" ht="21" customHeight="1">
      <c r="B13" s="86">
        <v>1</v>
      </c>
      <c r="C13" s="1084" t="s">
        <v>185</v>
      </c>
      <c r="D13" s="1084"/>
      <c r="E13" s="1084"/>
      <c r="F13" s="1084"/>
      <c r="G13" s="1084"/>
      <c r="H13" s="1084"/>
      <c r="I13" s="1085">
        <v>0.4</v>
      </c>
      <c r="J13" s="1085"/>
      <c r="K13" s="1085"/>
      <c r="L13" s="1086">
        <v>1</v>
      </c>
      <c r="M13" s="1086"/>
      <c r="N13" s="390"/>
      <c r="O13" s="390">
        <f>N13/L13</f>
        <v>0</v>
      </c>
      <c r="P13" s="390"/>
      <c r="Q13" s="391">
        <f>I13*O13</f>
        <v>0</v>
      </c>
      <c r="R13" s="69"/>
    </row>
    <row r="14" spans="2:18" ht="21" customHeight="1">
      <c r="B14" s="86">
        <v>2</v>
      </c>
      <c r="C14" s="1087" t="s">
        <v>469</v>
      </c>
      <c r="D14" s="1087"/>
      <c r="E14" s="1087"/>
      <c r="F14" s="1087"/>
      <c r="G14" s="1087"/>
      <c r="H14" s="1087"/>
      <c r="I14" s="1088">
        <v>0.6</v>
      </c>
      <c r="J14" s="1088"/>
      <c r="K14" s="1088"/>
      <c r="L14" s="1089">
        <v>1</v>
      </c>
      <c r="M14" s="1089"/>
      <c r="N14" s="392"/>
      <c r="O14" s="392">
        <f>N14/L14</f>
        <v>0</v>
      </c>
      <c r="P14" s="392"/>
      <c r="Q14" s="391">
        <f>I14*O14</f>
        <v>0</v>
      </c>
      <c r="R14" s="69"/>
    </row>
    <row r="15" spans="2:18" ht="21" customHeight="1">
      <c r="B15" s="377" t="s">
        <v>22</v>
      </c>
      <c r="C15" s="393" t="s">
        <v>54</v>
      </c>
      <c r="D15" s="379"/>
      <c r="E15" s="380"/>
      <c r="F15" s="380"/>
      <c r="G15" s="381"/>
      <c r="H15" s="381"/>
      <c r="I15" s="380"/>
      <c r="J15" s="380"/>
      <c r="K15" s="380"/>
      <c r="L15" s="1090"/>
      <c r="M15" s="1090"/>
      <c r="N15" s="1090"/>
      <c r="O15" s="383"/>
      <c r="P15" s="384"/>
      <c r="Q15" s="394">
        <f>SUM(Q17:Q21)</f>
        <v>0</v>
      </c>
      <c r="R15" s="69"/>
    </row>
    <row r="16" spans="2:18" s="4" customFormat="1" ht="29.1" customHeight="1">
      <c r="B16" s="386"/>
      <c r="C16" s="387" t="s">
        <v>31</v>
      </c>
      <c r="D16" s="387" t="s">
        <v>152</v>
      </c>
      <c r="E16" s="1083" t="s">
        <v>39</v>
      </c>
      <c r="F16" s="1091"/>
      <c r="G16" s="1083" t="s">
        <v>17</v>
      </c>
      <c r="H16" s="1091"/>
      <c r="I16" s="1083" t="s">
        <v>116</v>
      </c>
      <c r="J16" s="1083"/>
      <c r="K16" s="1083"/>
      <c r="L16" s="1083" t="s">
        <v>19</v>
      </c>
      <c r="M16" s="1083"/>
      <c r="N16" s="388" t="s">
        <v>174</v>
      </c>
      <c r="O16" s="387" t="s">
        <v>164</v>
      </c>
      <c r="P16" s="387" t="s">
        <v>32</v>
      </c>
      <c r="Q16" s="386" t="s">
        <v>20</v>
      </c>
    </row>
    <row r="17" spans="2:17" ht="54.95" customHeight="1">
      <c r="B17" s="86">
        <v>1</v>
      </c>
      <c r="C17" s="343" t="s">
        <v>588</v>
      </c>
      <c r="D17" s="469">
        <v>0.25</v>
      </c>
      <c r="E17" s="1084" t="s">
        <v>432</v>
      </c>
      <c r="F17" s="1084"/>
      <c r="G17" s="1092" t="s">
        <v>413</v>
      </c>
      <c r="H17" s="1093"/>
      <c r="I17" s="1094" t="s">
        <v>471</v>
      </c>
      <c r="J17" s="1095"/>
      <c r="K17" s="1096"/>
      <c r="L17" s="1097" t="s">
        <v>414</v>
      </c>
      <c r="M17" s="1097"/>
      <c r="N17" s="364">
        <v>4</v>
      </c>
      <c r="O17" s="364"/>
      <c r="P17" s="365" t="str">
        <f>IF(LEN(O17)=0,"",IF(O17=N17,1,0))</f>
        <v/>
      </c>
      <c r="Q17" s="358" t="str">
        <f t="shared" ref="Q17:Q21" si="0">IFERROR(P17*D17,"")</f>
        <v/>
      </c>
    </row>
    <row r="18" spans="2:17" ht="54" customHeight="1">
      <c r="B18" s="86">
        <v>2</v>
      </c>
      <c r="C18" s="343" t="s">
        <v>424</v>
      </c>
      <c r="D18" s="469">
        <v>0.2</v>
      </c>
      <c r="E18" s="1087" t="s">
        <v>504</v>
      </c>
      <c r="F18" s="1087"/>
      <c r="G18" s="1092" t="s">
        <v>413</v>
      </c>
      <c r="H18" s="1093"/>
      <c r="I18" s="1094" t="s">
        <v>529</v>
      </c>
      <c r="J18" s="1095"/>
      <c r="K18" s="1096"/>
      <c r="L18" s="1097" t="s">
        <v>414</v>
      </c>
      <c r="M18" s="1097"/>
      <c r="N18" s="364">
        <v>0</v>
      </c>
      <c r="O18" s="364"/>
      <c r="P18" s="365" t="str">
        <f>IF(LEN(O18)=0,"",IF(O18=N18,1,0))</f>
        <v/>
      </c>
      <c r="Q18" s="358" t="str">
        <f t="shared" si="0"/>
        <v/>
      </c>
    </row>
    <row r="19" spans="2:17" ht="51" customHeight="1">
      <c r="B19" s="86">
        <v>3</v>
      </c>
      <c r="C19" s="525" t="s">
        <v>462</v>
      </c>
      <c r="D19" s="530">
        <v>0.2</v>
      </c>
      <c r="E19" s="1087" t="s">
        <v>505</v>
      </c>
      <c r="F19" s="1087"/>
      <c r="G19" s="1092" t="s">
        <v>413</v>
      </c>
      <c r="H19" s="1093"/>
      <c r="I19" s="1094" t="s">
        <v>471</v>
      </c>
      <c r="J19" s="1095"/>
      <c r="K19" s="1096"/>
      <c r="L19" s="1097" t="s">
        <v>414</v>
      </c>
      <c r="M19" s="1097"/>
      <c r="N19" s="364">
        <v>0</v>
      </c>
      <c r="O19" s="364"/>
      <c r="P19" s="365" t="str">
        <f>IF(LEN(O19)=0,"",IF(O19=N19,1,0))</f>
        <v/>
      </c>
      <c r="Q19" s="358" t="str">
        <f t="shared" si="0"/>
        <v/>
      </c>
    </row>
    <row r="20" spans="2:17" ht="51" customHeight="1">
      <c r="B20" s="86">
        <v>4</v>
      </c>
      <c r="C20" s="361" t="s">
        <v>392</v>
      </c>
      <c r="D20" s="469">
        <v>0.15</v>
      </c>
      <c r="E20" s="1087" t="s">
        <v>354</v>
      </c>
      <c r="F20" s="1087"/>
      <c r="G20" s="1092" t="s">
        <v>319</v>
      </c>
      <c r="H20" s="1093"/>
      <c r="I20" s="1094" t="s">
        <v>321</v>
      </c>
      <c r="J20" s="1095"/>
      <c r="K20" s="1096"/>
      <c r="L20" s="1097" t="s">
        <v>326</v>
      </c>
      <c r="M20" s="1097"/>
      <c r="N20" s="346">
        <v>0.05</v>
      </c>
      <c r="O20" s="346"/>
      <c r="P20" s="345" t="str">
        <f>IF(LEN(O20)=0,"",IF(O20&lt;N20*80%,0,MIN(120%,O20/N20*100%)))</f>
        <v/>
      </c>
      <c r="Q20" s="358" t="str">
        <f t="shared" si="0"/>
        <v/>
      </c>
    </row>
    <row r="21" spans="2:17" ht="51" customHeight="1">
      <c r="B21" s="86">
        <v>5</v>
      </c>
      <c r="C21" s="361" t="s">
        <v>463</v>
      </c>
      <c r="D21" s="469">
        <v>0.2</v>
      </c>
      <c r="E21" s="1087" t="s">
        <v>506</v>
      </c>
      <c r="F21" s="1087"/>
      <c r="G21" s="1092" t="s">
        <v>413</v>
      </c>
      <c r="H21" s="1093"/>
      <c r="I21" s="1094" t="s">
        <v>471</v>
      </c>
      <c r="J21" s="1095"/>
      <c r="K21" s="1096"/>
      <c r="L21" s="1097" t="s">
        <v>414</v>
      </c>
      <c r="M21" s="1097"/>
      <c r="N21" s="364">
        <v>0</v>
      </c>
      <c r="O21" s="364"/>
      <c r="P21" s="365" t="str">
        <f>IF(LEN(O21)=0,"",IF(O21=N21,1,0))</f>
        <v/>
      </c>
      <c r="Q21" s="358" t="str">
        <f t="shared" si="0"/>
        <v/>
      </c>
    </row>
    <row r="22" spans="2:17" ht="20.100000000000001" customHeight="1">
      <c r="B22" s="377" t="s">
        <v>40</v>
      </c>
      <c r="C22" s="378" t="s">
        <v>186</v>
      </c>
      <c r="D22" s="379"/>
      <c r="E22" s="380"/>
      <c r="F22" s="380"/>
      <c r="G22" s="381"/>
      <c r="H22" s="381"/>
      <c r="I22" s="380"/>
      <c r="J22" s="380"/>
      <c r="K22" s="380"/>
      <c r="L22" s="1090"/>
      <c r="M22" s="1090"/>
      <c r="N22" s="1090"/>
      <c r="O22" s="383"/>
      <c r="P22" s="384"/>
      <c r="Q22" s="385" t="e">
        <f>SUM(Q25:Q29)/5</f>
        <v>#DIV/0!</v>
      </c>
    </row>
    <row r="23" spans="2:17" s="4" customFormat="1" ht="26.1" customHeight="1">
      <c r="B23" s="1098"/>
      <c r="C23" s="1081" t="s">
        <v>8</v>
      </c>
      <c r="D23" s="1081"/>
      <c r="E23" s="1081"/>
      <c r="F23" s="1081"/>
      <c r="G23" s="1081"/>
      <c r="H23" s="1081"/>
      <c r="I23" s="1100" t="s">
        <v>118</v>
      </c>
      <c r="J23" s="1100"/>
      <c r="K23" s="1100"/>
      <c r="L23" s="1100"/>
      <c r="M23" s="1100"/>
      <c r="N23" s="1100"/>
      <c r="O23" s="1101" t="s">
        <v>123</v>
      </c>
      <c r="P23" s="1100" t="s">
        <v>125</v>
      </c>
      <c r="Q23" s="1098" t="s">
        <v>102</v>
      </c>
    </row>
    <row r="24" spans="2:17" s="4" customFormat="1" ht="39" customHeight="1">
      <c r="B24" s="1098"/>
      <c r="C24" s="1099"/>
      <c r="D24" s="1099"/>
      <c r="E24" s="1099"/>
      <c r="F24" s="1099"/>
      <c r="G24" s="1099"/>
      <c r="H24" s="1099"/>
      <c r="I24" s="1104" t="s">
        <v>119</v>
      </c>
      <c r="J24" s="1104"/>
      <c r="K24" s="398" t="s">
        <v>120</v>
      </c>
      <c r="L24" s="398" t="s">
        <v>153</v>
      </c>
      <c r="M24" s="398" t="s">
        <v>121</v>
      </c>
      <c r="N24" s="398" t="s">
        <v>122</v>
      </c>
      <c r="O24" s="1102"/>
      <c r="P24" s="1103"/>
      <c r="Q24" s="1098"/>
    </row>
    <row r="25" spans="2:17" s="45" customFormat="1" ht="32.1" customHeight="1">
      <c r="B25" s="86">
        <v>1</v>
      </c>
      <c r="C25" s="1105" t="s">
        <v>62</v>
      </c>
      <c r="D25" s="1105"/>
      <c r="E25" s="1105"/>
      <c r="F25" s="1105"/>
      <c r="G25" s="1105"/>
      <c r="H25" s="1105"/>
      <c r="I25" s="1106">
        <v>1</v>
      </c>
      <c r="J25" s="1106"/>
      <c r="K25" s="400">
        <v>2</v>
      </c>
      <c r="L25" s="399">
        <v>3</v>
      </c>
      <c r="M25" s="400">
        <v>4</v>
      </c>
      <c r="N25" s="399">
        <v>5</v>
      </c>
      <c r="O25" s="401"/>
      <c r="P25" s="399"/>
      <c r="Q25" s="391" t="e">
        <f>P25/O25</f>
        <v>#DIV/0!</v>
      </c>
    </row>
    <row r="26" spans="2:17" s="45" customFormat="1" ht="32.1" customHeight="1">
      <c r="B26" s="86">
        <f>B25+1</f>
        <v>2</v>
      </c>
      <c r="C26" s="1105" t="s">
        <v>63</v>
      </c>
      <c r="D26" s="1105"/>
      <c r="E26" s="1105"/>
      <c r="F26" s="1105"/>
      <c r="G26" s="1105"/>
      <c r="H26" s="1105"/>
      <c r="I26" s="1106">
        <v>1</v>
      </c>
      <c r="J26" s="1106"/>
      <c r="K26" s="400">
        <v>2</v>
      </c>
      <c r="L26" s="399">
        <v>3</v>
      </c>
      <c r="M26" s="400">
        <v>4</v>
      </c>
      <c r="N26" s="399">
        <v>5</v>
      </c>
      <c r="O26" s="401"/>
      <c r="P26" s="399"/>
      <c r="Q26" s="391" t="e">
        <f>P26/O26</f>
        <v>#DIV/0!</v>
      </c>
    </row>
    <row r="27" spans="2:17" s="45" customFormat="1" ht="32.1" customHeight="1">
      <c r="B27" s="86">
        <v>3</v>
      </c>
      <c r="C27" s="1105" t="s">
        <v>64</v>
      </c>
      <c r="D27" s="1105"/>
      <c r="E27" s="1105"/>
      <c r="F27" s="1105"/>
      <c r="G27" s="1105"/>
      <c r="H27" s="1105"/>
      <c r="I27" s="1106">
        <v>1</v>
      </c>
      <c r="J27" s="1106"/>
      <c r="K27" s="400">
        <v>2</v>
      </c>
      <c r="L27" s="399">
        <v>3</v>
      </c>
      <c r="M27" s="400">
        <v>4</v>
      </c>
      <c r="N27" s="399">
        <v>5</v>
      </c>
      <c r="O27" s="401"/>
      <c r="P27" s="399"/>
      <c r="Q27" s="391" t="e">
        <f>P27/O27</f>
        <v>#DIV/0!</v>
      </c>
    </row>
    <row r="28" spans="2:17" s="45" customFormat="1" ht="32.1" customHeight="1">
      <c r="B28" s="86">
        <f>B27+1</f>
        <v>4</v>
      </c>
      <c r="C28" s="1105" t="s">
        <v>65</v>
      </c>
      <c r="D28" s="1105"/>
      <c r="E28" s="1105"/>
      <c r="F28" s="1105"/>
      <c r="G28" s="1105"/>
      <c r="H28" s="1105"/>
      <c r="I28" s="1106">
        <v>1</v>
      </c>
      <c r="J28" s="1106"/>
      <c r="K28" s="400">
        <v>2</v>
      </c>
      <c r="L28" s="399">
        <v>3</v>
      </c>
      <c r="M28" s="400">
        <v>4</v>
      </c>
      <c r="N28" s="399">
        <v>5</v>
      </c>
      <c r="O28" s="401"/>
      <c r="P28" s="399"/>
      <c r="Q28" s="391" t="e">
        <f>P28/O28</f>
        <v>#DIV/0!</v>
      </c>
    </row>
    <row r="29" spans="2:17" s="45" customFormat="1" ht="32.1" customHeight="1">
      <c r="B29" s="86">
        <v>5</v>
      </c>
      <c r="C29" s="1107" t="s">
        <v>66</v>
      </c>
      <c r="D29" s="1107"/>
      <c r="E29" s="1107"/>
      <c r="F29" s="1107"/>
      <c r="G29" s="1107"/>
      <c r="H29" s="1107"/>
      <c r="I29" s="1108">
        <v>1</v>
      </c>
      <c r="J29" s="1108"/>
      <c r="K29" s="403">
        <v>2</v>
      </c>
      <c r="L29" s="402">
        <v>3</v>
      </c>
      <c r="M29" s="403">
        <v>4</v>
      </c>
      <c r="N29" s="402">
        <v>5</v>
      </c>
      <c r="O29" s="404"/>
      <c r="P29" s="402"/>
      <c r="Q29" s="391" t="e">
        <f>P29/O29</f>
        <v>#DIV/0!</v>
      </c>
    </row>
    <row r="30" spans="2:17" ht="20.100000000000001" customHeight="1">
      <c r="B30" s="377" t="s">
        <v>41</v>
      </c>
      <c r="C30" s="378" t="s">
        <v>42</v>
      </c>
      <c r="D30" s="379"/>
      <c r="E30" s="380"/>
      <c r="F30" s="380"/>
      <c r="G30" s="381"/>
      <c r="H30" s="381"/>
      <c r="I30" s="380"/>
      <c r="J30" s="380"/>
      <c r="K30" s="380"/>
      <c r="L30" s="382"/>
      <c r="M30" s="382"/>
      <c r="N30" s="382"/>
      <c r="O30" s="383"/>
      <c r="P30" s="384"/>
      <c r="Q30" s="385" t="e">
        <f>SUM(N32:N34)</f>
        <v>#DIV/0!</v>
      </c>
    </row>
    <row r="31" spans="2:17" s="4" customFormat="1" ht="18.95" customHeight="1">
      <c r="B31" s="386"/>
      <c r="C31" s="1082" t="s">
        <v>8</v>
      </c>
      <c r="D31" s="1082"/>
      <c r="E31" s="1082"/>
      <c r="F31" s="1082"/>
      <c r="G31" s="1082"/>
      <c r="H31" s="1082"/>
      <c r="I31" s="1083" t="s">
        <v>43</v>
      </c>
      <c r="J31" s="1083"/>
      <c r="K31" s="1083"/>
      <c r="L31" s="1083" t="s">
        <v>154</v>
      </c>
      <c r="M31" s="1083"/>
      <c r="N31" s="387" t="s">
        <v>67</v>
      </c>
      <c r="O31" s="1083" t="s">
        <v>44</v>
      </c>
      <c r="P31" s="1083"/>
      <c r="Q31" s="1098"/>
    </row>
    <row r="32" spans="2:17" s="45" customFormat="1" ht="21" customHeight="1">
      <c r="B32" s="86">
        <v>1</v>
      </c>
      <c r="C32" s="1109" t="s">
        <v>470</v>
      </c>
      <c r="D32" s="1109"/>
      <c r="E32" s="1109"/>
      <c r="F32" s="1109"/>
      <c r="G32" s="1109"/>
      <c r="H32" s="1109"/>
      <c r="I32" s="1085">
        <f>Q11</f>
        <v>0</v>
      </c>
      <c r="J32" s="1085"/>
      <c r="K32" s="1085"/>
      <c r="L32" s="1110">
        <v>0.2</v>
      </c>
      <c r="M32" s="1110"/>
      <c r="N32" s="390">
        <f>I32*L32</f>
        <v>0</v>
      </c>
      <c r="O32" s="1111" t="e">
        <f>IF(Q30=0,"",IF(Q30&gt;100%,"XUẤT SẮC",IF(Q30&gt;=90%,"TỐT",IF(Q30&gt;=80%,"HOÀN THÀNH","KHÔNG HOÀN THÀNH"))))</f>
        <v>#DIV/0!</v>
      </c>
      <c r="P32" s="1112"/>
      <c r="Q32" s="1112"/>
    </row>
    <row r="33" spans="2:17" s="45" customFormat="1" ht="21" customHeight="1">
      <c r="B33" s="86">
        <f>B32+1</f>
        <v>2</v>
      </c>
      <c r="C33" s="1109" t="s">
        <v>155</v>
      </c>
      <c r="D33" s="1109"/>
      <c r="E33" s="1109"/>
      <c r="F33" s="1109"/>
      <c r="G33" s="1109"/>
      <c r="H33" s="1109"/>
      <c r="I33" s="1085">
        <f>Q15</f>
        <v>0</v>
      </c>
      <c r="J33" s="1085"/>
      <c r="K33" s="1085"/>
      <c r="L33" s="1110">
        <v>0.7</v>
      </c>
      <c r="M33" s="1110"/>
      <c r="N33" s="390">
        <f>I33*L33</f>
        <v>0</v>
      </c>
      <c r="O33" s="1112"/>
      <c r="P33" s="1112"/>
      <c r="Q33" s="1112"/>
    </row>
    <row r="34" spans="2:17" s="45" customFormat="1" ht="21" customHeight="1">
      <c r="B34" s="86">
        <f>B33+1</f>
        <v>3</v>
      </c>
      <c r="C34" s="1114" t="s">
        <v>187</v>
      </c>
      <c r="D34" s="1114"/>
      <c r="E34" s="1114"/>
      <c r="F34" s="1114"/>
      <c r="G34" s="1114"/>
      <c r="H34" s="1114"/>
      <c r="I34" s="1088" t="e">
        <f>Q22</f>
        <v>#DIV/0!</v>
      </c>
      <c r="J34" s="1088"/>
      <c r="K34" s="1088"/>
      <c r="L34" s="1115">
        <v>0.1</v>
      </c>
      <c r="M34" s="1115"/>
      <c r="N34" s="392" t="e">
        <f>I34*L34</f>
        <v>#DIV/0!</v>
      </c>
      <c r="O34" s="1113"/>
      <c r="P34" s="1113"/>
      <c r="Q34" s="1113"/>
    </row>
    <row r="35" spans="2:17" ht="18.95" customHeight="1">
      <c r="B35" s="377" t="s">
        <v>45</v>
      </c>
      <c r="C35" s="393" t="s">
        <v>46</v>
      </c>
      <c r="D35" s="380"/>
      <c r="E35" s="380"/>
      <c r="F35" s="380"/>
      <c r="G35" s="381"/>
      <c r="H35" s="381"/>
      <c r="I35" s="380"/>
      <c r="J35" s="380"/>
      <c r="K35" s="380"/>
      <c r="L35" s="380"/>
      <c r="M35" s="380"/>
      <c r="N35" s="380"/>
      <c r="O35" s="380"/>
      <c r="P35" s="380"/>
      <c r="Q35" s="405"/>
    </row>
    <row r="36" spans="2:17" ht="57.95" customHeight="1">
      <c r="B36" s="406">
        <v>1</v>
      </c>
      <c r="C36" s="1116" t="s">
        <v>47</v>
      </c>
      <c r="D36" s="1116"/>
      <c r="E36" s="1116"/>
      <c r="F36" s="1116"/>
      <c r="G36" s="1116"/>
      <c r="H36" s="1116"/>
      <c r="I36" s="1117" t="s">
        <v>48</v>
      </c>
      <c r="J36" s="1117"/>
      <c r="K36" s="1117"/>
      <c r="L36" s="1117"/>
      <c r="M36" s="1117"/>
      <c r="N36" s="1118" t="s">
        <v>49</v>
      </c>
      <c r="O36" s="1118"/>
      <c r="P36" s="1118" t="s">
        <v>50</v>
      </c>
      <c r="Q36" s="1118"/>
    </row>
    <row r="37" spans="2:17" ht="105" customHeight="1">
      <c r="B37" s="406">
        <v>2</v>
      </c>
      <c r="C37" s="1119" t="s">
        <v>51</v>
      </c>
      <c r="D37" s="1119"/>
      <c r="E37" s="1119"/>
      <c r="F37" s="1119"/>
      <c r="G37" s="1119"/>
      <c r="H37" s="1119"/>
      <c r="I37" s="1120" t="s">
        <v>52</v>
      </c>
      <c r="J37" s="1093"/>
      <c r="K37" s="1093"/>
      <c r="L37" s="1093"/>
      <c r="M37" s="1093"/>
      <c r="N37" s="1093"/>
      <c r="O37" s="1093"/>
      <c r="P37" s="1093"/>
      <c r="Q37" s="1093"/>
    </row>
    <row r="38" spans="2:17">
      <c r="B38" s="5"/>
      <c r="C38" s="5"/>
      <c r="D38" s="5"/>
      <c r="E38" s="5"/>
      <c r="F38" s="5"/>
      <c r="G38" s="6"/>
      <c r="H38" s="6"/>
      <c r="I38" s="5"/>
      <c r="J38" s="5"/>
      <c r="K38" s="5"/>
      <c r="L38" s="5"/>
      <c r="M38" s="5"/>
      <c r="N38" s="5"/>
      <c r="O38" s="5"/>
      <c r="P38" s="5"/>
      <c r="Q38" s="6"/>
    </row>
    <row r="39" spans="2:17" ht="12.95" customHeight="1">
      <c r="B39" s="37"/>
      <c r="C39" s="47"/>
      <c r="D39" s="38"/>
      <c r="E39" s="38"/>
      <c r="F39" s="38"/>
      <c r="G39" s="37"/>
      <c r="H39" s="37"/>
      <c r="I39" s="38"/>
      <c r="J39" s="38"/>
      <c r="K39" s="38"/>
      <c r="L39" s="38"/>
      <c r="M39" s="38"/>
      <c r="N39" s="38"/>
      <c r="O39" s="38"/>
      <c r="P39" s="38"/>
      <c r="Q39" s="37"/>
    </row>
    <row r="40" spans="2:17" s="51" customFormat="1" ht="32.1" customHeight="1">
      <c r="B40" s="1079" t="s">
        <v>539</v>
      </c>
      <c r="C40" s="975"/>
      <c r="D40" s="1079" t="s">
        <v>537</v>
      </c>
      <c r="E40" s="975"/>
      <c r="F40" s="975"/>
      <c r="G40" s="975"/>
      <c r="H40" s="975"/>
      <c r="I40" s="471"/>
      <c r="J40" s="1079" t="s">
        <v>540</v>
      </c>
      <c r="K40" s="1079"/>
      <c r="L40" s="1079"/>
      <c r="M40" s="1079"/>
      <c r="N40" s="1079"/>
      <c r="O40" s="1079"/>
      <c r="P40" s="1079"/>
      <c r="Q40" s="1079"/>
    </row>
    <row r="41" spans="2:17">
      <c r="B41" s="6"/>
      <c r="C41" s="5"/>
      <c r="D41" s="5"/>
      <c r="E41" s="5"/>
      <c r="F41" s="5"/>
      <c r="G41" s="6"/>
      <c r="I41" s="6"/>
      <c r="J41" s="6"/>
      <c r="K41" s="6"/>
      <c r="L41" s="5"/>
      <c r="M41" s="5"/>
      <c r="N41" s="5"/>
      <c r="O41" s="5"/>
      <c r="P41" s="5"/>
      <c r="Q41" s="5"/>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6"/>
      <c r="C45" s="5"/>
      <c r="D45" s="5"/>
      <c r="E45" s="5"/>
      <c r="F45" s="5"/>
      <c r="G45" s="6"/>
      <c r="I45" s="5"/>
      <c r="J45" s="6"/>
      <c r="K45" s="5"/>
      <c r="L45" s="5"/>
      <c r="M45" s="5"/>
      <c r="N45" s="5"/>
      <c r="O45" s="5"/>
      <c r="P45" s="5"/>
      <c r="Q45" s="6"/>
    </row>
    <row r="46" spans="2:17">
      <c r="B46" s="6"/>
      <c r="C46" s="5"/>
      <c r="D46" s="5"/>
      <c r="E46" s="5"/>
      <c r="F46" s="5"/>
      <c r="G46" s="6"/>
      <c r="I46" s="5"/>
      <c r="J46" s="6"/>
      <c r="K46" s="5"/>
      <c r="L46" s="5"/>
      <c r="M46" s="5"/>
      <c r="N46" s="5"/>
      <c r="O46" s="5"/>
      <c r="P46" s="5"/>
      <c r="Q46" s="6"/>
    </row>
    <row r="47" spans="2:17">
      <c r="B47" s="972" t="s">
        <v>29</v>
      </c>
      <c r="C47" s="972"/>
      <c r="D47" s="972" t="s">
        <v>29</v>
      </c>
      <c r="E47" s="972"/>
      <c r="F47" s="972"/>
      <c r="G47" s="972"/>
      <c r="H47" s="972"/>
      <c r="I47" s="5"/>
      <c r="J47" s="972" t="s">
        <v>29</v>
      </c>
      <c r="K47" s="972"/>
      <c r="L47" s="972"/>
      <c r="M47" s="972"/>
      <c r="N47" s="972"/>
      <c r="O47" s="972"/>
      <c r="P47" s="972"/>
      <c r="Q47" s="972"/>
    </row>
    <row r="48" spans="2:17">
      <c r="B48" s="6"/>
      <c r="C48" s="5"/>
      <c r="D48" s="5"/>
      <c r="E48" s="5"/>
      <c r="F48" s="5"/>
      <c r="G48" s="6"/>
      <c r="I48" s="5"/>
      <c r="J48" s="6"/>
      <c r="K48" s="5"/>
      <c r="L48" s="5"/>
      <c r="M48" s="5"/>
      <c r="N48" s="5"/>
      <c r="O48" s="5"/>
      <c r="P48" s="5"/>
      <c r="Q48" s="6"/>
    </row>
    <row r="49" spans="2:17">
      <c r="B49" s="37"/>
      <c r="C49" s="47"/>
      <c r="D49" s="38"/>
      <c r="E49" s="38"/>
      <c r="F49" s="38"/>
      <c r="G49" s="37"/>
      <c r="I49" s="38"/>
      <c r="J49" s="37"/>
      <c r="K49" s="38"/>
      <c r="L49" s="38"/>
      <c r="M49" s="38"/>
      <c r="N49" s="38"/>
      <c r="O49" s="38"/>
      <c r="P49" s="38"/>
      <c r="Q49" s="37"/>
    </row>
    <row r="50" spans="2:17" ht="24" customHeight="1">
      <c r="B50" s="1080"/>
      <c r="C50" s="972"/>
      <c r="D50" s="1080"/>
      <c r="E50" s="972"/>
      <c r="F50" s="972"/>
      <c r="G50" s="972"/>
      <c r="H50" s="972"/>
      <c r="I50" s="245"/>
      <c r="J50" s="972"/>
      <c r="K50" s="972"/>
      <c r="L50" s="972"/>
      <c r="M50" s="972"/>
      <c r="N50" s="245"/>
      <c r="O50" s="1080"/>
      <c r="P50" s="972"/>
      <c r="Q50" s="972"/>
    </row>
    <row r="51" spans="2:17">
      <c r="B51" s="6"/>
      <c r="C51" s="5"/>
      <c r="D51" s="5"/>
      <c r="E51" s="5"/>
      <c r="F51" s="5"/>
      <c r="G51" s="6"/>
      <c r="I51" s="6"/>
      <c r="J51" s="6"/>
      <c r="K51" s="6"/>
      <c r="L51" s="5"/>
      <c r="M51" s="5"/>
      <c r="N51" s="5"/>
      <c r="O51" s="5"/>
      <c r="P51" s="5"/>
      <c r="Q51" s="5"/>
    </row>
    <row r="52" spans="2:17">
      <c r="B52" s="6"/>
      <c r="C52" s="5"/>
      <c r="D52" s="5"/>
      <c r="E52" s="5"/>
      <c r="F52" s="5"/>
      <c r="G52" s="6"/>
      <c r="I52" s="5"/>
      <c r="J52" s="6"/>
      <c r="K52" s="5"/>
      <c r="L52" s="5"/>
      <c r="M52" s="5"/>
      <c r="N52" s="5"/>
      <c r="O52" s="5"/>
      <c r="P52" s="5"/>
      <c r="Q52" s="6"/>
    </row>
    <row r="53" spans="2:17">
      <c r="B53" s="6"/>
      <c r="C53" s="5"/>
      <c r="D53" s="5"/>
      <c r="E53" s="5"/>
      <c r="F53" s="5"/>
      <c r="G53" s="6"/>
      <c r="I53" s="5"/>
      <c r="J53" s="6"/>
      <c r="K53" s="5"/>
      <c r="L53" s="5"/>
      <c r="M53" s="5"/>
      <c r="N53" s="5"/>
      <c r="O53" s="5"/>
      <c r="P53" s="5"/>
      <c r="Q53" s="6"/>
    </row>
    <row r="54" spans="2:17">
      <c r="B54" s="6"/>
      <c r="C54" s="5"/>
      <c r="D54" s="5"/>
      <c r="E54" s="5"/>
      <c r="F54" s="5"/>
      <c r="G54" s="6"/>
      <c r="I54" s="5"/>
      <c r="J54" s="6"/>
      <c r="K54" s="5"/>
      <c r="L54" s="5"/>
      <c r="M54" s="5"/>
      <c r="N54" s="5"/>
      <c r="O54" s="5"/>
      <c r="P54" s="5"/>
      <c r="Q54" s="6"/>
    </row>
    <row r="55" spans="2:17">
      <c r="B55" s="6"/>
      <c r="C55" s="5"/>
      <c r="D55" s="5"/>
      <c r="E55" s="5"/>
      <c r="F55" s="5"/>
      <c r="G55" s="6"/>
      <c r="I55" s="5"/>
      <c r="J55" s="6"/>
      <c r="K55" s="5"/>
      <c r="L55" s="5"/>
      <c r="M55" s="5"/>
      <c r="N55" s="5"/>
      <c r="O55" s="5"/>
      <c r="P55" s="5"/>
      <c r="Q55" s="6"/>
    </row>
    <row r="56" spans="2:17">
      <c r="B56" s="6"/>
      <c r="C56" s="5"/>
      <c r="D56" s="5"/>
      <c r="E56" s="5"/>
      <c r="F56" s="5"/>
      <c r="G56" s="6"/>
      <c r="I56" s="5"/>
      <c r="J56" s="6"/>
      <c r="K56" s="5"/>
      <c r="L56" s="5"/>
      <c r="M56" s="5"/>
      <c r="N56" s="5"/>
      <c r="O56" s="5"/>
      <c r="P56" s="5"/>
      <c r="Q56" s="6"/>
    </row>
    <row r="57" spans="2:17">
      <c r="B57" s="972"/>
      <c r="C57" s="972"/>
      <c r="D57" s="972"/>
      <c r="E57" s="972"/>
      <c r="F57" s="972"/>
      <c r="G57" s="972"/>
      <c r="H57" s="972"/>
      <c r="I57" s="5"/>
      <c r="J57" s="972"/>
      <c r="K57" s="972"/>
      <c r="L57" s="972"/>
      <c r="M57" s="972"/>
      <c r="N57" s="5"/>
      <c r="O57" s="972"/>
      <c r="P57" s="972"/>
      <c r="Q57" s="972"/>
    </row>
    <row r="58" spans="2:17">
      <c r="B58" s="2"/>
    </row>
    <row r="59" spans="2:17">
      <c r="B59" s="2"/>
    </row>
  </sheetData>
  <mergeCells count="86">
    <mergeCell ref="C12:H12"/>
    <mergeCell ref="I12:K12"/>
    <mergeCell ref="L12:M12"/>
    <mergeCell ref="C13:H13"/>
    <mergeCell ref="I13:K13"/>
    <mergeCell ref="L13:M13"/>
    <mergeCell ref="C14:H14"/>
    <mergeCell ref="I14:K14"/>
    <mergeCell ref="L14:M14"/>
    <mergeCell ref="L15:N15"/>
    <mergeCell ref="E16:F16"/>
    <mergeCell ref="G16:H16"/>
    <mergeCell ref="I16:K16"/>
    <mergeCell ref="L16:M16"/>
    <mergeCell ref="E17:F17"/>
    <mergeCell ref="G17:H17"/>
    <mergeCell ref="I17:K17"/>
    <mergeCell ref="L17:M17"/>
    <mergeCell ref="E18:F18"/>
    <mergeCell ref="G18:H18"/>
    <mergeCell ref="I18:K18"/>
    <mergeCell ref="L18:M18"/>
    <mergeCell ref="B23:B24"/>
    <mergeCell ref="C23:H24"/>
    <mergeCell ref="I23:N23"/>
    <mergeCell ref="E19:F19"/>
    <mergeCell ref="G19:H19"/>
    <mergeCell ref="I19:K19"/>
    <mergeCell ref="L19:M19"/>
    <mergeCell ref="E20:F20"/>
    <mergeCell ref="G20:H20"/>
    <mergeCell ref="I20:K20"/>
    <mergeCell ref="L20:M20"/>
    <mergeCell ref="E21:F21"/>
    <mergeCell ref="G21:H21"/>
    <mergeCell ref="I21:K21"/>
    <mergeCell ref="L21:M21"/>
    <mergeCell ref="L22:N22"/>
    <mergeCell ref="O23:O24"/>
    <mergeCell ref="P23:P24"/>
    <mergeCell ref="Q23:Q24"/>
    <mergeCell ref="I24:J24"/>
    <mergeCell ref="C25:H25"/>
    <mergeCell ref="I25:J25"/>
    <mergeCell ref="O31:Q31"/>
    <mergeCell ref="C26:H26"/>
    <mergeCell ref="I26:J26"/>
    <mergeCell ref="C27:H27"/>
    <mergeCell ref="I27:J27"/>
    <mergeCell ref="C28:H28"/>
    <mergeCell ref="I28:J28"/>
    <mergeCell ref="C29:H29"/>
    <mergeCell ref="I29:J29"/>
    <mergeCell ref="C31:H31"/>
    <mergeCell ref="I31:K31"/>
    <mergeCell ref="L31:M31"/>
    <mergeCell ref="C32:H32"/>
    <mergeCell ref="I32:K32"/>
    <mergeCell ref="L32:M32"/>
    <mergeCell ref="O32:Q34"/>
    <mergeCell ref="C33:H33"/>
    <mergeCell ref="I33:K33"/>
    <mergeCell ref="L33:M33"/>
    <mergeCell ref="C34:H34"/>
    <mergeCell ref="I34:K34"/>
    <mergeCell ref="L34:M34"/>
    <mergeCell ref="C36:H36"/>
    <mergeCell ref="I36:M36"/>
    <mergeCell ref="N36:O36"/>
    <mergeCell ref="P36:Q36"/>
    <mergeCell ref="C37:H37"/>
    <mergeCell ref="I37:Q37"/>
    <mergeCell ref="B40:C40"/>
    <mergeCell ref="D40:H40"/>
    <mergeCell ref="J40:Q40"/>
    <mergeCell ref="B47:C47"/>
    <mergeCell ref="D47:H47"/>
    <mergeCell ref="J47:Q47"/>
    <mergeCell ref="B50:C50"/>
    <mergeCell ref="D50:H50"/>
    <mergeCell ref="J50:M50"/>
    <mergeCell ref="O50:Q50"/>
    <mergeCell ref="B57:C57"/>
    <mergeCell ref="D57:H57"/>
    <mergeCell ref="J57:M57"/>
    <mergeCell ref="O57:Q57"/>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1:N36"/>
  <sheetViews>
    <sheetView showGridLines="0" topLeftCell="A5" zoomScaleNormal="100" workbookViewId="0">
      <selection activeCell="C12" sqref="C12"/>
    </sheetView>
  </sheetViews>
  <sheetFormatPr defaultColWidth="8.875" defaultRowHeight="12.75"/>
  <cols>
    <col min="1" max="1" width="2" style="550" customWidth="1"/>
    <col min="2" max="2" width="8.375" style="550" customWidth="1"/>
    <col min="3" max="3" width="33.375" style="550" customWidth="1"/>
    <col min="4" max="4" width="8.5" style="550" customWidth="1"/>
    <col min="5" max="5" width="22" style="550" customWidth="1"/>
    <col min="6" max="6" width="24.5" style="551" customWidth="1"/>
    <col min="7" max="7" width="10.25" style="551" customWidth="1"/>
    <col min="8" max="8" width="18.375" style="550" customWidth="1"/>
    <col min="9" max="9" width="9.125" style="550" customWidth="1"/>
    <col min="10" max="10" width="7.875" style="550" customWidth="1"/>
    <col min="11" max="11" width="7.5" style="550" customWidth="1"/>
    <col min="12" max="12" width="8" style="550" customWidth="1"/>
    <col min="13" max="13" width="9.375" style="551" customWidth="1"/>
    <col min="14" max="14" width="8.875" style="550"/>
    <col min="15" max="15" width="10.125" style="550" bestFit="1" customWidth="1"/>
    <col min="16" max="221" width="8.875" style="550"/>
    <col min="222" max="222" width="5" style="550" customWidth="1"/>
    <col min="223" max="223" width="33.375" style="550" customWidth="1"/>
    <col min="224" max="224" width="6.5" style="550" customWidth="1"/>
    <col min="225" max="225" width="29.5" style="550" customWidth="1"/>
    <col min="226" max="226" width="23.625" style="550" customWidth="1"/>
    <col min="227" max="227" width="8" style="550" customWidth="1"/>
    <col min="228" max="228" width="9.125" style="550" customWidth="1"/>
    <col min="229" max="229" width="13.875" style="550" customWidth="1"/>
    <col min="230" max="230" width="13.5" style="550" customWidth="1"/>
    <col min="231" max="477" width="8.875" style="550"/>
    <col min="478" max="478" width="5" style="550" customWidth="1"/>
    <col min="479" max="479" width="33.375" style="550" customWidth="1"/>
    <col min="480" max="480" width="6.5" style="550" customWidth="1"/>
    <col min="481" max="481" width="29.5" style="550" customWidth="1"/>
    <col min="482" max="482" width="23.625" style="550" customWidth="1"/>
    <col min="483" max="483" width="8" style="550" customWidth="1"/>
    <col min="484" max="484" width="9.125" style="550" customWidth="1"/>
    <col min="485" max="485" width="13.875" style="550" customWidth="1"/>
    <col min="486" max="486" width="13.5" style="550" customWidth="1"/>
    <col min="487" max="733" width="8.875" style="550"/>
    <col min="734" max="734" width="5" style="550" customWidth="1"/>
    <col min="735" max="735" width="33.375" style="550" customWidth="1"/>
    <col min="736" max="736" width="6.5" style="550" customWidth="1"/>
    <col min="737" max="737" width="29.5" style="550" customWidth="1"/>
    <col min="738" max="738" width="23.625" style="550" customWidth="1"/>
    <col min="739" max="739" width="8" style="550" customWidth="1"/>
    <col min="740" max="740" width="9.125" style="550" customWidth="1"/>
    <col min="741" max="741" width="13.875" style="550" customWidth="1"/>
    <col min="742" max="742" width="13.5" style="550" customWidth="1"/>
    <col min="743" max="989" width="8.875" style="550"/>
    <col min="990" max="990" width="5" style="550" customWidth="1"/>
    <col min="991" max="991" width="33.375" style="550" customWidth="1"/>
    <col min="992" max="992" width="6.5" style="550" customWidth="1"/>
    <col min="993" max="993" width="29.5" style="550" customWidth="1"/>
    <col min="994" max="994" width="23.625" style="550" customWidth="1"/>
    <col min="995" max="995" width="8" style="550" customWidth="1"/>
    <col min="996" max="996" width="9.125" style="550" customWidth="1"/>
    <col min="997" max="997" width="13.875" style="550" customWidth="1"/>
    <col min="998" max="998" width="13.5" style="550" customWidth="1"/>
    <col min="999" max="1245" width="8.875" style="550"/>
    <col min="1246" max="1246" width="5" style="550" customWidth="1"/>
    <col min="1247" max="1247" width="33.375" style="550" customWidth="1"/>
    <col min="1248" max="1248" width="6.5" style="550" customWidth="1"/>
    <col min="1249" max="1249" width="29.5" style="550" customWidth="1"/>
    <col min="1250" max="1250" width="23.625" style="550" customWidth="1"/>
    <col min="1251" max="1251" width="8" style="550" customWidth="1"/>
    <col min="1252" max="1252" width="9.125" style="550" customWidth="1"/>
    <col min="1253" max="1253" width="13.875" style="550" customWidth="1"/>
    <col min="1254" max="1254" width="13.5" style="550" customWidth="1"/>
    <col min="1255" max="1501" width="8.875" style="550"/>
    <col min="1502" max="1502" width="5" style="550" customWidth="1"/>
    <col min="1503" max="1503" width="33.375" style="550" customWidth="1"/>
    <col min="1504" max="1504" width="6.5" style="550" customWidth="1"/>
    <col min="1505" max="1505" width="29.5" style="550" customWidth="1"/>
    <col min="1506" max="1506" width="23.625" style="550" customWidth="1"/>
    <col min="1507" max="1507" width="8" style="550" customWidth="1"/>
    <col min="1508" max="1508" width="9.125" style="550" customWidth="1"/>
    <col min="1509" max="1509" width="13.875" style="550" customWidth="1"/>
    <col min="1510" max="1510" width="13.5" style="550" customWidth="1"/>
    <col min="1511" max="1757" width="8.875" style="550"/>
    <col min="1758" max="1758" width="5" style="550" customWidth="1"/>
    <col min="1759" max="1759" width="33.375" style="550" customWidth="1"/>
    <col min="1760" max="1760" width="6.5" style="550" customWidth="1"/>
    <col min="1761" max="1761" width="29.5" style="550" customWidth="1"/>
    <col min="1762" max="1762" width="23.625" style="550" customWidth="1"/>
    <col min="1763" max="1763" width="8" style="550" customWidth="1"/>
    <col min="1764" max="1764" width="9.125" style="550" customWidth="1"/>
    <col min="1765" max="1765" width="13.875" style="550" customWidth="1"/>
    <col min="1766" max="1766" width="13.5" style="550" customWidth="1"/>
    <col min="1767" max="2013" width="8.875" style="550"/>
    <col min="2014" max="2014" width="5" style="550" customWidth="1"/>
    <col min="2015" max="2015" width="33.375" style="550" customWidth="1"/>
    <col min="2016" max="2016" width="6.5" style="550" customWidth="1"/>
    <col min="2017" max="2017" width="29.5" style="550" customWidth="1"/>
    <col min="2018" max="2018" width="23.625" style="550" customWidth="1"/>
    <col min="2019" max="2019" width="8" style="550" customWidth="1"/>
    <col min="2020" max="2020" width="9.125" style="550" customWidth="1"/>
    <col min="2021" max="2021" width="13.875" style="550" customWidth="1"/>
    <col min="2022" max="2022" width="13.5" style="550" customWidth="1"/>
    <col min="2023" max="2269" width="8.875" style="550"/>
    <col min="2270" max="2270" width="5" style="550" customWidth="1"/>
    <col min="2271" max="2271" width="33.375" style="550" customWidth="1"/>
    <col min="2272" max="2272" width="6.5" style="550" customWidth="1"/>
    <col min="2273" max="2273" width="29.5" style="550" customWidth="1"/>
    <col min="2274" max="2274" width="23.625" style="550" customWidth="1"/>
    <col min="2275" max="2275" width="8" style="550" customWidth="1"/>
    <col min="2276" max="2276" width="9.125" style="550" customWidth="1"/>
    <col min="2277" max="2277" width="13.875" style="550" customWidth="1"/>
    <col min="2278" max="2278" width="13.5" style="550" customWidth="1"/>
    <col min="2279" max="2525" width="8.875" style="550"/>
    <col min="2526" max="2526" width="5" style="550" customWidth="1"/>
    <col min="2527" max="2527" width="33.375" style="550" customWidth="1"/>
    <col min="2528" max="2528" width="6.5" style="550" customWidth="1"/>
    <col min="2529" max="2529" width="29.5" style="550" customWidth="1"/>
    <col min="2530" max="2530" width="23.625" style="550" customWidth="1"/>
    <col min="2531" max="2531" width="8" style="550" customWidth="1"/>
    <col min="2532" max="2532" width="9.125" style="550" customWidth="1"/>
    <col min="2533" max="2533" width="13.875" style="550" customWidth="1"/>
    <col min="2534" max="2534" width="13.5" style="550" customWidth="1"/>
    <col min="2535" max="2781" width="8.875" style="550"/>
    <col min="2782" max="2782" width="5" style="550" customWidth="1"/>
    <col min="2783" max="2783" width="33.375" style="550" customWidth="1"/>
    <col min="2784" max="2784" width="6.5" style="550" customWidth="1"/>
    <col min="2785" max="2785" width="29.5" style="550" customWidth="1"/>
    <col min="2786" max="2786" width="23.625" style="550" customWidth="1"/>
    <col min="2787" max="2787" width="8" style="550" customWidth="1"/>
    <col min="2788" max="2788" width="9.125" style="550" customWidth="1"/>
    <col min="2789" max="2789" width="13.875" style="550" customWidth="1"/>
    <col min="2790" max="2790" width="13.5" style="550" customWidth="1"/>
    <col min="2791" max="3037" width="8.875" style="550"/>
    <col min="3038" max="3038" width="5" style="550" customWidth="1"/>
    <col min="3039" max="3039" width="33.375" style="550" customWidth="1"/>
    <col min="3040" max="3040" width="6.5" style="550" customWidth="1"/>
    <col min="3041" max="3041" width="29.5" style="550" customWidth="1"/>
    <col min="3042" max="3042" width="23.625" style="550" customWidth="1"/>
    <col min="3043" max="3043" width="8" style="550" customWidth="1"/>
    <col min="3044" max="3044" width="9.125" style="550" customWidth="1"/>
    <col min="3045" max="3045" width="13.875" style="550" customWidth="1"/>
    <col min="3046" max="3046" width="13.5" style="550" customWidth="1"/>
    <col min="3047" max="3293" width="8.875" style="550"/>
    <col min="3294" max="3294" width="5" style="550" customWidth="1"/>
    <col min="3295" max="3295" width="33.375" style="550" customWidth="1"/>
    <col min="3296" max="3296" width="6.5" style="550" customWidth="1"/>
    <col min="3297" max="3297" width="29.5" style="550" customWidth="1"/>
    <col min="3298" max="3298" width="23.625" style="550" customWidth="1"/>
    <col min="3299" max="3299" width="8" style="550" customWidth="1"/>
    <col min="3300" max="3300" width="9.125" style="550" customWidth="1"/>
    <col min="3301" max="3301" width="13.875" style="550" customWidth="1"/>
    <col min="3302" max="3302" width="13.5" style="550" customWidth="1"/>
    <col min="3303" max="3549" width="8.875" style="550"/>
    <col min="3550" max="3550" width="5" style="550" customWidth="1"/>
    <col min="3551" max="3551" width="33.375" style="550" customWidth="1"/>
    <col min="3552" max="3552" width="6.5" style="550" customWidth="1"/>
    <col min="3553" max="3553" width="29.5" style="550" customWidth="1"/>
    <col min="3554" max="3554" width="23.625" style="550" customWidth="1"/>
    <col min="3555" max="3555" width="8" style="550" customWidth="1"/>
    <col min="3556" max="3556" width="9.125" style="550" customWidth="1"/>
    <col min="3557" max="3557" width="13.875" style="550" customWidth="1"/>
    <col min="3558" max="3558" width="13.5" style="550" customWidth="1"/>
    <col min="3559" max="3805" width="8.875" style="550"/>
    <col min="3806" max="3806" width="5" style="550" customWidth="1"/>
    <col min="3807" max="3807" width="33.375" style="550" customWidth="1"/>
    <col min="3808" max="3808" width="6.5" style="550" customWidth="1"/>
    <col min="3809" max="3809" width="29.5" style="550" customWidth="1"/>
    <col min="3810" max="3810" width="23.625" style="550" customWidth="1"/>
    <col min="3811" max="3811" width="8" style="550" customWidth="1"/>
    <col min="3812" max="3812" width="9.125" style="550" customWidth="1"/>
    <col min="3813" max="3813" width="13.875" style="550" customWidth="1"/>
    <col min="3814" max="3814" width="13.5" style="550" customWidth="1"/>
    <col min="3815" max="4061" width="8.875" style="550"/>
    <col min="4062" max="4062" width="5" style="550" customWidth="1"/>
    <col min="4063" max="4063" width="33.375" style="550" customWidth="1"/>
    <col min="4064" max="4064" width="6.5" style="550" customWidth="1"/>
    <col min="4065" max="4065" width="29.5" style="550" customWidth="1"/>
    <col min="4066" max="4066" width="23.625" style="550" customWidth="1"/>
    <col min="4067" max="4067" width="8" style="550" customWidth="1"/>
    <col min="4068" max="4068" width="9.125" style="550" customWidth="1"/>
    <col min="4069" max="4069" width="13.875" style="550" customWidth="1"/>
    <col min="4070" max="4070" width="13.5" style="550" customWidth="1"/>
    <col min="4071" max="4317" width="8.875" style="550"/>
    <col min="4318" max="4318" width="5" style="550" customWidth="1"/>
    <col min="4319" max="4319" width="33.375" style="550" customWidth="1"/>
    <col min="4320" max="4320" width="6.5" style="550" customWidth="1"/>
    <col min="4321" max="4321" width="29.5" style="550" customWidth="1"/>
    <col min="4322" max="4322" width="23.625" style="550" customWidth="1"/>
    <col min="4323" max="4323" width="8" style="550" customWidth="1"/>
    <col min="4324" max="4324" width="9.125" style="550" customWidth="1"/>
    <col min="4325" max="4325" width="13.875" style="550" customWidth="1"/>
    <col min="4326" max="4326" width="13.5" style="550" customWidth="1"/>
    <col min="4327" max="4573" width="8.875" style="550"/>
    <col min="4574" max="4574" width="5" style="550" customWidth="1"/>
    <col min="4575" max="4575" width="33.375" style="550" customWidth="1"/>
    <col min="4576" max="4576" width="6.5" style="550" customWidth="1"/>
    <col min="4577" max="4577" width="29.5" style="550" customWidth="1"/>
    <col min="4578" max="4578" width="23.625" style="550" customWidth="1"/>
    <col min="4579" max="4579" width="8" style="550" customWidth="1"/>
    <col min="4580" max="4580" width="9.125" style="550" customWidth="1"/>
    <col min="4581" max="4581" width="13.875" style="550" customWidth="1"/>
    <col min="4582" max="4582" width="13.5" style="550" customWidth="1"/>
    <col min="4583" max="4829" width="8.875" style="550"/>
    <col min="4830" max="4830" width="5" style="550" customWidth="1"/>
    <col min="4831" max="4831" width="33.375" style="550" customWidth="1"/>
    <col min="4832" max="4832" width="6.5" style="550" customWidth="1"/>
    <col min="4833" max="4833" width="29.5" style="550" customWidth="1"/>
    <col min="4834" max="4834" width="23.625" style="550" customWidth="1"/>
    <col min="4835" max="4835" width="8" style="550" customWidth="1"/>
    <col min="4836" max="4836" width="9.125" style="550" customWidth="1"/>
    <col min="4837" max="4837" width="13.875" style="550" customWidth="1"/>
    <col min="4838" max="4838" width="13.5" style="550" customWidth="1"/>
    <col min="4839" max="5085" width="8.875" style="550"/>
    <col min="5086" max="5086" width="5" style="550" customWidth="1"/>
    <col min="5087" max="5087" width="33.375" style="550" customWidth="1"/>
    <col min="5088" max="5088" width="6.5" style="550" customWidth="1"/>
    <col min="5089" max="5089" width="29.5" style="550" customWidth="1"/>
    <col min="5090" max="5090" width="23.625" style="550" customWidth="1"/>
    <col min="5091" max="5091" width="8" style="550" customWidth="1"/>
    <col min="5092" max="5092" width="9.125" style="550" customWidth="1"/>
    <col min="5093" max="5093" width="13.875" style="550" customWidth="1"/>
    <col min="5094" max="5094" width="13.5" style="550" customWidth="1"/>
    <col min="5095" max="5341" width="8.875" style="550"/>
    <col min="5342" max="5342" width="5" style="550" customWidth="1"/>
    <col min="5343" max="5343" width="33.375" style="550" customWidth="1"/>
    <col min="5344" max="5344" width="6.5" style="550" customWidth="1"/>
    <col min="5345" max="5345" width="29.5" style="550" customWidth="1"/>
    <col min="5346" max="5346" width="23.625" style="550" customWidth="1"/>
    <col min="5347" max="5347" width="8" style="550" customWidth="1"/>
    <col min="5348" max="5348" width="9.125" style="550" customWidth="1"/>
    <col min="5349" max="5349" width="13.875" style="550" customWidth="1"/>
    <col min="5350" max="5350" width="13.5" style="550" customWidth="1"/>
    <col min="5351" max="5597" width="8.875" style="550"/>
    <col min="5598" max="5598" width="5" style="550" customWidth="1"/>
    <col min="5599" max="5599" width="33.375" style="550" customWidth="1"/>
    <col min="5600" max="5600" width="6.5" style="550" customWidth="1"/>
    <col min="5601" max="5601" width="29.5" style="550" customWidth="1"/>
    <col min="5602" max="5602" width="23.625" style="550" customWidth="1"/>
    <col min="5603" max="5603" width="8" style="550" customWidth="1"/>
    <col min="5604" max="5604" width="9.125" style="550" customWidth="1"/>
    <col min="5605" max="5605" width="13.875" style="550" customWidth="1"/>
    <col min="5606" max="5606" width="13.5" style="550" customWidth="1"/>
    <col min="5607" max="5853" width="8.875" style="550"/>
    <col min="5854" max="5854" width="5" style="550" customWidth="1"/>
    <col min="5855" max="5855" width="33.375" style="550" customWidth="1"/>
    <col min="5856" max="5856" width="6.5" style="550" customWidth="1"/>
    <col min="5857" max="5857" width="29.5" style="550" customWidth="1"/>
    <col min="5858" max="5858" width="23.625" style="550" customWidth="1"/>
    <col min="5859" max="5859" width="8" style="550" customWidth="1"/>
    <col min="5860" max="5860" width="9.125" style="550" customWidth="1"/>
    <col min="5861" max="5861" width="13.875" style="550" customWidth="1"/>
    <col min="5862" max="5862" width="13.5" style="550" customWidth="1"/>
    <col min="5863" max="6109" width="8.875" style="550"/>
    <col min="6110" max="6110" width="5" style="550" customWidth="1"/>
    <col min="6111" max="6111" width="33.375" style="550" customWidth="1"/>
    <col min="6112" max="6112" width="6.5" style="550" customWidth="1"/>
    <col min="6113" max="6113" width="29.5" style="550" customWidth="1"/>
    <col min="6114" max="6114" width="23.625" style="550" customWidth="1"/>
    <col min="6115" max="6115" width="8" style="550" customWidth="1"/>
    <col min="6116" max="6116" width="9.125" style="550" customWidth="1"/>
    <col min="6117" max="6117" width="13.875" style="550" customWidth="1"/>
    <col min="6118" max="6118" width="13.5" style="550" customWidth="1"/>
    <col min="6119" max="6365" width="8.875" style="550"/>
    <col min="6366" max="6366" width="5" style="550" customWidth="1"/>
    <col min="6367" max="6367" width="33.375" style="550" customWidth="1"/>
    <col min="6368" max="6368" width="6.5" style="550" customWidth="1"/>
    <col min="6369" max="6369" width="29.5" style="550" customWidth="1"/>
    <col min="6370" max="6370" width="23.625" style="550" customWidth="1"/>
    <col min="6371" max="6371" width="8" style="550" customWidth="1"/>
    <col min="6372" max="6372" width="9.125" style="550" customWidth="1"/>
    <col min="6373" max="6373" width="13.875" style="550" customWidth="1"/>
    <col min="6374" max="6374" width="13.5" style="550" customWidth="1"/>
    <col min="6375" max="6621" width="8.875" style="550"/>
    <col min="6622" max="6622" width="5" style="550" customWidth="1"/>
    <col min="6623" max="6623" width="33.375" style="550" customWidth="1"/>
    <col min="6624" max="6624" width="6.5" style="550" customWidth="1"/>
    <col min="6625" max="6625" width="29.5" style="550" customWidth="1"/>
    <col min="6626" max="6626" width="23.625" style="550" customWidth="1"/>
    <col min="6627" max="6627" width="8" style="550" customWidth="1"/>
    <col min="6628" max="6628" width="9.125" style="550" customWidth="1"/>
    <col min="6629" max="6629" width="13.875" style="550" customWidth="1"/>
    <col min="6630" max="6630" width="13.5" style="550" customWidth="1"/>
    <col min="6631" max="6877" width="8.875" style="550"/>
    <col min="6878" max="6878" width="5" style="550" customWidth="1"/>
    <col min="6879" max="6879" width="33.375" style="550" customWidth="1"/>
    <col min="6880" max="6880" width="6.5" style="550" customWidth="1"/>
    <col min="6881" max="6881" width="29.5" style="550" customWidth="1"/>
    <col min="6882" max="6882" width="23.625" style="550" customWidth="1"/>
    <col min="6883" max="6883" width="8" style="550" customWidth="1"/>
    <col min="6884" max="6884" width="9.125" style="550" customWidth="1"/>
    <col min="6885" max="6885" width="13.875" style="550" customWidth="1"/>
    <col min="6886" max="6886" width="13.5" style="550" customWidth="1"/>
    <col min="6887" max="7133" width="8.875" style="550"/>
    <col min="7134" max="7134" width="5" style="550" customWidth="1"/>
    <col min="7135" max="7135" width="33.375" style="550" customWidth="1"/>
    <col min="7136" max="7136" width="6.5" style="550" customWidth="1"/>
    <col min="7137" max="7137" width="29.5" style="550" customWidth="1"/>
    <col min="7138" max="7138" width="23.625" style="550" customWidth="1"/>
    <col min="7139" max="7139" width="8" style="550" customWidth="1"/>
    <col min="7140" max="7140" width="9.125" style="550" customWidth="1"/>
    <col min="7141" max="7141" width="13.875" style="550" customWidth="1"/>
    <col min="7142" max="7142" width="13.5" style="550" customWidth="1"/>
    <col min="7143" max="7389" width="8.875" style="550"/>
    <col min="7390" max="7390" width="5" style="550" customWidth="1"/>
    <col min="7391" max="7391" width="33.375" style="550" customWidth="1"/>
    <col min="7392" max="7392" width="6.5" style="550" customWidth="1"/>
    <col min="7393" max="7393" width="29.5" style="550" customWidth="1"/>
    <col min="7394" max="7394" width="23.625" style="550" customWidth="1"/>
    <col min="7395" max="7395" width="8" style="550" customWidth="1"/>
    <col min="7396" max="7396" width="9.125" style="550" customWidth="1"/>
    <col min="7397" max="7397" width="13.875" style="550" customWidth="1"/>
    <col min="7398" max="7398" width="13.5" style="550" customWidth="1"/>
    <col min="7399" max="7645" width="8.875" style="550"/>
    <col min="7646" max="7646" width="5" style="550" customWidth="1"/>
    <col min="7647" max="7647" width="33.375" style="550" customWidth="1"/>
    <col min="7648" max="7648" width="6.5" style="550" customWidth="1"/>
    <col min="7649" max="7649" width="29.5" style="550" customWidth="1"/>
    <col min="7650" max="7650" width="23.625" style="550" customWidth="1"/>
    <col min="7651" max="7651" width="8" style="550" customWidth="1"/>
    <col min="7652" max="7652" width="9.125" style="550" customWidth="1"/>
    <col min="7653" max="7653" width="13.875" style="550" customWidth="1"/>
    <col min="7654" max="7654" width="13.5" style="550" customWidth="1"/>
    <col min="7655" max="7901" width="8.875" style="550"/>
    <col min="7902" max="7902" width="5" style="550" customWidth="1"/>
    <col min="7903" max="7903" width="33.375" style="550" customWidth="1"/>
    <col min="7904" max="7904" width="6.5" style="550" customWidth="1"/>
    <col min="7905" max="7905" width="29.5" style="550" customWidth="1"/>
    <col min="7906" max="7906" width="23.625" style="550" customWidth="1"/>
    <col min="7907" max="7907" width="8" style="550" customWidth="1"/>
    <col min="7908" max="7908" width="9.125" style="550" customWidth="1"/>
    <col min="7909" max="7909" width="13.875" style="550" customWidth="1"/>
    <col min="7910" max="7910" width="13.5" style="550" customWidth="1"/>
    <col min="7911" max="8157" width="8.875" style="550"/>
    <col min="8158" max="8158" width="5" style="550" customWidth="1"/>
    <col min="8159" max="8159" width="33.375" style="550" customWidth="1"/>
    <col min="8160" max="8160" width="6.5" style="550" customWidth="1"/>
    <col min="8161" max="8161" width="29.5" style="550" customWidth="1"/>
    <col min="8162" max="8162" width="23.625" style="550" customWidth="1"/>
    <col min="8163" max="8163" width="8" style="550" customWidth="1"/>
    <col min="8164" max="8164" width="9.125" style="550" customWidth="1"/>
    <col min="8165" max="8165" width="13.875" style="550" customWidth="1"/>
    <col min="8166" max="8166" width="13.5" style="550" customWidth="1"/>
    <col min="8167" max="8413" width="8.875" style="550"/>
    <col min="8414" max="8414" width="5" style="550" customWidth="1"/>
    <col min="8415" max="8415" width="33.375" style="550" customWidth="1"/>
    <col min="8416" max="8416" width="6.5" style="550" customWidth="1"/>
    <col min="8417" max="8417" width="29.5" style="550" customWidth="1"/>
    <col min="8418" max="8418" width="23.625" style="550" customWidth="1"/>
    <col min="8419" max="8419" width="8" style="550" customWidth="1"/>
    <col min="8420" max="8420" width="9.125" style="550" customWidth="1"/>
    <col min="8421" max="8421" width="13.875" style="550" customWidth="1"/>
    <col min="8422" max="8422" width="13.5" style="550" customWidth="1"/>
    <col min="8423" max="8669" width="8.875" style="550"/>
    <col min="8670" max="8670" width="5" style="550" customWidth="1"/>
    <col min="8671" max="8671" width="33.375" style="550" customWidth="1"/>
    <col min="8672" max="8672" width="6.5" style="550" customWidth="1"/>
    <col min="8673" max="8673" width="29.5" style="550" customWidth="1"/>
    <col min="8674" max="8674" width="23.625" style="550" customWidth="1"/>
    <col min="8675" max="8675" width="8" style="550" customWidth="1"/>
    <col min="8676" max="8676" width="9.125" style="550" customWidth="1"/>
    <col min="8677" max="8677" width="13.875" style="550" customWidth="1"/>
    <col min="8678" max="8678" width="13.5" style="550" customWidth="1"/>
    <col min="8679" max="8925" width="8.875" style="550"/>
    <col min="8926" max="8926" width="5" style="550" customWidth="1"/>
    <col min="8927" max="8927" width="33.375" style="550" customWidth="1"/>
    <col min="8928" max="8928" width="6.5" style="550" customWidth="1"/>
    <col min="8929" max="8929" width="29.5" style="550" customWidth="1"/>
    <col min="8930" max="8930" width="23.625" style="550" customWidth="1"/>
    <col min="8931" max="8931" width="8" style="550" customWidth="1"/>
    <col min="8932" max="8932" width="9.125" style="550" customWidth="1"/>
    <col min="8933" max="8933" width="13.875" style="550" customWidth="1"/>
    <col min="8934" max="8934" width="13.5" style="550" customWidth="1"/>
    <col min="8935" max="9181" width="8.875" style="550"/>
    <col min="9182" max="9182" width="5" style="550" customWidth="1"/>
    <col min="9183" max="9183" width="33.375" style="550" customWidth="1"/>
    <col min="9184" max="9184" width="6.5" style="550" customWidth="1"/>
    <col min="9185" max="9185" width="29.5" style="550" customWidth="1"/>
    <col min="9186" max="9186" width="23.625" style="550" customWidth="1"/>
    <col min="9187" max="9187" width="8" style="550" customWidth="1"/>
    <col min="9188" max="9188" width="9.125" style="550" customWidth="1"/>
    <col min="9189" max="9189" width="13.875" style="550" customWidth="1"/>
    <col min="9190" max="9190" width="13.5" style="550" customWidth="1"/>
    <col min="9191" max="9437" width="8.875" style="550"/>
    <col min="9438" max="9438" width="5" style="550" customWidth="1"/>
    <col min="9439" max="9439" width="33.375" style="550" customWidth="1"/>
    <col min="9440" max="9440" width="6.5" style="550" customWidth="1"/>
    <col min="9441" max="9441" width="29.5" style="550" customWidth="1"/>
    <col min="9442" max="9442" width="23.625" style="550" customWidth="1"/>
    <col min="9443" max="9443" width="8" style="550" customWidth="1"/>
    <col min="9444" max="9444" width="9.125" style="550" customWidth="1"/>
    <col min="9445" max="9445" width="13.875" style="550" customWidth="1"/>
    <col min="9446" max="9446" width="13.5" style="550" customWidth="1"/>
    <col min="9447" max="9693" width="8.875" style="550"/>
    <col min="9694" max="9694" width="5" style="550" customWidth="1"/>
    <col min="9695" max="9695" width="33.375" style="550" customWidth="1"/>
    <col min="9696" max="9696" width="6.5" style="550" customWidth="1"/>
    <col min="9697" max="9697" width="29.5" style="550" customWidth="1"/>
    <col min="9698" max="9698" width="23.625" style="550" customWidth="1"/>
    <col min="9699" max="9699" width="8" style="550" customWidth="1"/>
    <col min="9700" max="9700" width="9.125" style="550" customWidth="1"/>
    <col min="9701" max="9701" width="13.875" style="550" customWidth="1"/>
    <col min="9702" max="9702" width="13.5" style="550" customWidth="1"/>
    <col min="9703" max="9949" width="8.875" style="550"/>
    <col min="9950" max="9950" width="5" style="550" customWidth="1"/>
    <col min="9951" max="9951" width="33.375" style="550" customWidth="1"/>
    <col min="9952" max="9952" width="6.5" style="550" customWidth="1"/>
    <col min="9953" max="9953" width="29.5" style="550" customWidth="1"/>
    <col min="9954" max="9954" width="23.625" style="550" customWidth="1"/>
    <col min="9955" max="9955" width="8" style="550" customWidth="1"/>
    <col min="9956" max="9956" width="9.125" style="550" customWidth="1"/>
    <col min="9957" max="9957" width="13.875" style="550" customWidth="1"/>
    <col min="9958" max="9958" width="13.5" style="550" customWidth="1"/>
    <col min="9959" max="10205" width="8.875" style="550"/>
    <col min="10206" max="10206" width="5" style="550" customWidth="1"/>
    <col min="10207" max="10207" width="33.375" style="550" customWidth="1"/>
    <col min="10208" max="10208" width="6.5" style="550" customWidth="1"/>
    <col min="10209" max="10209" width="29.5" style="550" customWidth="1"/>
    <col min="10210" max="10210" width="23.625" style="550" customWidth="1"/>
    <col min="10211" max="10211" width="8" style="550" customWidth="1"/>
    <col min="10212" max="10212" width="9.125" style="550" customWidth="1"/>
    <col min="10213" max="10213" width="13.875" style="550" customWidth="1"/>
    <col min="10214" max="10214" width="13.5" style="550" customWidth="1"/>
    <col min="10215" max="10461" width="8.875" style="550"/>
    <col min="10462" max="10462" width="5" style="550" customWidth="1"/>
    <col min="10463" max="10463" width="33.375" style="550" customWidth="1"/>
    <col min="10464" max="10464" width="6.5" style="550" customWidth="1"/>
    <col min="10465" max="10465" width="29.5" style="550" customWidth="1"/>
    <col min="10466" max="10466" width="23.625" style="550" customWidth="1"/>
    <col min="10467" max="10467" width="8" style="550" customWidth="1"/>
    <col min="10468" max="10468" width="9.125" style="550" customWidth="1"/>
    <col min="10469" max="10469" width="13.875" style="550" customWidth="1"/>
    <col min="10470" max="10470" width="13.5" style="550" customWidth="1"/>
    <col min="10471" max="10717" width="8.875" style="550"/>
    <col min="10718" max="10718" width="5" style="550" customWidth="1"/>
    <col min="10719" max="10719" width="33.375" style="550" customWidth="1"/>
    <col min="10720" max="10720" width="6.5" style="550" customWidth="1"/>
    <col min="10721" max="10721" width="29.5" style="550" customWidth="1"/>
    <col min="10722" max="10722" width="23.625" style="550" customWidth="1"/>
    <col min="10723" max="10723" width="8" style="550" customWidth="1"/>
    <col min="10724" max="10724" width="9.125" style="550" customWidth="1"/>
    <col min="10725" max="10725" width="13.875" style="550" customWidth="1"/>
    <col min="10726" max="10726" width="13.5" style="550" customWidth="1"/>
    <col min="10727" max="10973" width="8.875" style="550"/>
    <col min="10974" max="10974" width="5" style="550" customWidth="1"/>
    <col min="10975" max="10975" width="33.375" style="550" customWidth="1"/>
    <col min="10976" max="10976" width="6.5" style="550" customWidth="1"/>
    <col min="10977" max="10977" width="29.5" style="550" customWidth="1"/>
    <col min="10978" max="10978" width="23.625" style="550" customWidth="1"/>
    <col min="10979" max="10979" width="8" style="550" customWidth="1"/>
    <col min="10980" max="10980" width="9.125" style="550" customWidth="1"/>
    <col min="10981" max="10981" width="13.875" style="550" customWidth="1"/>
    <col min="10982" max="10982" width="13.5" style="550" customWidth="1"/>
    <col min="10983" max="11229" width="8.875" style="550"/>
    <col min="11230" max="11230" width="5" style="550" customWidth="1"/>
    <col min="11231" max="11231" width="33.375" style="550" customWidth="1"/>
    <col min="11232" max="11232" width="6.5" style="550" customWidth="1"/>
    <col min="11233" max="11233" width="29.5" style="550" customWidth="1"/>
    <col min="11234" max="11234" width="23.625" style="550" customWidth="1"/>
    <col min="11235" max="11235" width="8" style="550" customWidth="1"/>
    <col min="11236" max="11236" width="9.125" style="550" customWidth="1"/>
    <col min="11237" max="11237" width="13.875" style="550" customWidth="1"/>
    <col min="11238" max="11238" width="13.5" style="550" customWidth="1"/>
    <col min="11239" max="11485" width="8.875" style="550"/>
    <col min="11486" max="11486" width="5" style="550" customWidth="1"/>
    <col min="11487" max="11487" width="33.375" style="550" customWidth="1"/>
    <col min="11488" max="11488" width="6.5" style="550" customWidth="1"/>
    <col min="11489" max="11489" width="29.5" style="550" customWidth="1"/>
    <col min="11490" max="11490" width="23.625" style="550" customWidth="1"/>
    <col min="11491" max="11491" width="8" style="550" customWidth="1"/>
    <col min="11492" max="11492" width="9.125" style="550" customWidth="1"/>
    <col min="11493" max="11493" width="13.875" style="550" customWidth="1"/>
    <col min="11494" max="11494" width="13.5" style="550" customWidth="1"/>
    <col min="11495" max="11741" width="8.875" style="550"/>
    <col min="11742" max="11742" width="5" style="550" customWidth="1"/>
    <col min="11743" max="11743" width="33.375" style="550" customWidth="1"/>
    <col min="11744" max="11744" width="6.5" style="550" customWidth="1"/>
    <col min="11745" max="11745" width="29.5" style="550" customWidth="1"/>
    <col min="11746" max="11746" width="23.625" style="550" customWidth="1"/>
    <col min="11747" max="11747" width="8" style="550" customWidth="1"/>
    <col min="11748" max="11748" width="9.125" style="550" customWidth="1"/>
    <col min="11749" max="11749" width="13.875" style="550" customWidth="1"/>
    <col min="11750" max="11750" width="13.5" style="550" customWidth="1"/>
    <col min="11751" max="11997" width="8.875" style="550"/>
    <col min="11998" max="11998" width="5" style="550" customWidth="1"/>
    <col min="11999" max="11999" width="33.375" style="550" customWidth="1"/>
    <col min="12000" max="12000" width="6.5" style="550" customWidth="1"/>
    <col min="12001" max="12001" width="29.5" style="550" customWidth="1"/>
    <col min="12002" max="12002" width="23.625" style="550" customWidth="1"/>
    <col min="12003" max="12003" width="8" style="550" customWidth="1"/>
    <col min="12004" max="12004" width="9.125" style="550" customWidth="1"/>
    <col min="12005" max="12005" width="13.875" style="550" customWidth="1"/>
    <col min="12006" max="12006" width="13.5" style="550" customWidth="1"/>
    <col min="12007" max="12253" width="8.875" style="550"/>
    <col min="12254" max="12254" width="5" style="550" customWidth="1"/>
    <col min="12255" max="12255" width="33.375" style="550" customWidth="1"/>
    <col min="12256" max="12256" width="6.5" style="550" customWidth="1"/>
    <col min="12257" max="12257" width="29.5" style="550" customWidth="1"/>
    <col min="12258" max="12258" width="23.625" style="550" customWidth="1"/>
    <col min="12259" max="12259" width="8" style="550" customWidth="1"/>
    <col min="12260" max="12260" width="9.125" style="550" customWidth="1"/>
    <col min="12261" max="12261" width="13.875" style="550" customWidth="1"/>
    <col min="12262" max="12262" width="13.5" style="550" customWidth="1"/>
    <col min="12263" max="12509" width="8.875" style="550"/>
    <col min="12510" max="12510" width="5" style="550" customWidth="1"/>
    <col min="12511" max="12511" width="33.375" style="550" customWidth="1"/>
    <col min="12512" max="12512" width="6.5" style="550" customWidth="1"/>
    <col min="12513" max="12513" width="29.5" style="550" customWidth="1"/>
    <col min="12514" max="12514" width="23.625" style="550" customWidth="1"/>
    <col min="12515" max="12515" width="8" style="550" customWidth="1"/>
    <col min="12516" max="12516" width="9.125" style="550" customWidth="1"/>
    <col min="12517" max="12517" width="13.875" style="550" customWidth="1"/>
    <col min="12518" max="12518" width="13.5" style="550" customWidth="1"/>
    <col min="12519" max="12765" width="8.875" style="550"/>
    <col min="12766" max="12766" width="5" style="550" customWidth="1"/>
    <col min="12767" max="12767" width="33.375" style="550" customWidth="1"/>
    <col min="12768" max="12768" width="6.5" style="550" customWidth="1"/>
    <col min="12769" max="12769" width="29.5" style="550" customWidth="1"/>
    <col min="12770" max="12770" width="23.625" style="550" customWidth="1"/>
    <col min="12771" max="12771" width="8" style="550" customWidth="1"/>
    <col min="12772" max="12772" width="9.125" style="550" customWidth="1"/>
    <col min="12773" max="12773" width="13.875" style="550" customWidth="1"/>
    <col min="12774" max="12774" width="13.5" style="550" customWidth="1"/>
    <col min="12775" max="13021" width="8.875" style="550"/>
    <col min="13022" max="13022" width="5" style="550" customWidth="1"/>
    <col min="13023" max="13023" width="33.375" style="550" customWidth="1"/>
    <col min="13024" max="13024" width="6.5" style="550" customWidth="1"/>
    <col min="13025" max="13025" width="29.5" style="550" customWidth="1"/>
    <col min="13026" max="13026" width="23.625" style="550" customWidth="1"/>
    <col min="13027" max="13027" width="8" style="550" customWidth="1"/>
    <col min="13028" max="13028" width="9.125" style="550" customWidth="1"/>
    <col min="13029" max="13029" width="13.875" style="550" customWidth="1"/>
    <col min="13030" max="13030" width="13.5" style="550" customWidth="1"/>
    <col min="13031" max="13277" width="8.875" style="550"/>
    <col min="13278" max="13278" width="5" style="550" customWidth="1"/>
    <col min="13279" max="13279" width="33.375" style="550" customWidth="1"/>
    <col min="13280" max="13280" width="6.5" style="550" customWidth="1"/>
    <col min="13281" max="13281" width="29.5" style="550" customWidth="1"/>
    <col min="13282" max="13282" width="23.625" style="550" customWidth="1"/>
    <col min="13283" max="13283" width="8" style="550" customWidth="1"/>
    <col min="13284" max="13284" width="9.125" style="550" customWidth="1"/>
    <col min="13285" max="13285" width="13.875" style="550" customWidth="1"/>
    <col min="13286" max="13286" width="13.5" style="550" customWidth="1"/>
    <col min="13287" max="13533" width="8.875" style="550"/>
    <col min="13534" max="13534" width="5" style="550" customWidth="1"/>
    <col min="13535" max="13535" width="33.375" style="550" customWidth="1"/>
    <col min="13536" max="13536" width="6.5" style="550" customWidth="1"/>
    <col min="13537" max="13537" width="29.5" style="550" customWidth="1"/>
    <col min="13538" max="13538" width="23.625" style="550" customWidth="1"/>
    <col min="13539" max="13539" width="8" style="550" customWidth="1"/>
    <col min="13540" max="13540" width="9.125" style="550" customWidth="1"/>
    <col min="13541" max="13541" width="13.875" style="550" customWidth="1"/>
    <col min="13542" max="13542" width="13.5" style="550" customWidth="1"/>
    <col min="13543" max="13789" width="8.875" style="550"/>
    <col min="13790" max="13790" width="5" style="550" customWidth="1"/>
    <col min="13791" max="13791" width="33.375" style="550" customWidth="1"/>
    <col min="13792" max="13792" width="6.5" style="550" customWidth="1"/>
    <col min="13793" max="13793" width="29.5" style="550" customWidth="1"/>
    <col min="13794" max="13794" width="23.625" style="550" customWidth="1"/>
    <col min="13795" max="13795" width="8" style="550" customWidth="1"/>
    <col min="13796" max="13796" width="9.125" style="550" customWidth="1"/>
    <col min="13797" max="13797" width="13.875" style="550" customWidth="1"/>
    <col min="13798" max="13798" width="13.5" style="550" customWidth="1"/>
    <col min="13799" max="14045" width="8.875" style="550"/>
    <col min="14046" max="14046" width="5" style="550" customWidth="1"/>
    <col min="14047" max="14047" width="33.375" style="550" customWidth="1"/>
    <col min="14048" max="14048" width="6.5" style="550" customWidth="1"/>
    <col min="14049" max="14049" width="29.5" style="550" customWidth="1"/>
    <col min="14050" max="14050" width="23.625" style="550" customWidth="1"/>
    <col min="14051" max="14051" width="8" style="550" customWidth="1"/>
    <col min="14052" max="14052" width="9.125" style="550" customWidth="1"/>
    <col min="14053" max="14053" width="13.875" style="550" customWidth="1"/>
    <col min="14054" max="14054" width="13.5" style="550" customWidth="1"/>
    <col min="14055" max="14301" width="8.875" style="550"/>
    <col min="14302" max="14302" width="5" style="550" customWidth="1"/>
    <col min="14303" max="14303" width="33.375" style="550" customWidth="1"/>
    <col min="14304" max="14304" width="6.5" style="550" customWidth="1"/>
    <col min="14305" max="14305" width="29.5" style="550" customWidth="1"/>
    <col min="14306" max="14306" width="23.625" style="550" customWidth="1"/>
    <col min="14307" max="14307" width="8" style="550" customWidth="1"/>
    <col min="14308" max="14308" width="9.125" style="550" customWidth="1"/>
    <col min="14309" max="14309" width="13.875" style="550" customWidth="1"/>
    <col min="14310" max="14310" width="13.5" style="550" customWidth="1"/>
    <col min="14311" max="14557" width="8.875" style="550"/>
    <col min="14558" max="14558" width="5" style="550" customWidth="1"/>
    <col min="14559" max="14559" width="33.375" style="550" customWidth="1"/>
    <col min="14560" max="14560" width="6.5" style="550" customWidth="1"/>
    <col min="14561" max="14561" width="29.5" style="550" customWidth="1"/>
    <col min="14562" max="14562" width="23.625" style="550" customWidth="1"/>
    <col min="14563" max="14563" width="8" style="550" customWidth="1"/>
    <col min="14564" max="14564" width="9.125" style="550" customWidth="1"/>
    <col min="14565" max="14565" width="13.875" style="550" customWidth="1"/>
    <col min="14566" max="14566" width="13.5" style="550" customWidth="1"/>
    <col min="14567" max="14813" width="8.875" style="550"/>
    <col min="14814" max="14814" width="5" style="550" customWidth="1"/>
    <col min="14815" max="14815" width="33.375" style="550" customWidth="1"/>
    <col min="14816" max="14816" width="6.5" style="550" customWidth="1"/>
    <col min="14817" max="14817" width="29.5" style="550" customWidth="1"/>
    <col min="14818" max="14818" width="23.625" style="550" customWidth="1"/>
    <col min="14819" max="14819" width="8" style="550" customWidth="1"/>
    <col min="14820" max="14820" width="9.125" style="550" customWidth="1"/>
    <col min="14821" max="14821" width="13.875" style="550" customWidth="1"/>
    <col min="14822" max="14822" width="13.5" style="550" customWidth="1"/>
    <col min="14823" max="15069" width="8.875" style="550"/>
    <col min="15070" max="15070" width="5" style="550" customWidth="1"/>
    <col min="15071" max="15071" width="33.375" style="550" customWidth="1"/>
    <col min="15072" max="15072" width="6.5" style="550" customWidth="1"/>
    <col min="15073" max="15073" width="29.5" style="550" customWidth="1"/>
    <col min="15074" max="15074" width="23.625" style="550" customWidth="1"/>
    <col min="15075" max="15075" width="8" style="550" customWidth="1"/>
    <col min="15076" max="15076" width="9.125" style="550" customWidth="1"/>
    <col min="15077" max="15077" width="13.875" style="550" customWidth="1"/>
    <col min="15078" max="15078" width="13.5" style="550" customWidth="1"/>
    <col min="15079" max="15325" width="8.875" style="550"/>
    <col min="15326" max="15326" width="5" style="550" customWidth="1"/>
    <col min="15327" max="15327" width="33.375" style="550" customWidth="1"/>
    <col min="15328" max="15328" width="6.5" style="550" customWidth="1"/>
    <col min="15329" max="15329" width="29.5" style="550" customWidth="1"/>
    <col min="15330" max="15330" width="23.625" style="550" customWidth="1"/>
    <col min="15331" max="15331" width="8" style="550" customWidth="1"/>
    <col min="15332" max="15332" width="9.125" style="550" customWidth="1"/>
    <col min="15333" max="15333" width="13.875" style="550" customWidth="1"/>
    <col min="15334" max="15334" width="13.5" style="550" customWidth="1"/>
    <col min="15335" max="15581" width="8.875" style="550"/>
    <col min="15582" max="15582" width="5" style="550" customWidth="1"/>
    <col min="15583" max="15583" width="33.375" style="550" customWidth="1"/>
    <col min="15584" max="15584" width="6.5" style="550" customWidth="1"/>
    <col min="15585" max="15585" width="29.5" style="550" customWidth="1"/>
    <col min="15586" max="15586" width="23.625" style="550" customWidth="1"/>
    <col min="15587" max="15587" width="8" style="550" customWidth="1"/>
    <col min="15588" max="15588" width="9.125" style="550" customWidth="1"/>
    <col min="15589" max="15589" width="13.875" style="550" customWidth="1"/>
    <col min="15590" max="15590" width="13.5" style="550" customWidth="1"/>
    <col min="15591" max="15837" width="8.875" style="550"/>
    <col min="15838" max="15838" width="5" style="550" customWidth="1"/>
    <col min="15839" max="15839" width="33.375" style="550" customWidth="1"/>
    <col min="15840" max="15840" width="6.5" style="550" customWidth="1"/>
    <col min="15841" max="15841" width="29.5" style="550" customWidth="1"/>
    <col min="15842" max="15842" width="23.625" style="550" customWidth="1"/>
    <col min="15843" max="15843" width="8" style="550" customWidth="1"/>
    <col min="15844" max="15844" width="9.125" style="550" customWidth="1"/>
    <col min="15845" max="15845" width="13.875" style="550" customWidth="1"/>
    <col min="15846" max="15846" width="13.5" style="550" customWidth="1"/>
    <col min="15847" max="16384" width="8.875" style="550"/>
  </cols>
  <sheetData>
    <row r="1" spans="2:14" s="560" customFormat="1" hidden="1">
      <c r="B1" s="646"/>
      <c r="C1" s="646"/>
      <c r="F1" s="646"/>
      <c r="I1" s="646"/>
      <c r="J1" s="646"/>
      <c r="K1" s="646"/>
      <c r="L1" s="646"/>
      <c r="M1" s="646"/>
    </row>
    <row r="2" spans="2:14" s="647" customFormat="1" hidden="1">
      <c r="B2" s="547" t="s">
        <v>253</v>
      </c>
      <c r="C2" s="547" t="s">
        <v>132</v>
      </c>
    </row>
    <row r="3" spans="2:14" s="647" customFormat="1" hidden="1">
      <c r="B3" s="549" t="s">
        <v>659</v>
      </c>
      <c r="C3" s="549" t="s">
        <v>255</v>
      </c>
    </row>
    <row r="4" spans="2:14" s="647" customFormat="1" hidden="1">
      <c r="B4" s="547" t="s">
        <v>256</v>
      </c>
      <c r="C4" s="547" t="s">
        <v>133</v>
      </c>
      <c r="L4" s="648"/>
    </row>
    <row r="5" spans="2:14" s="560" customFormat="1" ht="8.1" customHeight="1">
      <c r="B5" s="646"/>
      <c r="C5" s="646"/>
      <c r="F5" s="646"/>
      <c r="I5" s="646"/>
      <c r="J5" s="646"/>
      <c r="K5" s="646"/>
      <c r="L5" s="646"/>
      <c r="M5" s="646"/>
    </row>
    <row r="6" spans="2:14" s="651" customFormat="1" ht="27" customHeight="1">
      <c r="B6" s="649" t="s">
        <v>38</v>
      </c>
      <c r="C6" s="964" t="s">
        <v>598</v>
      </c>
      <c r="D6" s="965"/>
      <c r="E6" s="965"/>
      <c r="F6" s="689"/>
      <c r="G6" s="650"/>
      <c r="H6" s="650"/>
      <c r="I6" s="650"/>
      <c r="J6" s="650"/>
      <c r="K6" s="650"/>
      <c r="L6" s="650"/>
      <c r="M6" s="650"/>
    </row>
    <row r="7" spans="2:14" s="651" customFormat="1" ht="15.95" customHeight="1">
      <c r="B7" s="652"/>
      <c r="C7" s="653"/>
      <c r="D7" s="653"/>
      <c r="E7" s="653"/>
      <c r="F7" s="650"/>
      <c r="G7" s="650"/>
      <c r="H7" s="650"/>
      <c r="I7" s="650"/>
      <c r="J7" s="650"/>
      <c r="K7" s="650"/>
      <c r="L7" s="650"/>
      <c r="M7" s="650"/>
    </row>
    <row r="8" spans="2:14" s="556" customFormat="1" ht="11.1" customHeight="1">
      <c r="C8" s="651"/>
      <c r="D8" s="555"/>
      <c r="E8" s="555"/>
      <c r="F8" s="555"/>
      <c r="G8" s="555"/>
      <c r="H8" s="555"/>
      <c r="I8" s="555"/>
      <c r="J8" s="555"/>
      <c r="K8" s="555"/>
      <c r="L8" s="555"/>
      <c r="M8" s="555"/>
    </row>
    <row r="9" spans="2:14" s="575" customFormat="1" ht="33.75" customHeight="1">
      <c r="B9" s="475" t="s">
        <v>1</v>
      </c>
      <c r="C9" s="475" t="s">
        <v>31</v>
      </c>
      <c r="D9" s="475" t="s">
        <v>151</v>
      </c>
      <c r="E9" s="475" t="s">
        <v>165</v>
      </c>
      <c r="F9" s="475" t="s">
        <v>17</v>
      </c>
      <c r="G9" s="475" t="s">
        <v>36</v>
      </c>
      <c r="H9" s="475" t="s">
        <v>116</v>
      </c>
      <c r="I9" s="475" t="s">
        <v>19</v>
      </c>
      <c r="J9" s="475" t="s">
        <v>170</v>
      </c>
      <c r="K9" s="475" t="s">
        <v>164</v>
      </c>
      <c r="L9" s="475" t="s">
        <v>32</v>
      </c>
      <c r="M9" s="475" t="s">
        <v>20</v>
      </c>
    </row>
    <row r="10" spans="2:14" s="590" customFormat="1" ht="27" customHeight="1">
      <c r="B10" s="514"/>
      <c r="C10" s="514" t="s">
        <v>6</v>
      </c>
      <c r="D10" s="515">
        <v>0.4</v>
      </c>
      <c r="E10" s="516"/>
      <c r="F10" s="518"/>
      <c r="G10" s="518"/>
      <c r="H10" s="654"/>
      <c r="I10" s="518"/>
      <c r="J10" s="514"/>
      <c r="K10" s="514"/>
      <c r="L10" s="655"/>
      <c r="M10" s="656">
        <f>SUM(M11:M15)*D10</f>
        <v>0.40888888888888886</v>
      </c>
    </row>
    <row r="11" spans="2:14" ht="60.75" customHeight="1">
      <c r="B11" s="481">
        <v>1</v>
      </c>
      <c r="C11" s="665" t="s">
        <v>507</v>
      </c>
      <c r="D11" s="577">
        <v>0.2</v>
      </c>
      <c r="E11" s="793" t="s">
        <v>408</v>
      </c>
      <c r="F11" s="657" t="s">
        <v>330</v>
      </c>
      <c r="G11" s="794">
        <v>46112</v>
      </c>
      <c r="H11" s="658" t="s">
        <v>508</v>
      </c>
      <c r="I11" s="795" t="s">
        <v>326</v>
      </c>
      <c r="J11" s="619">
        <v>0.95</v>
      </c>
      <c r="K11" s="625">
        <v>1</v>
      </c>
      <c r="L11" s="620">
        <f>IF(LEN(K11)=0,"",IF(K11&gt;=J11,100%,0%))</f>
        <v>1</v>
      </c>
      <c r="M11" s="816">
        <f>IFERROR(L11*D11,"")</f>
        <v>0.2</v>
      </c>
    </row>
    <row r="12" spans="2:14" ht="60.75" customHeight="1">
      <c r="B12" s="659">
        <v>2</v>
      </c>
      <c r="C12" s="796" t="s">
        <v>579</v>
      </c>
      <c r="D12" s="580">
        <v>0.2</v>
      </c>
      <c r="E12" s="793" t="s">
        <v>412</v>
      </c>
      <c r="F12" s="657" t="s">
        <v>580</v>
      </c>
      <c r="G12" s="794">
        <v>46112</v>
      </c>
      <c r="H12" s="658" t="s">
        <v>509</v>
      </c>
      <c r="I12" s="795" t="s">
        <v>326</v>
      </c>
      <c r="J12" s="619">
        <v>0.9</v>
      </c>
      <c r="K12" s="625">
        <f>3/3</f>
        <v>1</v>
      </c>
      <c r="L12" s="620">
        <f>IF(LEN(K12)=0,"",IF(K12&lt;J12,0,MIN(120%,K12/J12*100%)))</f>
        <v>1.1111111111111112</v>
      </c>
      <c r="M12" s="817">
        <f>IFERROR(L12*D12,"")</f>
        <v>0.22222222222222224</v>
      </c>
      <c r="N12" s="691"/>
    </row>
    <row r="13" spans="2:14" ht="60.75" customHeight="1">
      <c r="B13" s="481">
        <v>3</v>
      </c>
      <c r="C13" s="665" t="s">
        <v>429</v>
      </c>
      <c r="D13" s="577">
        <v>0.2</v>
      </c>
      <c r="E13" s="668" t="s">
        <v>430</v>
      </c>
      <c r="F13" s="657" t="s">
        <v>413</v>
      </c>
      <c r="G13" s="797">
        <v>46112</v>
      </c>
      <c r="H13" s="658" t="s">
        <v>510</v>
      </c>
      <c r="I13" s="669" t="s">
        <v>414</v>
      </c>
      <c r="J13" s="626">
        <v>0</v>
      </c>
      <c r="K13" s="626">
        <v>0</v>
      </c>
      <c r="L13" s="593">
        <f>IF(LEN(K13)=0,"",IF(K13=J13,1,0))</f>
        <v>1</v>
      </c>
      <c r="M13" s="816">
        <f>IFERROR(L13*D13,"")</f>
        <v>0.2</v>
      </c>
    </row>
    <row r="14" spans="2:14" ht="60.75" customHeight="1">
      <c r="B14" s="481">
        <v>4</v>
      </c>
      <c r="C14" s="665" t="s">
        <v>418</v>
      </c>
      <c r="D14" s="577">
        <v>0.15</v>
      </c>
      <c r="E14" s="666" t="s">
        <v>431</v>
      </c>
      <c r="F14" s="657" t="s">
        <v>413</v>
      </c>
      <c r="G14" s="797">
        <v>46112</v>
      </c>
      <c r="H14" s="658" t="s">
        <v>511</v>
      </c>
      <c r="I14" s="669" t="s">
        <v>414</v>
      </c>
      <c r="J14" s="626">
        <v>0</v>
      </c>
      <c r="K14" s="626">
        <v>0</v>
      </c>
      <c r="L14" s="593">
        <f>IF(LEN(K14)=0,"",IF(K14=J14,1,0))</f>
        <v>1</v>
      </c>
      <c r="M14" s="816">
        <f>IFERROR(L14*D14,"")</f>
        <v>0.15</v>
      </c>
    </row>
    <row r="15" spans="2:14" ht="60.75" customHeight="1">
      <c r="B15" s="481">
        <v>5</v>
      </c>
      <c r="C15" s="665" t="s">
        <v>581</v>
      </c>
      <c r="D15" s="577">
        <v>0.25</v>
      </c>
      <c r="E15" s="668" t="s">
        <v>582</v>
      </c>
      <c r="F15" s="657" t="s">
        <v>342</v>
      </c>
      <c r="G15" s="797">
        <v>46112</v>
      </c>
      <c r="H15" s="658" t="s">
        <v>511</v>
      </c>
      <c r="I15" s="667" t="s">
        <v>343</v>
      </c>
      <c r="J15" s="670">
        <v>46112</v>
      </c>
      <c r="K15" s="670">
        <v>46107</v>
      </c>
      <c r="L15" s="660">
        <f>IF(LEN(K15)=0,"",IF(K15&lt;=J15,1,0))</f>
        <v>1</v>
      </c>
      <c r="M15" s="816">
        <f>IFERROR(L15*D15,"")</f>
        <v>0.25</v>
      </c>
      <c r="N15" s="629"/>
    </row>
    <row r="16" spans="2:14" s="590" customFormat="1" ht="27" customHeight="1">
      <c r="B16" s="514"/>
      <c r="C16" s="514" t="s">
        <v>5</v>
      </c>
      <c r="D16" s="515">
        <v>0.3</v>
      </c>
      <c r="E16" s="516"/>
      <c r="F16" s="518"/>
      <c r="G16" s="518"/>
      <c r="H16" s="654"/>
      <c r="I16" s="518"/>
      <c r="J16" s="514"/>
      <c r="K16" s="514"/>
      <c r="L16" s="655"/>
      <c r="M16" s="818">
        <f>SUM(M17:M18)*D16</f>
        <v>0.18</v>
      </c>
    </row>
    <row r="17" spans="2:14" ht="57.75" customHeight="1">
      <c r="B17" s="481">
        <v>1</v>
      </c>
      <c r="C17" s="665" t="s">
        <v>599</v>
      </c>
      <c r="D17" s="577">
        <v>0.5</v>
      </c>
      <c r="E17" s="798" t="s">
        <v>600</v>
      </c>
      <c r="F17" s="792" t="s">
        <v>341</v>
      </c>
      <c r="G17" s="794">
        <v>46112</v>
      </c>
      <c r="H17" s="658" t="s">
        <v>585</v>
      </c>
      <c r="I17" s="795" t="s">
        <v>326</v>
      </c>
      <c r="J17" s="623">
        <v>0.02</v>
      </c>
      <c r="K17" s="809">
        <v>3.4000000000000002E-2</v>
      </c>
      <c r="L17" s="625">
        <f>IF(LEN(K17)=0,"",MAX(0%,IF(K17&lt;J17,0,(MIN(120%,K17/J17*100%)))))</f>
        <v>1.2</v>
      </c>
      <c r="M17" s="816">
        <f>IFERROR(L17*D17,"")</f>
        <v>0.6</v>
      </c>
    </row>
    <row r="18" spans="2:14" ht="57.75" customHeight="1">
      <c r="B18" s="481">
        <v>2</v>
      </c>
      <c r="C18" s="665" t="s">
        <v>623</v>
      </c>
      <c r="D18" s="577">
        <v>0.5</v>
      </c>
      <c r="E18" s="798" t="s">
        <v>624</v>
      </c>
      <c r="F18" s="792" t="s">
        <v>664</v>
      </c>
      <c r="G18" s="794">
        <v>46112</v>
      </c>
      <c r="H18" s="658" t="s">
        <v>511</v>
      </c>
      <c r="I18" s="795" t="s">
        <v>612</v>
      </c>
      <c r="J18" s="804">
        <v>36381</v>
      </c>
      <c r="K18" s="808">
        <v>36750</v>
      </c>
      <c r="L18" s="625">
        <f>IF(LEN(K18)=0,"",IF(K18&gt;J18,0,MIN(120%,J18/K18*100%)))</f>
        <v>0</v>
      </c>
      <c r="M18" s="816">
        <f>IFERROR(L18*D18,"")</f>
        <v>0</v>
      </c>
      <c r="N18" s="813"/>
    </row>
    <row r="19" spans="2:14" s="590" customFormat="1" ht="27" customHeight="1">
      <c r="B19" s="514"/>
      <c r="C19" s="514" t="s">
        <v>7</v>
      </c>
      <c r="D19" s="515">
        <v>0.15</v>
      </c>
      <c r="E19" s="516"/>
      <c r="F19" s="518"/>
      <c r="G19" s="518"/>
      <c r="H19" s="654"/>
      <c r="I19" s="518"/>
      <c r="J19" s="514"/>
      <c r="K19" s="514"/>
      <c r="L19" s="655"/>
      <c r="M19" s="818">
        <f>SUM(M20:M23)*D19</f>
        <v>0.15</v>
      </c>
    </row>
    <row r="20" spans="2:14" ht="67.5" customHeight="1">
      <c r="B20" s="481">
        <v>1</v>
      </c>
      <c r="C20" s="734" t="s">
        <v>658</v>
      </c>
      <c r="D20" s="676">
        <v>0.3</v>
      </c>
      <c r="E20" s="798" t="s">
        <v>432</v>
      </c>
      <c r="F20" s="792" t="s">
        <v>589</v>
      </c>
      <c r="G20" s="799">
        <v>46112</v>
      </c>
      <c r="H20" s="658" t="s">
        <v>590</v>
      </c>
      <c r="I20" s="669" t="s">
        <v>414</v>
      </c>
      <c r="J20" s="626">
        <v>1</v>
      </c>
      <c r="K20" s="626">
        <v>0</v>
      </c>
      <c r="L20" s="593">
        <f>IF(LEN(K20)=0,"",IF(K20&lt;=J20,1,0))</f>
        <v>1</v>
      </c>
      <c r="M20" s="816">
        <f>IFERROR(L20*D20,"")</f>
        <v>0.3</v>
      </c>
    </row>
    <row r="21" spans="2:14" ht="67.5" customHeight="1">
      <c r="B21" s="481">
        <v>2</v>
      </c>
      <c r="C21" s="665" t="s">
        <v>391</v>
      </c>
      <c r="D21" s="676">
        <v>0.3</v>
      </c>
      <c r="E21" s="798" t="s">
        <v>340</v>
      </c>
      <c r="F21" s="792" t="s">
        <v>333</v>
      </c>
      <c r="G21" s="794">
        <v>46112</v>
      </c>
      <c r="H21" s="658" t="s">
        <v>514</v>
      </c>
      <c r="I21" s="795" t="s">
        <v>343</v>
      </c>
      <c r="J21" s="630">
        <v>5</v>
      </c>
      <c r="K21" s="630">
        <v>5</v>
      </c>
      <c r="L21" s="625">
        <f>IF(LEN(K21)=0,"",IF(K21&gt;J21,0,MIN(120%,J21/K21*100%)))</f>
        <v>1</v>
      </c>
      <c r="M21" s="816">
        <f>IFERROR(L21*D21,"")</f>
        <v>0.3</v>
      </c>
    </row>
    <row r="22" spans="2:14" ht="67.5" customHeight="1">
      <c r="B22" s="481">
        <v>3</v>
      </c>
      <c r="C22" s="812" t="s">
        <v>602</v>
      </c>
      <c r="D22" s="676">
        <v>0.2</v>
      </c>
      <c r="E22" s="798" t="s">
        <v>653</v>
      </c>
      <c r="F22" s="792" t="s">
        <v>319</v>
      </c>
      <c r="G22" s="794">
        <v>46112</v>
      </c>
      <c r="H22" s="658" t="s">
        <v>514</v>
      </c>
      <c r="I22" s="800" t="s">
        <v>326</v>
      </c>
      <c r="J22" s="625">
        <v>0.05</v>
      </c>
      <c r="K22" s="619">
        <v>0.05</v>
      </c>
      <c r="L22" s="625">
        <f>IF(LEN(K22)=0,"",IF(K22&lt;J22*80%,0,MIN(120%,K22/J22*100%)))</f>
        <v>1</v>
      </c>
      <c r="M22" s="816">
        <f>IFERROR(L22*D22,"")</f>
        <v>0.2</v>
      </c>
    </row>
    <row r="23" spans="2:14" ht="67.5" customHeight="1">
      <c r="B23" s="481">
        <v>4</v>
      </c>
      <c r="C23" s="665" t="s">
        <v>603</v>
      </c>
      <c r="D23" s="676">
        <v>0.2</v>
      </c>
      <c r="E23" s="798" t="s">
        <v>434</v>
      </c>
      <c r="F23" s="792" t="s">
        <v>592</v>
      </c>
      <c r="G23" s="794">
        <v>46112</v>
      </c>
      <c r="H23" s="658" t="s">
        <v>515</v>
      </c>
      <c r="I23" s="795" t="s">
        <v>326</v>
      </c>
      <c r="J23" s="619">
        <v>0.2</v>
      </c>
      <c r="K23" s="619">
        <v>0.2</v>
      </c>
      <c r="L23" s="625">
        <f>IF(LEN(K23)=0,"",IF(K23&lt;J23,0,MIN(120%,K23/J23*100%)))</f>
        <v>1</v>
      </c>
      <c r="M23" s="816">
        <f>IFERROR(L23*D23,"")</f>
        <v>0.2</v>
      </c>
    </row>
    <row r="24" spans="2:14" s="590" customFormat="1" ht="27" customHeight="1">
      <c r="B24" s="514"/>
      <c r="C24" s="514" t="s">
        <v>406</v>
      </c>
      <c r="D24" s="515">
        <v>0.15</v>
      </c>
      <c r="E24" s="516"/>
      <c r="F24" s="518"/>
      <c r="G24" s="518"/>
      <c r="H24" s="654"/>
      <c r="I24" s="518"/>
      <c r="J24" s="514"/>
      <c r="K24" s="514"/>
      <c r="L24" s="655"/>
      <c r="M24" s="818">
        <f>SUM(M25:M25)*D24</f>
        <v>0.15</v>
      </c>
    </row>
    <row r="25" spans="2:14" ht="57.75" customHeight="1">
      <c r="B25" s="481">
        <v>1</v>
      </c>
      <c r="C25" s="801" t="s">
        <v>642</v>
      </c>
      <c r="D25" s="735">
        <f>'A7.4.Mục tiêu Phòng 4 quý.2026'!F26</f>
        <v>1</v>
      </c>
      <c r="E25" s="798" t="s">
        <v>657</v>
      </c>
      <c r="F25" s="657" t="s">
        <v>342</v>
      </c>
      <c r="G25" s="794">
        <v>46112</v>
      </c>
      <c r="H25" s="658" t="s">
        <v>88</v>
      </c>
      <c r="I25" s="795" t="s">
        <v>343</v>
      </c>
      <c r="J25" s="599">
        <v>46112</v>
      </c>
      <c r="K25" s="599">
        <v>46101</v>
      </c>
      <c r="L25" s="600">
        <f>IF(LEN(K25)=0,"",IF(K25&lt;=J25,1,0))</f>
        <v>1</v>
      </c>
      <c r="M25" s="816">
        <f>IFERROR(L25*D25,"")</f>
        <v>1</v>
      </c>
    </row>
    <row r="26" spans="2:14" s="590" customFormat="1" ht="27" customHeight="1">
      <c r="B26" s="514" t="s">
        <v>33</v>
      </c>
      <c r="C26" s="514"/>
      <c r="D26" s="515"/>
      <c r="E26" s="516"/>
      <c r="F26" s="518"/>
      <c r="G26" s="518"/>
      <c r="H26" s="654"/>
      <c r="I26" s="518"/>
      <c r="J26" s="514"/>
      <c r="K26" s="514"/>
      <c r="L26" s="655"/>
      <c r="M26" s="819">
        <f>SUM(M10,M16,M19,M24)</f>
        <v>0.88888888888888884</v>
      </c>
    </row>
    <row r="27" spans="2:14">
      <c r="B27" s="611"/>
      <c r="C27" s="611"/>
      <c r="D27" s="611"/>
      <c r="E27" s="611"/>
      <c r="F27" s="612"/>
      <c r="G27" s="612"/>
      <c r="H27" s="611"/>
      <c r="I27" s="611"/>
      <c r="J27" s="611"/>
      <c r="K27" s="611"/>
      <c r="L27" s="611"/>
      <c r="M27" s="612"/>
    </row>
    <row r="28" spans="2:14" ht="15.95" customHeight="1">
      <c r="B28" s="611"/>
      <c r="C28" s="966" t="s">
        <v>536</v>
      </c>
      <c r="D28" s="966"/>
      <c r="E28" s="615"/>
      <c r="F28" s="966" t="s">
        <v>537</v>
      </c>
      <c r="G28" s="966"/>
      <c r="H28" s="966"/>
      <c r="I28" s="613"/>
      <c r="J28" s="966" t="s">
        <v>538</v>
      </c>
      <c r="K28" s="966"/>
      <c r="L28" s="966"/>
      <c r="M28" s="966"/>
    </row>
    <row r="29" spans="2:14" ht="15.95" customHeight="1">
      <c r="B29" s="611"/>
      <c r="C29" s="966"/>
      <c r="D29" s="966"/>
      <c r="E29" s="611"/>
      <c r="I29" s="612"/>
      <c r="J29" s="966"/>
      <c r="K29" s="966"/>
      <c r="L29" s="966"/>
      <c r="M29" s="966"/>
    </row>
    <row r="30" spans="2:14">
      <c r="B30" s="611"/>
      <c r="C30" s="611"/>
      <c r="D30" s="611"/>
      <c r="E30" s="611"/>
      <c r="F30" s="612"/>
      <c r="G30" s="612"/>
      <c r="H30" s="611"/>
      <c r="I30" s="611"/>
      <c r="J30" s="611"/>
      <c r="K30" s="611"/>
      <c r="L30" s="611"/>
      <c r="M30" s="612"/>
    </row>
    <row r="31" spans="2:14">
      <c r="B31" s="611"/>
      <c r="C31" s="611"/>
      <c r="D31" s="611"/>
      <c r="E31" s="611"/>
      <c r="F31" s="612"/>
      <c r="G31" s="612"/>
      <c r="H31" s="611"/>
      <c r="I31" s="611"/>
      <c r="J31" s="611"/>
      <c r="K31" s="611"/>
      <c r="L31" s="611"/>
      <c r="M31" s="612"/>
    </row>
    <row r="32" spans="2:14">
      <c r="B32" s="611"/>
      <c r="C32" s="611"/>
      <c r="D32" s="611"/>
      <c r="E32" s="611"/>
      <c r="F32" s="612"/>
      <c r="G32" s="612"/>
      <c r="H32" s="611"/>
      <c r="I32" s="611"/>
      <c r="J32" s="611"/>
      <c r="K32" s="611"/>
      <c r="L32" s="611"/>
      <c r="M32" s="612"/>
    </row>
    <row r="33" spans="2:13">
      <c r="B33" s="611"/>
      <c r="C33" s="611"/>
      <c r="D33" s="611"/>
      <c r="E33" s="611"/>
      <c r="F33" s="612"/>
      <c r="G33" s="612"/>
      <c r="H33" s="611"/>
      <c r="I33" s="611"/>
      <c r="J33" s="611"/>
      <c r="K33" s="611"/>
      <c r="L33" s="611"/>
      <c r="M33" s="612"/>
    </row>
    <row r="34" spans="2:13">
      <c r="B34" s="611"/>
      <c r="C34" s="611"/>
      <c r="D34" s="611"/>
      <c r="E34" s="611"/>
      <c r="F34" s="612"/>
      <c r="G34" s="612"/>
      <c r="H34" s="611"/>
      <c r="I34" s="611"/>
      <c r="J34" s="611"/>
      <c r="K34" s="611"/>
      <c r="L34" s="611"/>
      <c r="M34" s="612"/>
    </row>
    <row r="35" spans="2:13" ht="15.95" customHeight="1">
      <c r="B35" s="611"/>
      <c r="C35" s="963" t="s">
        <v>29</v>
      </c>
      <c r="D35" s="963"/>
      <c r="E35" s="611"/>
      <c r="F35" s="963" t="s">
        <v>29</v>
      </c>
      <c r="G35" s="963"/>
      <c r="H35" s="963"/>
      <c r="I35" s="612"/>
      <c r="J35" s="611"/>
      <c r="K35" s="611" t="s">
        <v>29</v>
      </c>
      <c r="L35" s="611"/>
      <c r="M35" s="611"/>
    </row>
    <row r="36" spans="2:13">
      <c r="B36" s="611"/>
      <c r="C36" s="611"/>
      <c r="D36" s="611"/>
      <c r="E36" s="611"/>
      <c r="F36" s="612"/>
      <c r="G36" s="612"/>
      <c r="H36" s="611"/>
      <c r="I36" s="611"/>
      <c r="J36" s="611"/>
      <c r="K36" s="611"/>
      <c r="L36" s="611"/>
      <c r="M36" s="612"/>
    </row>
  </sheetData>
  <mergeCells count="8">
    <mergeCell ref="J28:M28"/>
    <mergeCell ref="C29:D29"/>
    <mergeCell ref="J29:M29"/>
    <mergeCell ref="C35:D35"/>
    <mergeCell ref="F35:H35"/>
    <mergeCell ref="C6:E6"/>
    <mergeCell ref="C28:D28"/>
    <mergeCell ref="F28:H28"/>
  </mergeCells>
  <pageMargins left="0.17" right="0.17" top="0.17" bottom="0.17" header="0.3" footer="0.3"/>
  <pageSetup paperSize="9" scale="73" orientation="landscape" r:id="rId1"/>
  <colBreaks count="1" manualBreakCount="1">
    <brk id="13" max="104857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6">
    <tabColor theme="9"/>
  </sheetPr>
  <dimension ref="B1:O39"/>
  <sheetViews>
    <sheetView showGridLines="0" topLeftCell="A2" zoomScale="125" workbookViewId="0">
      <pane xSplit="4" ySplit="7" topLeftCell="E21" activePane="bottomRight" state="frozen"/>
      <selection activeCell="A2" sqref="A2"/>
      <selection pane="topRight" activeCell="E2" sqref="E2"/>
      <selection pane="bottomLeft" activeCell="A9" sqref="A9"/>
      <selection pane="bottomRight" activeCell="G28" sqref="G28"/>
    </sheetView>
  </sheetViews>
  <sheetFormatPr defaultColWidth="8.875" defaultRowHeight="12.75"/>
  <cols>
    <col min="1" max="1" width="1.125" style="11" customWidth="1"/>
    <col min="2" max="2" width="6.375" style="11" customWidth="1"/>
    <col min="3" max="3" width="34" style="11" customWidth="1"/>
    <col min="4" max="4" width="9.375" style="17" customWidth="1"/>
    <col min="5" max="5" width="27.375" style="11" customWidth="1"/>
    <col min="6" max="6" width="8.125" style="11" customWidth="1"/>
    <col min="7" max="7" width="28" style="11" customWidth="1"/>
    <col min="8" max="8" width="8.375" style="11" customWidth="1"/>
    <col min="9" max="9" width="30.375" style="11" customWidth="1"/>
    <col min="10" max="10" width="10.625" style="11" customWidth="1"/>
    <col min="11" max="11" width="31.875" style="11" customWidth="1"/>
    <col min="12" max="12" width="8.125" style="11" customWidth="1"/>
    <col min="13" max="13" width="8.875" style="11"/>
    <col min="14" max="14" width="46.25" style="11" customWidth="1"/>
    <col min="15" max="219" width="8.875" style="11"/>
    <col min="220" max="220" width="5" style="11" customWidth="1"/>
    <col min="221" max="221" width="33.375" style="11" customWidth="1"/>
    <col min="222" max="222" width="6.5" style="11" customWidth="1"/>
    <col min="223" max="223" width="29.5" style="11" customWidth="1"/>
    <col min="224" max="224" width="23.625" style="11" customWidth="1"/>
    <col min="225" max="225" width="8" style="11" customWidth="1"/>
    <col min="226" max="226" width="9.125" style="11" customWidth="1"/>
    <col min="227" max="227" width="13.875" style="11" customWidth="1"/>
    <col min="228" max="228" width="13.5" style="11" customWidth="1"/>
    <col min="229" max="475" width="8.875" style="11"/>
    <col min="476" max="476" width="5" style="11" customWidth="1"/>
    <col min="477" max="477" width="33.375" style="11" customWidth="1"/>
    <col min="478" max="478" width="6.5" style="11" customWidth="1"/>
    <col min="479" max="479" width="29.5" style="11" customWidth="1"/>
    <col min="480" max="480" width="23.625" style="11" customWidth="1"/>
    <col min="481" max="481" width="8" style="11" customWidth="1"/>
    <col min="482" max="482" width="9.125" style="11" customWidth="1"/>
    <col min="483" max="483" width="13.875" style="11" customWidth="1"/>
    <col min="484" max="484" width="13.5" style="11" customWidth="1"/>
    <col min="485" max="731" width="8.875" style="11"/>
    <col min="732" max="732" width="5" style="11" customWidth="1"/>
    <col min="733" max="733" width="33.375" style="11" customWidth="1"/>
    <col min="734" max="734" width="6.5" style="11" customWidth="1"/>
    <col min="735" max="735" width="29.5" style="11" customWidth="1"/>
    <col min="736" max="736" width="23.625" style="11" customWidth="1"/>
    <col min="737" max="737" width="8" style="11" customWidth="1"/>
    <col min="738" max="738" width="9.125" style="11" customWidth="1"/>
    <col min="739" max="739" width="13.875" style="11" customWidth="1"/>
    <col min="740" max="740" width="13.5" style="11" customWidth="1"/>
    <col min="741" max="987" width="8.875" style="11"/>
    <col min="988" max="988" width="5" style="11" customWidth="1"/>
    <col min="989" max="989" width="33.375" style="11" customWidth="1"/>
    <col min="990" max="990" width="6.5" style="11" customWidth="1"/>
    <col min="991" max="991" width="29.5" style="11" customWidth="1"/>
    <col min="992" max="992" width="23.625" style="11" customWidth="1"/>
    <col min="993" max="993" width="8" style="11" customWidth="1"/>
    <col min="994" max="994" width="9.125" style="11" customWidth="1"/>
    <col min="995" max="995" width="13.875" style="11" customWidth="1"/>
    <col min="996" max="996" width="13.5" style="11" customWidth="1"/>
    <col min="997" max="1243" width="8.875" style="11"/>
    <col min="1244" max="1244" width="5" style="11" customWidth="1"/>
    <col min="1245" max="1245" width="33.375" style="11" customWidth="1"/>
    <col min="1246" max="1246" width="6.5" style="11" customWidth="1"/>
    <col min="1247" max="1247" width="29.5" style="11" customWidth="1"/>
    <col min="1248" max="1248" width="23.625" style="11" customWidth="1"/>
    <col min="1249" max="1249" width="8" style="11" customWidth="1"/>
    <col min="1250" max="1250" width="9.125" style="11" customWidth="1"/>
    <col min="1251" max="1251" width="13.875" style="11" customWidth="1"/>
    <col min="1252" max="1252" width="13.5" style="11" customWidth="1"/>
    <col min="1253" max="1499" width="8.875" style="11"/>
    <col min="1500" max="1500" width="5" style="11" customWidth="1"/>
    <col min="1501" max="1501" width="33.375" style="11" customWidth="1"/>
    <col min="1502" max="1502" width="6.5" style="11" customWidth="1"/>
    <col min="1503" max="1503" width="29.5" style="11" customWidth="1"/>
    <col min="1504" max="1504" width="23.625" style="11" customWidth="1"/>
    <col min="1505" max="1505" width="8" style="11" customWidth="1"/>
    <col min="1506" max="1506" width="9.125" style="11" customWidth="1"/>
    <col min="1507" max="1507" width="13.875" style="11" customWidth="1"/>
    <col min="1508" max="1508" width="13.5" style="11" customWidth="1"/>
    <col min="1509" max="1755" width="8.875" style="11"/>
    <col min="1756" max="1756" width="5" style="11" customWidth="1"/>
    <col min="1757" max="1757" width="33.375" style="11" customWidth="1"/>
    <col min="1758" max="1758" width="6.5" style="11" customWidth="1"/>
    <col min="1759" max="1759" width="29.5" style="11" customWidth="1"/>
    <col min="1760" max="1760" width="23.625" style="11" customWidth="1"/>
    <col min="1761" max="1761" width="8" style="11" customWidth="1"/>
    <col min="1762" max="1762" width="9.125" style="11" customWidth="1"/>
    <col min="1763" max="1763" width="13.875" style="11" customWidth="1"/>
    <col min="1764" max="1764" width="13.5" style="11" customWidth="1"/>
    <col min="1765" max="2011" width="8.875" style="11"/>
    <col min="2012" max="2012" width="5" style="11" customWidth="1"/>
    <col min="2013" max="2013" width="33.375" style="11" customWidth="1"/>
    <col min="2014" max="2014" width="6.5" style="11" customWidth="1"/>
    <col min="2015" max="2015" width="29.5" style="11" customWidth="1"/>
    <col min="2016" max="2016" width="23.625" style="11" customWidth="1"/>
    <col min="2017" max="2017" width="8" style="11" customWidth="1"/>
    <col min="2018" max="2018" width="9.125" style="11" customWidth="1"/>
    <col min="2019" max="2019" width="13.875" style="11" customWidth="1"/>
    <col min="2020" max="2020" width="13.5" style="11" customWidth="1"/>
    <col min="2021" max="2267" width="8.875" style="11"/>
    <col min="2268" max="2268" width="5" style="11" customWidth="1"/>
    <col min="2269" max="2269" width="33.375" style="11" customWidth="1"/>
    <col min="2270" max="2270" width="6.5" style="11" customWidth="1"/>
    <col min="2271" max="2271" width="29.5" style="11" customWidth="1"/>
    <col min="2272" max="2272" width="23.625" style="11" customWidth="1"/>
    <col min="2273" max="2273" width="8" style="11" customWidth="1"/>
    <col min="2274" max="2274" width="9.125" style="11" customWidth="1"/>
    <col min="2275" max="2275" width="13.875" style="11" customWidth="1"/>
    <col min="2276" max="2276" width="13.5" style="11" customWidth="1"/>
    <col min="2277" max="2523" width="8.875" style="11"/>
    <col min="2524" max="2524" width="5" style="11" customWidth="1"/>
    <col min="2525" max="2525" width="33.375" style="11" customWidth="1"/>
    <col min="2526" max="2526" width="6.5" style="11" customWidth="1"/>
    <col min="2527" max="2527" width="29.5" style="11" customWidth="1"/>
    <col min="2528" max="2528" width="23.625" style="11" customWidth="1"/>
    <col min="2529" max="2529" width="8" style="11" customWidth="1"/>
    <col min="2530" max="2530" width="9.125" style="11" customWidth="1"/>
    <col min="2531" max="2531" width="13.875" style="11" customWidth="1"/>
    <col min="2532" max="2532" width="13.5" style="11" customWidth="1"/>
    <col min="2533" max="2779" width="8.875" style="11"/>
    <col min="2780" max="2780" width="5" style="11" customWidth="1"/>
    <col min="2781" max="2781" width="33.375" style="11" customWidth="1"/>
    <col min="2782" max="2782" width="6.5" style="11" customWidth="1"/>
    <col min="2783" max="2783" width="29.5" style="11" customWidth="1"/>
    <col min="2784" max="2784" width="23.625" style="11" customWidth="1"/>
    <col min="2785" max="2785" width="8" style="11" customWidth="1"/>
    <col min="2786" max="2786" width="9.125" style="11" customWidth="1"/>
    <col min="2787" max="2787" width="13.875" style="11" customWidth="1"/>
    <col min="2788" max="2788" width="13.5" style="11" customWidth="1"/>
    <col min="2789" max="3035" width="8.875" style="11"/>
    <col min="3036" max="3036" width="5" style="11" customWidth="1"/>
    <col min="3037" max="3037" width="33.375" style="11" customWidth="1"/>
    <col min="3038" max="3038" width="6.5" style="11" customWidth="1"/>
    <col min="3039" max="3039" width="29.5" style="11" customWidth="1"/>
    <col min="3040" max="3040" width="23.625" style="11" customWidth="1"/>
    <col min="3041" max="3041" width="8" style="11" customWidth="1"/>
    <col min="3042" max="3042" width="9.125" style="11" customWidth="1"/>
    <col min="3043" max="3043" width="13.875" style="11" customWidth="1"/>
    <col min="3044" max="3044" width="13.5" style="11" customWidth="1"/>
    <col min="3045" max="3291" width="8.875" style="11"/>
    <col min="3292" max="3292" width="5" style="11" customWidth="1"/>
    <col min="3293" max="3293" width="33.375" style="11" customWidth="1"/>
    <col min="3294" max="3294" width="6.5" style="11" customWidth="1"/>
    <col min="3295" max="3295" width="29.5" style="11" customWidth="1"/>
    <col min="3296" max="3296" width="23.625" style="11" customWidth="1"/>
    <col min="3297" max="3297" width="8" style="11" customWidth="1"/>
    <col min="3298" max="3298" width="9.125" style="11" customWidth="1"/>
    <col min="3299" max="3299" width="13.875" style="11" customWidth="1"/>
    <col min="3300" max="3300" width="13.5" style="11" customWidth="1"/>
    <col min="3301" max="3547" width="8.875" style="11"/>
    <col min="3548" max="3548" width="5" style="11" customWidth="1"/>
    <col min="3549" max="3549" width="33.375" style="11" customWidth="1"/>
    <col min="3550" max="3550" width="6.5" style="11" customWidth="1"/>
    <col min="3551" max="3551" width="29.5" style="11" customWidth="1"/>
    <col min="3552" max="3552" width="23.625" style="11" customWidth="1"/>
    <col min="3553" max="3553" width="8" style="11" customWidth="1"/>
    <col min="3554" max="3554" width="9.125" style="11" customWidth="1"/>
    <col min="3555" max="3555" width="13.875" style="11" customWidth="1"/>
    <col min="3556" max="3556" width="13.5" style="11" customWidth="1"/>
    <col min="3557" max="3803" width="8.875" style="11"/>
    <col min="3804" max="3804" width="5" style="11" customWidth="1"/>
    <col min="3805" max="3805" width="33.375" style="11" customWidth="1"/>
    <col min="3806" max="3806" width="6.5" style="11" customWidth="1"/>
    <col min="3807" max="3807" width="29.5" style="11" customWidth="1"/>
    <col min="3808" max="3808" width="23.625" style="11" customWidth="1"/>
    <col min="3809" max="3809" width="8" style="11" customWidth="1"/>
    <col min="3810" max="3810" width="9.125" style="11" customWidth="1"/>
    <col min="3811" max="3811" width="13.875" style="11" customWidth="1"/>
    <col min="3812" max="3812" width="13.5" style="11" customWidth="1"/>
    <col min="3813" max="4059" width="8.875" style="11"/>
    <col min="4060" max="4060" width="5" style="11" customWidth="1"/>
    <col min="4061" max="4061" width="33.375" style="11" customWidth="1"/>
    <col min="4062" max="4062" width="6.5" style="11" customWidth="1"/>
    <col min="4063" max="4063" width="29.5" style="11" customWidth="1"/>
    <col min="4064" max="4064" width="23.625" style="11" customWidth="1"/>
    <col min="4065" max="4065" width="8" style="11" customWidth="1"/>
    <col min="4066" max="4066" width="9.125" style="11" customWidth="1"/>
    <col min="4067" max="4067" width="13.875" style="11" customWidth="1"/>
    <col min="4068" max="4068" width="13.5" style="11" customWidth="1"/>
    <col min="4069" max="4315" width="8.875" style="11"/>
    <col min="4316" max="4316" width="5" style="11" customWidth="1"/>
    <col min="4317" max="4317" width="33.375" style="11" customWidth="1"/>
    <col min="4318" max="4318" width="6.5" style="11" customWidth="1"/>
    <col min="4319" max="4319" width="29.5" style="11" customWidth="1"/>
    <col min="4320" max="4320" width="23.625" style="11" customWidth="1"/>
    <col min="4321" max="4321" width="8" style="11" customWidth="1"/>
    <col min="4322" max="4322" width="9.125" style="11" customWidth="1"/>
    <col min="4323" max="4323" width="13.875" style="11" customWidth="1"/>
    <col min="4324" max="4324" width="13.5" style="11" customWidth="1"/>
    <col min="4325" max="4571" width="8.875" style="11"/>
    <col min="4572" max="4572" width="5" style="11" customWidth="1"/>
    <col min="4573" max="4573" width="33.375" style="11" customWidth="1"/>
    <col min="4574" max="4574" width="6.5" style="11" customWidth="1"/>
    <col min="4575" max="4575" width="29.5" style="11" customWidth="1"/>
    <col min="4576" max="4576" width="23.625" style="11" customWidth="1"/>
    <col min="4577" max="4577" width="8" style="11" customWidth="1"/>
    <col min="4578" max="4578" width="9.125" style="11" customWidth="1"/>
    <col min="4579" max="4579" width="13.875" style="11" customWidth="1"/>
    <col min="4580" max="4580" width="13.5" style="11" customWidth="1"/>
    <col min="4581" max="4827" width="8.875" style="11"/>
    <col min="4828" max="4828" width="5" style="11" customWidth="1"/>
    <col min="4829" max="4829" width="33.375" style="11" customWidth="1"/>
    <col min="4830" max="4830" width="6.5" style="11" customWidth="1"/>
    <col min="4831" max="4831" width="29.5" style="11" customWidth="1"/>
    <col min="4832" max="4832" width="23.625" style="11" customWidth="1"/>
    <col min="4833" max="4833" width="8" style="11" customWidth="1"/>
    <col min="4834" max="4834" width="9.125" style="11" customWidth="1"/>
    <col min="4835" max="4835" width="13.875" style="11" customWidth="1"/>
    <col min="4836" max="4836" width="13.5" style="11" customWidth="1"/>
    <col min="4837" max="5083" width="8.875" style="11"/>
    <col min="5084" max="5084" width="5" style="11" customWidth="1"/>
    <col min="5085" max="5085" width="33.375" style="11" customWidth="1"/>
    <col min="5086" max="5086" width="6.5" style="11" customWidth="1"/>
    <col min="5087" max="5087" width="29.5" style="11" customWidth="1"/>
    <col min="5088" max="5088" width="23.625" style="11" customWidth="1"/>
    <col min="5089" max="5089" width="8" style="11" customWidth="1"/>
    <col min="5090" max="5090" width="9.125" style="11" customWidth="1"/>
    <col min="5091" max="5091" width="13.875" style="11" customWidth="1"/>
    <col min="5092" max="5092" width="13.5" style="11" customWidth="1"/>
    <col min="5093" max="5339" width="8.875" style="11"/>
    <col min="5340" max="5340" width="5" style="11" customWidth="1"/>
    <col min="5341" max="5341" width="33.375" style="11" customWidth="1"/>
    <col min="5342" max="5342" width="6.5" style="11" customWidth="1"/>
    <col min="5343" max="5343" width="29.5" style="11" customWidth="1"/>
    <col min="5344" max="5344" width="23.625" style="11" customWidth="1"/>
    <col min="5345" max="5345" width="8" style="11" customWidth="1"/>
    <col min="5346" max="5346" width="9.125" style="11" customWidth="1"/>
    <col min="5347" max="5347" width="13.875" style="11" customWidth="1"/>
    <col min="5348" max="5348" width="13.5" style="11" customWidth="1"/>
    <col min="5349" max="5595" width="8.875" style="11"/>
    <col min="5596" max="5596" width="5" style="11" customWidth="1"/>
    <col min="5597" max="5597" width="33.375" style="11" customWidth="1"/>
    <col min="5598" max="5598" width="6.5" style="11" customWidth="1"/>
    <col min="5599" max="5599" width="29.5" style="11" customWidth="1"/>
    <col min="5600" max="5600" width="23.625" style="11" customWidth="1"/>
    <col min="5601" max="5601" width="8" style="11" customWidth="1"/>
    <col min="5602" max="5602" width="9.125" style="11" customWidth="1"/>
    <col min="5603" max="5603" width="13.875" style="11" customWidth="1"/>
    <col min="5604" max="5604" width="13.5" style="11" customWidth="1"/>
    <col min="5605" max="5851" width="8.875" style="11"/>
    <col min="5852" max="5852" width="5" style="11" customWidth="1"/>
    <col min="5853" max="5853" width="33.375" style="11" customWidth="1"/>
    <col min="5854" max="5854" width="6.5" style="11" customWidth="1"/>
    <col min="5855" max="5855" width="29.5" style="11" customWidth="1"/>
    <col min="5856" max="5856" width="23.625" style="11" customWidth="1"/>
    <col min="5857" max="5857" width="8" style="11" customWidth="1"/>
    <col min="5858" max="5858" width="9.125" style="11" customWidth="1"/>
    <col min="5859" max="5859" width="13.875" style="11" customWidth="1"/>
    <col min="5860" max="5860" width="13.5" style="11" customWidth="1"/>
    <col min="5861" max="6107" width="8.875" style="11"/>
    <col min="6108" max="6108" width="5" style="11" customWidth="1"/>
    <col min="6109" max="6109" width="33.375" style="11" customWidth="1"/>
    <col min="6110" max="6110" width="6.5" style="11" customWidth="1"/>
    <col min="6111" max="6111" width="29.5" style="11" customWidth="1"/>
    <col min="6112" max="6112" width="23.625" style="11" customWidth="1"/>
    <col min="6113" max="6113" width="8" style="11" customWidth="1"/>
    <col min="6114" max="6114" width="9.125" style="11" customWidth="1"/>
    <col min="6115" max="6115" width="13.875" style="11" customWidth="1"/>
    <col min="6116" max="6116" width="13.5" style="11" customWidth="1"/>
    <col min="6117" max="6363" width="8.875" style="11"/>
    <col min="6364" max="6364" width="5" style="11" customWidth="1"/>
    <col min="6365" max="6365" width="33.375" style="11" customWidth="1"/>
    <col min="6366" max="6366" width="6.5" style="11" customWidth="1"/>
    <col min="6367" max="6367" width="29.5" style="11" customWidth="1"/>
    <col min="6368" max="6368" width="23.625" style="11" customWidth="1"/>
    <col min="6369" max="6369" width="8" style="11" customWidth="1"/>
    <col min="6370" max="6370" width="9.125" style="11" customWidth="1"/>
    <col min="6371" max="6371" width="13.875" style="11" customWidth="1"/>
    <col min="6372" max="6372" width="13.5" style="11" customWidth="1"/>
    <col min="6373" max="6619" width="8.875" style="11"/>
    <col min="6620" max="6620" width="5" style="11" customWidth="1"/>
    <col min="6621" max="6621" width="33.375" style="11" customWidth="1"/>
    <col min="6622" max="6622" width="6.5" style="11" customWidth="1"/>
    <col min="6623" max="6623" width="29.5" style="11" customWidth="1"/>
    <col min="6624" max="6624" width="23.625" style="11" customWidth="1"/>
    <col min="6625" max="6625" width="8" style="11" customWidth="1"/>
    <col min="6626" max="6626" width="9.125" style="11" customWidth="1"/>
    <col min="6627" max="6627" width="13.875" style="11" customWidth="1"/>
    <col min="6628" max="6628" width="13.5" style="11" customWidth="1"/>
    <col min="6629" max="6875" width="8.875" style="11"/>
    <col min="6876" max="6876" width="5" style="11" customWidth="1"/>
    <col min="6877" max="6877" width="33.375" style="11" customWidth="1"/>
    <col min="6878" max="6878" width="6.5" style="11" customWidth="1"/>
    <col min="6879" max="6879" width="29.5" style="11" customWidth="1"/>
    <col min="6880" max="6880" width="23.625" style="11" customWidth="1"/>
    <col min="6881" max="6881" width="8" style="11" customWidth="1"/>
    <col min="6882" max="6882" width="9.125" style="11" customWidth="1"/>
    <col min="6883" max="6883" width="13.875" style="11" customWidth="1"/>
    <col min="6884" max="6884" width="13.5" style="11" customWidth="1"/>
    <col min="6885" max="7131" width="8.875" style="11"/>
    <col min="7132" max="7132" width="5" style="11" customWidth="1"/>
    <col min="7133" max="7133" width="33.375" style="11" customWidth="1"/>
    <col min="7134" max="7134" width="6.5" style="11" customWidth="1"/>
    <col min="7135" max="7135" width="29.5" style="11" customWidth="1"/>
    <col min="7136" max="7136" width="23.625" style="11" customWidth="1"/>
    <col min="7137" max="7137" width="8" style="11" customWidth="1"/>
    <col min="7138" max="7138" width="9.125" style="11" customWidth="1"/>
    <col min="7139" max="7139" width="13.875" style="11" customWidth="1"/>
    <col min="7140" max="7140" width="13.5" style="11" customWidth="1"/>
    <col min="7141" max="7387" width="8.875" style="11"/>
    <col min="7388" max="7388" width="5" style="11" customWidth="1"/>
    <col min="7389" max="7389" width="33.375" style="11" customWidth="1"/>
    <col min="7390" max="7390" width="6.5" style="11" customWidth="1"/>
    <col min="7391" max="7391" width="29.5" style="11" customWidth="1"/>
    <col min="7392" max="7392" width="23.625" style="11" customWidth="1"/>
    <col min="7393" max="7393" width="8" style="11" customWidth="1"/>
    <col min="7394" max="7394" width="9.125" style="11" customWidth="1"/>
    <col min="7395" max="7395" width="13.875" style="11" customWidth="1"/>
    <col min="7396" max="7396" width="13.5" style="11" customWidth="1"/>
    <col min="7397" max="7643" width="8.875" style="11"/>
    <col min="7644" max="7644" width="5" style="11" customWidth="1"/>
    <col min="7645" max="7645" width="33.375" style="11" customWidth="1"/>
    <col min="7646" max="7646" width="6.5" style="11" customWidth="1"/>
    <col min="7647" max="7647" width="29.5" style="11" customWidth="1"/>
    <col min="7648" max="7648" width="23.625" style="11" customWidth="1"/>
    <col min="7649" max="7649" width="8" style="11" customWidth="1"/>
    <col min="7650" max="7650" width="9.125" style="11" customWidth="1"/>
    <col min="7651" max="7651" width="13.875" style="11" customWidth="1"/>
    <col min="7652" max="7652" width="13.5" style="11" customWidth="1"/>
    <col min="7653" max="7899" width="8.875" style="11"/>
    <col min="7900" max="7900" width="5" style="11" customWidth="1"/>
    <col min="7901" max="7901" width="33.375" style="11" customWidth="1"/>
    <col min="7902" max="7902" width="6.5" style="11" customWidth="1"/>
    <col min="7903" max="7903" width="29.5" style="11" customWidth="1"/>
    <col min="7904" max="7904" width="23.625" style="11" customWidth="1"/>
    <col min="7905" max="7905" width="8" style="11" customWidth="1"/>
    <col min="7906" max="7906" width="9.125" style="11" customWidth="1"/>
    <col min="7907" max="7907" width="13.875" style="11" customWidth="1"/>
    <col min="7908" max="7908" width="13.5" style="11" customWidth="1"/>
    <col min="7909" max="8155" width="8.875" style="11"/>
    <col min="8156" max="8156" width="5" style="11" customWidth="1"/>
    <col min="8157" max="8157" width="33.375" style="11" customWidth="1"/>
    <col min="8158" max="8158" width="6.5" style="11" customWidth="1"/>
    <col min="8159" max="8159" width="29.5" style="11" customWidth="1"/>
    <col min="8160" max="8160" width="23.625" style="11" customWidth="1"/>
    <col min="8161" max="8161" width="8" style="11" customWidth="1"/>
    <col min="8162" max="8162" width="9.125" style="11" customWidth="1"/>
    <col min="8163" max="8163" width="13.875" style="11" customWidth="1"/>
    <col min="8164" max="8164" width="13.5" style="11" customWidth="1"/>
    <col min="8165" max="8411" width="8.875" style="11"/>
    <col min="8412" max="8412" width="5" style="11" customWidth="1"/>
    <col min="8413" max="8413" width="33.375" style="11" customWidth="1"/>
    <col min="8414" max="8414" width="6.5" style="11" customWidth="1"/>
    <col min="8415" max="8415" width="29.5" style="11" customWidth="1"/>
    <col min="8416" max="8416" width="23.625" style="11" customWidth="1"/>
    <col min="8417" max="8417" width="8" style="11" customWidth="1"/>
    <col min="8418" max="8418" width="9.125" style="11" customWidth="1"/>
    <col min="8419" max="8419" width="13.875" style="11" customWidth="1"/>
    <col min="8420" max="8420" width="13.5" style="11" customWidth="1"/>
    <col min="8421" max="8667" width="8.875" style="11"/>
    <col min="8668" max="8668" width="5" style="11" customWidth="1"/>
    <col min="8669" max="8669" width="33.375" style="11" customWidth="1"/>
    <col min="8670" max="8670" width="6.5" style="11" customWidth="1"/>
    <col min="8671" max="8671" width="29.5" style="11" customWidth="1"/>
    <col min="8672" max="8672" width="23.625" style="11" customWidth="1"/>
    <col min="8673" max="8673" width="8" style="11" customWidth="1"/>
    <col min="8674" max="8674" width="9.125" style="11" customWidth="1"/>
    <col min="8675" max="8675" width="13.875" style="11" customWidth="1"/>
    <col min="8676" max="8676" width="13.5" style="11" customWidth="1"/>
    <col min="8677" max="8923" width="8.875" style="11"/>
    <col min="8924" max="8924" width="5" style="11" customWidth="1"/>
    <col min="8925" max="8925" width="33.375" style="11" customWidth="1"/>
    <col min="8926" max="8926" width="6.5" style="11" customWidth="1"/>
    <col min="8927" max="8927" width="29.5" style="11" customWidth="1"/>
    <col min="8928" max="8928" width="23.625" style="11" customWidth="1"/>
    <col min="8929" max="8929" width="8" style="11" customWidth="1"/>
    <col min="8930" max="8930" width="9.125" style="11" customWidth="1"/>
    <col min="8931" max="8931" width="13.875" style="11" customWidth="1"/>
    <col min="8932" max="8932" width="13.5" style="11" customWidth="1"/>
    <col min="8933" max="9179" width="8.875" style="11"/>
    <col min="9180" max="9180" width="5" style="11" customWidth="1"/>
    <col min="9181" max="9181" width="33.375" style="11" customWidth="1"/>
    <col min="9182" max="9182" width="6.5" style="11" customWidth="1"/>
    <col min="9183" max="9183" width="29.5" style="11" customWidth="1"/>
    <col min="9184" max="9184" width="23.625" style="11" customWidth="1"/>
    <col min="9185" max="9185" width="8" style="11" customWidth="1"/>
    <col min="9186" max="9186" width="9.125" style="11" customWidth="1"/>
    <col min="9187" max="9187" width="13.875" style="11" customWidth="1"/>
    <col min="9188" max="9188" width="13.5" style="11" customWidth="1"/>
    <col min="9189" max="9435" width="8.875" style="11"/>
    <col min="9436" max="9436" width="5" style="11" customWidth="1"/>
    <col min="9437" max="9437" width="33.375" style="11" customWidth="1"/>
    <col min="9438" max="9438" width="6.5" style="11" customWidth="1"/>
    <col min="9439" max="9439" width="29.5" style="11" customWidth="1"/>
    <col min="9440" max="9440" width="23.625" style="11" customWidth="1"/>
    <col min="9441" max="9441" width="8" style="11" customWidth="1"/>
    <col min="9442" max="9442" width="9.125" style="11" customWidth="1"/>
    <col min="9443" max="9443" width="13.875" style="11" customWidth="1"/>
    <col min="9444" max="9444" width="13.5" style="11" customWidth="1"/>
    <col min="9445" max="9691" width="8.875" style="11"/>
    <col min="9692" max="9692" width="5" style="11" customWidth="1"/>
    <col min="9693" max="9693" width="33.375" style="11" customWidth="1"/>
    <col min="9694" max="9694" width="6.5" style="11" customWidth="1"/>
    <col min="9695" max="9695" width="29.5" style="11" customWidth="1"/>
    <col min="9696" max="9696" width="23.625" style="11" customWidth="1"/>
    <col min="9697" max="9697" width="8" style="11" customWidth="1"/>
    <col min="9698" max="9698" width="9.125" style="11" customWidth="1"/>
    <col min="9699" max="9699" width="13.875" style="11" customWidth="1"/>
    <col min="9700" max="9700" width="13.5" style="11" customWidth="1"/>
    <col min="9701" max="9947" width="8.875" style="11"/>
    <col min="9948" max="9948" width="5" style="11" customWidth="1"/>
    <col min="9949" max="9949" width="33.375" style="11" customWidth="1"/>
    <col min="9950" max="9950" width="6.5" style="11" customWidth="1"/>
    <col min="9951" max="9951" width="29.5" style="11" customWidth="1"/>
    <col min="9952" max="9952" width="23.625" style="11" customWidth="1"/>
    <col min="9953" max="9953" width="8" style="11" customWidth="1"/>
    <col min="9954" max="9954" width="9.125" style="11" customWidth="1"/>
    <col min="9955" max="9955" width="13.875" style="11" customWidth="1"/>
    <col min="9956" max="9956" width="13.5" style="11" customWidth="1"/>
    <col min="9957" max="10203" width="8.875" style="11"/>
    <col min="10204" max="10204" width="5" style="11" customWidth="1"/>
    <col min="10205" max="10205" width="33.375" style="11" customWidth="1"/>
    <col min="10206" max="10206" width="6.5" style="11" customWidth="1"/>
    <col min="10207" max="10207" width="29.5" style="11" customWidth="1"/>
    <col min="10208" max="10208" width="23.625" style="11" customWidth="1"/>
    <col min="10209" max="10209" width="8" style="11" customWidth="1"/>
    <col min="10210" max="10210" width="9.125" style="11" customWidth="1"/>
    <col min="10211" max="10211" width="13.875" style="11" customWidth="1"/>
    <col min="10212" max="10212" width="13.5" style="11" customWidth="1"/>
    <col min="10213" max="10459" width="8.875" style="11"/>
    <col min="10460" max="10460" width="5" style="11" customWidth="1"/>
    <col min="10461" max="10461" width="33.375" style="11" customWidth="1"/>
    <col min="10462" max="10462" width="6.5" style="11" customWidth="1"/>
    <col min="10463" max="10463" width="29.5" style="11" customWidth="1"/>
    <col min="10464" max="10464" width="23.625" style="11" customWidth="1"/>
    <col min="10465" max="10465" width="8" style="11" customWidth="1"/>
    <col min="10466" max="10466" width="9.125" style="11" customWidth="1"/>
    <col min="10467" max="10467" width="13.875" style="11" customWidth="1"/>
    <col min="10468" max="10468" width="13.5" style="11" customWidth="1"/>
    <col min="10469" max="10715" width="8.875" style="11"/>
    <col min="10716" max="10716" width="5" style="11" customWidth="1"/>
    <col min="10717" max="10717" width="33.375" style="11" customWidth="1"/>
    <col min="10718" max="10718" width="6.5" style="11" customWidth="1"/>
    <col min="10719" max="10719" width="29.5" style="11" customWidth="1"/>
    <col min="10720" max="10720" width="23.625" style="11" customWidth="1"/>
    <col min="10721" max="10721" width="8" style="11" customWidth="1"/>
    <col min="10722" max="10722" width="9.125" style="11" customWidth="1"/>
    <col min="10723" max="10723" width="13.875" style="11" customWidth="1"/>
    <col min="10724" max="10724" width="13.5" style="11" customWidth="1"/>
    <col min="10725" max="10971" width="8.875" style="11"/>
    <col min="10972" max="10972" width="5" style="11" customWidth="1"/>
    <col min="10973" max="10973" width="33.375" style="11" customWidth="1"/>
    <col min="10974" max="10974" width="6.5" style="11" customWidth="1"/>
    <col min="10975" max="10975" width="29.5" style="11" customWidth="1"/>
    <col min="10976" max="10976" width="23.625" style="11" customWidth="1"/>
    <col min="10977" max="10977" width="8" style="11" customWidth="1"/>
    <col min="10978" max="10978" width="9.125" style="11" customWidth="1"/>
    <col min="10979" max="10979" width="13.875" style="11" customWidth="1"/>
    <col min="10980" max="10980" width="13.5" style="11" customWidth="1"/>
    <col min="10981" max="11227" width="8.875" style="11"/>
    <col min="11228" max="11228" width="5" style="11" customWidth="1"/>
    <col min="11229" max="11229" width="33.375" style="11" customWidth="1"/>
    <col min="11230" max="11230" width="6.5" style="11" customWidth="1"/>
    <col min="11231" max="11231" width="29.5" style="11" customWidth="1"/>
    <col min="11232" max="11232" width="23.625" style="11" customWidth="1"/>
    <col min="11233" max="11233" width="8" style="11" customWidth="1"/>
    <col min="11234" max="11234" width="9.125" style="11" customWidth="1"/>
    <col min="11235" max="11235" width="13.875" style="11" customWidth="1"/>
    <col min="11236" max="11236" width="13.5" style="11" customWidth="1"/>
    <col min="11237" max="11483" width="8.875" style="11"/>
    <col min="11484" max="11484" width="5" style="11" customWidth="1"/>
    <col min="11485" max="11485" width="33.375" style="11" customWidth="1"/>
    <col min="11486" max="11486" width="6.5" style="11" customWidth="1"/>
    <col min="11487" max="11487" width="29.5" style="11" customWidth="1"/>
    <col min="11488" max="11488" width="23.625" style="11" customWidth="1"/>
    <col min="11489" max="11489" width="8" style="11" customWidth="1"/>
    <col min="11490" max="11490" width="9.125" style="11" customWidth="1"/>
    <col min="11491" max="11491" width="13.875" style="11" customWidth="1"/>
    <col min="11492" max="11492" width="13.5" style="11" customWidth="1"/>
    <col min="11493" max="11739" width="8.875" style="11"/>
    <col min="11740" max="11740" width="5" style="11" customWidth="1"/>
    <col min="11741" max="11741" width="33.375" style="11" customWidth="1"/>
    <col min="11742" max="11742" width="6.5" style="11" customWidth="1"/>
    <col min="11743" max="11743" width="29.5" style="11" customWidth="1"/>
    <col min="11744" max="11744" width="23.625" style="11" customWidth="1"/>
    <col min="11745" max="11745" width="8" style="11" customWidth="1"/>
    <col min="11746" max="11746" width="9.125" style="11" customWidth="1"/>
    <col min="11747" max="11747" width="13.875" style="11" customWidth="1"/>
    <col min="11748" max="11748" width="13.5" style="11" customWidth="1"/>
    <col min="11749" max="11995" width="8.875" style="11"/>
    <col min="11996" max="11996" width="5" style="11" customWidth="1"/>
    <col min="11997" max="11997" width="33.375" style="11" customWidth="1"/>
    <col min="11998" max="11998" width="6.5" style="11" customWidth="1"/>
    <col min="11999" max="11999" width="29.5" style="11" customWidth="1"/>
    <col min="12000" max="12000" width="23.625" style="11" customWidth="1"/>
    <col min="12001" max="12001" width="8" style="11" customWidth="1"/>
    <col min="12002" max="12002" width="9.125" style="11" customWidth="1"/>
    <col min="12003" max="12003" width="13.875" style="11" customWidth="1"/>
    <col min="12004" max="12004" width="13.5" style="11" customWidth="1"/>
    <col min="12005" max="12251" width="8.875" style="11"/>
    <col min="12252" max="12252" width="5" style="11" customWidth="1"/>
    <col min="12253" max="12253" width="33.375" style="11" customWidth="1"/>
    <col min="12254" max="12254" width="6.5" style="11" customWidth="1"/>
    <col min="12255" max="12255" width="29.5" style="11" customWidth="1"/>
    <col min="12256" max="12256" width="23.625" style="11" customWidth="1"/>
    <col min="12257" max="12257" width="8" style="11" customWidth="1"/>
    <col min="12258" max="12258" width="9.125" style="11" customWidth="1"/>
    <col min="12259" max="12259" width="13.875" style="11" customWidth="1"/>
    <col min="12260" max="12260" width="13.5" style="11" customWidth="1"/>
    <col min="12261" max="12507" width="8.875" style="11"/>
    <col min="12508" max="12508" width="5" style="11" customWidth="1"/>
    <col min="12509" max="12509" width="33.375" style="11" customWidth="1"/>
    <col min="12510" max="12510" width="6.5" style="11" customWidth="1"/>
    <col min="12511" max="12511" width="29.5" style="11" customWidth="1"/>
    <col min="12512" max="12512" width="23.625" style="11" customWidth="1"/>
    <col min="12513" max="12513" width="8" style="11" customWidth="1"/>
    <col min="12514" max="12514" width="9.125" style="11" customWidth="1"/>
    <col min="12515" max="12515" width="13.875" style="11" customWidth="1"/>
    <col min="12516" max="12516" width="13.5" style="11" customWidth="1"/>
    <col min="12517" max="12763" width="8.875" style="11"/>
    <col min="12764" max="12764" width="5" style="11" customWidth="1"/>
    <col min="12765" max="12765" width="33.375" style="11" customWidth="1"/>
    <col min="12766" max="12766" width="6.5" style="11" customWidth="1"/>
    <col min="12767" max="12767" width="29.5" style="11" customWidth="1"/>
    <col min="12768" max="12768" width="23.625" style="11" customWidth="1"/>
    <col min="12769" max="12769" width="8" style="11" customWidth="1"/>
    <col min="12770" max="12770" width="9.125" style="11" customWidth="1"/>
    <col min="12771" max="12771" width="13.875" style="11" customWidth="1"/>
    <col min="12772" max="12772" width="13.5" style="11" customWidth="1"/>
    <col min="12773" max="13019" width="8.875" style="11"/>
    <col min="13020" max="13020" width="5" style="11" customWidth="1"/>
    <col min="13021" max="13021" width="33.375" style="11" customWidth="1"/>
    <col min="13022" max="13022" width="6.5" style="11" customWidth="1"/>
    <col min="13023" max="13023" width="29.5" style="11" customWidth="1"/>
    <col min="13024" max="13024" width="23.625" style="11" customWidth="1"/>
    <col min="13025" max="13025" width="8" style="11" customWidth="1"/>
    <col min="13026" max="13026" width="9.125" style="11" customWidth="1"/>
    <col min="13027" max="13027" width="13.875" style="11" customWidth="1"/>
    <col min="13028" max="13028" width="13.5" style="11" customWidth="1"/>
    <col min="13029" max="13275" width="8.875" style="11"/>
    <col min="13276" max="13276" width="5" style="11" customWidth="1"/>
    <col min="13277" max="13277" width="33.375" style="11" customWidth="1"/>
    <col min="13278" max="13278" width="6.5" style="11" customWidth="1"/>
    <col min="13279" max="13279" width="29.5" style="11" customWidth="1"/>
    <col min="13280" max="13280" width="23.625" style="11" customWidth="1"/>
    <col min="13281" max="13281" width="8" style="11" customWidth="1"/>
    <col min="13282" max="13282" width="9.125" style="11" customWidth="1"/>
    <col min="13283" max="13283" width="13.875" style="11" customWidth="1"/>
    <col min="13284" max="13284" width="13.5" style="11" customWidth="1"/>
    <col min="13285" max="13531" width="8.875" style="11"/>
    <col min="13532" max="13532" width="5" style="11" customWidth="1"/>
    <col min="13533" max="13533" width="33.375" style="11" customWidth="1"/>
    <col min="13534" max="13534" width="6.5" style="11" customWidth="1"/>
    <col min="13535" max="13535" width="29.5" style="11" customWidth="1"/>
    <col min="13536" max="13536" width="23.625" style="11" customWidth="1"/>
    <col min="13537" max="13537" width="8" style="11" customWidth="1"/>
    <col min="13538" max="13538" width="9.125" style="11" customWidth="1"/>
    <col min="13539" max="13539" width="13.875" style="11" customWidth="1"/>
    <col min="13540" max="13540" width="13.5" style="11" customWidth="1"/>
    <col min="13541" max="13787" width="8.875" style="11"/>
    <col min="13788" max="13788" width="5" style="11" customWidth="1"/>
    <col min="13789" max="13789" width="33.375" style="11" customWidth="1"/>
    <col min="13790" max="13790" width="6.5" style="11" customWidth="1"/>
    <col min="13791" max="13791" width="29.5" style="11" customWidth="1"/>
    <col min="13792" max="13792" width="23.625" style="11" customWidth="1"/>
    <col min="13793" max="13793" width="8" style="11" customWidth="1"/>
    <col min="13794" max="13794" width="9.125" style="11" customWidth="1"/>
    <col min="13795" max="13795" width="13.875" style="11" customWidth="1"/>
    <col min="13796" max="13796" width="13.5" style="11" customWidth="1"/>
    <col min="13797" max="14043" width="8.875" style="11"/>
    <col min="14044" max="14044" width="5" style="11" customWidth="1"/>
    <col min="14045" max="14045" width="33.375" style="11" customWidth="1"/>
    <col min="14046" max="14046" width="6.5" style="11" customWidth="1"/>
    <col min="14047" max="14047" width="29.5" style="11" customWidth="1"/>
    <col min="14048" max="14048" width="23.625" style="11" customWidth="1"/>
    <col min="14049" max="14049" width="8" style="11" customWidth="1"/>
    <col min="14050" max="14050" width="9.125" style="11" customWidth="1"/>
    <col min="14051" max="14051" width="13.875" style="11" customWidth="1"/>
    <col min="14052" max="14052" width="13.5" style="11" customWidth="1"/>
    <col min="14053" max="14299" width="8.875" style="11"/>
    <col min="14300" max="14300" width="5" style="11" customWidth="1"/>
    <col min="14301" max="14301" width="33.375" style="11" customWidth="1"/>
    <col min="14302" max="14302" width="6.5" style="11" customWidth="1"/>
    <col min="14303" max="14303" width="29.5" style="11" customWidth="1"/>
    <col min="14304" max="14304" width="23.625" style="11" customWidth="1"/>
    <col min="14305" max="14305" width="8" style="11" customWidth="1"/>
    <col min="14306" max="14306" width="9.125" style="11" customWidth="1"/>
    <col min="14307" max="14307" width="13.875" style="11" customWidth="1"/>
    <col min="14308" max="14308" width="13.5" style="11" customWidth="1"/>
    <col min="14309" max="14555" width="8.875" style="11"/>
    <col min="14556" max="14556" width="5" style="11" customWidth="1"/>
    <col min="14557" max="14557" width="33.375" style="11" customWidth="1"/>
    <col min="14558" max="14558" width="6.5" style="11" customWidth="1"/>
    <col min="14559" max="14559" width="29.5" style="11" customWidth="1"/>
    <col min="14560" max="14560" width="23.625" style="11" customWidth="1"/>
    <col min="14561" max="14561" width="8" style="11" customWidth="1"/>
    <col min="14562" max="14562" width="9.125" style="11" customWidth="1"/>
    <col min="14563" max="14563" width="13.875" style="11" customWidth="1"/>
    <col min="14564" max="14564" width="13.5" style="11" customWidth="1"/>
    <col min="14565" max="14811" width="8.875" style="11"/>
    <col min="14812" max="14812" width="5" style="11" customWidth="1"/>
    <col min="14813" max="14813" width="33.375" style="11" customWidth="1"/>
    <col min="14814" max="14814" width="6.5" style="11" customWidth="1"/>
    <col min="14815" max="14815" width="29.5" style="11" customWidth="1"/>
    <col min="14816" max="14816" width="23.625" style="11" customWidth="1"/>
    <col min="14817" max="14817" width="8" style="11" customWidth="1"/>
    <col min="14818" max="14818" width="9.125" style="11" customWidth="1"/>
    <col min="14819" max="14819" width="13.875" style="11" customWidth="1"/>
    <col min="14820" max="14820" width="13.5" style="11" customWidth="1"/>
    <col min="14821" max="15067" width="8.875" style="11"/>
    <col min="15068" max="15068" width="5" style="11" customWidth="1"/>
    <col min="15069" max="15069" width="33.375" style="11" customWidth="1"/>
    <col min="15070" max="15070" width="6.5" style="11" customWidth="1"/>
    <col min="15071" max="15071" width="29.5" style="11" customWidth="1"/>
    <col min="15072" max="15072" width="23.625" style="11" customWidth="1"/>
    <col min="15073" max="15073" width="8" style="11" customWidth="1"/>
    <col min="15074" max="15074" width="9.125" style="11" customWidth="1"/>
    <col min="15075" max="15075" width="13.875" style="11" customWidth="1"/>
    <col min="15076" max="15076" width="13.5" style="11" customWidth="1"/>
    <col min="15077" max="15323" width="8.875" style="11"/>
    <col min="15324" max="15324" width="5" style="11" customWidth="1"/>
    <col min="15325" max="15325" width="33.375" style="11" customWidth="1"/>
    <col min="15326" max="15326" width="6.5" style="11" customWidth="1"/>
    <col min="15327" max="15327" width="29.5" style="11" customWidth="1"/>
    <col min="15328" max="15328" width="23.625" style="11" customWidth="1"/>
    <col min="15329" max="15329" width="8" style="11" customWidth="1"/>
    <col min="15330" max="15330" width="9.125" style="11" customWidth="1"/>
    <col min="15331" max="15331" width="13.875" style="11" customWidth="1"/>
    <col min="15332" max="15332" width="13.5" style="11" customWidth="1"/>
    <col min="15333" max="15579" width="8.875" style="11"/>
    <col min="15580" max="15580" width="5" style="11" customWidth="1"/>
    <col min="15581" max="15581" width="33.375" style="11" customWidth="1"/>
    <col min="15582" max="15582" width="6.5" style="11" customWidth="1"/>
    <col min="15583" max="15583" width="29.5" style="11" customWidth="1"/>
    <col min="15584" max="15584" width="23.625" style="11" customWidth="1"/>
    <col min="15585" max="15585" width="8" style="11" customWidth="1"/>
    <col min="15586" max="15586" width="9.125" style="11" customWidth="1"/>
    <col min="15587" max="15587" width="13.875" style="11" customWidth="1"/>
    <col min="15588" max="15588" width="13.5" style="11" customWidth="1"/>
    <col min="15589" max="15835" width="8.875" style="11"/>
    <col min="15836" max="15836" width="5" style="11" customWidth="1"/>
    <col min="15837" max="15837" width="33.375" style="11" customWidth="1"/>
    <col min="15838" max="15838" width="6.5" style="11" customWidth="1"/>
    <col min="15839" max="15839" width="29.5" style="11" customWidth="1"/>
    <col min="15840" max="15840" width="23.625" style="11" customWidth="1"/>
    <col min="15841" max="15841" width="8" style="11" customWidth="1"/>
    <col min="15842" max="15842" width="9.125" style="11" customWidth="1"/>
    <col min="15843" max="15843" width="13.875" style="11" customWidth="1"/>
    <col min="15844" max="15844" width="13.5" style="11" customWidth="1"/>
    <col min="15845" max="16384" width="8.875" style="11"/>
  </cols>
  <sheetData>
    <row r="1" spans="2:14" ht="9" customHeight="1"/>
    <row r="2" spans="2:14" hidden="1">
      <c r="B2" s="140" t="s">
        <v>253</v>
      </c>
      <c r="C2" s="140" t="s">
        <v>132</v>
      </c>
      <c r="D2" s="11"/>
    </row>
    <row r="3" spans="2:14" hidden="1">
      <c r="B3" s="209" t="s">
        <v>254</v>
      </c>
      <c r="C3" s="209" t="s">
        <v>255</v>
      </c>
      <c r="D3" s="11"/>
    </row>
    <row r="4" spans="2:14" hidden="1">
      <c r="B4" s="140" t="s">
        <v>256</v>
      </c>
      <c r="C4" s="140" t="s">
        <v>133</v>
      </c>
      <c r="D4" s="11"/>
    </row>
    <row r="5" spans="2:14" ht="9.9499999999999993" hidden="1" customHeight="1"/>
    <row r="6" spans="2:14" s="102" customFormat="1" ht="21" customHeight="1">
      <c r="B6" s="101" t="s">
        <v>13</v>
      </c>
      <c r="C6" s="95" t="s">
        <v>604</v>
      </c>
      <c r="D6" s="95"/>
      <c r="E6" s="95"/>
      <c r="F6" s="95"/>
      <c r="N6" s="638"/>
    </row>
    <row r="7" spans="2:14" s="8" customFormat="1" ht="3.95" customHeight="1">
      <c r="G7" s="3"/>
      <c r="H7" s="3"/>
      <c r="I7" s="3"/>
      <c r="J7" s="3"/>
      <c r="K7" s="3"/>
      <c r="L7" s="3"/>
    </row>
    <row r="8" spans="2:14" s="9" customFormat="1" ht="25.5">
      <c r="B8" s="337" t="s">
        <v>0</v>
      </c>
      <c r="C8" s="337" t="s">
        <v>415</v>
      </c>
      <c r="D8" s="337" t="s">
        <v>241</v>
      </c>
      <c r="E8" s="337" t="s">
        <v>135</v>
      </c>
      <c r="F8" s="337" t="s">
        <v>154</v>
      </c>
      <c r="G8" s="337" t="s">
        <v>136</v>
      </c>
      <c r="H8" s="337" t="s">
        <v>154</v>
      </c>
      <c r="I8" s="337" t="s">
        <v>137</v>
      </c>
      <c r="J8" s="337" t="s">
        <v>154</v>
      </c>
      <c r="K8" s="337" t="s">
        <v>138</v>
      </c>
      <c r="L8" s="337" t="s">
        <v>154</v>
      </c>
    </row>
    <row r="9" spans="2:14" s="41" customFormat="1" ht="20.100000000000001" customHeight="1">
      <c r="B9" s="214"/>
      <c r="C9" s="214" t="s">
        <v>6</v>
      </c>
      <c r="D9" s="215">
        <v>0.4</v>
      </c>
      <c r="E9" s="338"/>
      <c r="F9" s="640">
        <v>0.4</v>
      </c>
      <c r="G9" s="339"/>
      <c r="H9" s="340"/>
      <c r="I9" s="339"/>
      <c r="J9" s="214"/>
      <c r="K9" s="339"/>
      <c r="L9" s="341"/>
      <c r="M9" s="11"/>
    </row>
    <row r="10" spans="2:14" ht="50.1" customHeight="1">
      <c r="B10" s="65">
        <v>1</v>
      </c>
      <c r="C10" s="343" t="s">
        <v>507</v>
      </c>
      <c r="D10" s="344">
        <v>0.2</v>
      </c>
      <c r="E10" s="343" t="s">
        <v>507</v>
      </c>
      <c r="F10" s="344">
        <v>0.2</v>
      </c>
      <c r="G10" s="343" t="s">
        <v>507</v>
      </c>
      <c r="H10" s="499"/>
      <c r="I10" s="343" t="s">
        <v>507</v>
      </c>
      <c r="J10" s="499"/>
      <c r="K10" s="343" t="s">
        <v>507</v>
      </c>
      <c r="L10" s="499"/>
    </row>
    <row r="11" spans="2:14" ht="51">
      <c r="B11" s="65">
        <v>2</v>
      </c>
      <c r="C11" s="343" t="s">
        <v>579</v>
      </c>
      <c r="D11" s="344">
        <v>0.2</v>
      </c>
      <c r="E11" s="360" t="s">
        <v>579</v>
      </c>
      <c r="F11" s="356">
        <v>0.2</v>
      </c>
      <c r="G11" s="360" t="s">
        <v>579</v>
      </c>
      <c r="H11" s="500"/>
      <c r="I11" s="360" t="s">
        <v>579</v>
      </c>
      <c r="J11" s="500"/>
      <c r="K11" s="360" t="s">
        <v>579</v>
      </c>
      <c r="L11" s="450"/>
    </row>
    <row r="12" spans="2:14" ht="38.25">
      <c r="B12" s="65">
        <v>3</v>
      </c>
      <c r="C12" s="343" t="s">
        <v>429</v>
      </c>
      <c r="D12" s="344">
        <v>0.2</v>
      </c>
      <c r="E12" s="343" t="s">
        <v>429</v>
      </c>
      <c r="F12" s="344">
        <v>0.2</v>
      </c>
      <c r="G12" s="343" t="s">
        <v>429</v>
      </c>
      <c r="H12" s="500"/>
      <c r="I12" s="343" t="s">
        <v>429</v>
      </c>
      <c r="J12" s="500"/>
      <c r="K12" s="343" t="s">
        <v>429</v>
      </c>
      <c r="L12" s="450"/>
    </row>
    <row r="13" spans="2:14" ht="51">
      <c r="B13" s="65">
        <v>4</v>
      </c>
      <c r="C13" s="343" t="s">
        <v>418</v>
      </c>
      <c r="D13" s="344">
        <v>0.15</v>
      </c>
      <c r="E13" s="343" t="s">
        <v>418</v>
      </c>
      <c r="F13" s="344">
        <v>0.15</v>
      </c>
      <c r="G13" s="343" t="s">
        <v>418</v>
      </c>
      <c r="H13" s="500"/>
      <c r="I13" s="343" t="s">
        <v>418</v>
      </c>
      <c r="J13" s="500"/>
      <c r="K13" s="343" t="s">
        <v>418</v>
      </c>
      <c r="L13" s="450"/>
    </row>
    <row r="14" spans="2:14" ht="51">
      <c r="B14" s="65">
        <v>5</v>
      </c>
      <c r="C14" s="343" t="s">
        <v>581</v>
      </c>
      <c r="D14" s="344">
        <v>0.25</v>
      </c>
      <c r="E14" s="343" t="s">
        <v>581</v>
      </c>
      <c r="F14" s="344">
        <v>0.25</v>
      </c>
      <c r="G14" s="1"/>
      <c r="H14" s="500"/>
      <c r="I14" s="1"/>
      <c r="J14" s="500"/>
      <c r="K14" s="1"/>
      <c r="L14" s="450"/>
    </row>
    <row r="15" spans="2:14" s="41" customFormat="1" ht="20.100000000000001" customHeight="1">
      <c r="B15" s="214"/>
      <c r="C15" s="214" t="s">
        <v>5</v>
      </c>
      <c r="D15" s="215">
        <v>0.3</v>
      </c>
      <c r="E15" s="214" t="s">
        <v>5</v>
      </c>
      <c r="F15" s="641">
        <v>0.3</v>
      </c>
      <c r="G15" s="339"/>
      <c r="H15" s="340"/>
      <c r="I15" s="339"/>
      <c r="J15" s="214"/>
      <c r="K15" s="339"/>
      <c r="L15" s="341"/>
      <c r="M15" s="11"/>
    </row>
    <row r="16" spans="2:14" ht="38.25">
      <c r="B16" s="65">
        <v>1</v>
      </c>
      <c r="C16" s="343" t="s">
        <v>583</v>
      </c>
      <c r="D16" s="344">
        <v>0.4</v>
      </c>
      <c r="E16" s="343" t="s">
        <v>599</v>
      </c>
      <c r="F16" s="344">
        <v>0.5</v>
      </c>
      <c r="G16" s="343" t="s">
        <v>629</v>
      </c>
      <c r="H16" s="500"/>
      <c r="I16" s="343" t="s">
        <v>630</v>
      </c>
      <c r="J16" s="500"/>
      <c r="K16" s="343" t="s">
        <v>631</v>
      </c>
      <c r="L16" s="450"/>
    </row>
    <row r="17" spans="2:15" ht="25.5">
      <c r="B17" s="65">
        <v>2</v>
      </c>
      <c r="C17" s="343" t="s">
        <v>421</v>
      </c>
      <c r="D17" s="344">
        <v>0.4</v>
      </c>
      <c r="E17" s="343"/>
      <c r="F17" s="344"/>
      <c r="G17" s="343" t="s">
        <v>421</v>
      </c>
      <c r="H17" s="500"/>
      <c r="I17" s="343" t="s">
        <v>421</v>
      </c>
      <c r="J17" s="500"/>
      <c r="K17" s="343"/>
      <c r="L17" s="450"/>
    </row>
    <row r="18" spans="2:15" ht="63.75">
      <c r="B18" s="65">
        <v>3</v>
      </c>
      <c r="C18" s="639" t="s">
        <v>636</v>
      </c>
      <c r="D18" s="347">
        <v>0.2</v>
      </c>
      <c r="E18" s="343" t="s">
        <v>623</v>
      </c>
      <c r="F18" s="344">
        <v>0.5</v>
      </c>
      <c r="G18" s="343" t="s">
        <v>633</v>
      </c>
      <c r="H18" s="500"/>
      <c r="I18" s="343" t="s">
        <v>656</v>
      </c>
      <c r="J18" s="500"/>
      <c r="K18" s="343" t="s">
        <v>635</v>
      </c>
      <c r="L18" s="450"/>
    </row>
    <row r="19" spans="2:15" s="41" customFormat="1" ht="20.100000000000001" customHeight="1">
      <c r="B19" s="214"/>
      <c r="C19" s="214" t="s">
        <v>7</v>
      </c>
      <c r="D19" s="215">
        <v>0.15</v>
      </c>
      <c r="E19" s="214" t="s">
        <v>7</v>
      </c>
      <c r="F19" s="640">
        <v>0.15</v>
      </c>
      <c r="G19" s="339"/>
      <c r="H19" s="340"/>
      <c r="I19" s="339"/>
      <c r="J19" s="214"/>
      <c r="K19" s="339"/>
      <c r="L19" s="341"/>
      <c r="M19" s="11"/>
    </row>
    <row r="20" spans="2:15" ht="51">
      <c r="B20" s="65">
        <v>1</v>
      </c>
      <c r="C20" s="343" t="s">
        <v>588</v>
      </c>
      <c r="D20" s="344">
        <v>0.25</v>
      </c>
      <c r="E20" s="361" t="s">
        <v>601</v>
      </c>
      <c r="F20" s="347">
        <v>0.3</v>
      </c>
      <c r="G20" s="361" t="s">
        <v>601</v>
      </c>
      <c r="H20" s="499"/>
      <c r="I20" s="361" t="s">
        <v>601</v>
      </c>
      <c r="J20" s="499"/>
      <c r="K20" s="361" t="s">
        <v>601</v>
      </c>
      <c r="L20" s="499"/>
    </row>
    <row r="21" spans="2:15" ht="38.25">
      <c r="B21" s="65">
        <v>2</v>
      </c>
      <c r="C21" s="343" t="s">
        <v>424</v>
      </c>
      <c r="D21" s="344">
        <v>0.15</v>
      </c>
      <c r="E21" s="343"/>
      <c r="F21" s="347"/>
      <c r="G21" s="343" t="s">
        <v>424</v>
      </c>
      <c r="H21" s="500"/>
      <c r="I21" s="343" t="s">
        <v>424</v>
      </c>
      <c r="J21" s="500"/>
      <c r="K21" s="343"/>
      <c r="L21" s="450"/>
    </row>
    <row r="22" spans="2:15" ht="51">
      <c r="B22" s="65">
        <v>3</v>
      </c>
      <c r="C22" s="343" t="s">
        <v>391</v>
      </c>
      <c r="D22" s="344">
        <v>0.2</v>
      </c>
      <c r="E22" s="343" t="s">
        <v>391</v>
      </c>
      <c r="F22" s="347">
        <v>0.3</v>
      </c>
      <c r="G22" s="343" t="s">
        <v>391</v>
      </c>
      <c r="H22" s="500"/>
      <c r="I22" s="343" t="s">
        <v>391</v>
      </c>
      <c r="J22" s="500"/>
      <c r="K22" s="343" t="s">
        <v>391</v>
      </c>
      <c r="L22" s="450"/>
    </row>
    <row r="23" spans="2:15" ht="72" customHeight="1">
      <c r="B23" s="65">
        <v>4</v>
      </c>
      <c r="C23" s="453" t="s">
        <v>654</v>
      </c>
      <c r="D23" s="344">
        <v>0.15</v>
      </c>
      <c r="E23" s="453" t="s">
        <v>651</v>
      </c>
      <c r="F23" s="347">
        <v>0.2</v>
      </c>
      <c r="G23" s="453" t="s">
        <v>654</v>
      </c>
      <c r="H23" s="500"/>
      <c r="I23" s="453" t="s">
        <v>654</v>
      </c>
      <c r="J23" s="500"/>
      <c r="K23" s="453" t="s">
        <v>654</v>
      </c>
      <c r="L23" s="450"/>
    </row>
    <row r="24" spans="2:15" ht="33.950000000000003" customHeight="1">
      <c r="B24" s="65">
        <v>5</v>
      </c>
      <c r="C24" s="343" t="s">
        <v>591</v>
      </c>
      <c r="D24" s="344">
        <v>0.25</v>
      </c>
      <c r="E24" s="343" t="s">
        <v>603</v>
      </c>
      <c r="F24" s="347">
        <v>0.2</v>
      </c>
      <c r="G24" s="343" t="s">
        <v>643</v>
      </c>
      <c r="H24" s="500"/>
      <c r="I24" s="343" t="s">
        <v>644</v>
      </c>
      <c r="J24" s="500"/>
      <c r="K24" s="343" t="s">
        <v>645</v>
      </c>
      <c r="L24" s="450"/>
    </row>
    <row r="25" spans="2:15" s="41" customFormat="1" ht="20.100000000000001" customHeight="1">
      <c r="B25" s="214"/>
      <c r="C25" s="214" t="s">
        <v>406</v>
      </c>
      <c r="D25" s="215">
        <v>0.15</v>
      </c>
      <c r="E25" s="214" t="s">
        <v>406</v>
      </c>
      <c r="F25" s="640">
        <v>0.15</v>
      </c>
      <c r="G25" s="339"/>
      <c r="H25" s="340"/>
      <c r="I25" s="339"/>
      <c r="J25" s="214"/>
      <c r="K25" s="339"/>
      <c r="L25" s="341"/>
      <c r="M25" s="11"/>
    </row>
    <row r="26" spans="2:15" ht="25.5">
      <c r="B26" s="65">
        <v>1</v>
      </c>
      <c r="C26" s="343" t="s">
        <v>593</v>
      </c>
      <c r="D26" s="344">
        <v>0.4</v>
      </c>
      <c r="E26" s="492" t="s">
        <v>639</v>
      </c>
      <c r="F26" s="348">
        <v>1</v>
      </c>
      <c r="G26" s="492" t="s">
        <v>640</v>
      </c>
      <c r="H26" s="500"/>
      <c r="I26" s="31" t="s">
        <v>641</v>
      </c>
      <c r="J26" s="500"/>
      <c r="K26" s="1" t="s">
        <v>593</v>
      </c>
      <c r="L26" s="450"/>
    </row>
    <row r="27" spans="2:15" ht="60.95" customHeight="1">
      <c r="B27" s="65">
        <v>2</v>
      </c>
      <c r="C27" s="343" t="s">
        <v>595</v>
      </c>
      <c r="D27" s="344">
        <v>0.15</v>
      </c>
      <c r="E27" s="343"/>
      <c r="F27" s="348"/>
      <c r="G27" s="343" t="s">
        <v>595</v>
      </c>
      <c r="H27" s="500"/>
      <c r="I27" s="343" t="s">
        <v>595</v>
      </c>
      <c r="J27" s="500"/>
      <c r="K27" s="343"/>
      <c r="L27" s="450"/>
    </row>
    <row r="28" spans="2:15" ht="21" customHeight="1">
      <c r="B28" s="65">
        <v>3</v>
      </c>
      <c r="C28" s="343" t="s">
        <v>398</v>
      </c>
      <c r="D28" s="344">
        <v>0.2</v>
      </c>
      <c r="E28" s="343"/>
      <c r="F28" s="348"/>
      <c r="G28" s="343" t="s">
        <v>437</v>
      </c>
      <c r="H28" s="500"/>
      <c r="I28" s="343" t="s">
        <v>608</v>
      </c>
      <c r="J28" s="500"/>
      <c r="K28" s="343"/>
      <c r="L28" s="450"/>
    </row>
    <row r="29" spans="2:15" ht="36.950000000000003" customHeight="1">
      <c r="B29" s="65">
        <v>4</v>
      </c>
      <c r="C29" s="343" t="s">
        <v>596</v>
      </c>
      <c r="D29" s="344">
        <v>0.25</v>
      </c>
      <c r="E29" s="343"/>
      <c r="F29" s="348"/>
      <c r="G29" s="343"/>
      <c r="H29" s="500"/>
      <c r="I29" s="343" t="s">
        <v>596</v>
      </c>
      <c r="J29" s="500"/>
      <c r="K29" s="343"/>
      <c r="L29" s="450"/>
    </row>
    <row r="30" spans="2:15" s="13" customFormat="1">
      <c r="B30" s="501"/>
      <c r="C30" s="501" t="s">
        <v>3</v>
      </c>
      <c r="D30" s="359">
        <f>D9+D15+D19+D25</f>
        <v>1</v>
      </c>
      <c r="E30" s="214"/>
      <c r="F30" s="359">
        <f>F9+F15+F19+F25</f>
        <v>1</v>
      </c>
      <c r="G30" s="460"/>
      <c r="H30" s="359">
        <f>H9+H15+H19+H25</f>
        <v>0</v>
      </c>
      <c r="I30" s="460"/>
      <c r="J30" s="359">
        <f>J9+J15+J19+J25</f>
        <v>0</v>
      </c>
      <c r="K30" s="460"/>
      <c r="L30" s="359">
        <f>L9+L15+L19+L25</f>
        <v>0</v>
      </c>
    </row>
    <row r="32" spans="2:15" ht="15.95" customHeight="1">
      <c r="B32" s="5"/>
      <c r="C32" s="37" t="s">
        <v>34</v>
      </c>
      <c r="D32" s="38"/>
      <c r="E32" s="975" t="s">
        <v>35</v>
      </c>
      <c r="F32" s="975"/>
      <c r="G32" s="975"/>
      <c r="H32" s="37"/>
      <c r="I32" s="975" t="s">
        <v>249</v>
      </c>
      <c r="J32" s="975"/>
      <c r="K32" s="975"/>
      <c r="L32" s="38"/>
      <c r="M32" s="38"/>
      <c r="N32" s="38"/>
      <c r="O32" s="38"/>
    </row>
    <row r="33" spans="2:15">
      <c r="B33" s="5"/>
      <c r="C33" s="6"/>
      <c r="D33" s="5"/>
      <c r="E33" s="972"/>
      <c r="F33" s="972"/>
      <c r="G33" s="972"/>
      <c r="H33" s="6"/>
      <c r="I33" s="6"/>
      <c r="J33" s="6"/>
      <c r="K33" s="972"/>
      <c r="L33" s="972"/>
      <c r="M33" s="972"/>
      <c r="N33" s="972"/>
      <c r="O33" s="5"/>
    </row>
    <row r="34" spans="2:15">
      <c r="B34" s="5"/>
      <c r="C34" s="6"/>
      <c r="D34" s="59"/>
      <c r="E34" s="58"/>
      <c r="F34" s="58"/>
      <c r="G34" s="6"/>
      <c r="H34" s="6"/>
      <c r="I34" s="6"/>
      <c r="J34" s="6"/>
      <c r="K34" s="2"/>
      <c r="L34" s="6"/>
      <c r="M34" s="6"/>
      <c r="N34" s="60"/>
      <c r="O34" s="60"/>
    </row>
    <row r="35" spans="2:15">
      <c r="B35" s="5"/>
      <c r="C35" s="6"/>
      <c r="D35" s="59"/>
      <c r="E35" s="58"/>
      <c r="F35" s="58"/>
      <c r="G35" s="6"/>
      <c r="H35" s="6"/>
      <c r="I35" s="6"/>
      <c r="J35" s="6"/>
      <c r="K35" s="2"/>
      <c r="L35" s="6"/>
      <c r="M35" s="6"/>
      <c r="N35" s="60"/>
      <c r="O35" s="60"/>
    </row>
    <row r="36" spans="2:15">
      <c r="B36" s="5"/>
      <c r="C36" s="6"/>
      <c r="D36" s="59"/>
      <c r="E36" s="58"/>
      <c r="F36" s="58"/>
      <c r="G36" s="6"/>
      <c r="H36" s="6"/>
      <c r="I36" s="6"/>
      <c r="J36" s="6"/>
      <c r="K36" s="2"/>
      <c r="L36" s="6"/>
      <c r="M36" s="6"/>
      <c r="N36" s="60"/>
      <c r="O36" s="60"/>
    </row>
    <row r="37" spans="2:15">
      <c r="B37" s="5"/>
      <c r="C37" s="6"/>
      <c r="D37" s="59"/>
      <c r="E37" s="58"/>
      <c r="F37" s="58"/>
      <c r="G37" s="6"/>
      <c r="H37" s="6"/>
      <c r="I37" s="6"/>
      <c r="J37" s="6"/>
      <c r="K37" s="2"/>
      <c r="L37" s="6"/>
      <c r="M37" s="6"/>
      <c r="N37" s="60"/>
      <c r="O37" s="60"/>
    </row>
    <row r="38" spans="2:15">
      <c r="B38" s="5"/>
      <c r="C38" s="6"/>
      <c r="D38" s="59"/>
      <c r="E38" s="58"/>
      <c r="F38" s="58"/>
      <c r="G38" s="6"/>
      <c r="H38" s="6"/>
      <c r="I38" s="6"/>
      <c r="J38" s="6"/>
      <c r="K38" s="2"/>
      <c r="L38" s="6"/>
      <c r="M38" s="6"/>
      <c r="N38" s="60"/>
      <c r="O38" s="60"/>
    </row>
    <row r="39" spans="2:15" ht="15.95" customHeight="1">
      <c r="B39" s="5"/>
      <c r="C39" s="6" t="s">
        <v>29</v>
      </c>
      <c r="D39" s="5"/>
      <c r="E39" s="972" t="s">
        <v>29</v>
      </c>
      <c r="F39" s="972"/>
      <c r="G39" s="972"/>
      <c r="H39" s="6"/>
      <c r="I39" s="972" t="s">
        <v>29</v>
      </c>
      <c r="J39" s="972"/>
      <c r="K39" s="972"/>
      <c r="L39" s="5"/>
      <c r="M39" s="5"/>
      <c r="N39" s="5"/>
      <c r="O39" s="5"/>
    </row>
  </sheetData>
  <mergeCells count="6">
    <mergeCell ref="K33:N33"/>
    <mergeCell ref="E39:G39"/>
    <mergeCell ref="I32:K32"/>
    <mergeCell ref="I39:K39"/>
    <mergeCell ref="E32:G32"/>
    <mergeCell ref="E33:G33"/>
  </mergeCells>
  <phoneticPr fontId="6" type="noConversion"/>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1:X35"/>
  <sheetViews>
    <sheetView showGridLines="0" zoomScale="125" workbookViewId="0">
      <pane xSplit="4" ySplit="9" topLeftCell="E10" activePane="bottomRight" state="frozen"/>
      <selection pane="topRight" activeCell="E1" sqref="E1"/>
      <selection pane="bottomLeft" activeCell="A10" sqref="A10"/>
      <selection pane="bottomRight" activeCell="E13" sqref="E13"/>
    </sheetView>
  </sheetViews>
  <sheetFormatPr defaultColWidth="8.875" defaultRowHeight="12.75"/>
  <cols>
    <col min="1" max="1" width="1.125" style="647" customWidth="1"/>
    <col min="2" max="2" width="6.375" style="647" customWidth="1"/>
    <col min="3" max="3" width="29.625" style="647" customWidth="1"/>
    <col min="4" max="4" width="7.375" style="706" customWidth="1"/>
    <col min="5" max="5" width="31.125" style="647" customWidth="1"/>
    <col min="6" max="6" width="5.625" style="706" customWidth="1"/>
    <col min="7" max="7" width="31.125" style="647" customWidth="1"/>
    <col min="8" max="8" width="6" style="706" customWidth="1"/>
    <col min="9" max="9" width="31.125" style="647" customWidth="1"/>
    <col min="10" max="10" width="7.625" style="707" customWidth="1"/>
    <col min="11" max="11" width="31.125" style="647" customWidth="1"/>
    <col min="12" max="12" width="5.375" style="706" customWidth="1"/>
    <col min="13" max="13" width="31.125" style="647" customWidth="1"/>
    <col min="14" max="14" width="6" style="706" customWidth="1"/>
    <col min="15" max="15" width="31.125" style="647" customWidth="1"/>
    <col min="16" max="16" width="7.125" style="706" customWidth="1"/>
    <col min="17" max="17" width="31.125" style="647" customWidth="1"/>
    <col min="18" max="18" width="9.375" style="647" customWidth="1"/>
    <col min="19" max="19" width="31.125" style="647" customWidth="1"/>
    <col min="20" max="20" width="5.875" style="706" customWidth="1"/>
    <col min="21" max="228" width="8.875" style="647"/>
    <col min="229" max="229" width="5" style="647" customWidth="1"/>
    <col min="230" max="230" width="33.375" style="647" customWidth="1"/>
    <col min="231" max="231" width="6.5" style="647" customWidth="1"/>
    <col min="232" max="232" width="29.5" style="647" customWidth="1"/>
    <col min="233" max="233" width="23.625" style="647" customWidth="1"/>
    <col min="234" max="234" width="8" style="647" customWidth="1"/>
    <col min="235" max="235" width="9.125" style="647" customWidth="1"/>
    <col min="236" max="236" width="13.875" style="647" customWidth="1"/>
    <col min="237" max="237" width="13.5" style="647" customWidth="1"/>
    <col min="238" max="484" width="8.875" style="647"/>
    <col min="485" max="485" width="5" style="647" customWidth="1"/>
    <col min="486" max="486" width="33.375" style="647" customWidth="1"/>
    <col min="487" max="487" width="6.5" style="647" customWidth="1"/>
    <col min="488" max="488" width="29.5" style="647" customWidth="1"/>
    <col min="489" max="489" width="23.625" style="647" customWidth="1"/>
    <col min="490" max="490" width="8" style="647" customWidth="1"/>
    <col min="491" max="491" width="9.125" style="647" customWidth="1"/>
    <col min="492" max="492" width="13.875" style="647" customWidth="1"/>
    <col min="493" max="493" width="13.5" style="647" customWidth="1"/>
    <col min="494" max="740" width="8.875" style="647"/>
    <col min="741" max="741" width="5" style="647" customWidth="1"/>
    <col min="742" max="742" width="33.375" style="647" customWidth="1"/>
    <col min="743" max="743" width="6.5" style="647" customWidth="1"/>
    <col min="744" max="744" width="29.5" style="647" customWidth="1"/>
    <col min="745" max="745" width="23.625" style="647" customWidth="1"/>
    <col min="746" max="746" width="8" style="647" customWidth="1"/>
    <col min="747" max="747" width="9.125" style="647" customWidth="1"/>
    <col min="748" max="748" width="13.875" style="647" customWidth="1"/>
    <col min="749" max="749" width="13.5" style="647" customWidth="1"/>
    <col min="750" max="996" width="8.875" style="647"/>
    <col min="997" max="997" width="5" style="647" customWidth="1"/>
    <col min="998" max="998" width="33.375" style="647" customWidth="1"/>
    <col min="999" max="999" width="6.5" style="647" customWidth="1"/>
    <col min="1000" max="1000" width="29.5" style="647" customWidth="1"/>
    <col min="1001" max="1001" width="23.625" style="647" customWidth="1"/>
    <col min="1002" max="1002" width="8" style="647" customWidth="1"/>
    <col min="1003" max="1003" width="9.125" style="647" customWidth="1"/>
    <col min="1004" max="1004" width="13.875" style="647" customWidth="1"/>
    <col min="1005" max="1005" width="13.5" style="647" customWidth="1"/>
    <col min="1006" max="1252" width="8.875" style="647"/>
    <col min="1253" max="1253" width="5" style="647" customWidth="1"/>
    <col min="1254" max="1254" width="33.375" style="647" customWidth="1"/>
    <col min="1255" max="1255" width="6.5" style="647" customWidth="1"/>
    <col min="1256" max="1256" width="29.5" style="647" customWidth="1"/>
    <col min="1257" max="1257" width="23.625" style="647" customWidth="1"/>
    <col min="1258" max="1258" width="8" style="647" customWidth="1"/>
    <col min="1259" max="1259" width="9.125" style="647" customWidth="1"/>
    <col min="1260" max="1260" width="13.875" style="647" customWidth="1"/>
    <col min="1261" max="1261" width="13.5" style="647" customWidth="1"/>
    <col min="1262" max="1508" width="8.875" style="647"/>
    <col min="1509" max="1509" width="5" style="647" customWidth="1"/>
    <col min="1510" max="1510" width="33.375" style="647" customWidth="1"/>
    <col min="1511" max="1511" width="6.5" style="647" customWidth="1"/>
    <col min="1512" max="1512" width="29.5" style="647" customWidth="1"/>
    <col min="1513" max="1513" width="23.625" style="647" customWidth="1"/>
    <col min="1514" max="1514" width="8" style="647" customWidth="1"/>
    <col min="1515" max="1515" width="9.125" style="647" customWidth="1"/>
    <col min="1516" max="1516" width="13.875" style="647" customWidth="1"/>
    <col min="1517" max="1517" width="13.5" style="647" customWidth="1"/>
    <col min="1518" max="1764" width="8.875" style="647"/>
    <col min="1765" max="1765" width="5" style="647" customWidth="1"/>
    <col min="1766" max="1766" width="33.375" style="647" customWidth="1"/>
    <col min="1767" max="1767" width="6.5" style="647" customWidth="1"/>
    <col min="1768" max="1768" width="29.5" style="647" customWidth="1"/>
    <col min="1769" max="1769" width="23.625" style="647" customWidth="1"/>
    <col min="1770" max="1770" width="8" style="647" customWidth="1"/>
    <col min="1771" max="1771" width="9.125" style="647" customWidth="1"/>
    <col min="1772" max="1772" width="13.875" style="647" customWidth="1"/>
    <col min="1773" max="1773" width="13.5" style="647" customWidth="1"/>
    <col min="1774" max="2020" width="8.875" style="647"/>
    <col min="2021" max="2021" width="5" style="647" customWidth="1"/>
    <col min="2022" max="2022" width="33.375" style="647" customWidth="1"/>
    <col min="2023" max="2023" width="6.5" style="647" customWidth="1"/>
    <col min="2024" max="2024" width="29.5" style="647" customWidth="1"/>
    <col min="2025" max="2025" width="23.625" style="647" customWidth="1"/>
    <col min="2026" max="2026" width="8" style="647" customWidth="1"/>
    <col min="2027" max="2027" width="9.125" style="647" customWidth="1"/>
    <col min="2028" max="2028" width="13.875" style="647" customWidth="1"/>
    <col min="2029" max="2029" width="13.5" style="647" customWidth="1"/>
    <col min="2030" max="2276" width="8.875" style="647"/>
    <col min="2277" max="2277" width="5" style="647" customWidth="1"/>
    <col min="2278" max="2278" width="33.375" style="647" customWidth="1"/>
    <col min="2279" max="2279" width="6.5" style="647" customWidth="1"/>
    <col min="2280" max="2280" width="29.5" style="647" customWidth="1"/>
    <col min="2281" max="2281" width="23.625" style="647" customWidth="1"/>
    <col min="2282" max="2282" width="8" style="647" customWidth="1"/>
    <col min="2283" max="2283" width="9.125" style="647" customWidth="1"/>
    <col min="2284" max="2284" width="13.875" style="647" customWidth="1"/>
    <col min="2285" max="2285" width="13.5" style="647" customWidth="1"/>
    <col min="2286" max="2532" width="8.875" style="647"/>
    <col min="2533" max="2533" width="5" style="647" customWidth="1"/>
    <col min="2534" max="2534" width="33.375" style="647" customWidth="1"/>
    <col min="2535" max="2535" width="6.5" style="647" customWidth="1"/>
    <col min="2536" max="2536" width="29.5" style="647" customWidth="1"/>
    <col min="2537" max="2537" width="23.625" style="647" customWidth="1"/>
    <col min="2538" max="2538" width="8" style="647" customWidth="1"/>
    <col min="2539" max="2539" width="9.125" style="647" customWidth="1"/>
    <col min="2540" max="2540" width="13.875" style="647" customWidth="1"/>
    <col min="2541" max="2541" width="13.5" style="647" customWidth="1"/>
    <col min="2542" max="2788" width="8.875" style="647"/>
    <col min="2789" max="2789" width="5" style="647" customWidth="1"/>
    <col min="2790" max="2790" width="33.375" style="647" customWidth="1"/>
    <col min="2791" max="2791" width="6.5" style="647" customWidth="1"/>
    <col min="2792" max="2792" width="29.5" style="647" customWidth="1"/>
    <col min="2793" max="2793" width="23.625" style="647" customWidth="1"/>
    <col min="2794" max="2794" width="8" style="647" customWidth="1"/>
    <col min="2795" max="2795" width="9.125" style="647" customWidth="1"/>
    <col min="2796" max="2796" width="13.875" style="647" customWidth="1"/>
    <col min="2797" max="2797" width="13.5" style="647" customWidth="1"/>
    <col min="2798" max="3044" width="8.875" style="647"/>
    <col min="3045" max="3045" width="5" style="647" customWidth="1"/>
    <col min="3046" max="3046" width="33.375" style="647" customWidth="1"/>
    <col min="3047" max="3047" width="6.5" style="647" customWidth="1"/>
    <col min="3048" max="3048" width="29.5" style="647" customWidth="1"/>
    <col min="3049" max="3049" width="23.625" style="647" customWidth="1"/>
    <col min="3050" max="3050" width="8" style="647" customWidth="1"/>
    <col min="3051" max="3051" width="9.125" style="647" customWidth="1"/>
    <col min="3052" max="3052" width="13.875" style="647" customWidth="1"/>
    <col min="3053" max="3053" width="13.5" style="647" customWidth="1"/>
    <col min="3054" max="3300" width="8.875" style="647"/>
    <col min="3301" max="3301" width="5" style="647" customWidth="1"/>
    <col min="3302" max="3302" width="33.375" style="647" customWidth="1"/>
    <col min="3303" max="3303" width="6.5" style="647" customWidth="1"/>
    <col min="3304" max="3304" width="29.5" style="647" customWidth="1"/>
    <col min="3305" max="3305" width="23.625" style="647" customWidth="1"/>
    <col min="3306" max="3306" width="8" style="647" customWidth="1"/>
    <col min="3307" max="3307" width="9.125" style="647" customWidth="1"/>
    <col min="3308" max="3308" width="13.875" style="647" customWidth="1"/>
    <col min="3309" max="3309" width="13.5" style="647" customWidth="1"/>
    <col min="3310" max="3556" width="8.875" style="647"/>
    <col min="3557" max="3557" width="5" style="647" customWidth="1"/>
    <col min="3558" max="3558" width="33.375" style="647" customWidth="1"/>
    <col min="3559" max="3559" width="6.5" style="647" customWidth="1"/>
    <col min="3560" max="3560" width="29.5" style="647" customWidth="1"/>
    <col min="3561" max="3561" width="23.625" style="647" customWidth="1"/>
    <col min="3562" max="3562" width="8" style="647" customWidth="1"/>
    <col min="3563" max="3563" width="9.125" style="647" customWidth="1"/>
    <col min="3564" max="3564" width="13.875" style="647" customWidth="1"/>
    <col min="3565" max="3565" width="13.5" style="647" customWidth="1"/>
    <col min="3566" max="3812" width="8.875" style="647"/>
    <col min="3813" max="3813" width="5" style="647" customWidth="1"/>
    <col min="3814" max="3814" width="33.375" style="647" customWidth="1"/>
    <col min="3815" max="3815" width="6.5" style="647" customWidth="1"/>
    <col min="3816" max="3816" width="29.5" style="647" customWidth="1"/>
    <col min="3817" max="3817" width="23.625" style="647" customWidth="1"/>
    <col min="3818" max="3818" width="8" style="647" customWidth="1"/>
    <col min="3819" max="3819" width="9.125" style="647" customWidth="1"/>
    <col min="3820" max="3820" width="13.875" style="647" customWidth="1"/>
    <col min="3821" max="3821" width="13.5" style="647" customWidth="1"/>
    <col min="3822" max="4068" width="8.875" style="647"/>
    <col min="4069" max="4069" width="5" style="647" customWidth="1"/>
    <col min="4070" max="4070" width="33.375" style="647" customWidth="1"/>
    <col min="4071" max="4071" width="6.5" style="647" customWidth="1"/>
    <col min="4072" max="4072" width="29.5" style="647" customWidth="1"/>
    <col min="4073" max="4073" width="23.625" style="647" customWidth="1"/>
    <col min="4074" max="4074" width="8" style="647" customWidth="1"/>
    <col min="4075" max="4075" width="9.125" style="647" customWidth="1"/>
    <col min="4076" max="4076" width="13.875" style="647" customWidth="1"/>
    <col min="4077" max="4077" width="13.5" style="647" customWidth="1"/>
    <col min="4078" max="4324" width="8.875" style="647"/>
    <col min="4325" max="4325" width="5" style="647" customWidth="1"/>
    <col min="4326" max="4326" width="33.375" style="647" customWidth="1"/>
    <col min="4327" max="4327" width="6.5" style="647" customWidth="1"/>
    <col min="4328" max="4328" width="29.5" style="647" customWidth="1"/>
    <col min="4329" max="4329" width="23.625" style="647" customWidth="1"/>
    <col min="4330" max="4330" width="8" style="647" customWidth="1"/>
    <col min="4331" max="4331" width="9.125" style="647" customWidth="1"/>
    <col min="4332" max="4332" width="13.875" style="647" customWidth="1"/>
    <col min="4333" max="4333" width="13.5" style="647" customWidth="1"/>
    <col min="4334" max="4580" width="8.875" style="647"/>
    <col min="4581" max="4581" width="5" style="647" customWidth="1"/>
    <col min="4582" max="4582" width="33.375" style="647" customWidth="1"/>
    <col min="4583" max="4583" width="6.5" style="647" customWidth="1"/>
    <col min="4584" max="4584" width="29.5" style="647" customWidth="1"/>
    <col min="4585" max="4585" width="23.625" style="647" customWidth="1"/>
    <col min="4586" max="4586" width="8" style="647" customWidth="1"/>
    <col min="4587" max="4587" width="9.125" style="647" customWidth="1"/>
    <col min="4588" max="4588" width="13.875" style="647" customWidth="1"/>
    <col min="4589" max="4589" width="13.5" style="647" customWidth="1"/>
    <col min="4590" max="4836" width="8.875" style="647"/>
    <col min="4837" max="4837" width="5" style="647" customWidth="1"/>
    <col min="4838" max="4838" width="33.375" style="647" customWidth="1"/>
    <col min="4839" max="4839" width="6.5" style="647" customWidth="1"/>
    <col min="4840" max="4840" width="29.5" style="647" customWidth="1"/>
    <col min="4841" max="4841" width="23.625" style="647" customWidth="1"/>
    <col min="4842" max="4842" width="8" style="647" customWidth="1"/>
    <col min="4843" max="4843" width="9.125" style="647" customWidth="1"/>
    <col min="4844" max="4844" width="13.875" style="647" customWidth="1"/>
    <col min="4845" max="4845" width="13.5" style="647" customWidth="1"/>
    <col min="4846" max="5092" width="8.875" style="647"/>
    <col min="5093" max="5093" width="5" style="647" customWidth="1"/>
    <col min="5094" max="5094" width="33.375" style="647" customWidth="1"/>
    <col min="5095" max="5095" width="6.5" style="647" customWidth="1"/>
    <col min="5096" max="5096" width="29.5" style="647" customWidth="1"/>
    <col min="5097" max="5097" width="23.625" style="647" customWidth="1"/>
    <col min="5098" max="5098" width="8" style="647" customWidth="1"/>
    <col min="5099" max="5099" width="9.125" style="647" customWidth="1"/>
    <col min="5100" max="5100" width="13.875" style="647" customWidth="1"/>
    <col min="5101" max="5101" width="13.5" style="647" customWidth="1"/>
    <col min="5102" max="5348" width="8.875" style="647"/>
    <col min="5349" max="5349" width="5" style="647" customWidth="1"/>
    <col min="5350" max="5350" width="33.375" style="647" customWidth="1"/>
    <col min="5351" max="5351" width="6.5" style="647" customWidth="1"/>
    <col min="5352" max="5352" width="29.5" style="647" customWidth="1"/>
    <col min="5353" max="5353" width="23.625" style="647" customWidth="1"/>
    <col min="5354" max="5354" width="8" style="647" customWidth="1"/>
    <col min="5355" max="5355" width="9.125" style="647" customWidth="1"/>
    <col min="5356" max="5356" width="13.875" style="647" customWidth="1"/>
    <col min="5357" max="5357" width="13.5" style="647" customWidth="1"/>
    <col min="5358" max="5604" width="8.875" style="647"/>
    <col min="5605" max="5605" width="5" style="647" customWidth="1"/>
    <col min="5606" max="5606" width="33.375" style="647" customWidth="1"/>
    <col min="5607" max="5607" width="6.5" style="647" customWidth="1"/>
    <col min="5608" max="5608" width="29.5" style="647" customWidth="1"/>
    <col min="5609" max="5609" width="23.625" style="647" customWidth="1"/>
    <col min="5610" max="5610" width="8" style="647" customWidth="1"/>
    <col min="5611" max="5611" width="9.125" style="647" customWidth="1"/>
    <col min="5612" max="5612" width="13.875" style="647" customWidth="1"/>
    <col min="5613" max="5613" width="13.5" style="647" customWidth="1"/>
    <col min="5614" max="5860" width="8.875" style="647"/>
    <col min="5861" max="5861" width="5" style="647" customWidth="1"/>
    <col min="5862" max="5862" width="33.375" style="647" customWidth="1"/>
    <col min="5863" max="5863" width="6.5" style="647" customWidth="1"/>
    <col min="5864" max="5864" width="29.5" style="647" customWidth="1"/>
    <col min="5865" max="5865" width="23.625" style="647" customWidth="1"/>
    <col min="5866" max="5866" width="8" style="647" customWidth="1"/>
    <col min="5867" max="5867" width="9.125" style="647" customWidth="1"/>
    <col min="5868" max="5868" width="13.875" style="647" customWidth="1"/>
    <col min="5869" max="5869" width="13.5" style="647" customWidth="1"/>
    <col min="5870" max="6116" width="8.875" style="647"/>
    <col min="6117" max="6117" width="5" style="647" customWidth="1"/>
    <col min="6118" max="6118" width="33.375" style="647" customWidth="1"/>
    <col min="6119" max="6119" width="6.5" style="647" customWidth="1"/>
    <col min="6120" max="6120" width="29.5" style="647" customWidth="1"/>
    <col min="6121" max="6121" width="23.625" style="647" customWidth="1"/>
    <col min="6122" max="6122" width="8" style="647" customWidth="1"/>
    <col min="6123" max="6123" width="9.125" style="647" customWidth="1"/>
    <col min="6124" max="6124" width="13.875" style="647" customWidth="1"/>
    <col min="6125" max="6125" width="13.5" style="647" customWidth="1"/>
    <col min="6126" max="6372" width="8.875" style="647"/>
    <col min="6373" max="6373" width="5" style="647" customWidth="1"/>
    <col min="6374" max="6374" width="33.375" style="647" customWidth="1"/>
    <col min="6375" max="6375" width="6.5" style="647" customWidth="1"/>
    <col min="6376" max="6376" width="29.5" style="647" customWidth="1"/>
    <col min="6377" max="6377" width="23.625" style="647" customWidth="1"/>
    <col min="6378" max="6378" width="8" style="647" customWidth="1"/>
    <col min="6379" max="6379" width="9.125" style="647" customWidth="1"/>
    <col min="6380" max="6380" width="13.875" style="647" customWidth="1"/>
    <col min="6381" max="6381" width="13.5" style="647" customWidth="1"/>
    <col min="6382" max="6628" width="8.875" style="647"/>
    <col min="6629" max="6629" width="5" style="647" customWidth="1"/>
    <col min="6630" max="6630" width="33.375" style="647" customWidth="1"/>
    <col min="6631" max="6631" width="6.5" style="647" customWidth="1"/>
    <col min="6632" max="6632" width="29.5" style="647" customWidth="1"/>
    <col min="6633" max="6633" width="23.625" style="647" customWidth="1"/>
    <col min="6634" max="6634" width="8" style="647" customWidth="1"/>
    <col min="6635" max="6635" width="9.125" style="647" customWidth="1"/>
    <col min="6636" max="6636" width="13.875" style="647" customWidth="1"/>
    <col min="6637" max="6637" width="13.5" style="647" customWidth="1"/>
    <col min="6638" max="6884" width="8.875" style="647"/>
    <col min="6885" max="6885" width="5" style="647" customWidth="1"/>
    <col min="6886" max="6886" width="33.375" style="647" customWidth="1"/>
    <col min="6887" max="6887" width="6.5" style="647" customWidth="1"/>
    <col min="6888" max="6888" width="29.5" style="647" customWidth="1"/>
    <col min="6889" max="6889" width="23.625" style="647" customWidth="1"/>
    <col min="6890" max="6890" width="8" style="647" customWidth="1"/>
    <col min="6891" max="6891" width="9.125" style="647" customWidth="1"/>
    <col min="6892" max="6892" width="13.875" style="647" customWidth="1"/>
    <col min="6893" max="6893" width="13.5" style="647" customWidth="1"/>
    <col min="6894" max="7140" width="8.875" style="647"/>
    <col min="7141" max="7141" width="5" style="647" customWidth="1"/>
    <col min="7142" max="7142" width="33.375" style="647" customWidth="1"/>
    <col min="7143" max="7143" width="6.5" style="647" customWidth="1"/>
    <col min="7144" max="7144" width="29.5" style="647" customWidth="1"/>
    <col min="7145" max="7145" width="23.625" style="647" customWidth="1"/>
    <col min="7146" max="7146" width="8" style="647" customWidth="1"/>
    <col min="7147" max="7147" width="9.125" style="647" customWidth="1"/>
    <col min="7148" max="7148" width="13.875" style="647" customWidth="1"/>
    <col min="7149" max="7149" width="13.5" style="647" customWidth="1"/>
    <col min="7150" max="7396" width="8.875" style="647"/>
    <col min="7397" max="7397" width="5" style="647" customWidth="1"/>
    <col min="7398" max="7398" width="33.375" style="647" customWidth="1"/>
    <col min="7399" max="7399" width="6.5" style="647" customWidth="1"/>
    <col min="7400" max="7400" width="29.5" style="647" customWidth="1"/>
    <col min="7401" max="7401" width="23.625" style="647" customWidth="1"/>
    <col min="7402" max="7402" width="8" style="647" customWidth="1"/>
    <col min="7403" max="7403" width="9.125" style="647" customWidth="1"/>
    <col min="7404" max="7404" width="13.875" style="647" customWidth="1"/>
    <col min="7405" max="7405" width="13.5" style="647" customWidth="1"/>
    <col min="7406" max="7652" width="8.875" style="647"/>
    <col min="7653" max="7653" width="5" style="647" customWidth="1"/>
    <col min="7654" max="7654" width="33.375" style="647" customWidth="1"/>
    <col min="7655" max="7655" width="6.5" style="647" customWidth="1"/>
    <col min="7656" max="7656" width="29.5" style="647" customWidth="1"/>
    <col min="7657" max="7657" width="23.625" style="647" customWidth="1"/>
    <col min="7658" max="7658" width="8" style="647" customWidth="1"/>
    <col min="7659" max="7659" width="9.125" style="647" customWidth="1"/>
    <col min="7660" max="7660" width="13.875" style="647" customWidth="1"/>
    <col min="7661" max="7661" width="13.5" style="647" customWidth="1"/>
    <col min="7662" max="7908" width="8.875" style="647"/>
    <col min="7909" max="7909" width="5" style="647" customWidth="1"/>
    <col min="7910" max="7910" width="33.375" style="647" customWidth="1"/>
    <col min="7911" max="7911" width="6.5" style="647" customWidth="1"/>
    <col min="7912" max="7912" width="29.5" style="647" customWidth="1"/>
    <col min="7913" max="7913" width="23.625" style="647" customWidth="1"/>
    <col min="7914" max="7914" width="8" style="647" customWidth="1"/>
    <col min="7915" max="7915" width="9.125" style="647" customWidth="1"/>
    <col min="7916" max="7916" width="13.875" style="647" customWidth="1"/>
    <col min="7917" max="7917" width="13.5" style="647" customWidth="1"/>
    <col min="7918" max="8164" width="8.875" style="647"/>
    <col min="8165" max="8165" width="5" style="647" customWidth="1"/>
    <col min="8166" max="8166" width="33.375" style="647" customWidth="1"/>
    <col min="8167" max="8167" width="6.5" style="647" customWidth="1"/>
    <col min="8168" max="8168" width="29.5" style="647" customWidth="1"/>
    <col min="8169" max="8169" width="23.625" style="647" customWidth="1"/>
    <col min="8170" max="8170" width="8" style="647" customWidth="1"/>
    <col min="8171" max="8171" width="9.125" style="647" customWidth="1"/>
    <col min="8172" max="8172" width="13.875" style="647" customWidth="1"/>
    <col min="8173" max="8173" width="13.5" style="647" customWidth="1"/>
    <col min="8174" max="8420" width="8.875" style="647"/>
    <col min="8421" max="8421" width="5" style="647" customWidth="1"/>
    <col min="8422" max="8422" width="33.375" style="647" customWidth="1"/>
    <col min="8423" max="8423" width="6.5" style="647" customWidth="1"/>
    <col min="8424" max="8424" width="29.5" style="647" customWidth="1"/>
    <col min="8425" max="8425" width="23.625" style="647" customWidth="1"/>
    <col min="8426" max="8426" width="8" style="647" customWidth="1"/>
    <col min="8427" max="8427" width="9.125" style="647" customWidth="1"/>
    <col min="8428" max="8428" width="13.875" style="647" customWidth="1"/>
    <col min="8429" max="8429" width="13.5" style="647" customWidth="1"/>
    <col min="8430" max="8676" width="8.875" style="647"/>
    <col min="8677" max="8677" width="5" style="647" customWidth="1"/>
    <col min="8678" max="8678" width="33.375" style="647" customWidth="1"/>
    <col min="8679" max="8679" width="6.5" style="647" customWidth="1"/>
    <col min="8680" max="8680" width="29.5" style="647" customWidth="1"/>
    <col min="8681" max="8681" width="23.625" style="647" customWidth="1"/>
    <col min="8682" max="8682" width="8" style="647" customWidth="1"/>
    <col min="8683" max="8683" width="9.125" style="647" customWidth="1"/>
    <col min="8684" max="8684" width="13.875" style="647" customWidth="1"/>
    <col min="8685" max="8685" width="13.5" style="647" customWidth="1"/>
    <col min="8686" max="8932" width="8.875" style="647"/>
    <col min="8933" max="8933" width="5" style="647" customWidth="1"/>
    <col min="8934" max="8934" width="33.375" style="647" customWidth="1"/>
    <col min="8935" max="8935" width="6.5" style="647" customWidth="1"/>
    <col min="8936" max="8936" width="29.5" style="647" customWidth="1"/>
    <col min="8937" max="8937" width="23.625" style="647" customWidth="1"/>
    <col min="8938" max="8938" width="8" style="647" customWidth="1"/>
    <col min="8939" max="8939" width="9.125" style="647" customWidth="1"/>
    <col min="8940" max="8940" width="13.875" style="647" customWidth="1"/>
    <col min="8941" max="8941" width="13.5" style="647" customWidth="1"/>
    <col min="8942" max="9188" width="8.875" style="647"/>
    <col min="9189" max="9189" width="5" style="647" customWidth="1"/>
    <col min="9190" max="9190" width="33.375" style="647" customWidth="1"/>
    <col min="9191" max="9191" width="6.5" style="647" customWidth="1"/>
    <col min="9192" max="9192" width="29.5" style="647" customWidth="1"/>
    <col min="9193" max="9193" width="23.625" style="647" customWidth="1"/>
    <col min="9194" max="9194" width="8" style="647" customWidth="1"/>
    <col min="9195" max="9195" width="9.125" style="647" customWidth="1"/>
    <col min="9196" max="9196" width="13.875" style="647" customWidth="1"/>
    <col min="9197" max="9197" width="13.5" style="647" customWidth="1"/>
    <col min="9198" max="9444" width="8.875" style="647"/>
    <col min="9445" max="9445" width="5" style="647" customWidth="1"/>
    <col min="9446" max="9446" width="33.375" style="647" customWidth="1"/>
    <col min="9447" max="9447" width="6.5" style="647" customWidth="1"/>
    <col min="9448" max="9448" width="29.5" style="647" customWidth="1"/>
    <col min="9449" max="9449" width="23.625" style="647" customWidth="1"/>
    <col min="9450" max="9450" width="8" style="647" customWidth="1"/>
    <col min="9451" max="9451" width="9.125" style="647" customWidth="1"/>
    <col min="9452" max="9452" width="13.875" style="647" customWidth="1"/>
    <col min="9453" max="9453" width="13.5" style="647" customWidth="1"/>
    <col min="9454" max="9700" width="8.875" style="647"/>
    <col min="9701" max="9701" width="5" style="647" customWidth="1"/>
    <col min="9702" max="9702" width="33.375" style="647" customWidth="1"/>
    <col min="9703" max="9703" width="6.5" style="647" customWidth="1"/>
    <col min="9704" max="9704" width="29.5" style="647" customWidth="1"/>
    <col min="9705" max="9705" width="23.625" style="647" customWidth="1"/>
    <col min="9706" max="9706" width="8" style="647" customWidth="1"/>
    <col min="9707" max="9707" width="9.125" style="647" customWidth="1"/>
    <col min="9708" max="9708" width="13.875" style="647" customWidth="1"/>
    <col min="9709" max="9709" width="13.5" style="647" customWidth="1"/>
    <col min="9710" max="9956" width="8.875" style="647"/>
    <col min="9957" max="9957" width="5" style="647" customWidth="1"/>
    <col min="9958" max="9958" width="33.375" style="647" customWidth="1"/>
    <col min="9959" max="9959" width="6.5" style="647" customWidth="1"/>
    <col min="9960" max="9960" width="29.5" style="647" customWidth="1"/>
    <col min="9961" max="9961" width="23.625" style="647" customWidth="1"/>
    <col min="9962" max="9962" width="8" style="647" customWidth="1"/>
    <col min="9963" max="9963" width="9.125" style="647" customWidth="1"/>
    <col min="9964" max="9964" width="13.875" style="647" customWidth="1"/>
    <col min="9965" max="9965" width="13.5" style="647" customWidth="1"/>
    <col min="9966" max="10212" width="8.875" style="647"/>
    <col min="10213" max="10213" width="5" style="647" customWidth="1"/>
    <col min="10214" max="10214" width="33.375" style="647" customWidth="1"/>
    <col min="10215" max="10215" width="6.5" style="647" customWidth="1"/>
    <col min="10216" max="10216" width="29.5" style="647" customWidth="1"/>
    <col min="10217" max="10217" width="23.625" style="647" customWidth="1"/>
    <col min="10218" max="10218" width="8" style="647" customWidth="1"/>
    <col min="10219" max="10219" width="9.125" style="647" customWidth="1"/>
    <col min="10220" max="10220" width="13.875" style="647" customWidth="1"/>
    <col min="10221" max="10221" width="13.5" style="647" customWidth="1"/>
    <col min="10222" max="10468" width="8.875" style="647"/>
    <col min="10469" max="10469" width="5" style="647" customWidth="1"/>
    <col min="10470" max="10470" width="33.375" style="647" customWidth="1"/>
    <col min="10471" max="10471" width="6.5" style="647" customWidth="1"/>
    <col min="10472" max="10472" width="29.5" style="647" customWidth="1"/>
    <col min="10473" max="10473" width="23.625" style="647" customWidth="1"/>
    <col min="10474" max="10474" width="8" style="647" customWidth="1"/>
    <col min="10475" max="10475" width="9.125" style="647" customWidth="1"/>
    <col min="10476" max="10476" width="13.875" style="647" customWidth="1"/>
    <col min="10477" max="10477" width="13.5" style="647" customWidth="1"/>
    <col min="10478" max="10724" width="8.875" style="647"/>
    <col min="10725" max="10725" width="5" style="647" customWidth="1"/>
    <col min="10726" max="10726" width="33.375" style="647" customWidth="1"/>
    <col min="10727" max="10727" width="6.5" style="647" customWidth="1"/>
    <col min="10728" max="10728" width="29.5" style="647" customWidth="1"/>
    <col min="10729" max="10729" width="23.625" style="647" customWidth="1"/>
    <col min="10730" max="10730" width="8" style="647" customWidth="1"/>
    <col min="10731" max="10731" width="9.125" style="647" customWidth="1"/>
    <col min="10732" max="10732" width="13.875" style="647" customWidth="1"/>
    <col min="10733" max="10733" width="13.5" style="647" customWidth="1"/>
    <col min="10734" max="10980" width="8.875" style="647"/>
    <col min="10981" max="10981" width="5" style="647" customWidth="1"/>
    <col min="10982" max="10982" width="33.375" style="647" customWidth="1"/>
    <col min="10983" max="10983" width="6.5" style="647" customWidth="1"/>
    <col min="10984" max="10984" width="29.5" style="647" customWidth="1"/>
    <col min="10985" max="10985" width="23.625" style="647" customWidth="1"/>
    <col min="10986" max="10986" width="8" style="647" customWidth="1"/>
    <col min="10987" max="10987" width="9.125" style="647" customWidth="1"/>
    <col min="10988" max="10988" width="13.875" style="647" customWidth="1"/>
    <col min="10989" max="10989" width="13.5" style="647" customWidth="1"/>
    <col min="10990" max="11236" width="8.875" style="647"/>
    <col min="11237" max="11237" width="5" style="647" customWidth="1"/>
    <col min="11238" max="11238" width="33.375" style="647" customWidth="1"/>
    <col min="11239" max="11239" width="6.5" style="647" customWidth="1"/>
    <col min="11240" max="11240" width="29.5" style="647" customWidth="1"/>
    <col min="11241" max="11241" width="23.625" style="647" customWidth="1"/>
    <col min="11242" max="11242" width="8" style="647" customWidth="1"/>
    <col min="11243" max="11243" width="9.125" style="647" customWidth="1"/>
    <col min="11244" max="11244" width="13.875" style="647" customWidth="1"/>
    <col min="11245" max="11245" width="13.5" style="647" customWidth="1"/>
    <col min="11246" max="11492" width="8.875" style="647"/>
    <col min="11493" max="11493" width="5" style="647" customWidth="1"/>
    <col min="11494" max="11494" width="33.375" style="647" customWidth="1"/>
    <col min="11495" max="11495" width="6.5" style="647" customWidth="1"/>
    <col min="11496" max="11496" width="29.5" style="647" customWidth="1"/>
    <col min="11497" max="11497" width="23.625" style="647" customWidth="1"/>
    <col min="11498" max="11498" width="8" style="647" customWidth="1"/>
    <col min="11499" max="11499" width="9.125" style="647" customWidth="1"/>
    <col min="11500" max="11500" width="13.875" style="647" customWidth="1"/>
    <col min="11501" max="11501" width="13.5" style="647" customWidth="1"/>
    <col min="11502" max="11748" width="8.875" style="647"/>
    <col min="11749" max="11749" width="5" style="647" customWidth="1"/>
    <col min="11750" max="11750" width="33.375" style="647" customWidth="1"/>
    <col min="11751" max="11751" width="6.5" style="647" customWidth="1"/>
    <col min="11752" max="11752" width="29.5" style="647" customWidth="1"/>
    <col min="11753" max="11753" width="23.625" style="647" customWidth="1"/>
    <col min="11754" max="11754" width="8" style="647" customWidth="1"/>
    <col min="11755" max="11755" width="9.125" style="647" customWidth="1"/>
    <col min="11756" max="11756" width="13.875" style="647" customWidth="1"/>
    <col min="11757" max="11757" width="13.5" style="647" customWidth="1"/>
    <col min="11758" max="12004" width="8.875" style="647"/>
    <col min="12005" max="12005" width="5" style="647" customWidth="1"/>
    <col min="12006" max="12006" width="33.375" style="647" customWidth="1"/>
    <col min="12007" max="12007" width="6.5" style="647" customWidth="1"/>
    <col min="12008" max="12008" width="29.5" style="647" customWidth="1"/>
    <col min="12009" max="12009" width="23.625" style="647" customWidth="1"/>
    <col min="12010" max="12010" width="8" style="647" customWidth="1"/>
    <col min="12011" max="12011" width="9.125" style="647" customWidth="1"/>
    <col min="12012" max="12012" width="13.875" style="647" customWidth="1"/>
    <col min="12013" max="12013" width="13.5" style="647" customWidth="1"/>
    <col min="12014" max="12260" width="8.875" style="647"/>
    <col min="12261" max="12261" width="5" style="647" customWidth="1"/>
    <col min="12262" max="12262" width="33.375" style="647" customWidth="1"/>
    <col min="12263" max="12263" width="6.5" style="647" customWidth="1"/>
    <col min="12264" max="12264" width="29.5" style="647" customWidth="1"/>
    <col min="12265" max="12265" width="23.625" style="647" customWidth="1"/>
    <col min="12266" max="12266" width="8" style="647" customWidth="1"/>
    <col min="12267" max="12267" width="9.125" style="647" customWidth="1"/>
    <col min="12268" max="12268" width="13.875" style="647" customWidth="1"/>
    <col min="12269" max="12269" width="13.5" style="647" customWidth="1"/>
    <col min="12270" max="12516" width="8.875" style="647"/>
    <col min="12517" max="12517" width="5" style="647" customWidth="1"/>
    <col min="12518" max="12518" width="33.375" style="647" customWidth="1"/>
    <col min="12519" max="12519" width="6.5" style="647" customWidth="1"/>
    <col min="12520" max="12520" width="29.5" style="647" customWidth="1"/>
    <col min="12521" max="12521" width="23.625" style="647" customWidth="1"/>
    <col min="12522" max="12522" width="8" style="647" customWidth="1"/>
    <col min="12523" max="12523" width="9.125" style="647" customWidth="1"/>
    <col min="12524" max="12524" width="13.875" style="647" customWidth="1"/>
    <col min="12525" max="12525" width="13.5" style="647" customWidth="1"/>
    <col min="12526" max="12772" width="8.875" style="647"/>
    <col min="12773" max="12773" width="5" style="647" customWidth="1"/>
    <col min="12774" max="12774" width="33.375" style="647" customWidth="1"/>
    <col min="12775" max="12775" width="6.5" style="647" customWidth="1"/>
    <col min="12776" max="12776" width="29.5" style="647" customWidth="1"/>
    <col min="12777" max="12777" width="23.625" style="647" customWidth="1"/>
    <col min="12778" max="12778" width="8" style="647" customWidth="1"/>
    <col min="12779" max="12779" width="9.125" style="647" customWidth="1"/>
    <col min="12780" max="12780" width="13.875" style="647" customWidth="1"/>
    <col min="12781" max="12781" width="13.5" style="647" customWidth="1"/>
    <col min="12782" max="13028" width="8.875" style="647"/>
    <col min="13029" max="13029" width="5" style="647" customWidth="1"/>
    <col min="13030" max="13030" width="33.375" style="647" customWidth="1"/>
    <col min="13031" max="13031" width="6.5" style="647" customWidth="1"/>
    <col min="13032" max="13032" width="29.5" style="647" customWidth="1"/>
    <col min="13033" max="13033" width="23.625" style="647" customWidth="1"/>
    <col min="13034" max="13034" width="8" style="647" customWidth="1"/>
    <col min="13035" max="13035" width="9.125" style="647" customWidth="1"/>
    <col min="13036" max="13036" width="13.875" style="647" customWidth="1"/>
    <col min="13037" max="13037" width="13.5" style="647" customWidth="1"/>
    <col min="13038" max="13284" width="8.875" style="647"/>
    <col min="13285" max="13285" width="5" style="647" customWidth="1"/>
    <col min="13286" max="13286" width="33.375" style="647" customWidth="1"/>
    <col min="13287" max="13287" width="6.5" style="647" customWidth="1"/>
    <col min="13288" max="13288" width="29.5" style="647" customWidth="1"/>
    <col min="13289" max="13289" width="23.625" style="647" customWidth="1"/>
    <col min="13290" max="13290" width="8" style="647" customWidth="1"/>
    <col min="13291" max="13291" width="9.125" style="647" customWidth="1"/>
    <col min="13292" max="13292" width="13.875" style="647" customWidth="1"/>
    <col min="13293" max="13293" width="13.5" style="647" customWidth="1"/>
    <col min="13294" max="13540" width="8.875" style="647"/>
    <col min="13541" max="13541" width="5" style="647" customWidth="1"/>
    <col min="13542" max="13542" width="33.375" style="647" customWidth="1"/>
    <col min="13543" max="13543" width="6.5" style="647" customWidth="1"/>
    <col min="13544" max="13544" width="29.5" style="647" customWidth="1"/>
    <col min="13545" max="13545" width="23.625" style="647" customWidth="1"/>
    <col min="13546" max="13546" width="8" style="647" customWidth="1"/>
    <col min="13547" max="13547" width="9.125" style="647" customWidth="1"/>
    <col min="13548" max="13548" width="13.875" style="647" customWidth="1"/>
    <col min="13549" max="13549" width="13.5" style="647" customWidth="1"/>
    <col min="13550" max="13796" width="8.875" style="647"/>
    <col min="13797" max="13797" width="5" style="647" customWidth="1"/>
    <col min="13798" max="13798" width="33.375" style="647" customWidth="1"/>
    <col min="13799" max="13799" width="6.5" style="647" customWidth="1"/>
    <col min="13800" max="13800" width="29.5" style="647" customWidth="1"/>
    <col min="13801" max="13801" width="23.625" style="647" customWidth="1"/>
    <col min="13802" max="13802" width="8" style="647" customWidth="1"/>
    <col min="13803" max="13803" width="9.125" style="647" customWidth="1"/>
    <col min="13804" max="13804" width="13.875" style="647" customWidth="1"/>
    <col min="13805" max="13805" width="13.5" style="647" customWidth="1"/>
    <col min="13806" max="14052" width="8.875" style="647"/>
    <col min="14053" max="14053" width="5" style="647" customWidth="1"/>
    <col min="14054" max="14054" width="33.375" style="647" customWidth="1"/>
    <col min="14055" max="14055" width="6.5" style="647" customWidth="1"/>
    <col min="14056" max="14056" width="29.5" style="647" customWidth="1"/>
    <col min="14057" max="14057" width="23.625" style="647" customWidth="1"/>
    <col min="14058" max="14058" width="8" style="647" customWidth="1"/>
    <col min="14059" max="14059" width="9.125" style="647" customWidth="1"/>
    <col min="14060" max="14060" width="13.875" style="647" customWidth="1"/>
    <col min="14061" max="14061" width="13.5" style="647" customWidth="1"/>
    <col min="14062" max="14308" width="8.875" style="647"/>
    <col min="14309" max="14309" width="5" style="647" customWidth="1"/>
    <col min="14310" max="14310" width="33.375" style="647" customWidth="1"/>
    <col min="14311" max="14311" width="6.5" style="647" customWidth="1"/>
    <col min="14312" max="14312" width="29.5" style="647" customWidth="1"/>
    <col min="14313" max="14313" width="23.625" style="647" customWidth="1"/>
    <col min="14314" max="14314" width="8" style="647" customWidth="1"/>
    <col min="14315" max="14315" width="9.125" style="647" customWidth="1"/>
    <col min="14316" max="14316" width="13.875" style="647" customWidth="1"/>
    <col min="14317" max="14317" width="13.5" style="647" customWidth="1"/>
    <col min="14318" max="14564" width="8.875" style="647"/>
    <col min="14565" max="14565" width="5" style="647" customWidth="1"/>
    <col min="14566" max="14566" width="33.375" style="647" customWidth="1"/>
    <col min="14567" max="14567" width="6.5" style="647" customWidth="1"/>
    <col min="14568" max="14568" width="29.5" style="647" customWidth="1"/>
    <col min="14569" max="14569" width="23.625" style="647" customWidth="1"/>
    <col min="14570" max="14570" width="8" style="647" customWidth="1"/>
    <col min="14571" max="14571" width="9.125" style="647" customWidth="1"/>
    <col min="14572" max="14572" width="13.875" style="647" customWidth="1"/>
    <col min="14573" max="14573" width="13.5" style="647" customWidth="1"/>
    <col min="14574" max="14820" width="8.875" style="647"/>
    <col min="14821" max="14821" width="5" style="647" customWidth="1"/>
    <col min="14822" max="14822" width="33.375" style="647" customWidth="1"/>
    <col min="14823" max="14823" width="6.5" style="647" customWidth="1"/>
    <col min="14824" max="14824" width="29.5" style="647" customWidth="1"/>
    <col min="14825" max="14825" width="23.625" style="647" customWidth="1"/>
    <col min="14826" max="14826" width="8" style="647" customWidth="1"/>
    <col min="14827" max="14827" width="9.125" style="647" customWidth="1"/>
    <col min="14828" max="14828" width="13.875" style="647" customWidth="1"/>
    <col min="14829" max="14829" width="13.5" style="647" customWidth="1"/>
    <col min="14830" max="15076" width="8.875" style="647"/>
    <col min="15077" max="15077" width="5" style="647" customWidth="1"/>
    <col min="15078" max="15078" width="33.375" style="647" customWidth="1"/>
    <col min="15079" max="15079" width="6.5" style="647" customWidth="1"/>
    <col min="15080" max="15080" width="29.5" style="647" customWidth="1"/>
    <col min="15081" max="15081" width="23.625" style="647" customWidth="1"/>
    <col min="15082" max="15082" width="8" style="647" customWidth="1"/>
    <col min="15083" max="15083" width="9.125" style="647" customWidth="1"/>
    <col min="15084" max="15084" width="13.875" style="647" customWidth="1"/>
    <col min="15085" max="15085" width="13.5" style="647" customWidth="1"/>
    <col min="15086" max="15332" width="8.875" style="647"/>
    <col min="15333" max="15333" width="5" style="647" customWidth="1"/>
    <col min="15334" max="15334" width="33.375" style="647" customWidth="1"/>
    <col min="15335" max="15335" width="6.5" style="647" customWidth="1"/>
    <col min="15336" max="15336" width="29.5" style="647" customWidth="1"/>
    <col min="15337" max="15337" width="23.625" style="647" customWidth="1"/>
    <col min="15338" max="15338" width="8" style="647" customWidth="1"/>
    <col min="15339" max="15339" width="9.125" style="647" customWidth="1"/>
    <col min="15340" max="15340" width="13.875" style="647" customWidth="1"/>
    <col min="15341" max="15341" width="13.5" style="647" customWidth="1"/>
    <col min="15342" max="15588" width="8.875" style="647"/>
    <col min="15589" max="15589" width="5" style="647" customWidth="1"/>
    <col min="15590" max="15590" width="33.375" style="647" customWidth="1"/>
    <col min="15591" max="15591" width="6.5" style="647" customWidth="1"/>
    <col min="15592" max="15592" width="29.5" style="647" customWidth="1"/>
    <col min="15593" max="15593" width="23.625" style="647" customWidth="1"/>
    <col min="15594" max="15594" width="8" style="647" customWidth="1"/>
    <col min="15595" max="15595" width="9.125" style="647" customWidth="1"/>
    <col min="15596" max="15596" width="13.875" style="647" customWidth="1"/>
    <col min="15597" max="15597" width="13.5" style="647" customWidth="1"/>
    <col min="15598" max="15844" width="8.875" style="647"/>
    <col min="15845" max="15845" width="5" style="647" customWidth="1"/>
    <col min="15846" max="15846" width="33.375" style="647" customWidth="1"/>
    <col min="15847" max="15847" width="6.5" style="647" customWidth="1"/>
    <col min="15848" max="15848" width="29.5" style="647" customWidth="1"/>
    <col min="15849" max="15849" width="23.625" style="647" customWidth="1"/>
    <col min="15850" max="15850" width="8" style="647" customWidth="1"/>
    <col min="15851" max="15851" width="9.125" style="647" customWidth="1"/>
    <col min="15852" max="15852" width="13.875" style="647" customWidth="1"/>
    <col min="15853" max="15853" width="13.5" style="647" customWidth="1"/>
    <col min="15854" max="16384" width="8.875" style="647"/>
  </cols>
  <sheetData>
    <row r="1" spans="2:20">
      <c r="H1" s="647"/>
      <c r="L1" s="647"/>
    </row>
    <row r="2" spans="2:20">
      <c r="B2" s="547" t="s">
        <v>253</v>
      </c>
      <c r="C2" s="547" t="s">
        <v>132</v>
      </c>
      <c r="D2" s="647"/>
      <c r="H2" s="647"/>
      <c r="L2" s="647"/>
    </row>
    <row r="3" spans="2:20">
      <c r="B3" s="549" t="s">
        <v>659</v>
      </c>
      <c r="C3" s="549" t="s">
        <v>255</v>
      </c>
      <c r="D3" s="647"/>
      <c r="H3" s="647"/>
      <c r="L3" s="647"/>
    </row>
    <row r="4" spans="2:20">
      <c r="B4" s="547" t="s">
        <v>256</v>
      </c>
      <c r="C4" s="547" t="s">
        <v>133</v>
      </c>
      <c r="D4" s="647"/>
      <c r="H4" s="647"/>
      <c r="L4" s="647"/>
    </row>
    <row r="5" spans="2:20">
      <c r="H5" s="647"/>
      <c r="L5" s="647"/>
    </row>
    <row r="6" spans="2:20" s="710" customFormat="1" ht="18.75">
      <c r="B6" s="708" t="s">
        <v>30</v>
      </c>
      <c r="C6" s="650" t="s">
        <v>606</v>
      </c>
      <c r="D6" s="650"/>
      <c r="E6" s="650"/>
      <c r="F6" s="652"/>
      <c r="G6" s="689"/>
      <c r="H6" s="652"/>
      <c r="I6" s="650"/>
      <c r="J6" s="709"/>
      <c r="K6" s="650"/>
      <c r="L6" s="652"/>
      <c r="M6" s="650"/>
      <c r="N6" s="652"/>
      <c r="O6" s="650"/>
      <c r="P6" s="652"/>
      <c r="Q6" s="650"/>
      <c r="R6" s="650"/>
      <c r="T6" s="711"/>
    </row>
    <row r="7" spans="2:20" s="710" customFormat="1" ht="18.75">
      <c r="B7" s="712"/>
      <c r="C7" s="650"/>
      <c r="D7" s="650"/>
      <c r="E7" s="650"/>
      <c r="F7" s="652"/>
      <c r="G7" s="650"/>
      <c r="H7" s="652"/>
      <c r="I7" s="650"/>
      <c r="J7" s="709"/>
      <c r="K7" s="650"/>
      <c r="L7" s="652"/>
      <c r="M7" s="650"/>
      <c r="N7" s="652"/>
      <c r="O7" s="650"/>
      <c r="P7" s="652"/>
      <c r="Q7" s="650"/>
      <c r="R7" s="650"/>
      <c r="T7" s="711"/>
    </row>
    <row r="8" spans="2:20" s="694" customFormat="1">
      <c r="J8" s="713"/>
    </row>
    <row r="9" spans="2:20" s="715" customFormat="1" ht="38.25">
      <c r="B9" s="512" t="s">
        <v>0</v>
      </c>
      <c r="C9" s="513" t="s">
        <v>415</v>
      </c>
      <c r="D9" s="475" t="s">
        <v>134</v>
      </c>
      <c r="E9" s="475" t="s">
        <v>438</v>
      </c>
      <c r="F9" s="475" t="s">
        <v>154</v>
      </c>
      <c r="G9" s="475" t="s">
        <v>439</v>
      </c>
      <c r="H9" s="475" t="s">
        <v>154</v>
      </c>
      <c r="I9" s="475" t="s">
        <v>440</v>
      </c>
      <c r="J9" s="714" t="s">
        <v>154</v>
      </c>
      <c r="K9" s="475" t="s">
        <v>446</v>
      </c>
      <c r="L9" s="714" t="s">
        <v>154</v>
      </c>
      <c r="M9" s="475" t="s">
        <v>454</v>
      </c>
      <c r="N9" s="714" t="s">
        <v>154</v>
      </c>
      <c r="O9" s="475" t="s">
        <v>447</v>
      </c>
      <c r="P9" s="714" t="s">
        <v>154</v>
      </c>
      <c r="Q9" s="475" t="s">
        <v>448</v>
      </c>
      <c r="R9" s="714" t="s">
        <v>154</v>
      </c>
      <c r="S9" s="475" t="s">
        <v>441</v>
      </c>
      <c r="T9" s="714" t="s">
        <v>154</v>
      </c>
    </row>
    <row r="10" spans="2:20" s="590" customFormat="1">
      <c r="B10" s="514"/>
      <c r="C10" s="514" t="s">
        <v>6</v>
      </c>
      <c r="D10" s="716">
        <v>0.4</v>
      </c>
      <c r="E10" s="516"/>
      <c r="F10" s="716"/>
      <c r="G10" s="518"/>
      <c r="H10" s="716"/>
      <c r="I10" s="518"/>
      <c r="J10" s="716"/>
      <c r="K10" s="518"/>
      <c r="L10" s="716"/>
      <c r="M10" s="518"/>
      <c r="N10" s="716"/>
      <c r="O10" s="518"/>
      <c r="P10" s="716"/>
      <c r="Q10" s="518"/>
      <c r="R10" s="716"/>
      <c r="S10" s="514"/>
      <c r="T10" s="716"/>
    </row>
    <row r="11" spans="2:20" ht="51">
      <c r="B11" s="481">
        <v>1</v>
      </c>
      <c r="C11" s="665" t="s">
        <v>507</v>
      </c>
      <c r="D11" s="577">
        <v>0.2</v>
      </c>
      <c r="E11" s="665"/>
      <c r="F11" s="577"/>
      <c r="G11" s="665" t="s">
        <v>507</v>
      </c>
      <c r="H11" s="625">
        <v>0.2</v>
      </c>
      <c r="I11" s="665" t="s">
        <v>507</v>
      </c>
      <c r="J11" s="625">
        <v>0.25</v>
      </c>
      <c r="K11" s="665"/>
      <c r="L11" s="625"/>
      <c r="M11" s="665"/>
      <c r="N11" s="625"/>
      <c r="O11" s="672"/>
      <c r="P11" s="596"/>
      <c r="Q11" s="732" t="s">
        <v>457</v>
      </c>
      <c r="R11" s="625">
        <v>0.2</v>
      </c>
      <c r="S11" s="733"/>
      <c r="T11" s="625"/>
    </row>
    <row r="12" spans="2:20" ht="51">
      <c r="B12" s="481">
        <v>2</v>
      </c>
      <c r="C12" s="679" t="s">
        <v>579</v>
      </c>
      <c r="D12" s="577">
        <v>0.2</v>
      </c>
      <c r="E12" s="665" t="s">
        <v>579</v>
      </c>
      <c r="F12" s="577">
        <v>0.3</v>
      </c>
      <c r="G12" s="732" t="s">
        <v>481</v>
      </c>
      <c r="H12" s="625">
        <v>0.1</v>
      </c>
      <c r="I12" s="665" t="s">
        <v>579</v>
      </c>
      <c r="J12" s="625">
        <v>0.2</v>
      </c>
      <c r="K12" s="732" t="s">
        <v>453</v>
      </c>
      <c r="L12" s="625">
        <v>0.3</v>
      </c>
      <c r="M12" s="732" t="s">
        <v>605</v>
      </c>
      <c r="N12" s="625">
        <v>0.25</v>
      </c>
      <c r="O12" s="732" t="s">
        <v>455</v>
      </c>
      <c r="P12" s="625">
        <v>0.2</v>
      </c>
      <c r="Q12" s="732" t="s">
        <v>458</v>
      </c>
      <c r="R12" s="625">
        <v>0.2</v>
      </c>
      <c r="S12" s="733"/>
      <c r="T12" s="625"/>
    </row>
    <row r="13" spans="2:20" ht="38.25">
      <c r="B13" s="481">
        <v>3</v>
      </c>
      <c r="C13" s="665" t="s">
        <v>429</v>
      </c>
      <c r="D13" s="577">
        <v>0.2</v>
      </c>
      <c r="E13" s="672" t="s">
        <v>605</v>
      </c>
      <c r="F13" s="676">
        <v>0.3</v>
      </c>
      <c r="G13" s="665"/>
      <c r="H13" s="625"/>
      <c r="I13" s="665" t="s">
        <v>429</v>
      </c>
      <c r="J13" s="625">
        <v>0.2</v>
      </c>
      <c r="K13" s="665"/>
      <c r="L13" s="625"/>
      <c r="M13" s="665"/>
      <c r="N13" s="625"/>
      <c r="O13" s="665" t="s">
        <v>429</v>
      </c>
      <c r="P13" s="625">
        <v>0.2</v>
      </c>
      <c r="Q13" s="732" t="s">
        <v>460</v>
      </c>
      <c r="R13" s="625">
        <v>0.25</v>
      </c>
      <c r="S13" s="733"/>
      <c r="T13" s="625"/>
    </row>
    <row r="14" spans="2:20" ht="51">
      <c r="B14" s="481">
        <v>4</v>
      </c>
      <c r="C14" s="665" t="s">
        <v>418</v>
      </c>
      <c r="D14" s="577">
        <v>0.15</v>
      </c>
      <c r="E14" s="672" t="s">
        <v>647</v>
      </c>
      <c r="F14" s="577">
        <v>0.15</v>
      </c>
      <c r="G14" s="665" t="s">
        <v>418</v>
      </c>
      <c r="H14" s="625">
        <v>0.2</v>
      </c>
      <c r="I14" s="665"/>
      <c r="J14" s="625"/>
      <c r="K14" s="732" t="s">
        <v>482</v>
      </c>
      <c r="L14" s="625">
        <v>0.3</v>
      </c>
      <c r="M14" s="665"/>
      <c r="N14" s="625"/>
      <c r="O14" s="732" t="s">
        <v>520</v>
      </c>
      <c r="P14" s="625">
        <v>0.2</v>
      </c>
      <c r="Q14" s="732" t="s">
        <v>459</v>
      </c>
      <c r="R14" s="625">
        <v>0.15</v>
      </c>
      <c r="S14" s="733"/>
      <c r="T14" s="625"/>
    </row>
    <row r="15" spans="2:20" ht="38.25">
      <c r="B15" s="481">
        <v>5</v>
      </c>
      <c r="C15" s="665" t="s">
        <v>581</v>
      </c>
      <c r="D15" s="577">
        <v>0.25</v>
      </c>
      <c r="E15" s="665"/>
      <c r="F15" s="577"/>
      <c r="G15" s="665" t="s">
        <v>581</v>
      </c>
      <c r="H15" s="625">
        <v>0.2</v>
      </c>
      <c r="I15" s="665"/>
      <c r="J15" s="625"/>
      <c r="K15" s="665"/>
      <c r="L15" s="625"/>
      <c r="M15" s="665" t="s">
        <v>581</v>
      </c>
      <c r="N15" s="625">
        <v>0.3</v>
      </c>
      <c r="O15" s="665"/>
      <c r="P15" s="625"/>
      <c r="Q15" s="732" t="s">
        <v>461</v>
      </c>
      <c r="R15" s="625">
        <v>0.2</v>
      </c>
      <c r="S15" s="733"/>
      <c r="T15" s="625"/>
    </row>
    <row r="16" spans="2:20" s="590" customFormat="1">
      <c r="B16" s="514"/>
      <c r="C16" s="514" t="s">
        <v>5</v>
      </c>
      <c r="D16" s="716">
        <v>0.3</v>
      </c>
      <c r="E16" s="516"/>
      <c r="F16" s="716"/>
      <c r="G16" s="518"/>
      <c r="H16" s="716"/>
      <c r="I16" s="518"/>
      <c r="J16" s="716"/>
      <c r="K16" s="518"/>
      <c r="L16" s="716"/>
      <c r="M16" s="518"/>
      <c r="N16" s="716"/>
      <c r="O16" s="518"/>
      <c r="P16" s="716"/>
      <c r="Q16" s="518"/>
      <c r="R16" s="716"/>
      <c r="S16" s="514"/>
      <c r="T16" s="716"/>
    </row>
    <row r="17" spans="2:24" ht="38.25">
      <c r="B17" s="481">
        <v>1</v>
      </c>
      <c r="C17" s="665" t="s">
        <v>599</v>
      </c>
      <c r="D17" s="577">
        <v>0.5</v>
      </c>
      <c r="E17" s="665"/>
      <c r="F17" s="577"/>
      <c r="G17" s="665"/>
      <c r="H17" s="625"/>
      <c r="I17" s="665"/>
      <c r="J17" s="625"/>
      <c r="K17" s="665"/>
      <c r="L17" s="625"/>
      <c r="M17" s="665" t="s">
        <v>599</v>
      </c>
      <c r="N17" s="625">
        <v>0.25</v>
      </c>
      <c r="O17" s="665" t="s">
        <v>599</v>
      </c>
      <c r="P17" s="625">
        <v>0.2</v>
      </c>
      <c r="Q17" s="665"/>
      <c r="R17" s="625"/>
      <c r="S17" s="733"/>
      <c r="T17" s="625"/>
    </row>
    <row r="18" spans="2:24" ht="25.5">
      <c r="B18" s="481">
        <v>2</v>
      </c>
      <c r="C18" s="665" t="s">
        <v>623</v>
      </c>
      <c r="D18" s="577">
        <v>0.5</v>
      </c>
      <c r="E18" s="665" t="s">
        <v>623</v>
      </c>
      <c r="F18" s="577">
        <v>0.15</v>
      </c>
      <c r="G18" s="665"/>
      <c r="H18" s="625"/>
      <c r="I18" s="665" t="s">
        <v>519</v>
      </c>
      <c r="J18" s="625">
        <v>0.15</v>
      </c>
      <c r="K18" s="665"/>
      <c r="L18" s="625"/>
      <c r="M18" s="665"/>
      <c r="N18" s="625"/>
      <c r="O18" s="665" t="s">
        <v>623</v>
      </c>
      <c r="P18" s="625">
        <v>0.2</v>
      </c>
      <c r="Q18" s="665"/>
      <c r="R18" s="625"/>
      <c r="S18" s="733"/>
      <c r="T18" s="625"/>
    </row>
    <row r="19" spans="2:24" s="590" customFormat="1">
      <c r="B19" s="514"/>
      <c r="C19" s="514" t="s">
        <v>7</v>
      </c>
      <c r="D19" s="716">
        <v>0.15</v>
      </c>
      <c r="E19" s="516"/>
      <c r="F19" s="716"/>
      <c r="G19" s="518"/>
      <c r="H19" s="716"/>
      <c r="I19" s="518"/>
      <c r="J19" s="716"/>
      <c r="K19" s="518"/>
      <c r="L19" s="716"/>
      <c r="M19" s="518"/>
      <c r="N19" s="716"/>
      <c r="O19" s="518"/>
      <c r="P19" s="716"/>
      <c r="Q19" s="518"/>
      <c r="R19" s="716"/>
      <c r="S19" s="514"/>
      <c r="T19" s="716"/>
    </row>
    <row r="20" spans="2:24" ht="38.25">
      <c r="B20" s="481">
        <v>1</v>
      </c>
      <c r="C20" s="734" t="s">
        <v>601</v>
      </c>
      <c r="D20" s="676">
        <v>0.3</v>
      </c>
      <c r="E20" s="665"/>
      <c r="F20" s="676"/>
      <c r="G20" s="734" t="s">
        <v>601</v>
      </c>
      <c r="H20" s="625"/>
      <c r="I20" s="665"/>
      <c r="J20" s="625"/>
      <c r="K20" s="665"/>
      <c r="L20" s="625"/>
      <c r="M20" s="665"/>
      <c r="N20" s="625"/>
      <c r="O20" s="665"/>
      <c r="P20" s="625"/>
      <c r="Q20" s="665"/>
      <c r="R20" s="625"/>
      <c r="S20" s="665" t="s">
        <v>607</v>
      </c>
      <c r="T20" s="625">
        <v>0.2</v>
      </c>
    </row>
    <row r="21" spans="2:24" ht="51">
      <c r="B21" s="481">
        <v>2</v>
      </c>
      <c r="C21" s="665" t="s">
        <v>391</v>
      </c>
      <c r="D21" s="676">
        <v>0.3</v>
      </c>
      <c r="E21" s="665"/>
      <c r="F21" s="676"/>
      <c r="G21" s="665"/>
      <c r="H21" s="625"/>
      <c r="I21" s="665" t="s">
        <v>391</v>
      </c>
      <c r="J21" s="625">
        <v>0.2</v>
      </c>
      <c r="K21" s="665"/>
      <c r="L21" s="625"/>
      <c r="M21" s="665"/>
      <c r="N21" s="625"/>
      <c r="O21" s="665"/>
      <c r="P21" s="625"/>
      <c r="Q21" s="665"/>
      <c r="R21" s="625"/>
      <c r="S21" s="705" t="s">
        <v>462</v>
      </c>
      <c r="T21" s="625">
        <v>0.35</v>
      </c>
    </row>
    <row r="22" spans="2:24" ht="38.25">
      <c r="B22" s="481">
        <v>3</v>
      </c>
      <c r="C22" s="665" t="s">
        <v>602</v>
      </c>
      <c r="D22" s="676">
        <v>0.2</v>
      </c>
      <c r="E22" s="665"/>
      <c r="F22" s="676"/>
      <c r="G22" s="673" t="s">
        <v>655</v>
      </c>
      <c r="H22" s="625">
        <v>0.15</v>
      </c>
      <c r="I22" s="665"/>
      <c r="J22" s="625"/>
      <c r="K22" s="665"/>
      <c r="L22" s="625"/>
      <c r="M22" s="665"/>
      <c r="N22" s="625"/>
      <c r="O22" s="665"/>
      <c r="P22" s="625"/>
      <c r="Q22" s="665"/>
      <c r="R22" s="625"/>
      <c r="S22" s="665" t="s">
        <v>392</v>
      </c>
      <c r="T22" s="625">
        <v>0.2</v>
      </c>
    </row>
    <row r="23" spans="2:24" ht="25.5">
      <c r="B23" s="481">
        <v>4</v>
      </c>
      <c r="C23" s="665" t="s">
        <v>603</v>
      </c>
      <c r="D23" s="676">
        <v>0.2</v>
      </c>
      <c r="E23" s="665"/>
      <c r="F23" s="676"/>
      <c r="G23" s="665"/>
      <c r="H23" s="625"/>
      <c r="I23" s="665"/>
      <c r="J23" s="625"/>
      <c r="K23" s="665" t="s">
        <v>603</v>
      </c>
      <c r="L23" s="625">
        <v>0.2</v>
      </c>
      <c r="M23" s="665"/>
      <c r="N23" s="625"/>
      <c r="O23" s="665"/>
      <c r="P23" s="625"/>
      <c r="Q23" s="665"/>
      <c r="R23" s="625"/>
      <c r="S23" s="672" t="s">
        <v>463</v>
      </c>
      <c r="T23" s="625">
        <v>0.25</v>
      </c>
    </row>
    <row r="24" spans="2:24" s="590" customFormat="1">
      <c r="B24" s="514"/>
      <c r="C24" s="514" t="s">
        <v>406</v>
      </c>
      <c r="D24" s="517">
        <v>0.15</v>
      </c>
      <c r="E24" s="516"/>
      <c r="F24" s="517"/>
      <c r="G24" s="518"/>
      <c r="H24" s="716"/>
      <c r="I24" s="518"/>
      <c r="J24" s="716"/>
      <c r="K24" s="518"/>
      <c r="L24" s="716"/>
      <c r="M24" s="518"/>
      <c r="N24" s="716"/>
      <c r="O24" s="518"/>
      <c r="P24" s="716"/>
      <c r="Q24" s="518"/>
      <c r="R24" s="716"/>
      <c r="S24" s="514"/>
      <c r="T24" s="716"/>
    </row>
    <row r="25" spans="2:24" ht="38.25">
      <c r="B25" s="481">
        <v>1</v>
      </c>
      <c r="C25" s="668" t="s">
        <v>642</v>
      </c>
      <c r="D25" s="735">
        <v>1</v>
      </c>
      <c r="E25" s="665" t="s">
        <v>452</v>
      </c>
      <c r="F25" s="735">
        <v>0.1</v>
      </c>
      <c r="G25" s="665" t="str">
        <f>C25</f>
        <v>Hoàn thành bảng định chuẩn chức danh trước 31/3/2026</v>
      </c>
      <c r="H25" s="625">
        <v>0.15</v>
      </c>
      <c r="I25" s="665"/>
      <c r="J25" s="625"/>
      <c r="K25" s="736" t="s">
        <v>646</v>
      </c>
      <c r="L25" s="625">
        <v>0.2</v>
      </c>
      <c r="M25" s="672" t="s">
        <v>642</v>
      </c>
      <c r="N25" s="625">
        <v>0.2</v>
      </c>
      <c r="O25" s="665"/>
      <c r="P25" s="625"/>
      <c r="Q25" s="665"/>
      <c r="R25" s="625"/>
      <c r="S25" s="733"/>
      <c r="T25" s="625"/>
    </row>
    <row r="26" spans="2:24" s="717" customFormat="1">
      <c r="B26" s="718"/>
      <c r="C26" s="718" t="s">
        <v>3</v>
      </c>
      <c r="D26" s="719">
        <f>D10+D16+D19+D24</f>
        <v>1</v>
      </c>
      <c r="E26" s="720"/>
      <c r="F26" s="716">
        <f>SUM(F11:F25)</f>
        <v>1</v>
      </c>
      <c r="G26" s="716"/>
      <c r="H26" s="716">
        <f>SUM(H11:H25)</f>
        <v>1</v>
      </c>
      <c r="I26" s="716"/>
      <c r="J26" s="716">
        <f>SUM(J11:J25)</f>
        <v>1</v>
      </c>
      <c r="K26" s="716"/>
      <c r="L26" s="716">
        <f>SUM(L11:L25)</f>
        <v>1</v>
      </c>
      <c r="M26" s="716"/>
      <c r="N26" s="716">
        <f>SUM(N11:N25)</f>
        <v>1</v>
      </c>
      <c r="O26" s="716"/>
      <c r="P26" s="716">
        <f>SUM(P11:P25)</f>
        <v>1</v>
      </c>
      <c r="Q26" s="716"/>
      <c r="R26" s="716">
        <f>SUM(R11:R25)</f>
        <v>1</v>
      </c>
      <c r="S26" s="718"/>
      <c r="T26" s="716">
        <f>SUM(T11:T25)</f>
        <v>1</v>
      </c>
    </row>
    <row r="28" spans="2:24">
      <c r="B28" s="611"/>
      <c r="C28" s="613" t="s">
        <v>34</v>
      </c>
      <c r="D28" s="615"/>
      <c r="E28" s="615"/>
      <c r="F28" s="613"/>
      <c r="G28" s="615"/>
      <c r="H28" s="613"/>
      <c r="I28" s="966" t="s">
        <v>35</v>
      </c>
      <c r="J28" s="966"/>
      <c r="K28" s="966"/>
      <c r="L28" s="613"/>
      <c r="M28" s="615"/>
      <c r="N28" s="613"/>
      <c r="O28" s="615"/>
      <c r="P28" s="613"/>
      <c r="Q28" s="615"/>
      <c r="R28" s="615" t="s">
        <v>442</v>
      </c>
      <c r="S28" s="615"/>
      <c r="T28" s="613"/>
      <c r="U28" s="615"/>
      <c r="V28" s="615"/>
      <c r="W28" s="615"/>
      <c r="X28" s="615"/>
    </row>
    <row r="29" spans="2:24">
      <c r="B29" s="611"/>
      <c r="C29" s="612"/>
      <c r="D29" s="611"/>
      <c r="E29" s="963"/>
      <c r="F29" s="963"/>
      <c r="G29" s="963"/>
      <c r="H29" s="963"/>
      <c r="I29" s="963"/>
      <c r="J29" s="963"/>
      <c r="K29" s="963"/>
      <c r="L29" s="963"/>
      <c r="M29" s="963"/>
      <c r="N29" s="963"/>
      <c r="O29" s="963"/>
      <c r="P29" s="963"/>
      <c r="Q29" s="612"/>
      <c r="R29" s="612"/>
      <c r="S29" s="612"/>
      <c r="T29" s="963"/>
      <c r="U29" s="963"/>
      <c r="V29" s="963"/>
      <c r="W29" s="963"/>
      <c r="X29" s="611"/>
    </row>
    <row r="30" spans="2:24">
      <c r="B30" s="611"/>
      <c r="C30" s="612"/>
      <c r="D30" s="721"/>
      <c r="E30" s="722"/>
      <c r="F30" s="612"/>
      <c r="G30" s="722"/>
      <c r="H30" s="612"/>
      <c r="I30" s="722"/>
      <c r="J30" s="723"/>
      <c r="K30" s="722"/>
      <c r="L30" s="612"/>
      <c r="M30" s="722"/>
      <c r="N30" s="612"/>
      <c r="O30" s="722"/>
      <c r="P30" s="612"/>
      <c r="Q30" s="722"/>
      <c r="R30" s="722"/>
      <c r="S30" s="612"/>
      <c r="T30" s="551"/>
      <c r="U30" s="612"/>
      <c r="V30" s="612"/>
      <c r="W30" s="724"/>
      <c r="X30" s="724"/>
    </row>
    <row r="31" spans="2:24">
      <c r="B31" s="611"/>
      <c r="C31" s="612"/>
      <c r="D31" s="721"/>
      <c r="E31" s="722"/>
      <c r="F31" s="612"/>
      <c r="G31" s="722"/>
      <c r="H31" s="612"/>
      <c r="I31" s="722"/>
      <c r="J31" s="723"/>
      <c r="K31" s="722"/>
      <c r="L31" s="612"/>
      <c r="M31" s="722"/>
      <c r="N31" s="612"/>
      <c r="O31" s="722"/>
      <c r="P31" s="612"/>
      <c r="Q31" s="722"/>
      <c r="R31" s="722"/>
      <c r="S31" s="612"/>
      <c r="T31" s="551"/>
      <c r="U31" s="612"/>
      <c r="V31" s="612"/>
      <c r="W31" s="724"/>
      <c r="X31" s="724"/>
    </row>
    <row r="32" spans="2:24">
      <c r="B32" s="611"/>
      <c r="C32" s="612"/>
      <c r="D32" s="721"/>
      <c r="E32" s="722"/>
      <c r="F32" s="612"/>
      <c r="G32" s="722"/>
      <c r="H32" s="612"/>
      <c r="I32" s="722"/>
      <c r="J32" s="723"/>
      <c r="K32" s="722"/>
      <c r="L32" s="612"/>
      <c r="M32" s="722"/>
      <c r="N32" s="612"/>
      <c r="O32" s="722"/>
      <c r="P32" s="612"/>
      <c r="Q32" s="722"/>
      <c r="R32" s="722"/>
      <c r="S32" s="612"/>
      <c r="T32" s="551"/>
      <c r="U32" s="612"/>
      <c r="V32" s="612"/>
      <c r="W32" s="724"/>
      <c r="X32" s="724"/>
    </row>
    <row r="33" spans="2:24">
      <c r="B33" s="611"/>
      <c r="C33" s="612"/>
      <c r="D33" s="721"/>
      <c r="E33" s="722"/>
      <c r="F33" s="612"/>
      <c r="G33" s="722"/>
      <c r="H33" s="612"/>
      <c r="I33" s="722"/>
      <c r="J33" s="723"/>
      <c r="K33" s="722"/>
      <c r="L33" s="612"/>
      <c r="M33" s="722"/>
      <c r="N33" s="612"/>
      <c r="O33" s="722"/>
      <c r="P33" s="612"/>
      <c r="Q33" s="722"/>
      <c r="R33" s="722"/>
      <c r="S33" s="612"/>
      <c r="T33" s="551"/>
      <c r="U33" s="612"/>
      <c r="V33" s="612"/>
      <c r="W33" s="724"/>
      <c r="X33" s="724"/>
    </row>
    <row r="34" spans="2:24">
      <c r="B34" s="611"/>
      <c r="C34" s="612"/>
      <c r="D34" s="721"/>
      <c r="E34" s="722"/>
      <c r="F34" s="612"/>
      <c r="G34" s="722"/>
      <c r="H34" s="612"/>
      <c r="I34" s="722"/>
      <c r="J34" s="723"/>
      <c r="K34" s="722"/>
      <c r="L34" s="612"/>
      <c r="M34" s="722"/>
      <c r="N34" s="612"/>
      <c r="O34" s="722"/>
      <c r="P34" s="612"/>
      <c r="Q34" s="722"/>
      <c r="R34" s="722"/>
      <c r="S34" s="612"/>
      <c r="T34" s="551"/>
      <c r="U34" s="612"/>
      <c r="V34" s="612"/>
      <c r="W34" s="724"/>
      <c r="X34" s="724"/>
    </row>
    <row r="35" spans="2:24">
      <c r="B35" s="611"/>
      <c r="C35" s="612" t="s">
        <v>29</v>
      </c>
      <c r="D35" s="611"/>
      <c r="E35" s="611"/>
      <c r="F35" s="612"/>
      <c r="G35" s="611"/>
      <c r="H35" s="612"/>
      <c r="I35" s="963" t="s">
        <v>29</v>
      </c>
      <c r="J35" s="963"/>
      <c r="K35" s="963"/>
      <c r="L35" s="612"/>
      <c r="M35" s="611"/>
      <c r="N35" s="612"/>
      <c r="O35" s="611"/>
      <c r="P35" s="612"/>
      <c r="Q35" s="1124"/>
      <c r="R35" s="1124"/>
      <c r="S35" s="1124"/>
      <c r="T35" s="1124"/>
      <c r="U35" s="611"/>
      <c r="V35" s="611"/>
      <c r="W35" s="611"/>
      <c r="X35" s="611"/>
    </row>
  </sheetData>
  <autoFilter ref="B10:X26" xr:uid="{00000000-0009-0000-0000-000018000000}"/>
  <mergeCells count="5">
    <mergeCell ref="I28:K28"/>
    <mergeCell ref="E29:P29"/>
    <mergeCell ref="T29:W29"/>
    <mergeCell ref="I35:K35"/>
    <mergeCell ref="Q35:T35"/>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4F50F-29FD-4436-B507-75054E617768}">
  <dimension ref="B1:U24"/>
  <sheetViews>
    <sheetView zoomScaleNormal="100" workbookViewId="0">
      <selection activeCell="L11" sqref="L11"/>
    </sheetView>
  </sheetViews>
  <sheetFormatPr defaultColWidth="8.875" defaultRowHeight="12.75"/>
  <cols>
    <col min="1" max="1" width="2" style="550" customWidth="1"/>
    <col min="2" max="2" width="4.125" style="551" customWidth="1"/>
    <col min="3" max="3" width="32.375" style="550" customWidth="1"/>
    <col min="4" max="4" width="7" style="550" hidden="1" customWidth="1"/>
    <col min="5" max="5" width="22" style="550" customWidth="1"/>
    <col min="6" max="6" width="28.5" style="551" hidden="1" customWidth="1"/>
    <col min="7" max="7" width="9.5" style="551" customWidth="1"/>
    <col min="8" max="8" width="17.5" style="550" customWidth="1"/>
    <col min="9" max="9" width="6.75" style="550" customWidth="1"/>
    <col min="10" max="10" width="9.25" style="550" customWidth="1"/>
    <col min="11" max="11" width="10.5" style="550" customWidth="1"/>
    <col min="12" max="20" width="12" style="550" customWidth="1"/>
    <col min="21" max="218" width="8.875" style="550"/>
    <col min="219" max="219" width="5" style="550" customWidth="1"/>
    <col min="220" max="220" width="33.375" style="550" customWidth="1"/>
    <col min="221" max="221" width="6.5" style="550" customWidth="1"/>
    <col min="222" max="222" width="29.5" style="550" customWidth="1"/>
    <col min="223" max="223" width="23.625" style="550" customWidth="1"/>
    <col min="224" max="224" width="8" style="550" customWidth="1"/>
    <col min="225" max="225" width="9.125" style="550" customWidth="1"/>
    <col min="226" max="226" width="13.875" style="550" customWidth="1"/>
    <col min="227" max="227" width="13.5" style="550" customWidth="1"/>
    <col min="228" max="474" width="8.875" style="550"/>
    <col min="475" max="475" width="5" style="550" customWidth="1"/>
    <col min="476" max="476" width="33.375" style="550" customWidth="1"/>
    <col min="477" max="477" width="6.5" style="550" customWidth="1"/>
    <col min="478" max="478" width="29.5" style="550" customWidth="1"/>
    <col min="479" max="479" width="23.625" style="550" customWidth="1"/>
    <col min="480" max="480" width="8" style="550" customWidth="1"/>
    <col min="481" max="481" width="9.125" style="550" customWidth="1"/>
    <col min="482" max="482" width="13.875" style="550" customWidth="1"/>
    <col min="483" max="483" width="13.5" style="550" customWidth="1"/>
    <col min="484" max="730" width="8.875" style="550"/>
    <col min="731" max="731" width="5" style="550" customWidth="1"/>
    <col min="732" max="732" width="33.375" style="550" customWidth="1"/>
    <col min="733" max="733" width="6.5" style="550" customWidth="1"/>
    <col min="734" max="734" width="29.5" style="550" customWidth="1"/>
    <col min="735" max="735" width="23.625" style="550" customWidth="1"/>
    <col min="736" max="736" width="8" style="550" customWidth="1"/>
    <col min="737" max="737" width="9.125" style="550" customWidth="1"/>
    <col min="738" max="738" width="13.875" style="550" customWidth="1"/>
    <col min="739" max="739" width="13.5" style="550" customWidth="1"/>
    <col min="740" max="986" width="8.875" style="550"/>
    <col min="987" max="987" width="5" style="550" customWidth="1"/>
    <col min="988" max="988" width="33.375" style="550" customWidth="1"/>
    <col min="989" max="989" width="6.5" style="550" customWidth="1"/>
    <col min="990" max="990" width="29.5" style="550" customWidth="1"/>
    <col min="991" max="991" width="23.625" style="550" customWidth="1"/>
    <col min="992" max="992" width="8" style="550" customWidth="1"/>
    <col min="993" max="993" width="9.125" style="550" customWidth="1"/>
    <col min="994" max="994" width="13.875" style="550" customWidth="1"/>
    <col min="995" max="995" width="13.5" style="550" customWidth="1"/>
    <col min="996" max="1242" width="8.875" style="550"/>
    <col min="1243" max="1243" width="5" style="550" customWidth="1"/>
    <col min="1244" max="1244" width="33.375" style="550" customWidth="1"/>
    <col min="1245" max="1245" width="6.5" style="550" customWidth="1"/>
    <col min="1246" max="1246" width="29.5" style="550" customWidth="1"/>
    <col min="1247" max="1247" width="23.625" style="550" customWidth="1"/>
    <col min="1248" max="1248" width="8" style="550" customWidth="1"/>
    <col min="1249" max="1249" width="9.125" style="550" customWidth="1"/>
    <col min="1250" max="1250" width="13.875" style="550" customWidth="1"/>
    <col min="1251" max="1251" width="13.5" style="550" customWidth="1"/>
    <col min="1252" max="1498" width="8.875" style="550"/>
    <col min="1499" max="1499" width="5" style="550" customWidth="1"/>
    <col min="1500" max="1500" width="33.375" style="550" customWidth="1"/>
    <col min="1501" max="1501" width="6.5" style="550" customWidth="1"/>
    <col min="1502" max="1502" width="29.5" style="550" customWidth="1"/>
    <col min="1503" max="1503" width="23.625" style="550" customWidth="1"/>
    <col min="1504" max="1504" width="8" style="550" customWidth="1"/>
    <col min="1505" max="1505" width="9.125" style="550" customWidth="1"/>
    <col min="1506" max="1506" width="13.875" style="550" customWidth="1"/>
    <col min="1507" max="1507" width="13.5" style="550" customWidth="1"/>
    <col min="1508" max="1754" width="8.875" style="550"/>
    <col min="1755" max="1755" width="5" style="550" customWidth="1"/>
    <col min="1756" max="1756" width="33.375" style="550" customWidth="1"/>
    <col min="1757" max="1757" width="6.5" style="550" customWidth="1"/>
    <col min="1758" max="1758" width="29.5" style="550" customWidth="1"/>
    <col min="1759" max="1759" width="23.625" style="550" customWidth="1"/>
    <col min="1760" max="1760" width="8" style="550" customWidth="1"/>
    <col min="1761" max="1761" width="9.125" style="550" customWidth="1"/>
    <col min="1762" max="1762" width="13.875" style="550" customWidth="1"/>
    <col min="1763" max="1763" width="13.5" style="550" customWidth="1"/>
    <col min="1764" max="2010" width="8.875" style="550"/>
    <col min="2011" max="2011" width="5" style="550" customWidth="1"/>
    <col min="2012" max="2012" width="33.375" style="550" customWidth="1"/>
    <col min="2013" max="2013" width="6.5" style="550" customWidth="1"/>
    <col min="2014" max="2014" width="29.5" style="550" customWidth="1"/>
    <col min="2015" max="2015" width="23.625" style="550" customWidth="1"/>
    <col min="2016" max="2016" width="8" style="550" customWidth="1"/>
    <col min="2017" max="2017" width="9.125" style="550" customWidth="1"/>
    <col min="2018" max="2018" width="13.875" style="550" customWidth="1"/>
    <col min="2019" max="2019" width="13.5" style="550" customWidth="1"/>
    <col min="2020" max="2266" width="8.875" style="550"/>
    <col min="2267" max="2267" width="5" style="550" customWidth="1"/>
    <col min="2268" max="2268" width="33.375" style="550" customWidth="1"/>
    <col min="2269" max="2269" width="6.5" style="550" customWidth="1"/>
    <col min="2270" max="2270" width="29.5" style="550" customWidth="1"/>
    <col min="2271" max="2271" width="23.625" style="550" customWidth="1"/>
    <col min="2272" max="2272" width="8" style="550" customWidth="1"/>
    <col min="2273" max="2273" width="9.125" style="550" customWidth="1"/>
    <col min="2274" max="2274" width="13.875" style="550" customWidth="1"/>
    <col min="2275" max="2275" width="13.5" style="550" customWidth="1"/>
    <col min="2276" max="2522" width="8.875" style="550"/>
    <col min="2523" max="2523" width="5" style="550" customWidth="1"/>
    <col min="2524" max="2524" width="33.375" style="550" customWidth="1"/>
    <col min="2525" max="2525" width="6.5" style="550" customWidth="1"/>
    <col min="2526" max="2526" width="29.5" style="550" customWidth="1"/>
    <col min="2527" max="2527" width="23.625" style="550" customWidth="1"/>
    <col min="2528" max="2528" width="8" style="550" customWidth="1"/>
    <col min="2529" max="2529" width="9.125" style="550" customWidth="1"/>
    <col min="2530" max="2530" width="13.875" style="550" customWidth="1"/>
    <col min="2531" max="2531" width="13.5" style="550" customWidth="1"/>
    <col min="2532" max="2778" width="8.875" style="550"/>
    <col min="2779" max="2779" width="5" style="550" customWidth="1"/>
    <col min="2780" max="2780" width="33.375" style="550" customWidth="1"/>
    <col min="2781" max="2781" width="6.5" style="550" customWidth="1"/>
    <col min="2782" max="2782" width="29.5" style="550" customWidth="1"/>
    <col min="2783" max="2783" width="23.625" style="550" customWidth="1"/>
    <col min="2784" max="2784" width="8" style="550" customWidth="1"/>
    <col min="2785" max="2785" width="9.125" style="550" customWidth="1"/>
    <col min="2786" max="2786" width="13.875" style="550" customWidth="1"/>
    <col min="2787" max="2787" width="13.5" style="550" customWidth="1"/>
    <col min="2788" max="3034" width="8.875" style="550"/>
    <col min="3035" max="3035" width="5" style="550" customWidth="1"/>
    <col min="3036" max="3036" width="33.375" style="550" customWidth="1"/>
    <col min="3037" max="3037" width="6.5" style="550" customWidth="1"/>
    <col min="3038" max="3038" width="29.5" style="550" customWidth="1"/>
    <col min="3039" max="3039" width="23.625" style="550" customWidth="1"/>
    <col min="3040" max="3040" width="8" style="550" customWidth="1"/>
    <col min="3041" max="3041" width="9.125" style="550" customWidth="1"/>
    <col min="3042" max="3042" width="13.875" style="550" customWidth="1"/>
    <col min="3043" max="3043" width="13.5" style="550" customWidth="1"/>
    <col min="3044" max="3290" width="8.875" style="550"/>
    <col min="3291" max="3291" width="5" style="550" customWidth="1"/>
    <col min="3292" max="3292" width="33.375" style="550" customWidth="1"/>
    <col min="3293" max="3293" width="6.5" style="550" customWidth="1"/>
    <col min="3294" max="3294" width="29.5" style="550" customWidth="1"/>
    <col min="3295" max="3295" width="23.625" style="550" customWidth="1"/>
    <col min="3296" max="3296" width="8" style="550" customWidth="1"/>
    <col min="3297" max="3297" width="9.125" style="550" customWidth="1"/>
    <col min="3298" max="3298" width="13.875" style="550" customWidth="1"/>
    <col min="3299" max="3299" width="13.5" style="550" customWidth="1"/>
    <col min="3300" max="3546" width="8.875" style="550"/>
    <col min="3547" max="3547" width="5" style="550" customWidth="1"/>
    <col min="3548" max="3548" width="33.375" style="550" customWidth="1"/>
    <col min="3549" max="3549" width="6.5" style="550" customWidth="1"/>
    <col min="3550" max="3550" width="29.5" style="550" customWidth="1"/>
    <col min="3551" max="3551" width="23.625" style="550" customWidth="1"/>
    <col min="3552" max="3552" width="8" style="550" customWidth="1"/>
    <col min="3553" max="3553" width="9.125" style="550" customWidth="1"/>
    <col min="3554" max="3554" width="13.875" style="550" customWidth="1"/>
    <col min="3555" max="3555" width="13.5" style="550" customWidth="1"/>
    <col min="3556" max="3802" width="8.875" style="550"/>
    <col min="3803" max="3803" width="5" style="550" customWidth="1"/>
    <col min="3804" max="3804" width="33.375" style="550" customWidth="1"/>
    <col min="3805" max="3805" width="6.5" style="550" customWidth="1"/>
    <col min="3806" max="3806" width="29.5" style="550" customWidth="1"/>
    <col min="3807" max="3807" width="23.625" style="550" customWidth="1"/>
    <col min="3808" max="3808" width="8" style="550" customWidth="1"/>
    <col min="3809" max="3809" width="9.125" style="550" customWidth="1"/>
    <col min="3810" max="3810" width="13.875" style="550" customWidth="1"/>
    <col min="3811" max="3811" width="13.5" style="550" customWidth="1"/>
    <col min="3812" max="4058" width="8.875" style="550"/>
    <col min="4059" max="4059" width="5" style="550" customWidth="1"/>
    <col min="4060" max="4060" width="33.375" style="550" customWidth="1"/>
    <col min="4061" max="4061" width="6.5" style="550" customWidth="1"/>
    <col min="4062" max="4062" width="29.5" style="550" customWidth="1"/>
    <col min="4063" max="4063" width="23.625" style="550" customWidth="1"/>
    <col min="4064" max="4064" width="8" style="550" customWidth="1"/>
    <col min="4065" max="4065" width="9.125" style="550" customWidth="1"/>
    <col min="4066" max="4066" width="13.875" style="550" customWidth="1"/>
    <col min="4067" max="4067" width="13.5" style="550" customWidth="1"/>
    <col min="4068" max="4314" width="8.875" style="550"/>
    <col min="4315" max="4315" width="5" style="550" customWidth="1"/>
    <col min="4316" max="4316" width="33.375" style="550" customWidth="1"/>
    <col min="4317" max="4317" width="6.5" style="550" customWidth="1"/>
    <col min="4318" max="4318" width="29.5" style="550" customWidth="1"/>
    <col min="4319" max="4319" width="23.625" style="550" customWidth="1"/>
    <col min="4320" max="4320" width="8" style="550" customWidth="1"/>
    <col min="4321" max="4321" width="9.125" style="550" customWidth="1"/>
    <col min="4322" max="4322" width="13.875" style="550" customWidth="1"/>
    <col min="4323" max="4323" width="13.5" style="550" customWidth="1"/>
    <col min="4324" max="4570" width="8.875" style="550"/>
    <col min="4571" max="4571" width="5" style="550" customWidth="1"/>
    <col min="4572" max="4572" width="33.375" style="550" customWidth="1"/>
    <col min="4573" max="4573" width="6.5" style="550" customWidth="1"/>
    <col min="4574" max="4574" width="29.5" style="550" customWidth="1"/>
    <col min="4575" max="4575" width="23.625" style="550" customWidth="1"/>
    <col min="4576" max="4576" width="8" style="550" customWidth="1"/>
    <col min="4577" max="4577" width="9.125" style="550" customWidth="1"/>
    <col min="4578" max="4578" width="13.875" style="550" customWidth="1"/>
    <col min="4579" max="4579" width="13.5" style="550" customWidth="1"/>
    <col min="4580" max="4826" width="8.875" style="550"/>
    <col min="4827" max="4827" width="5" style="550" customWidth="1"/>
    <col min="4828" max="4828" width="33.375" style="550" customWidth="1"/>
    <col min="4829" max="4829" width="6.5" style="550" customWidth="1"/>
    <col min="4830" max="4830" width="29.5" style="550" customWidth="1"/>
    <col min="4831" max="4831" width="23.625" style="550" customWidth="1"/>
    <col min="4832" max="4832" width="8" style="550" customWidth="1"/>
    <col min="4833" max="4833" width="9.125" style="550" customWidth="1"/>
    <col min="4834" max="4834" width="13.875" style="550" customWidth="1"/>
    <col min="4835" max="4835" width="13.5" style="550" customWidth="1"/>
    <col min="4836" max="5082" width="8.875" style="550"/>
    <col min="5083" max="5083" width="5" style="550" customWidth="1"/>
    <col min="5084" max="5084" width="33.375" style="550" customWidth="1"/>
    <col min="5085" max="5085" width="6.5" style="550" customWidth="1"/>
    <col min="5086" max="5086" width="29.5" style="550" customWidth="1"/>
    <col min="5087" max="5087" width="23.625" style="550" customWidth="1"/>
    <col min="5088" max="5088" width="8" style="550" customWidth="1"/>
    <col min="5089" max="5089" width="9.125" style="550" customWidth="1"/>
    <col min="5090" max="5090" width="13.875" style="550" customWidth="1"/>
    <col min="5091" max="5091" width="13.5" style="550" customWidth="1"/>
    <col min="5092" max="5338" width="8.875" style="550"/>
    <col min="5339" max="5339" width="5" style="550" customWidth="1"/>
    <col min="5340" max="5340" width="33.375" style="550" customWidth="1"/>
    <col min="5341" max="5341" width="6.5" style="550" customWidth="1"/>
    <col min="5342" max="5342" width="29.5" style="550" customWidth="1"/>
    <col min="5343" max="5343" width="23.625" style="550" customWidth="1"/>
    <col min="5344" max="5344" width="8" style="550" customWidth="1"/>
    <col min="5345" max="5345" width="9.125" style="550" customWidth="1"/>
    <col min="5346" max="5346" width="13.875" style="550" customWidth="1"/>
    <col min="5347" max="5347" width="13.5" style="550" customWidth="1"/>
    <col min="5348" max="5594" width="8.875" style="550"/>
    <col min="5595" max="5595" width="5" style="550" customWidth="1"/>
    <col min="5596" max="5596" width="33.375" style="550" customWidth="1"/>
    <col min="5597" max="5597" width="6.5" style="550" customWidth="1"/>
    <col min="5598" max="5598" width="29.5" style="550" customWidth="1"/>
    <col min="5599" max="5599" width="23.625" style="550" customWidth="1"/>
    <col min="5600" max="5600" width="8" style="550" customWidth="1"/>
    <col min="5601" max="5601" width="9.125" style="550" customWidth="1"/>
    <col min="5602" max="5602" width="13.875" style="550" customWidth="1"/>
    <col min="5603" max="5603" width="13.5" style="550" customWidth="1"/>
    <col min="5604" max="5850" width="8.875" style="550"/>
    <col min="5851" max="5851" width="5" style="550" customWidth="1"/>
    <col min="5852" max="5852" width="33.375" style="550" customWidth="1"/>
    <col min="5853" max="5853" width="6.5" style="550" customWidth="1"/>
    <col min="5854" max="5854" width="29.5" style="550" customWidth="1"/>
    <col min="5855" max="5855" width="23.625" style="550" customWidth="1"/>
    <col min="5856" max="5856" width="8" style="550" customWidth="1"/>
    <col min="5857" max="5857" width="9.125" style="550" customWidth="1"/>
    <col min="5858" max="5858" width="13.875" style="550" customWidth="1"/>
    <col min="5859" max="5859" width="13.5" style="550" customWidth="1"/>
    <col min="5860" max="6106" width="8.875" style="550"/>
    <col min="6107" max="6107" width="5" style="550" customWidth="1"/>
    <col min="6108" max="6108" width="33.375" style="550" customWidth="1"/>
    <col min="6109" max="6109" width="6.5" style="550" customWidth="1"/>
    <col min="6110" max="6110" width="29.5" style="550" customWidth="1"/>
    <col min="6111" max="6111" width="23.625" style="550" customWidth="1"/>
    <col min="6112" max="6112" width="8" style="550" customWidth="1"/>
    <col min="6113" max="6113" width="9.125" style="550" customWidth="1"/>
    <col min="6114" max="6114" width="13.875" style="550" customWidth="1"/>
    <col min="6115" max="6115" width="13.5" style="550" customWidth="1"/>
    <col min="6116" max="6362" width="8.875" style="550"/>
    <col min="6363" max="6363" width="5" style="550" customWidth="1"/>
    <col min="6364" max="6364" width="33.375" style="550" customWidth="1"/>
    <col min="6365" max="6365" width="6.5" style="550" customWidth="1"/>
    <col min="6366" max="6366" width="29.5" style="550" customWidth="1"/>
    <col min="6367" max="6367" width="23.625" style="550" customWidth="1"/>
    <col min="6368" max="6368" width="8" style="550" customWidth="1"/>
    <col min="6369" max="6369" width="9.125" style="550" customWidth="1"/>
    <col min="6370" max="6370" width="13.875" style="550" customWidth="1"/>
    <col min="6371" max="6371" width="13.5" style="550" customWidth="1"/>
    <col min="6372" max="6618" width="8.875" style="550"/>
    <col min="6619" max="6619" width="5" style="550" customWidth="1"/>
    <col min="6620" max="6620" width="33.375" style="550" customWidth="1"/>
    <col min="6621" max="6621" width="6.5" style="550" customWidth="1"/>
    <col min="6622" max="6622" width="29.5" style="550" customWidth="1"/>
    <col min="6623" max="6623" width="23.625" style="550" customWidth="1"/>
    <col min="6624" max="6624" width="8" style="550" customWidth="1"/>
    <col min="6625" max="6625" width="9.125" style="550" customWidth="1"/>
    <col min="6626" max="6626" width="13.875" style="550" customWidth="1"/>
    <col min="6627" max="6627" width="13.5" style="550" customWidth="1"/>
    <col min="6628" max="6874" width="8.875" style="550"/>
    <col min="6875" max="6875" width="5" style="550" customWidth="1"/>
    <col min="6876" max="6876" width="33.375" style="550" customWidth="1"/>
    <col min="6877" max="6877" width="6.5" style="550" customWidth="1"/>
    <col min="6878" max="6878" width="29.5" style="550" customWidth="1"/>
    <col min="6879" max="6879" width="23.625" style="550" customWidth="1"/>
    <col min="6880" max="6880" width="8" style="550" customWidth="1"/>
    <col min="6881" max="6881" width="9.125" style="550" customWidth="1"/>
    <col min="6882" max="6882" width="13.875" style="550" customWidth="1"/>
    <col min="6883" max="6883" width="13.5" style="550" customWidth="1"/>
    <col min="6884" max="7130" width="8.875" style="550"/>
    <col min="7131" max="7131" width="5" style="550" customWidth="1"/>
    <col min="7132" max="7132" width="33.375" style="550" customWidth="1"/>
    <col min="7133" max="7133" width="6.5" style="550" customWidth="1"/>
    <col min="7134" max="7134" width="29.5" style="550" customWidth="1"/>
    <col min="7135" max="7135" width="23.625" style="550" customWidth="1"/>
    <col min="7136" max="7136" width="8" style="550" customWidth="1"/>
    <col min="7137" max="7137" width="9.125" style="550" customWidth="1"/>
    <col min="7138" max="7138" width="13.875" style="550" customWidth="1"/>
    <col min="7139" max="7139" width="13.5" style="550" customWidth="1"/>
    <col min="7140" max="7386" width="8.875" style="550"/>
    <col min="7387" max="7387" width="5" style="550" customWidth="1"/>
    <col min="7388" max="7388" width="33.375" style="550" customWidth="1"/>
    <col min="7389" max="7389" width="6.5" style="550" customWidth="1"/>
    <col min="7390" max="7390" width="29.5" style="550" customWidth="1"/>
    <col min="7391" max="7391" width="23.625" style="550" customWidth="1"/>
    <col min="7392" max="7392" width="8" style="550" customWidth="1"/>
    <col min="7393" max="7393" width="9.125" style="550" customWidth="1"/>
    <col min="7394" max="7394" width="13.875" style="550" customWidth="1"/>
    <col min="7395" max="7395" width="13.5" style="550" customWidth="1"/>
    <col min="7396" max="7642" width="8.875" style="550"/>
    <col min="7643" max="7643" width="5" style="550" customWidth="1"/>
    <col min="7644" max="7644" width="33.375" style="550" customWidth="1"/>
    <col min="7645" max="7645" width="6.5" style="550" customWidth="1"/>
    <col min="7646" max="7646" width="29.5" style="550" customWidth="1"/>
    <col min="7647" max="7647" width="23.625" style="550" customWidth="1"/>
    <col min="7648" max="7648" width="8" style="550" customWidth="1"/>
    <col min="7649" max="7649" width="9.125" style="550" customWidth="1"/>
    <col min="7650" max="7650" width="13.875" style="550" customWidth="1"/>
    <col min="7651" max="7651" width="13.5" style="550" customWidth="1"/>
    <col min="7652" max="7898" width="8.875" style="550"/>
    <col min="7899" max="7899" width="5" style="550" customWidth="1"/>
    <col min="7900" max="7900" width="33.375" style="550" customWidth="1"/>
    <col min="7901" max="7901" width="6.5" style="550" customWidth="1"/>
    <col min="7902" max="7902" width="29.5" style="550" customWidth="1"/>
    <col min="7903" max="7903" width="23.625" style="550" customWidth="1"/>
    <col min="7904" max="7904" width="8" style="550" customWidth="1"/>
    <col min="7905" max="7905" width="9.125" style="550" customWidth="1"/>
    <col min="7906" max="7906" width="13.875" style="550" customWidth="1"/>
    <col min="7907" max="7907" width="13.5" style="550" customWidth="1"/>
    <col min="7908" max="8154" width="8.875" style="550"/>
    <col min="8155" max="8155" width="5" style="550" customWidth="1"/>
    <col min="8156" max="8156" width="33.375" style="550" customWidth="1"/>
    <col min="8157" max="8157" width="6.5" style="550" customWidth="1"/>
    <col min="8158" max="8158" width="29.5" style="550" customWidth="1"/>
    <col min="8159" max="8159" width="23.625" style="550" customWidth="1"/>
    <col min="8160" max="8160" width="8" style="550" customWidth="1"/>
    <col min="8161" max="8161" width="9.125" style="550" customWidth="1"/>
    <col min="8162" max="8162" width="13.875" style="550" customWidth="1"/>
    <col min="8163" max="8163" width="13.5" style="550" customWidth="1"/>
    <col min="8164" max="8410" width="8.875" style="550"/>
    <col min="8411" max="8411" width="5" style="550" customWidth="1"/>
    <col min="8412" max="8412" width="33.375" style="550" customWidth="1"/>
    <col min="8413" max="8413" width="6.5" style="550" customWidth="1"/>
    <col min="8414" max="8414" width="29.5" style="550" customWidth="1"/>
    <col min="8415" max="8415" width="23.625" style="550" customWidth="1"/>
    <col min="8416" max="8416" width="8" style="550" customWidth="1"/>
    <col min="8417" max="8417" width="9.125" style="550" customWidth="1"/>
    <col min="8418" max="8418" width="13.875" style="550" customWidth="1"/>
    <col min="8419" max="8419" width="13.5" style="550" customWidth="1"/>
    <col min="8420" max="8666" width="8.875" style="550"/>
    <col min="8667" max="8667" width="5" style="550" customWidth="1"/>
    <col min="8668" max="8668" width="33.375" style="550" customWidth="1"/>
    <col min="8669" max="8669" width="6.5" style="550" customWidth="1"/>
    <col min="8670" max="8670" width="29.5" style="550" customWidth="1"/>
    <col min="8671" max="8671" width="23.625" style="550" customWidth="1"/>
    <col min="8672" max="8672" width="8" style="550" customWidth="1"/>
    <col min="8673" max="8673" width="9.125" style="550" customWidth="1"/>
    <col min="8674" max="8674" width="13.875" style="550" customWidth="1"/>
    <col min="8675" max="8675" width="13.5" style="550" customWidth="1"/>
    <col min="8676" max="8922" width="8.875" style="550"/>
    <col min="8923" max="8923" width="5" style="550" customWidth="1"/>
    <col min="8924" max="8924" width="33.375" style="550" customWidth="1"/>
    <col min="8925" max="8925" width="6.5" style="550" customWidth="1"/>
    <col min="8926" max="8926" width="29.5" style="550" customWidth="1"/>
    <col min="8927" max="8927" width="23.625" style="550" customWidth="1"/>
    <col min="8928" max="8928" width="8" style="550" customWidth="1"/>
    <col min="8929" max="8929" width="9.125" style="550" customWidth="1"/>
    <col min="8930" max="8930" width="13.875" style="550" customWidth="1"/>
    <col min="8931" max="8931" width="13.5" style="550" customWidth="1"/>
    <col min="8932" max="9178" width="8.875" style="550"/>
    <col min="9179" max="9179" width="5" style="550" customWidth="1"/>
    <col min="9180" max="9180" width="33.375" style="550" customWidth="1"/>
    <col min="9181" max="9181" width="6.5" style="550" customWidth="1"/>
    <col min="9182" max="9182" width="29.5" style="550" customWidth="1"/>
    <col min="9183" max="9183" width="23.625" style="550" customWidth="1"/>
    <col min="9184" max="9184" width="8" style="550" customWidth="1"/>
    <col min="9185" max="9185" width="9.125" style="550" customWidth="1"/>
    <col min="9186" max="9186" width="13.875" style="550" customWidth="1"/>
    <col min="9187" max="9187" width="13.5" style="550" customWidth="1"/>
    <col min="9188" max="9434" width="8.875" style="550"/>
    <col min="9435" max="9435" width="5" style="550" customWidth="1"/>
    <col min="9436" max="9436" width="33.375" style="550" customWidth="1"/>
    <col min="9437" max="9437" width="6.5" style="550" customWidth="1"/>
    <col min="9438" max="9438" width="29.5" style="550" customWidth="1"/>
    <col min="9439" max="9439" width="23.625" style="550" customWidth="1"/>
    <col min="9440" max="9440" width="8" style="550" customWidth="1"/>
    <col min="9441" max="9441" width="9.125" style="550" customWidth="1"/>
    <col min="9442" max="9442" width="13.875" style="550" customWidth="1"/>
    <col min="9443" max="9443" width="13.5" style="550" customWidth="1"/>
    <col min="9444" max="9690" width="8.875" style="550"/>
    <col min="9691" max="9691" width="5" style="550" customWidth="1"/>
    <col min="9692" max="9692" width="33.375" style="550" customWidth="1"/>
    <col min="9693" max="9693" width="6.5" style="550" customWidth="1"/>
    <col min="9694" max="9694" width="29.5" style="550" customWidth="1"/>
    <col min="9695" max="9695" width="23.625" style="550" customWidth="1"/>
    <col min="9696" max="9696" width="8" style="550" customWidth="1"/>
    <col min="9697" max="9697" width="9.125" style="550" customWidth="1"/>
    <col min="9698" max="9698" width="13.875" style="550" customWidth="1"/>
    <col min="9699" max="9699" width="13.5" style="550" customWidth="1"/>
    <col min="9700" max="9946" width="8.875" style="550"/>
    <col min="9947" max="9947" width="5" style="550" customWidth="1"/>
    <col min="9948" max="9948" width="33.375" style="550" customWidth="1"/>
    <col min="9949" max="9949" width="6.5" style="550" customWidth="1"/>
    <col min="9950" max="9950" width="29.5" style="550" customWidth="1"/>
    <col min="9951" max="9951" width="23.625" style="550" customWidth="1"/>
    <col min="9952" max="9952" width="8" style="550" customWidth="1"/>
    <col min="9953" max="9953" width="9.125" style="550" customWidth="1"/>
    <col min="9954" max="9954" width="13.875" style="550" customWidth="1"/>
    <col min="9955" max="9955" width="13.5" style="550" customWidth="1"/>
    <col min="9956" max="10202" width="8.875" style="550"/>
    <col min="10203" max="10203" width="5" style="550" customWidth="1"/>
    <col min="10204" max="10204" width="33.375" style="550" customWidth="1"/>
    <col min="10205" max="10205" width="6.5" style="550" customWidth="1"/>
    <col min="10206" max="10206" width="29.5" style="550" customWidth="1"/>
    <col min="10207" max="10207" width="23.625" style="550" customWidth="1"/>
    <col min="10208" max="10208" width="8" style="550" customWidth="1"/>
    <col min="10209" max="10209" width="9.125" style="550" customWidth="1"/>
    <col min="10210" max="10210" width="13.875" style="550" customWidth="1"/>
    <col min="10211" max="10211" width="13.5" style="550" customWidth="1"/>
    <col min="10212" max="10458" width="8.875" style="550"/>
    <col min="10459" max="10459" width="5" style="550" customWidth="1"/>
    <col min="10460" max="10460" width="33.375" style="550" customWidth="1"/>
    <col min="10461" max="10461" width="6.5" style="550" customWidth="1"/>
    <col min="10462" max="10462" width="29.5" style="550" customWidth="1"/>
    <col min="10463" max="10463" width="23.625" style="550" customWidth="1"/>
    <col min="10464" max="10464" width="8" style="550" customWidth="1"/>
    <col min="10465" max="10465" width="9.125" style="550" customWidth="1"/>
    <col min="10466" max="10466" width="13.875" style="550" customWidth="1"/>
    <col min="10467" max="10467" width="13.5" style="550" customWidth="1"/>
    <col min="10468" max="10714" width="8.875" style="550"/>
    <col min="10715" max="10715" width="5" style="550" customWidth="1"/>
    <col min="10716" max="10716" width="33.375" style="550" customWidth="1"/>
    <col min="10717" max="10717" width="6.5" style="550" customWidth="1"/>
    <col min="10718" max="10718" width="29.5" style="550" customWidth="1"/>
    <col min="10719" max="10719" width="23.625" style="550" customWidth="1"/>
    <col min="10720" max="10720" width="8" style="550" customWidth="1"/>
    <col min="10721" max="10721" width="9.125" style="550" customWidth="1"/>
    <col min="10722" max="10722" width="13.875" style="550" customWidth="1"/>
    <col min="10723" max="10723" width="13.5" style="550" customWidth="1"/>
    <col min="10724" max="10970" width="8.875" style="550"/>
    <col min="10971" max="10971" width="5" style="550" customWidth="1"/>
    <col min="10972" max="10972" width="33.375" style="550" customWidth="1"/>
    <col min="10973" max="10973" width="6.5" style="550" customWidth="1"/>
    <col min="10974" max="10974" width="29.5" style="550" customWidth="1"/>
    <col min="10975" max="10975" width="23.625" style="550" customWidth="1"/>
    <col min="10976" max="10976" width="8" style="550" customWidth="1"/>
    <col min="10977" max="10977" width="9.125" style="550" customWidth="1"/>
    <col min="10978" max="10978" width="13.875" style="550" customWidth="1"/>
    <col min="10979" max="10979" width="13.5" style="550" customWidth="1"/>
    <col min="10980" max="11226" width="8.875" style="550"/>
    <col min="11227" max="11227" width="5" style="550" customWidth="1"/>
    <col min="11228" max="11228" width="33.375" style="550" customWidth="1"/>
    <col min="11229" max="11229" width="6.5" style="550" customWidth="1"/>
    <col min="11230" max="11230" width="29.5" style="550" customWidth="1"/>
    <col min="11231" max="11231" width="23.625" style="550" customWidth="1"/>
    <col min="11232" max="11232" width="8" style="550" customWidth="1"/>
    <col min="11233" max="11233" width="9.125" style="550" customWidth="1"/>
    <col min="11234" max="11234" width="13.875" style="550" customWidth="1"/>
    <col min="11235" max="11235" width="13.5" style="550" customWidth="1"/>
    <col min="11236" max="11482" width="8.875" style="550"/>
    <col min="11483" max="11483" width="5" style="550" customWidth="1"/>
    <col min="11484" max="11484" width="33.375" style="550" customWidth="1"/>
    <col min="11485" max="11485" width="6.5" style="550" customWidth="1"/>
    <col min="11486" max="11486" width="29.5" style="550" customWidth="1"/>
    <col min="11487" max="11487" width="23.625" style="550" customWidth="1"/>
    <col min="11488" max="11488" width="8" style="550" customWidth="1"/>
    <col min="11489" max="11489" width="9.125" style="550" customWidth="1"/>
    <col min="11490" max="11490" width="13.875" style="550" customWidth="1"/>
    <col min="11491" max="11491" width="13.5" style="550" customWidth="1"/>
    <col min="11492" max="11738" width="8.875" style="550"/>
    <col min="11739" max="11739" width="5" style="550" customWidth="1"/>
    <col min="11740" max="11740" width="33.375" style="550" customWidth="1"/>
    <col min="11741" max="11741" width="6.5" style="550" customWidth="1"/>
    <col min="11742" max="11742" width="29.5" style="550" customWidth="1"/>
    <col min="11743" max="11743" width="23.625" style="550" customWidth="1"/>
    <col min="11744" max="11744" width="8" style="550" customWidth="1"/>
    <col min="11745" max="11745" width="9.125" style="550" customWidth="1"/>
    <col min="11746" max="11746" width="13.875" style="550" customWidth="1"/>
    <col min="11747" max="11747" width="13.5" style="550" customWidth="1"/>
    <col min="11748" max="11994" width="8.875" style="550"/>
    <col min="11995" max="11995" width="5" style="550" customWidth="1"/>
    <col min="11996" max="11996" width="33.375" style="550" customWidth="1"/>
    <col min="11997" max="11997" width="6.5" style="550" customWidth="1"/>
    <col min="11998" max="11998" width="29.5" style="550" customWidth="1"/>
    <col min="11999" max="11999" width="23.625" style="550" customWidth="1"/>
    <col min="12000" max="12000" width="8" style="550" customWidth="1"/>
    <col min="12001" max="12001" width="9.125" style="550" customWidth="1"/>
    <col min="12002" max="12002" width="13.875" style="550" customWidth="1"/>
    <col min="12003" max="12003" width="13.5" style="550" customWidth="1"/>
    <col min="12004" max="12250" width="8.875" style="550"/>
    <col min="12251" max="12251" width="5" style="550" customWidth="1"/>
    <col min="12252" max="12252" width="33.375" style="550" customWidth="1"/>
    <col min="12253" max="12253" width="6.5" style="550" customWidth="1"/>
    <col min="12254" max="12254" width="29.5" style="550" customWidth="1"/>
    <col min="12255" max="12255" width="23.625" style="550" customWidth="1"/>
    <col min="12256" max="12256" width="8" style="550" customWidth="1"/>
    <col min="12257" max="12257" width="9.125" style="550" customWidth="1"/>
    <col min="12258" max="12258" width="13.875" style="550" customWidth="1"/>
    <col min="12259" max="12259" width="13.5" style="550" customWidth="1"/>
    <col min="12260" max="12506" width="8.875" style="550"/>
    <col min="12507" max="12507" width="5" style="550" customWidth="1"/>
    <col min="12508" max="12508" width="33.375" style="550" customWidth="1"/>
    <col min="12509" max="12509" width="6.5" style="550" customWidth="1"/>
    <col min="12510" max="12510" width="29.5" style="550" customWidth="1"/>
    <col min="12511" max="12511" width="23.625" style="550" customWidth="1"/>
    <col min="12512" max="12512" width="8" style="550" customWidth="1"/>
    <col min="12513" max="12513" width="9.125" style="550" customWidth="1"/>
    <col min="12514" max="12514" width="13.875" style="550" customWidth="1"/>
    <col min="12515" max="12515" width="13.5" style="550" customWidth="1"/>
    <col min="12516" max="12762" width="8.875" style="550"/>
    <col min="12763" max="12763" width="5" style="550" customWidth="1"/>
    <col min="12764" max="12764" width="33.375" style="550" customWidth="1"/>
    <col min="12765" max="12765" width="6.5" style="550" customWidth="1"/>
    <col min="12766" max="12766" width="29.5" style="550" customWidth="1"/>
    <col min="12767" max="12767" width="23.625" style="550" customWidth="1"/>
    <col min="12768" max="12768" width="8" style="550" customWidth="1"/>
    <col min="12769" max="12769" width="9.125" style="550" customWidth="1"/>
    <col min="12770" max="12770" width="13.875" style="550" customWidth="1"/>
    <col min="12771" max="12771" width="13.5" style="550" customWidth="1"/>
    <col min="12772" max="13018" width="8.875" style="550"/>
    <col min="13019" max="13019" width="5" style="550" customWidth="1"/>
    <col min="13020" max="13020" width="33.375" style="550" customWidth="1"/>
    <col min="13021" max="13021" width="6.5" style="550" customWidth="1"/>
    <col min="13022" max="13022" width="29.5" style="550" customWidth="1"/>
    <col min="13023" max="13023" width="23.625" style="550" customWidth="1"/>
    <col min="13024" max="13024" width="8" style="550" customWidth="1"/>
    <col min="13025" max="13025" width="9.125" style="550" customWidth="1"/>
    <col min="13026" max="13026" width="13.875" style="550" customWidth="1"/>
    <col min="13027" max="13027" width="13.5" style="550" customWidth="1"/>
    <col min="13028" max="13274" width="8.875" style="550"/>
    <col min="13275" max="13275" width="5" style="550" customWidth="1"/>
    <col min="13276" max="13276" width="33.375" style="550" customWidth="1"/>
    <col min="13277" max="13277" width="6.5" style="550" customWidth="1"/>
    <col min="13278" max="13278" width="29.5" style="550" customWidth="1"/>
    <col min="13279" max="13279" width="23.625" style="550" customWidth="1"/>
    <col min="13280" max="13280" width="8" style="550" customWidth="1"/>
    <col min="13281" max="13281" width="9.125" style="550" customWidth="1"/>
    <col min="13282" max="13282" width="13.875" style="550" customWidth="1"/>
    <col min="13283" max="13283" width="13.5" style="550" customWidth="1"/>
    <col min="13284" max="13530" width="8.875" style="550"/>
    <col min="13531" max="13531" width="5" style="550" customWidth="1"/>
    <col min="13532" max="13532" width="33.375" style="550" customWidth="1"/>
    <col min="13533" max="13533" width="6.5" style="550" customWidth="1"/>
    <col min="13534" max="13534" width="29.5" style="550" customWidth="1"/>
    <col min="13535" max="13535" width="23.625" style="550" customWidth="1"/>
    <col min="13536" max="13536" width="8" style="550" customWidth="1"/>
    <col min="13537" max="13537" width="9.125" style="550" customWidth="1"/>
    <col min="13538" max="13538" width="13.875" style="550" customWidth="1"/>
    <col min="13539" max="13539" width="13.5" style="550" customWidth="1"/>
    <col min="13540" max="13786" width="8.875" style="550"/>
    <col min="13787" max="13787" width="5" style="550" customWidth="1"/>
    <col min="13788" max="13788" width="33.375" style="550" customWidth="1"/>
    <col min="13789" max="13789" width="6.5" style="550" customWidth="1"/>
    <col min="13790" max="13790" width="29.5" style="550" customWidth="1"/>
    <col min="13791" max="13791" width="23.625" style="550" customWidth="1"/>
    <col min="13792" max="13792" width="8" style="550" customWidth="1"/>
    <col min="13793" max="13793" width="9.125" style="550" customWidth="1"/>
    <col min="13794" max="13794" width="13.875" style="550" customWidth="1"/>
    <col min="13795" max="13795" width="13.5" style="550" customWidth="1"/>
    <col min="13796" max="14042" width="8.875" style="550"/>
    <col min="14043" max="14043" width="5" style="550" customWidth="1"/>
    <col min="14044" max="14044" width="33.375" style="550" customWidth="1"/>
    <col min="14045" max="14045" width="6.5" style="550" customWidth="1"/>
    <col min="14046" max="14046" width="29.5" style="550" customWidth="1"/>
    <col min="14047" max="14047" width="23.625" style="550" customWidth="1"/>
    <col min="14048" max="14048" width="8" style="550" customWidth="1"/>
    <col min="14049" max="14049" width="9.125" style="550" customWidth="1"/>
    <col min="14050" max="14050" width="13.875" style="550" customWidth="1"/>
    <col min="14051" max="14051" width="13.5" style="550" customWidth="1"/>
    <col min="14052" max="14298" width="8.875" style="550"/>
    <col min="14299" max="14299" width="5" style="550" customWidth="1"/>
    <col min="14300" max="14300" width="33.375" style="550" customWidth="1"/>
    <col min="14301" max="14301" width="6.5" style="550" customWidth="1"/>
    <col min="14302" max="14302" width="29.5" style="550" customWidth="1"/>
    <col min="14303" max="14303" width="23.625" style="550" customWidth="1"/>
    <col min="14304" max="14304" width="8" style="550" customWidth="1"/>
    <col min="14305" max="14305" width="9.125" style="550" customWidth="1"/>
    <col min="14306" max="14306" width="13.875" style="550" customWidth="1"/>
    <col min="14307" max="14307" width="13.5" style="550" customWidth="1"/>
    <col min="14308" max="14554" width="8.875" style="550"/>
    <col min="14555" max="14555" width="5" style="550" customWidth="1"/>
    <col min="14556" max="14556" width="33.375" style="550" customWidth="1"/>
    <col min="14557" max="14557" width="6.5" style="550" customWidth="1"/>
    <col min="14558" max="14558" width="29.5" style="550" customWidth="1"/>
    <col min="14559" max="14559" width="23.625" style="550" customWidth="1"/>
    <col min="14560" max="14560" width="8" style="550" customWidth="1"/>
    <col min="14561" max="14561" width="9.125" style="550" customWidth="1"/>
    <col min="14562" max="14562" width="13.875" style="550" customWidth="1"/>
    <col min="14563" max="14563" width="13.5" style="550" customWidth="1"/>
    <col min="14564" max="14810" width="8.875" style="550"/>
    <col min="14811" max="14811" width="5" style="550" customWidth="1"/>
    <col min="14812" max="14812" width="33.375" style="550" customWidth="1"/>
    <col min="14813" max="14813" width="6.5" style="550" customWidth="1"/>
    <col min="14814" max="14814" width="29.5" style="550" customWidth="1"/>
    <col min="14815" max="14815" width="23.625" style="550" customWidth="1"/>
    <col min="14816" max="14816" width="8" style="550" customWidth="1"/>
    <col min="14817" max="14817" width="9.125" style="550" customWidth="1"/>
    <col min="14818" max="14818" width="13.875" style="550" customWidth="1"/>
    <col min="14819" max="14819" width="13.5" style="550" customWidth="1"/>
    <col min="14820" max="15066" width="8.875" style="550"/>
    <col min="15067" max="15067" width="5" style="550" customWidth="1"/>
    <col min="15068" max="15068" width="33.375" style="550" customWidth="1"/>
    <col min="15069" max="15069" width="6.5" style="550" customWidth="1"/>
    <col min="15070" max="15070" width="29.5" style="550" customWidth="1"/>
    <col min="15071" max="15071" width="23.625" style="550" customWidth="1"/>
    <col min="15072" max="15072" width="8" style="550" customWidth="1"/>
    <col min="15073" max="15073" width="9.125" style="550" customWidth="1"/>
    <col min="15074" max="15074" width="13.875" style="550" customWidth="1"/>
    <col min="15075" max="15075" width="13.5" style="550" customWidth="1"/>
    <col min="15076" max="15322" width="8.875" style="550"/>
    <col min="15323" max="15323" width="5" style="550" customWidth="1"/>
    <col min="15324" max="15324" width="33.375" style="550" customWidth="1"/>
    <col min="15325" max="15325" width="6.5" style="550" customWidth="1"/>
    <col min="15326" max="15326" width="29.5" style="550" customWidth="1"/>
    <col min="15327" max="15327" width="23.625" style="550" customWidth="1"/>
    <col min="15328" max="15328" width="8" style="550" customWidth="1"/>
    <col min="15329" max="15329" width="9.125" style="550" customWidth="1"/>
    <col min="15330" max="15330" width="13.875" style="550" customWidth="1"/>
    <col min="15331" max="15331" width="13.5" style="550" customWidth="1"/>
    <col min="15332" max="15578" width="8.875" style="550"/>
    <col min="15579" max="15579" width="5" style="550" customWidth="1"/>
    <col min="15580" max="15580" width="33.375" style="550" customWidth="1"/>
    <col min="15581" max="15581" width="6.5" style="550" customWidth="1"/>
    <col min="15582" max="15582" width="29.5" style="550" customWidth="1"/>
    <col min="15583" max="15583" width="23.625" style="550" customWidth="1"/>
    <col min="15584" max="15584" width="8" style="550" customWidth="1"/>
    <col min="15585" max="15585" width="9.125" style="550" customWidth="1"/>
    <col min="15586" max="15586" width="13.875" style="550" customWidth="1"/>
    <col min="15587" max="15587" width="13.5" style="550" customWidth="1"/>
    <col min="15588" max="15834" width="8.875" style="550"/>
    <col min="15835" max="15835" width="5" style="550" customWidth="1"/>
    <col min="15836" max="15836" width="33.375" style="550" customWidth="1"/>
    <col min="15837" max="15837" width="6.5" style="550" customWidth="1"/>
    <col min="15838" max="15838" width="29.5" style="550" customWidth="1"/>
    <col min="15839" max="15839" width="23.625" style="550" customWidth="1"/>
    <col min="15840" max="15840" width="8" style="550" customWidth="1"/>
    <col min="15841" max="15841" width="9.125" style="550" customWidth="1"/>
    <col min="15842" max="15842" width="13.875" style="550" customWidth="1"/>
    <col min="15843" max="15843" width="13.5" style="550" customWidth="1"/>
    <col min="15844" max="16384" width="8.875" style="550"/>
  </cols>
  <sheetData>
    <row r="1" spans="2:21" s="647" customFormat="1" ht="16.5">
      <c r="B1" s="897"/>
      <c r="C1" s="898" t="s">
        <v>255</v>
      </c>
      <c r="G1" s="706"/>
    </row>
    <row r="2" spans="2:21" s="899" customFormat="1" ht="42" customHeight="1">
      <c r="B2" s="1125" t="s">
        <v>704</v>
      </c>
      <c r="C2" s="1126"/>
      <c r="D2" s="1126"/>
      <c r="E2" s="1126"/>
      <c r="F2" s="1126"/>
      <c r="G2" s="1126"/>
      <c r="H2" s="1126"/>
      <c r="I2" s="1126"/>
      <c r="J2" s="1126"/>
      <c r="K2" s="1126"/>
      <c r="L2" s="1126"/>
      <c r="M2" s="1126"/>
      <c r="N2" s="1126"/>
      <c r="O2" s="1126"/>
      <c r="P2" s="1126"/>
      <c r="Q2" s="1126"/>
      <c r="R2" s="1126"/>
      <c r="S2" s="1126"/>
      <c r="T2" s="1126"/>
    </row>
    <row r="3" spans="2:21" s="900" customFormat="1" ht="15.75">
      <c r="B3" s="1127"/>
      <c r="C3" s="1127"/>
      <c r="D3" s="1127"/>
      <c r="E3" s="1127"/>
      <c r="F3" s="1127"/>
      <c r="G3" s="1127"/>
      <c r="H3" s="1127"/>
      <c r="I3" s="1127"/>
      <c r="J3" s="1127"/>
      <c r="K3" s="1127"/>
      <c r="L3" s="1127"/>
      <c r="M3" s="1127"/>
      <c r="N3" s="1127"/>
      <c r="O3" s="1127"/>
      <c r="P3" s="1127"/>
      <c r="Q3" s="1127"/>
      <c r="R3" s="1127"/>
      <c r="S3" s="1127"/>
      <c r="T3" s="1127"/>
      <c r="U3" s="1127"/>
    </row>
    <row r="4" spans="2:21" s="575" customFormat="1" ht="25.5">
      <c r="B4" s="475" t="s">
        <v>1</v>
      </c>
      <c r="C4" s="475" t="s">
        <v>31</v>
      </c>
      <c r="D4" s="475" t="s">
        <v>151</v>
      </c>
      <c r="E4" s="475" t="s">
        <v>165</v>
      </c>
      <c r="F4" s="475" t="s">
        <v>17</v>
      </c>
      <c r="G4" s="475" t="s">
        <v>36</v>
      </c>
      <c r="H4" s="475" t="s">
        <v>116</v>
      </c>
      <c r="I4" s="475" t="s">
        <v>19</v>
      </c>
      <c r="J4" s="475" t="s">
        <v>170</v>
      </c>
      <c r="K4" s="475" t="s">
        <v>164</v>
      </c>
      <c r="L4" s="902" t="s">
        <v>558</v>
      </c>
      <c r="M4" s="902" t="s">
        <v>559</v>
      </c>
      <c r="N4" s="902" t="s">
        <v>560</v>
      </c>
      <c r="O4" s="902" t="s">
        <v>471</v>
      </c>
      <c r="P4" s="902" t="s">
        <v>562</v>
      </c>
      <c r="Q4" s="902" t="s">
        <v>563</v>
      </c>
      <c r="R4" s="902" t="s">
        <v>564</v>
      </c>
      <c r="S4" s="902" t="s">
        <v>565</v>
      </c>
      <c r="T4" s="902" t="s">
        <v>566</v>
      </c>
    </row>
    <row r="5" spans="2:21" s="590" customFormat="1" ht="21.75" customHeight="1">
      <c r="B5" s="514"/>
      <c r="C5" s="514" t="s">
        <v>6</v>
      </c>
      <c r="D5" s="515">
        <v>0.4</v>
      </c>
      <c r="E5" s="516"/>
      <c r="F5" s="518"/>
      <c r="G5" s="518"/>
      <c r="H5" s="654"/>
      <c r="I5" s="518"/>
      <c r="J5" s="476"/>
      <c r="K5" s="514"/>
      <c r="L5" s="514"/>
      <c r="M5" s="514"/>
      <c r="N5" s="514"/>
      <c r="O5" s="514"/>
      <c r="P5" s="514"/>
      <c r="Q5" s="514"/>
      <c r="R5" s="514"/>
      <c r="S5" s="514"/>
      <c r="T5" s="514"/>
    </row>
    <row r="6" spans="2:21" s="908" customFormat="1" ht="59.25" customHeight="1">
      <c r="B6" s="823">
        <v>1</v>
      </c>
      <c r="C6" s="824" t="s">
        <v>507</v>
      </c>
      <c r="D6" s="825">
        <v>0.25</v>
      </c>
      <c r="E6" s="826" t="s">
        <v>408</v>
      </c>
      <c r="F6" s="827" t="s">
        <v>330</v>
      </c>
      <c r="G6" s="828">
        <v>46203</v>
      </c>
      <c r="H6" s="829" t="s">
        <v>508</v>
      </c>
      <c r="I6" s="830" t="s">
        <v>326</v>
      </c>
      <c r="J6" s="831">
        <v>0.95</v>
      </c>
      <c r="K6" s="825">
        <v>1</v>
      </c>
      <c r="L6" s="907"/>
      <c r="M6" s="907"/>
      <c r="N6" s="907"/>
      <c r="O6" s="907"/>
      <c r="P6" s="907"/>
      <c r="Q6" s="907"/>
      <c r="R6" s="907"/>
      <c r="S6" s="907"/>
      <c r="T6" s="907"/>
    </row>
    <row r="7" spans="2:21" s="908" customFormat="1" ht="68.25" customHeight="1">
      <c r="B7" s="834">
        <v>2</v>
      </c>
      <c r="C7" s="835" t="s">
        <v>579</v>
      </c>
      <c r="D7" s="836">
        <v>0.25</v>
      </c>
      <c r="E7" s="826" t="s">
        <v>412</v>
      </c>
      <c r="F7" s="827" t="s">
        <v>580</v>
      </c>
      <c r="G7" s="828">
        <v>46203</v>
      </c>
      <c r="H7" s="829" t="s">
        <v>509</v>
      </c>
      <c r="I7" s="830" t="s">
        <v>326</v>
      </c>
      <c r="J7" s="831">
        <v>0.9</v>
      </c>
      <c r="K7" s="831">
        <v>1</v>
      </c>
      <c r="L7" s="907"/>
      <c r="M7" s="907"/>
      <c r="N7" s="907"/>
      <c r="O7" s="907"/>
      <c r="P7" s="907"/>
      <c r="Q7" s="907"/>
      <c r="R7" s="907"/>
      <c r="S7" s="907"/>
      <c r="T7" s="907"/>
    </row>
    <row r="8" spans="2:21" s="908" customFormat="1" ht="51.75" customHeight="1">
      <c r="B8" s="823">
        <v>3</v>
      </c>
      <c r="C8" s="824" t="s">
        <v>429</v>
      </c>
      <c r="D8" s="825">
        <v>0.25</v>
      </c>
      <c r="E8" s="837" t="s">
        <v>430</v>
      </c>
      <c r="F8" s="827" t="s">
        <v>413</v>
      </c>
      <c r="G8" s="828">
        <v>46203</v>
      </c>
      <c r="H8" s="829" t="s">
        <v>510</v>
      </c>
      <c r="I8" s="838" t="s">
        <v>414</v>
      </c>
      <c r="J8" s="839">
        <v>0</v>
      </c>
      <c r="K8" s="839">
        <v>0</v>
      </c>
      <c r="L8" s="907"/>
      <c r="M8" s="907"/>
      <c r="N8" s="907"/>
      <c r="O8" s="907"/>
      <c r="P8" s="907"/>
      <c r="Q8" s="907"/>
      <c r="R8" s="907"/>
      <c r="S8" s="907"/>
      <c r="T8" s="907"/>
    </row>
    <row r="9" spans="2:21" s="908" customFormat="1" ht="68.25" customHeight="1">
      <c r="B9" s="823">
        <v>4</v>
      </c>
      <c r="C9" s="824" t="s">
        <v>418</v>
      </c>
      <c r="D9" s="825">
        <v>0.25</v>
      </c>
      <c r="E9" s="826" t="s">
        <v>431</v>
      </c>
      <c r="F9" s="827" t="s">
        <v>413</v>
      </c>
      <c r="G9" s="828">
        <v>46203</v>
      </c>
      <c r="H9" s="829" t="s">
        <v>511</v>
      </c>
      <c r="I9" s="838" t="s">
        <v>414</v>
      </c>
      <c r="J9" s="839">
        <v>0</v>
      </c>
      <c r="K9" s="839">
        <v>0</v>
      </c>
      <c r="L9" s="907"/>
      <c r="M9" s="907"/>
      <c r="N9" s="907"/>
      <c r="O9" s="907"/>
      <c r="P9" s="907"/>
      <c r="Q9" s="907"/>
      <c r="R9" s="907"/>
      <c r="S9" s="907"/>
      <c r="T9" s="907"/>
    </row>
    <row r="10" spans="2:21" s="590" customFormat="1" ht="21.75" customHeight="1">
      <c r="B10" s="514"/>
      <c r="C10" s="514" t="s">
        <v>5</v>
      </c>
      <c r="D10" s="515">
        <v>0.3</v>
      </c>
      <c r="E10" s="516"/>
      <c r="F10" s="518"/>
      <c r="G10" s="518"/>
      <c r="H10" s="654"/>
      <c r="I10" s="518"/>
      <c r="J10" s="476"/>
      <c r="K10" s="476"/>
      <c r="L10" s="514"/>
      <c r="M10" s="514"/>
      <c r="N10" s="514"/>
      <c r="O10" s="514"/>
      <c r="P10" s="514"/>
      <c r="Q10" s="514"/>
      <c r="R10" s="514"/>
      <c r="S10" s="514"/>
      <c r="T10" s="514"/>
    </row>
    <row r="11" spans="2:21" s="908" customFormat="1" ht="44.25" customHeight="1">
      <c r="B11" s="823">
        <v>1</v>
      </c>
      <c r="C11" s="854" t="s">
        <v>700</v>
      </c>
      <c r="D11" s="825">
        <v>0.5</v>
      </c>
      <c r="E11" s="837" t="s">
        <v>699</v>
      </c>
      <c r="F11" s="842" t="s">
        <v>711</v>
      </c>
      <c r="G11" s="828">
        <v>46203</v>
      </c>
      <c r="H11" s="829" t="s">
        <v>585</v>
      </c>
      <c r="I11" s="830" t="s">
        <v>326</v>
      </c>
      <c r="J11" s="843">
        <v>1</v>
      </c>
      <c r="K11" s="936">
        <v>0.9859</v>
      </c>
      <c r="L11" s="924"/>
      <c r="M11" s="924"/>
      <c r="N11" s="924"/>
      <c r="O11" s="924"/>
      <c r="P11" s="924"/>
      <c r="Q11" s="924"/>
      <c r="R11" s="924"/>
      <c r="S11" s="924"/>
      <c r="T11" s="924"/>
    </row>
    <row r="12" spans="2:21" s="908" customFormat="1" ht="38.25">
      <c r="B12" s="823">
        <v>2</v>
      </c>
      <c r="C12" s="824" t="s">
        <v>666</v>
      </c>
      <c r="D12" s="845">
        <v>0.5</v>
      </c>
      <c r="E12" s="837" t="s">
        <v>667</v>
      </c>
      <c r="F12" s="842" t="s">
        <v>691</v>
      </c>
      <c r="G12" s="828">
        <v>46203</v>
      </c>
      <c r="H12" s="829" t="s">
        <v>511</v>
      </c>
      <c r="I12" s="830" t="s">
        <v>326</v>
      </c>
      <c r="J12" s="843">
        <v>1</v>
      </c>
      <c r="K12" s="936">
        <v>1</v>
      </c>
      <c r="L12" s="907"/>
      <c r="M12" s="907"/>
      <c r="N12" s="907"/>
      <c r="O12" s="907"/>
      <c r="P12" s="907"/>
      <c r="Q12" s="907"/>
      <c r="R12" s="907"/>
      <c r="S12" s="907"/>
      <c r="T12" s="907"/>
    </row>
    <row r="13" spans="2:21" s="590" customFormat="1" ht="21.75" customHeight="1">
      <c r="B13" s="514"/>
      <c r="C13" s="514" t="s">
        <v>7</v>
      </c>
      <c r="D13" s="515">
        <v>0.15</v>
      </c>
      <c r="E13" s="516"/>
      <c r="F13" s="518"/>
      <c r="G13" s="518"/>
      <c r="H13" s="654"/>
      <c r="I13" s="518"/>
      <c r="J13" s="476"/>
      <c r="K13" s="476"/>
      <c r="L13" s="514"/>
      <c r="M13" s="514"/>
      <c r="N13" s="514"/>
      <c r="O13" s="514"/>
      <c r="P13" s="514"/>
      <c r="Q13" s="514"/>
      <c r="R13" s="514"/>
      <c r="S13" s="514"/>
      <c r="T13" s="514"/>
    </row>
    <row r="14" spans="2:21" s="908" customFormat="1" ht="51">
      <c r="B14" s="853">
        <v>1</v>
      </c>
      <c r="C14" s="920" t="s">
        <v>658</v>
      </c>
      <c r="D14" s="845">
        <v>0.25</v>
      </c>
      <c r="E14" s="856" t="s">
        <v>432</v>
      </c>
      <c r="F14" s="921" t="s">
        <v>589</v>
      </c>
      <c r="G14" s="922">
        <v>46203</v>
      </c>
      <c r="H14" s="859" t="s">
        <v>590</v>
      </c>
      <c r="I14" s="838" t="s">
        <v>414</v>
      </c>
      <c r="J14" s="923">
        <v>1</v>
      </c>
      <c r="K14" s="923">
        <v>1</v>
      </c>
      <c r="L14" s="924"/>
      <c r="M14" s="924"/>
      <c r="N14" s="924"/>
      <c r="O14" s="924"/>
      <c r="P14" s="924"/>
      <c r="Q14" s="924"/>
      <c r="R14" s="924"/>
      <c r="S14" s="924"/>
      <c r="T14" s="924"/>
    </row>
    <row r="15" spans="2:21" s="908" customFormat="1" ht="38.25">
      <c r="B15" s="823">
        <v>2</v>
      </c>
      <c r="C15" s="848" t="s">
        <v>717</v>
      </c>
      <c r="D15" s="845">
        <v>0.1</v>
      </c>
      <c r="E15" s="837" t="s">
        <v>668</v>
      </c>
      <c r="F15" s="842" t="s">
        <v>342</v>
      </c>
      <c r="G15" s="847">
        <v>46203</v>
      </c>
      <c r="H15" s="829" t="s">
        <v>669</v>
      </c>
      <c r="I15" s="838" t="s">
        <v>343</v>
      </c>
      <c r="J15" s="849">
        <v>46203</v>
      </c>
      <c r="K15" s="937">
        <v>46203</v>
      </c>
      <c r="L15" s="907"/>
      <c r="M15" s="907"/>
      <c r="N15" s="907"/>
      <c r="O15" s="907"/>
      <c r="P15" s="907"/>
      <c r="Q15" s="907"/>
      <c r="R15" s="907"/>
      <c r="S15" s="907"/>
      <c r="T15" s="907"/>
    </row>
    <row r="16" spans="2:21" s="908" customFormat="1" ht="51">
      <c r="B16" s="823">
        <v>3</v>
      </c>
      <c r="C16" s="824" t="s">
        <v>391</v>
      </c>
      <c r="D16" s="845">
        <v>0.3</v>
      </c>
      <c r="E16" s="837" t="s">
        <v>340</v>
      </c>
      <c r="F16" s="842" t="s">
        <v>333</v>
      </c>
      <c r="G16" s="828">
        <v>46203</v>
      </c>
      <c r="H16" s="829" t="s">
        <v>514</v>
      </c>
      <c r="I16" s="830" t="s">
        <v>343</v>
      </c>
      <c r="J16" s="821">
        <v>5</v>
      </c>
      <c r="K16" s="821">
        <v>5</v>
      </c>
      <c r="L16" s="907"/>
      <c r="M16" s="907"/>
      <c r="N16" s="907"/>
      <c r="O16" s="907"/>
      <c r="P16" s="907"/>
      <c r="Q16" s="907"/>
      <c r="R16" s="907"/>
      <c r="S16" s="907"/>
      <c r="T16" s="907"/>
    </row>
    <row r="17" spans="2:20" s="908" customFormat="1" ht="38.25">
      <c r="B17" s="823">
        <v>4</v>
      </c>
      <c r="C17" s="850" t="s">
        <v>670</v>
      </c>
      <c r="D17" s="845">
        <v>0.15</v>
      </c>
      <c r="E17" s="837" t="s">
        <v>671</v>
      </c>
      <c r="F17" s="842" t="s">
        <v>319</v>
      </c>
      <c r="G17" s="828">
        <v>46203</v>
      </c>
      <c r="H17" s="829" t="s">
        <v>514</v>
      </c>
      <c r="I17" s="851" t="s">
        <v>326</v>
      </c>
      <c r="J17" s="825">
        <v>0.05</v>
      </c>
      <c r="K17" s="831">
        <v>0.37</v>
      </c>
      <c r="L17" s="907"/>
      <c r="M17" s="907"/>
      <c r="N17" s="907"/>
      <c r="O17" s="907"/>
      <c r="P17" s="907"/>
      <c r="Q17" s="907"/>
      <c r="R17" s="907"/>
      <c r="S17" s="907"/>
      <c r="T17" s="907"/>
    </row>
    <row r="18" spans="2:20" s="908" customFormat="1" ht="38.25">
      <c r="B18" s="823">
        <v>5</v>
      </c>
      <c r="C18" s="824" t="s">
        <v>672</v>
      </c>
      <c r="D18" s="845">
        <v>0.2</v>
      </c>
      <c r="E18" s="837" t="s">
        <v>673</v>
      </c>
      <c r="F18" s="842" t="s">
        <v>592</v>
      </c>
      <c r="G18" s="828">
        <v>46203</v>
      </c>
      <c r="H18" s="829" t="s">
        <v>515</v>
      </c>
      <c r="I18" s="830" t="s">
        <v>326</v>
      </c>
      <c r="J18" s="831">
        <v>0.2</v>
      </c>
      <c r="K18" s="831">
        <v>0.2</v>
      </c>
      <c r="L18" s="907"/>
      <c r="M18" s="907"/>
      <c r="N18" s="907"/>
      <c r="O18" s="907"/>
      <c r="P18" s="907"/>
      <c r="Q18" s="907"/>
      <c r="R18" s="907"/>
      <c r="S18" s="907"/>
      <c r="T18" s="907"/>
    </row>
    <row r="19" spans="2:20" s="590" customFormat="1" ht="21.75" customHeight="1">
      <c r="B19" s="514"/>
      <c r="C19" s="514" t="s">
        <v>406</v>
      </c>
      <c r="D19" s="515">
        <v>0.15</v>
      </c>
      <c r="E19" s="516"/>
      <c r="F19" s="518"/>
      <c r="G19" s="518"/>
      <c r="H19" s="654"/>
      <c r="I19" s="518"/>
      <c r="J19" s="476"/>
      <c r="K19" s="476"/>
      <c r="L19" s="514"/>
      <c r="M19" s="514"/>
      <c r="N19" s="514"/>
      <c r="O19" s="514"/>
      <c r="P19" s="514"/>
      <c r="Q19" s="514"/>
      <c r="R19" s="514"/>
      <c r="S19" s="514"/>
      <c r="T19" s="514"/>
    </row>
    <row r="20" spans="2:20" s="908" customFormat="1" ht="46.5" customHeight="1">
      <c r="B20" s="853">
        <v>1</v>
      </c>
      <c r="C20" s="854" t="s">
        <v>674</v>
      </c>
      <c r="D20" s="855">
        <v>0.5</v>
      </c>
      <c r="E20" s="856" t="s">
        <v>675</v>
      </c>
      <c r="F20" s="857" t="s">
        <v>342</v>
      </c>
      <c r="G20" s="858">
        <v>46203</v>
      </c>
      <c r="H20" s="859" t="s">
        <v>88</v>
      </c>
      <c r="I20" s="860" t="s">
        <v>343</v>
      </c>
      <c r="J20" s="861">
        <v>46203</v>
      </c>
      <c r="K20" s="861">
        <v>46203</v>
      </c>
      <c r="L20" s="907"/>
      <c r="M20" s="907"/>
      <c r="N20" s="907"/>
      <c r="O20" s="907"/>
      <c r="P20" s="907"/>
      <c r="Q20" s="907"/>
      <c r="R20" s="907"/>
      <c r="S20" s="907"/>
      <c r="T20" s="907"/>
    </row>
    <row r="21" spans="2:20" s="908" customFormat="1" ht="39.75" customHeight="1">
      <c r="B21" s="853">
        <v>2</v>
      </c>
      <c r="C21" s="854" t="s">
        <v>437</v>
      </c>
      <c r="D21" s="855">
        <v>0.5</v>
      </c>
      <c r="E21" s="856" t="s">
        <v>317</v>
      </c>
      <c r="F21" s="857" t="s">
        <v>330</v>
      </c>
      <c r="G21" s="858">
        <v>46203</v>
      </c>
      <c r="H21" s="859" t="s">
        <v>517</v>
      </c>
      <c r="I21" s="860" t="s">
        <v>346</v>
      </c>
      <c r="J21" s="583">
        <v>1</v>
      </c>
      <c r="K21" s="583">
        <v>1</v>
      </c>
      <c r="L21" s="907"/>
      <c r="M21" s="907"/>
      <c r="N21" s="907"/>
      <c r="O21" s="907"/>
      <c r="P21" s="907"/>
      <c r="Q21" s="907"/>
      <c r="R21" s="907"/>
      <c r="S21" s="907"/>
      <c r="T21" s="907"/>
    </row>
    <row r="22" spans="2:20" s="590" customFormat="1" ht="52.5" customHeight="1">
      <c r="B22" s="981" t="s">
        <v>567</v>
      </c>
      <c r="C22" s="982"/>
      <c r="D22" s="515">
        <f>D5+D10+D13+D19</f>
        <v>1</v>
      </c>
      <c r="E22" s="516"/>
      <c r="F22" s="518"/>
      <c r="G22" s="518"/>
      <c r="H22" s="654"/>
      <c r="I22" s="518"/>
      <c r="J22" s="476"/>
      <c r="K22" s="514"/>
      <c r="L22" s="514"/>
      <c r="M22" s="514"/>
      <c r="N22" s="514"/>
      <c r="O22" s="514"/>
      <c r="P22" s="514"/>
      <c r="Q22" s="514"/>
      <c r="R22" s="514"/>
      <c r="S22" s="514"/>
      <c r="T22" s="514"/>
    </row>
    <row r="24" spans="2:20" ht="16.5">
      <c r="C24" s="909" t="s">
        <v>703</v>
      </c>
    </row>
  </sheetData>
  <mergeCells count="3">
    <mergeCell ref="B2:T2"/>
    <mergeCell ref="B3:U3"/>
    <mergeCell ref="B22:C22"/>
  </mergeCells>
  <pageMargins left="0.17" right="0.17" top="0.18" bottom="0.18" header="0.3" footer="0.3"/>
  <pageSetup paperSize="9" scale="6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BC606-5714-4B13-BE5C-9F1DF03AC9C9}">
  <dimension ref="B1:P40"/>
  <sheetViews>
    <sheetView zoomScaleNormal="100" workbookViewId="0">
      <selection activeCell="H12" sqref="H12"/>
    </sheetView>
  </sheetViews>
  <sheetFormatPr defaultColWidth="8.875" defaultRowHeight="12.75"/>
  <cols>
    <col min="1" max="1" width="2" style="550" customWidth="1"/>
    <col min="2" max="2" width="4.125" style="551" customWidth="1"/>
    <col min="3" max="3" width="12.5" style="551" customWidth="1"/>
    <col min="4" max="4" width="32.375" style="550" customWidth="1"/>
    <col min="5" max="5" width="23" style="550" customWidth="1"/>
    <col min="6" max="6" width="17.25" style="551" customWidth="1"/>
    <col min="7" max="7" width="7.875" style="551" customWidth="1"/>
    <col min="8" max="8" width="10.5" style="551" customWidth="1"/>
    <col min="9" max="9" width="9.375" style="550" customWidth="1"/>
    <col min="10" max="10" width="9.75" style="550" bestFit="1" customWidth="1"/>
    <col min="11" max="11" width="11.5" style="550" customWidth="1"/>
    <col min="12" max="12" width="8.375" style="550" bestFit="1" customWidth="1"/>
    <col min="13" max="13" width="8.875" style="550" bestFit="1" customWidth="1"/>
    <col min="14" max="14" width="9.375" style="550" bestFit="1" customWidth="1"/>
    <col min="15" max="15" width="9.875" style="550" bestFit="1" customWidth="1"/>
    <col min="16" max="16" width="10" style="550" bestFit="1" customWidth="1"/>
    <col min="17" max="210" width="8.875" style="550"/>
    <col min="211" max="211" width="5" style="550" customWidth="1"/>
    <col min="212" max="212" width="33.375" style="550" customWidth="1"/>
    <col min="213" max="213" width="6.5" style="550" customWidth="1"/>
    <col min="214" max="214" width="29.5" style="550" customWidth="1"/>
    <col min="215" max="215" width="23.625" style="550" customWidth="1"/>
    <col min="216" max="216" width="8" style="550" customWidth="1"/>
    <col min="217" max="217" width="9.125" style="550" customWidth="1"/>
    <col min="218" max="218" width="13.875" style="550" customWidth="1"/>
    <col min="219" max="219" width="13.5" style="550" customWidth="1"/>
    <col min="220" max="466" width="8.875" style="550"/>
    <col min="467" max="467" width="5" style="550" customWidth="1"/>
    <col min="468" max="468" width="33.375" style="550" customWidth="1"/>
    <col min="469" max="469" width="6.5" style="550" customWidth="1"/>
    <col min="470" max="470" width="29.5" style="550" customWidth="1"/>
    <col min="471" max="471" width="23.625" style="550" customWidth="1"/>
    <col min="472" max="472" width="8" style="550" customWidth="1"/>
    <col min="473" max="473" width="9.125" style="550" customWidth="1"/>
    <col min="474" max="474" width="13.875" style="550" customWidth="1"/>
    <col min="475" max="475" width="13.5" style="550" customWidth="1"/>
    <col min="476" max="722" width="8.875" style="550"/>
    <col min="723" max="723" width="5" style="550" customWidth="1"/>
    <col min="724" max="724" width="33.375" style="550" customWidth="1"/>
    <col min="725" max="725" width="6.5" style="550" customWidth="1"/>
    <col min="726" max="726" width="29.5" style="550" customWidth="1"/>
    <col min="727" max="727" width="23.625" style="550" customWidth="1"/>
    <col min="728" max="728" width="8" style="550" customWidth="1"/>
    <col min="729" max="729" width="9.125" style="550" customWidth="1"/>
    <col min="730" max="730" width="13.875" style="550" customWidth="1"/>
    <col min="731" max="731" width="13.5" style="550" customWidth="1"/>
    <col min="732" max="978" width="8.875" style="550"/>
    <col min="979" max="979" width="5" style="550" customWidth="1"/>
    <col min="980" max="980" width="33.375" style="550" customWidth="1"/>
    <col min="981" max="981" width="6.5" style="550" customWidth="1"/>
    <col min="982" max="982" width="29.5" style="550" customWidth="1"/>
    <col min="983" max="983" width="23.625" style="550" customWidth="1"/>
    <col min="984" max="984" width="8" style="550" customWidth="1"/>
    <col min="985" max="985" width="9.125" style="550" customWidth="1"/>
    <col min="986" max="986" width="13.875" style="550" customWidth="1"/>
    <col min="987" max="987" width="13.5" style="550" customWidth="1"/>
    <col min="988" max="1234" width="8.875" style="550"/>
    <col min="1235" max="1235" width="5" style="550" customWidth="1"/>
    <col min="1236" max="1236" width="33.375" style="550" customWidth="1"/>
    <col min="1237" max="1237" width="6.5" style="550" customWidth="1"/>
    <col min="1238" max="1238" width="29.5" style="550" customWidth="1"/>
    <col min="1239" max="1239" width="23.625" style="550" customWidth="1"/>
    <col min="1240" max="1240" width="8" style="550" customWidth="1"/>
    <col min="1241" max="1241" width="9.125" style="550" customWidth="1"/>
    <col min="1242" max="1242" width="13.875" style="550" customWidth="1"/>
    <col min="1243" max="1243" width="13.5" style="550" customWidth="1"/>
    <col min="1244" max="1490" width="8.875" style="550"/>
    <col min="1491" max="1491" width="5" style="550" customWidth="1"/>
    <col min="1492" max="1492" width="33.375" style="550" customWidth="1"/>
    <col min="1493" max="1493" width="6.5" style="550" customWidth="1"/>
    <col min="1494" max="1494" width="29.5" style="550" customWidth="1"/>
    <col min="1495" max="1495" width="23.625" style="550" customWidth="1"/>
    <col min="1496" max="1496" width="8" style="550" customWidth="1"/>
    <col min="1497" max="1497" width="9.125" style="550" customWidth="1"/>
    <col min="1498" max="1498" width="13.875" style="550" customWidth="1"/>
    <col min="1499" max="1499" width="13.5" style="550" customWidth="1"/>
    <col min="1500" max="1746" width="8.875" style="550"/>
    <col min="1747" max="1747" width="5" style="550" customWidth="1"/>
    <col min="1748" max="1748" width="33.375" style="550" customWidth="1"/>
    <col min="1749" max="1749" width="6.5" style="550" customWidth="1"/>
    <col min="1750" max="1750" width="29.5" style="550" customWidth="1"/>
    <col min="1751" max="1751" width="23.625" style="550" customWidth="1"/>
    <col min="1752" max="1752" width="8" style="550" customWidth="1"/>
    <col min="1753" max="1753" width="9.125" style="550" customWidth="1"/>
    <col min="1754" max="1754" width="13.875" style="550" customWidth="1"/>
    <col min="1755" max="1755" width="13.5" style="550" customWidth="1"/>
    <col min="1756" max="2002" width="8.875" style="550"/>
    <col min="2003" max="2003" width="5" style="550" customWidth="1"/>
    <col min="2004" max="2004" width="33.375" style="550" customWidth="1"/>
    <col min="2005" max="2005" width="6.5" style="550" customWidth="1"/>
    <col min="2006" max="2006" width="29.5" style="550" customWidth="1"/>
    <col min="2007" max="2007" width="23.625" style="550" customWidth="1"/>
    <col min="2008" max="2008" width="8" style="550" customWidth="1"/>
    <col min="2009" max="2009" width="9.125" style="550" customWidth="1"/>
    <col min="2010" max="2010" width="13.875" style="550" customWidth="1"/>
    <col min="2011" max="2011" width="13.5" style="550" customWidth="1"/>
    <col min="2012" max="2258" width="8.875" style="550"/>
    <col min="2259" max="2259" width="5" style="550" customWidth="1"/>
    <col min="2260" max="2260" width="33.375" style="550" customWidth="1"/>
    <col min="2261" max="2261" width="6.5" style="550" customWidth="1"/>
    <col min="2262" max="2262" width="29.5" style="550" customWidth="1"/>
    <col min="2263" max="2263" width="23.625" style="550" customWidth="1"/>
    <col min="2264" max="2264" width="8" style="550" customWidth="1"/>
    <col min="2265" max="2265" width="9.125" style="550" customWidth="1"/>
    <col min="2266" max="2266" width="13.875" style="550" customWidth="1"/>
    <col min="2267" max="2267" width="13.5" style="550" customWidth="1"/>
    <col min="2268" max="2514" width="8.875" style="550"/>
    <col min="2515" max="2515" width="5" style="550" customWidth="1"/>
    <col min="2516" max="2516" width="33.375" style="550" customWidth="1"/>
    <col min="2517" max="2517" width="6.5" style="550" customWidth="1"/>
    <col min="2518" max="2518" width="29.5" style="550" customWidth="1"/>
    <col min="2519" max="2519" width="23.625" style="550" customWidth="1"/>
    <col min="2520" max="2520" width="8" style="550" customWidth="1"/>
    <col min="2521" max="2521" width="9.125" style="550" customWidth="1"/>
    <col min="2522" max="2522" width="13.875" style="550" customWidth="1"/>
    <col min="2523" max="2523" width="13.5" style="550" customWidth="1"/>
    <col min="2524" max="2770" width="8.875" style="550"/>
    <col min="2771" max="2771" width="5" style="550" customWidth="1"/>
    <col min="2772" max="2772" width="33.375" style="550" customWidth="1"/>
    <col min="2773" max="2773" width="6.5" style="550" customWidth="1"/>
    <col min="2774" max="2774" width="29.5" style="550" customWidth="1"/>
    <col min="2775" max="2775" width="23.625" style="550" customWidth="1"/>
    <col min="2776" max="2776" width="8" style="550" customWidth="1"/>
    <col min="2777" max="2777" width="9.125" style="550" customWidth="1"/>
    <col min="2778" max="2778" width="13.875" style="550" customWidth="1"/>
    <col min="2779" max="2779" width="13.5" style="550" customWidth="1"/>
    <col min="2780" max="3026" width="8.875" style="550"/>
    <col min="3027" max="3027" width="5" style="550" customWidth="1"/>
    <col min="3028" max="3028" width="33.375" style="550" customWidth="1"/>
    <col min="3029" max="3029" width="6.5" style="550" customWidth="1"/>
    <col min="3030" max="3030" width="29.5" style="550" customWidth="1"/>
    <col min="3031" max="3031" width="23.625" style="550" customWidth="1"/>
    <col min="3032" max="3032" width="8" style="550" customWidth="1"/>
    <col min="3033" max="3033" width="9.125" style="550" customWidth="1"/>
    <col min="3034" max="3034" width="13.875" style="550" customWidth="1"/>
    <col min="3035" max="3035" width="13.5" style="550" customWidth="1"/>
    <col min="3036" max="3282" width="8.875" style="550"/>
    <col min="3283" max="3283" width="5" style="550" customWidth="1"/>
    <col min="3284" max="3284" width="33.375" style="550" customWidth="1"/>
    <col min="3285" max="3285" width="6.5" style="550" customWidth="1"/>
    <col min="3286" max="3286" width="29.5" style="550" customWidth="1"/>
    <col min="3287" max="3287" width="23.625" style="550" customWidth="1"/>
    <col min="3288" max="3288" width="8" style="550" customWidth="1"/>
    <col min="3289" max="3289" width="9.125" style="550" customWidth="1"/>
    <col min="3290" max="3290" width="13.875" style="550" customWidth="1"/>
    <col min="3291" max="3291" width="13.5" style="550" customWidth="1"/>
    <col min="3292" max="3538" width="8.875" style="550"/>
    <col min="3539" max="3539" width="5" style="550" customWidth="1"/>
    <col min="3540" max="3540" width="33.375" style="550" customWidth="1"/>
    <col min="3541" max="3541" width="6.5" style="550" customWidth="1"/>
    <col min="3542" max="3542" width="29.5" style="550" customWidth="1"/>
    <col min="3543" max="3543" width="23.625" style="550" customWidth="1"/>
    <col min="3544" max="3544" width="8" style="550" customWidth="1"/>
    <col min="3545" max="3545" width="9.125" style="550" customWidth="1"/>
    <col min="3546" max="3546" width="13.875" style="550" customWidth="1"/>
    <col min="3547" max="3547" width="13.5" style="550" customWidth="1"/>
    <col min="3548" max="3794" width="8.875" style="550"/>
    <col min="3795" max="3795" width="5" style="550" customWidth="1"/>
    <col min="3796" max="3796" width="33.375" style="550" customWidth="1"/>
    <col min="3797" max="3797" width="6.5" style="550" customWidth="1"/>
    <col min="3798" max="3798" width="29.5" style="550" customWidth="1"/>
    <col min="3799" max="3799" width="23.625" style="550" customWidth="1"/>
    <col min="3800" max="3800" width="8" style="550" customWidth="1"/>
    <col min="3801" max="3801" width="9.125" style="550" customWidth="1"/>
    <col min="3802" max="3802" width="13.875" style="550" customWidth="1"/>
    <col min="3803" max="3803" width="13.5" style="550" customWidth="1"/>
    <col min="3804" max="4050" width="8.875" style="550"/>
    <col min="4051" max="4051" width="5" style="550" customWidth="1"/>
    <col min="4052" max="4052" width="33.375" style="550" customWidth="1"/>
    <col min="4053" max="4053" width="6.5" style="550" customWidth="1"/>
    <col min="4054" max="4054" width="29.5" style="550" customWidth="1"/>
    <col min="4055" max="4055" width="23.625" style="550" customWidth="1"/>
    <col min="4056" max="4056" width="8" style="550" customWidth="1"/>
    <col min="4057" max="4057" width="9.125" style="550" customWidth="1"/>
    <col min="4058" max="4058" width="13.875" style="550" customWidth="1"/>
    <col min="4059" max="4059" width="13.5" style="550" customWidth="1"/>
    <col min="4060" max="4306" width="8.875" style="550"/>
    <col min="4307" max="4307" width="5" style="550" customWidth="1"/>
    <col min="4308" max="4308" width="33.375" style="550" customWidth="1"/>
    <col min="4309" max="4309" width="6.5" style="550" customWidth="1"/>
    <col min="4310" max="4310" width="29.5" style="550" customWidth="1"/>
    <col min="4311" max="4311" width="23.625" style="550" customWidth="1"/>
    <col min="4312" max="4312" width="8" style="550" customWidth="1"/>
    <col min="4313" max="4313" width="9.125" style="550" customWidth="1"/>
    <col min="4314" max="4314" width="13.875" style="550" customWidth="1"/>
    <col min="4315" max="4315" width="13.5" style="550" customWidth="1"/>
    <col min="4316" max="4562" width="8.875" style="550"/>
    <col min="4563" max="4563" width="5" style="550" customWidth="1"/>
    <col min="4564" max="4564" width="33.375" style="550" customWidth="1"/>
    <col min="4565" max="4565" width="6.5" style="550" customWidth="1"/>
    <col min="4566" max="4566" width="29.5" style="550" customWidth="1"/>
    <col min="4567" max="4567" width="23.625" style="550" customWidth="1"/>
    <col min="4568" max="4568" width="8" style="550" customWidth="1"/>
    <col min="4569" max="4569" width="9.125" style="550" customWidth="1"/>
    <col min="4570" max="4570" width="13.875" style="550" customWidth="1"/>
    <col min="4571" max="4571" width="13.5" style="550" customWidth="1"/>
    <col min="4572" max="4818" width="8.875" style="550"/>
    <col min="4819" max="4819" width="5" style="550" customWidth="1"/>
    <col min="4820" max="4820" width="33.375" style="550" customWidth="1"/>
    <col min="4821" max="4821" width="6.5" style="550" customWidth="1"/>
    <col min="4822" max="4822" width="29.5" style="550" customWidth="1"/>
    <col min="4823" max="4823" width="23.625" style="550" customWidth="1"/>
    <col min="4824" max="4824" width="8" style="550" customWidth="1"/>
    <col min="4825" max="4825" width="9.125" style="550" customWidth="1"/>
    <col min="4826" max="4826" width="13.875" style="550" customWidth="1"/>
    <col min="4827" max="4827" width="13.5" style="550" customWidth="1"/>
    <col min="4828" max="5074" width="8.875" style="550"/>
    <col min="5075" max="5075" width="5" style="550" customWidth="1"/>
    <col min="5076" max="5076" width="33.375" style="550" customWidth="1"/>
    <col min="5077" max="5077" width="6.5" style="550" customWidth="1"/>
    <col min="5078" max="5078" width="29.5" style="550" customWidth="1"/>
    <col min="5079" max="5079" width="23.625" style="550" customWidth="1"/>
    <col min="5080" max="5080" width="8" style="550" customWidth="1"/>
    <col min="5081" max="5081" width="9.125" style="550" customWidth="1"/>
    <col min="5082" max="5082" width="13.875" style="550" customWidth="1"/>
    <col min="5083" max="5083" width="13.5" style="550" customWidth="1"/>
    <col min="5084" max="5330" width="8.875" style="550"/>
    <col min="5331" max="5331" width="5" style="550" customWidth="1"/>
    <col min="5332" max="5332" width="33.375" style="550" customWidth="1"/>
    <col min="5333" max="5333" width="6.5" style="550" customWidth="1"/>
    <col min="5334" max="5334" width="29.5" style="550" customWidth="1"/>
    <col min="5335" max="5335" width="23.625" style="550" customWidth="1"/>
    <col min="5336" max="5336" width="8" style="550" customWidth="1"/>
    <col min="5337" max="5337" width="9.125" style="550" customWidth="1"/>
    <col min="5338" max="5338" width="13.875" style="550" customWidth="1"/>
    <col min="5339" max="5339" width="13.5" style="550" customWidth="1"/>
    <col min="5340" max="5586" width="8.875" style="550"/>
    <col min="5587" max="5587" width="5" style="550" customWidth="1"/>
    <col min="5588" max="5588" width="33.375" style="550" customWidth="1"/>
    <col min="5589" max="5589" width="6.5" style="550" customWidth="1"/>
    <col min="5590" max="5590" width="29.5" style="550" customWidth="1"/>
    <col min="5591" max="5591" width="23.625" style="550" customWidth="1"/>
    <col min="5592" max="5592" width="8" style="550" customWidth="1"/>
    <col min="5593" max="5593" width="9.125" style="550" customWidth="1"/>
    <col min="5594" max="5594" width="13.875" style="550" customWidth="1"/>
    <col min="5595" max="5595" width="13.5" style="550" customWidth="1"/>
    <col min="5596" max="5842" width="8.875" style="550"/>
    <col min="5843" max="5843" width="5" style="550" customWidth="1"/>
    <col min="5844" max="5844" width="33.375" style="550" customWidth="1"/>
    <col min="5845" max="5845" width="6.5" style="550" customWidth="1"/>
    <col min="5846" max="5846" width="29.5" style="550" customWidth="1"/>
    <col min="5847" max="5847" width="23.625" style="550" customWidth="1"/>
    <col min="5848" max="5848" width="8" style="550" customWidth="1"/>
    <col min="5849" max="5849" width="9.125" style="550" customWidth="1"/>
    <col min="5850" max="5850" width="13.875" style="550" customWidth="1"/>
    <col min="5851" max="5851" width="13.5" style="550" customWidth="1"/>
    <col min="5852" max="6098" width="8.875" style="550"/>
    <col min="6099" max="6099" width="5" style="550" customWidth="1"/>
    <col min="6100" max="6100" width="33.375" style="550" customWidth="1"/>
    <col min="6101" max="6101" width="6.5" style="550" customWidth="1"/>
    <col min="6102" max="6102" width="29.5" style="550" customWidth="1"/>
    <col min="6103" max="6103" width="23.625" style="550" customWidth="1"/>
    <col min="6104" max="6104" width="8" style="550" customWidth="1"/>
    <col min="6105" max="6105" width="9.125" style="550" customWidth="1"/>
    <col min="6106" max="6106" width="13.875" style="550" customWidth="1"/>
    <col min="6107" max="6107" width="13.5" style="550" customWidth="1"/>
    <col min="6108" max="6354" width="8.875" style="550"/>
    <col min="6355" max="6355" width="5" style="550" customWidth="1"/>
    <col min="6356" max="6356" width="33.375" style="550" customWidth="1"/>
    <col min="6357" max="6357" width="6.5" style="550" customWidth="1"/>
    <col min="6358" max="6358" width="29.5" style="550" customWidth="1"/>
    <col min="6359" max="6359" width="23.625" style="550" customWidth="1"/>
    <col min="6360" max="6360" width="8" style="550" customWidth="1"/>
    <col min="6361" max="6361" width="9.125" style="550" customWidth="1"/>
    <col min="6362" max="6362" width="13.875" style="550" customWidth="1"/>
    <col min="6363" max="6363" width="13.5" style="550" customWidth="1"/>
    <col min="6364" max="6610" width="8.875" style="550"/>
    <col min="6611" max="6611" width="5" style="550" customWidth="1"/>
    <col min="6612" max="6612" width="33.375" style="550" customWidth="1"/>
    <col min="6613" max="6613" width="6.5" style="550" customWidth="1"/>
    <col min="6614" max="6614" width="29.5" style="550" customWidth="1"/>
    <col min="6615" max="6615" width="23.625" style="550" customWidth="1"/>
    <col min="6616" max="6616" width="8" style="550" customWidth="1"/>
    <col min="6617" max="6617" width="9.125" style="550" customWidth="1"/>
    <col min="6618" max="6618" width="13.875" style="550" customWidth="1"/>
    <col min="6619" max="6619" width="13.5" style="550" customWidth="1"/>
    <col min="6620" max="6866" width="8.875" style="550"/>
    <col min="6867" max="6867" width="5" style="550" customWidth="1"/>
    <col min="6868" max="6868" width="33.375" style="550" customWidth="1"/>
    <col min="6869" max="6869" width="6.5" style="550" customWidth="1"/>
    <col min="6870" max="6870" width="29.5" style="550" customWidth="1"/>
    <col min="6871" max="6871" width="23.625" style="550" customWidth="1"/>
    <col min="6872" max="6872" width="8" style="550" customWidth="1"/>
    <col min="6873" max="6873" width="9.125" style="550" customWidth="1"/>
    <col min="6874" max="6874" width="13.875" style="550" customWidth="1"/>
    <col min="6875" max="6875" width="13.5" style="550" customWidth="1"/>
    <col min="6876" max="7122" width="8.875" style="550"/>
    <col min="7123" max="7123" width="5" style="550" customWidth="1"/>
    <col min="7124" max="7124" width="33.375" style="550" customWidth="1"/>
    <col min="7125" max="7125" width="6.5" style="550" customWidth="1"/>
    <col min="7126" max="7126" width="29.5" style="550" customWidth="1"/>
    <col min="7127" max="7127" width="23.625" style="550" customWidth="1"/>
    <col min="7128" max="7128" width="8" style="550" customWidth="1"/>
    <col min="7129" max="7129" width="9.125" style="550" customWidth="1"/>
    <col min="7130" max="7130" width="13.875" style="550" customWidth="1"/>
    <col min="7131" max="7131" width="13.5" style="550" customWidth="1"/>
    <col min="7132" max="7378" width="8.875" style="550"/>
    <col min="7379" max="7379" width="5" style="550" customWidth="1"/>
    <col min="7380" max="7380" width="33.375" style="550" customWidth="1"/>
    <col min="7381" max="7381" width="6.5" style="550" customWidth="1"/>
    <col min="7382" max="7382" width="29.5" style="550" customWidth="1"/>
    <col min="7383" max="7383" width="23.625" style="550" customWidth="1"/>
    <col min="7384" max="7384" width="8" style="550" customWidth="1"/>
    <col min="7385" max="7385" width="9.125" style="550" customWidth="1"/>
    <col min="7386" max="7386" width="13.875" style="550" customWidth="1"/>
    <col min="7387" max="7387" width="13.5" style="550" customWidth="1"/>
    <col min="7388" max="7634" width="8.875" style="550"/>
    <col min="7635" max="7635" width="5" style="550" customWidth="1"/>
    <col min="7636" max="7636" width="33.375" style="550" customWidth="1"/>
    <col min="7637" max="7637" width="6.5" style="550" customWidth="1"/>
    <col min="7638" max="7638" width="29.5" style="550" customWidth="1"/>
    <col min="7639" max="7639" width="23.625" style="550" customWidth="1"/>
    <col min="7640" max="7640" width="8" style="550" customWidth="1"/>
    <col min="7641" max="7641" width="9.125" style="550" customWidth="1"/>
    <col min="7642" max="7642" width="13.875" style="550" customWidth="1"/>
    <col min="7643" max="7643" width="13.5" style="550" customWidth="1"/>
    <col min="7644" max="7890" width="8.875" style="550"/>
    <col min="7891" max="7891" width="5" style="550" customWidth="1"/>
    <col min="7892" max="7892" width="33.375" style="550" customWidth="1"/>
    <col min="7893" max="7893" width="6.5" style="550" customWidth="1"/>
    <col min="7894" max="7894" width="29.5" style="550" customWidth="1"/>
    <col min="7895" max="7895" width="23.625" style="550" customWidth="1"/>
    <col min="7896" max="7896" width="8" style="550" customWidth="1"/>
    <col min="7897" max="7897" width="9.125" style="550" customWidth="1"/>
    <col min="7898" max="7898" width="13.875" style="550" customWidth="1"/>
    <col min="7899" max="7899" width="13.5" style="550" customWidth="1"/>
    <col min="7900" max="8146" width="8.875" style="550"/>
    <col min="8147" max="8147" width="5" style="550" customWidth="1"/>
    <col min="8148" max="8148" width="33.375" style="550" customWidth="1"/>
    <col min="8149" max="8149" width="6.5" style="550" customWidth="1"/>
    <col min="8150" max="8150" width="29.5" style="550" customWidth="1"/>
    <col min="8151" max="8151" width="23.625" style="550" customWidth="1"/>
    <col min="8152" max="8152" width="8" style="550" customWidth="1"/>
    <col min="8153" max="8153" width="9.125" style="550" customWidth="1"/>
    <col min="8154" max="8154" width="13.875" style="550" customWidth="1"/>
    <col min="8155" max="8155" width="13.5" style="550" customWidth="1"/>
    <col min="8156" max="8402" width="8.875" style="550"/>
    <col min="8403" max="8403" width="5" style="550" customWidth="1"/>
    <col min="8404" max="8404" width="33.375" style="550" customWidth="1"/>
    <col min="8405" max="8405" width="6.5" style="550" customWidth="1"/>
    <col min="8406" max="8406" width="29.5" style="550" customWidth="1"/>
    <col min="8407" max="8407" width="23.625" style="550" customWidth="1"/>
    <col min="8408" max="8408" width="8" style="550" customWidth="1"/>
    <col min="8409" max="8409" width="9.125" style="550" customWidth="1"/>
    <col min="8410" max="8410" width="13.875" style="550" customWidth="1"/>
    <col min="8411" max="8411" width="13.5" style="550" customWidth="1"/>
    <col min="8412" max="8658" width="8.875" style="550"/>
    <col min="8659" max="8659" width="5" style="550" customWidth="1"/>
    <col min="8660" max="8660" width="33.375" style="550" customWidth="1"/>
    <col min="8661" max="8661" width="6.5" style="550" customWidth="1"/>
    <col min="8662" max="8662" width="29.5" style="550" customWidth="1"/>
    <col min="8663" max="8663" width="23.625" style="550" customWidth="1"/>
    <col min="8664" max="8664" width="8" style="550" customWidth="1"/>
    <col min="8665" max="8665" width="9.125" style="550" customWidth="1"/>
    <col min="8666" max="8666" width="13.875" style="550" customWidth="1"/>
    <col min="8667" max="8667" width="13.5" style="550" customWidth="1"/>
    <col min="8668" max="8914" width="8.875" style="550"/>
    <col min="8915" max="8915" width="5" style="550" customWidth="1"/>
    <col min="8916" max="8916" width="33.375" style="550" customWidth="1"/>
    <col min="8917" max="8917" width="6.5" style="550" customWidth="1"/>
    <col min="8918" max="8918" width="29.5" style="550" customWidth="1"/>
    <col min="8919" max="8919" width="23.625" style="550" customWidth="1"/>
    <col min="8920" max="8920" width="8" style="550" customWidth="1"/>
    <col min="8921" max="8921" width="9.125" style="550" customWidth="1"/>
    <col min="8922" max="8922" width="13.875" style="550" customWidth="1"/>
    <col min="8923" max="8923" width="13.5" style="550" customWidth="1"/>
    <col min="8924" max="9170" width="8.875" style="550"/>
    <col min="9171" max="9171" width="5" style="550" customWidth="1"/>
    <col min="9172" max="9172" width="33.375" style="550" customWidth="1"/>
    <col min="9173" max="9173" width="6.5" style="550" customWidth="1"/>
    <col min="9174" max="9174" width="29.5" style="550" customWidth="1"/>
    <col min="9175" max="9175" width="23.625" style="550" customWidth="1"/>
    <col min="9176" max="9176" width="8" style="550" customWidth="1"/>
    <col min="9177" max="9177" width="9.125" style="550" customWidth="1"/>
    <col min="9178" max="9178" width="13.875" style="550" customWidth="1"/>
    <col min="9179" max="9179" width="13.5" style="550" customWidth="1"/>
    <col min="9180" max="9426" width="8.875" style="550"/>
    <col min="9427" max="9427" width="5" style="550" customWidth="1"/>
    <col min="9428" max="9428" width="33.375" style="550" customWidth="1"/>
    <col min="9429" max="9429" width="6.5" style="550" customWidth="1"/>
    <col min="9430" max="9430" width="29.5" style="550" customWidth="1"/>
    <col min="9431" max="9431" width="23.625" style="550" customWidth="1"/>
    <col min="9432" max="9432" width="8" style="550" customWidth="1"/>
    <col min="9433" max="9433" width="9.125" style="550" customWidth="1"/>
    <col min="9434" max="9434" width="13.875" style="550" customWidth="1"/>
    <col min="9435" max="9435" width="13.5" style="550" customWidth="1"/>
    <col min="9436" max="9682" width="8.875" style="550"/>
    <col min="9683" max="9683" width="5" style="550" customWidth="1"/>
    <col min="9684" max="9684" width="33.375" style="550" customWidth="1"/>
    <col min="9685" max="9685" width="6.5" style="550" customWidth="1"/>
    <col min="9686" max="9686" width="29.5" style="550" customWidth="1"/>
    <col min="9687" max="9687" width="23.625" style="550" customWidth="1"/>
    <col min="9688" max="9688" width="8" style="550" customWidth="1"/>
    <col min="9689" max="9689" width="9.125" style="550" customWidth="1"/>
    <col min="9690" max="9690" width="13.875" style="550" customWidth="1"/>
    <col min="9691" max="9691" width="13.5" style="550" customWidth="1"/>
    <col min="9692" max="9938" width="8.875" style="550"/>
    <col min="9939" max="9939" width="5" style="550" customWidth="1"/>
    <col min="9940" max="9940" width="33.375" style="550" customWidth="1"/>
    <col min="9941" max="9941" width="6.5" style="550" customWidth="1"/>
    <col min="9942" max="9942" width="29.5" style="550" customWidth="1"/>
    <col min="9943" max="9943" width="23.625" style="550" customWidth="1"/>
    <col min="9944" max="9944" width="8" style="550" customWidth="1"/>
    <col min="9945" max="9945" width="9.125" style="550" customWidth="1"/>
    <col min="9946" max="9946" width="13.875" style="550" customWidth="1"/>
    <col min="9947" max="9947" width="13.5" style="550" customWidth="1"/>
    <col min="9948" max="10194" width="8.875" style="550"/>
    <col min="10195" max="10195" width="5" style="550" customWidth="1"/>
    <col min="10196" max="10196" width="33.375" style="550" customWidth="1"/>
    <col min="10197" max="10197" width="6.5" style="550" customWidth="1"/>
    <col min="10198" max="10198" width="29.5" style="550" customWidth="1"/>
    <col min="10199" max="10199" width="23.625" style="550" customWidth="1"/>
    <col min="10200" max="10200" width="8" style="550" customWidth="1"/>
    <col min="10201" max="10201" width="9.125" style="550" customWidth="1"/>
    <col min="10202" max="10202" width="13.875" style="550" customWidth="1"/>
    <col min="10203" max="10203" width="13.5" style="550" customWidth="1"/>
    <col min="10204" max="10450" width="8.875" style="550"/>
    <col min="10451" max="10451" width="5" style="550" customWidth="1"/>
    <col min="10452" max="10452" width="33.375" style="550" customWidth="1"/>
    <col min="10453" max="10453" width="6.5" style="550" customWidth="1"/>
    <col min="10454" max="10454" width="29.5" style="550" customWidth="1"/>
    <col min="10455" max="10455" width="23.625" style="550" customWidth="1"/>
    <col min="10456" max="10456" width="8" style="550" customWidth="1"/>
    <col min="10457" max="10457" width="9.125" style="550" customWidth="1"/>
    <col min="10458" max="10458" width="13.875" style="550" customWidth="1"/>
    <col min="10459" max="10459" width="13.5" style="550" customWidth="1"/>
    <col min="10460" max="10706" width="8.875" style="550"/>
    <col min="10707" max="10707" width="5" style="550" customWidth="1"/>
    <col min="10708" max="10708" width="33.375" style="550" customWidth="1"/>
    <col min="10709" max="10709" width="6.5" style="550" customWidth="1"/>
    <col min="10710" max="10710" width="29.5" style="550" customWidth="1"/>
    <col min="10711" max="10711" width="23.625" style="550" customWidth="1"/>
    <col min="10712" max="10712" width="8" style="550" customWidth="1"/>
    <col min="10713" max="10713" width="9.125" style="550" customWidth="1"/>
    <col min="10714" max="10714" width="13.875" style="550" customWidth="1"/>
    <col min="10715" max="10715" width="13.5" style="550" customWidth="1"/>
    <col min="10716" max="10962" width="8.875" style="550"/>
    <col min="10963" max="10963" width="5" style="550" customWidth="1"/>
    <col min="10964" max="10964" width="33.375" style="550" customWidth="1"/>
    <col min="10965" max="10965" width="6.5" style="550" customWidth="1"/>
    <col min="10966" max="10966" width="29.5" style="550" customWidth="1"/>
    <col min="10967" max="10967" width="23.625" style="550" customWidth="1"/>
    <col min="10968" max="10968" width="8" style="550" customWidth="1"/>
    <col min="10969" max="10969" width="9.125" style="550" customWidth="1"/>
    <col min="10970" max="10970" width="13.875" style="550" customWidth="1"/>
    <col min="10971" max="10971" width="13.5" style="550" customWidth="1"/>
    <col min="10972" max="11218" width="8.875" style="550"/>
    <col min="11219" max="11219" width="5" style="550" customWidth="1"/>
    <col min="11220" max="11220" width="33.375" style="550" customWidth="1"/>
    <col min="11221" max="11221" width="6.5" style="550" customWidth="1"/>
    <col min="11222" max="11222" width="29.5" style="550" customWidth="1"/>
    <col min="11223" max="11223" width="23.625" style="550" customWidth="1"/>
    <col min="11224" max="11224" width="8" style="550" customWidth="1"/>
    <col min="11225" max="11225" width="9.125" style="550" customWidth="1"/>
    <col min="11226" max="11226" width="13.875" style="550" customWidth="1"/>
    <col min="11227" max="11227" width="13.5" style="550" customWidth="1"/>
    <col min="11228" max="11474" width="8.875" style="550"/>
    <col min="11475" max="11475" width="5" style="550" customWidth="1"/>
    <col min="11476" max="11476" width="33.375" style="550" customWidth="1"/>
    <col min="11477" max="11477" width="6.5" style="550" customWidth="1"/>
    <col min="11478" max="11478" width="29.5" style="550" customWidth="1"/>
    <col min="11479" max="11479" width="23.625" style="550" customWidth="1"/>
    <col min="11480" max="11480" width="8" style="550" customWidth="1"/>
    <col min="11481" max="11481" width="9.125" style="550" customWidth="1"/>
    <col min="11482" max="11482" width="13.875" style="550" customWidth="1"/>
    <col min="11483" max="11483" width="13.5" style="550" customWidth="1"/>
    <col min="11484" max="11730" width="8.875" style="550"/>
    <col min="11731" max="11731" width="5" style="550" customWidth="1"/>
    <col min="11732" max="11732" width="33.375" style="550" customWidth="1"/>
    <col min="11733" max="11733" width="6.5" style="550" customWidth="1"/>
    <col min="11734" max="11734" width="29.5" style="550" customWidth="1"/>
    <col min="11735" max="11735" width="23.625" style="550" customWidth="1"/>
    <col min="11736" max="11736" width="8" style="550" customWidth="1"/>
    <col min="11737" max="11737" width="9.125" style="550" customWidth="1"/>
    <col min="11738" max="11738" width="13.875" style="550" customWidth="1"/>
    <col min="11739" max="11739" width="13.5" style="550" customWidth="1"/>
    <col min="11740" max="11986" width="8.875" style="550"/>
    <col min="11987" max="11987" width="5" style="550" customWidth="1"/>
    <col min="11988" max="11988" width="33.375" style="550" customWidth="1"/>
    <col min="11989" max="11989" width="6.5" style="550" customWidth="1"/>
    <col min="11990" max="11990" width="29.5" style="550" customWidth="1"/>
    <col min="11991" max="11991" width="23.625" style="550" customWidth="1"/>
    <col min="11992" max="11992" width="8" style="550" customWidth="1"/>
    <col min="11993" max="11993" width="9.125" style="550" customWidth="1"/>
    <col min="11994" max="11994" width="13.875" style="550" customWidth="1"/>
    <col min="11995" max="11995" width="13.5" style="550" customWidth="1"/>
    <col min="11996" max="12242" width="8.875" style="550"/>
    <col min="12243" max="12243" width="5" style="550" customWidth="1"/>
    <col min="12244" max="12244" width="33.375" style="550" customWidth="1"/>
    <col min="12245" max="12245" width="6.5" style="550" customWidth="1"/>
    <col min="12246" max="12246" width="29.5" style="550" customWidth="1"/>
    <col min="12247" max="12247" width="23.625" style="550" customWidth="1"/>
    <col min="12248" max="12248" width="8" style="550" customWidth="1"/>
    <col min="12249" max="12249" width="9.125" style="550" customWidth="1"/>
    <col min="12250" max="12250" width="13.875" style="550" customWidth="1"/>
    <col min="12251" max="12251" width="13.5" style="550" customWidth="1"/>
    <col min="12252" max="12498" width="8.875" style="550"/>
    <col min="12499" max="12499" width="5" style="550" customWidth="1"/>
    <col min="12500" max="12500" width="33.375" style="550" customWidth="1"/>
    <col min="12501" max="12501" width="6.5" style="550" customWidth="1"/>
    <col min="12502" max="12502" width="29.5" style="550" customWidth="1"/>
    <col min="12503" max="12503" width="23.625" style="550" customWidth="1"/>
    <col min="12504" max="12504" width="8" style="550" customWidth="1"/>
    <col min="12505" max="12505" width="9.125" style="550" customWidth="1"/>
    <col min="12506" max="12506" width="13.875" style="550" customWidth="1"/>
    <col min="12507" max="12507" width="13.5" style="550" customWidth="1"/>
    <col min="12508" max="12754" width="8.875" style="550"/>
    <col min="12755" max="12755" width="5" style="550" customWidth="1"/>
    <col min="12756" max="12756" width="33.375" style="550" customWidth="1"/>
    <col min="12757" max="12757" width="6.5" style="550" customWidth="1"/>
    <col min="12758" max="12758" width="29.5" style="550" customWidth="1"/>
    <col min="12759" max="12759" width="23.625" style="550" customWidth="1"/>
    <col min="12760" max="12760" width="8" style="550" customWidth="1"/>
    <col min="12761" max="12761" width="9.125" style="550" customWidth="1"/>
    <col min="12762" max="12762" width="13.875" style="550" customWidth="1"/>
    <col min="12763" max="12763" width="13.5" style="550" customWidth="1"/>
    <col min="12764" max="13010" width="8.875" style="550"/>
    <col min="13011" max="13011" width="5" style="550" customWidth="1"/>
    <col min="13012" max="13012" width="33.375" style="550" customWidth="1"/>
    <col min="13013" max="13013" width="6.5" style="550" customWidth="1"/>
    <col min="13014" max="13014" width="29.5" style="550" customWidth="1"/>
    <col min="13015" max="13015" width="23.625" style="550" customWidth="1"/>
    <col min="13016" max="13016" width="8" style="550" customWidth="1"/>
    <col min="13017" max="13017" width="9.125" style="550" customWidth="1"/>
    <col min="13018" max="13018" width="13.875" style="550" customWidth="1"/>
    <col min="13019" max="13019" width="13.5" style="550" customWidth="1"/>
    <col min="13020" max="13266" width="8.875" style="550"/>
    <col min="13267" max="13267" width="5" style="550" customWidth="1"/>
    <col min="13268" max="13268" width="33.375" style="550" customWidth="1"/>
    <col min="13269" max="13269" width="6.5" style="550" customWidth="1"/>
    <col min="13270" max="13270" width="29.5" style="550" customWidth="1"/>
    <col min="13271" max="13271" width="23.625" style="550" customWidth="1"/>
    <col min="13272" max="13272" width="8" style="550" customWidth="1"/>
    <col min="13273" max="13273" width="9.125" style="550" customWidth="1"/>
    <col min="13274" max="13274" width="13.875" style="550" customWidth="1"/>
    <col min="13275" max="13275" width="13.5" style="550" customWidth="1"/>
    <col min="13276" max="13522" width="8.875" style="550"/>
    <col min="13523" max="13523" width="5" style="550" customWidth="1"/>
    <col min="13524" max="13524" width="33.375" style="550" customWidth="1"/>
    <col min="13525" max="13525" width="6.5" style="550" customWidth="1"/>
    <col min="13526" max="13526" width="29.5" style="550" customWidth="1"/>
    <col min="13527" max="13527" width="23.625" style="550" customWidth="1"/>
    <col min="13528" max="13528" width="8" style="550" customWidth="1"/>
    <col min="13529" max="13529" width="9.125" style="550" customWidth="1"/>
    <col min="13530" max="13530" width="13.875" style="550" customWidth="1"/>
    <col min="13531" max="13531" width="13.5" style="550" customWidth="1"/>
    <col min="13532" max="13778" width="8.875" style="550"/>
    <col min="13779" max="13779" width="5" style="550" customWidth="1"/>
    <col min="13780" max="13780" width="33.375" style="550" customWidth="1"/>
    <col min="13781" max="13781" width="6.5" style="550" customWidth="1"/>
    <col min="13782" max="13782" width="29.5" style="550" customWidth="1"/>
    <col min="13783" max="13783" width="23.625" style="550" customWidth="1"/>
    <col min="13784" max="13784" width="8" style="550" customWidth="1"/>
    <col min="13785" max="13785" width="9.125" style="550" customWidth="1"/>
    <col min="13786" max="13786" width="13.875" style="550" customWidth="1"/>
    <col min="13787" max="13787" width="13.5" style="550" customWidth="1"/>
    <col min="13788" max="14034" width="8.875" style="550"/>
    <col min="14035" max="14035" width="5" style="550" customWidth="1"/>
    <col min="14036" max="14036" width="33.375" style="550" customWidth="1"/>
    <col min="14037" max="14037" width="6.5" style="550" customWidth="1"/>
    <col min="14038" max="14038" width="29.5" style="550" customWidth="1"/>
    <col min="14039" max="14039" width="23.625" style="550" customWidth="1"/>
    <col min="14040" max="14040" width="8" style="550" customWidth="1"/>
    <col min="14041" max="14041" width="9.125" style="550" customWidth="1"/>
    <col min="14042" max="14042" width="13.875" style="550" customWidth="1"/>
    <col min="14043" max="14043" width="13.5" style="550" customWidth="1"/>
    <col min="14044" max="14290" width="8.875" style="550"/>
    <col min="14291" max="14291" width="5" style="550" customWidth="1"/>
    <col min="14292" max="14292" width="33.375" style="550" customWidth="1"/>
    <col min="14293" max="14293" width="6.5" style="550" customWidth="1"/>
    <col min="14294" max="14294" width="29.5" style="550" customWidth="1"/>
    <col min="14295" max="14295" width="23.625" style="550" customWidth="1"/>
    <col min="14296" max="14296" width="8" style="550" customWidth="1"/>
    <col min="14297" max="14297" width="9.125" style="550" customWidth="1"/>
    <col min="14298" max="14298" width="13.875" style="550" customWidth="1"/>
    <col min="14299" max="14299" width="13.5" style="550" customWidth="1"/>
    <col min="14300" max="14546" width="8.875" style="550"/>
    <col min="14547" max="14547" width="5" style="550" customWidth="1"/>
    <col min="14548" max="14548" width="33.375" style="550" customWidth="1"/>
    <col min="14549" max="14549" width="6.5" style="550" customWidth="1"/>
    <col min="14550" max="14550" width="29.5" style="550" customWidth="1"/>
    <col min="14551" max="14551" width="23.625" style="550" customWidth="1"/>
    <col min="14552" max="14552" width="8" style="550" customWidth="1"/>
    <col min="14553" max="14553" width="9.125" style="550" customWidth="1"/>
    <col min="14554" max="14554" width="13.875" style="550" customWidth="1"/>
    <col min="14555" max="14555" width="13.5" style="550" customWidth="1"/>
    <col min="14556" max="14802" width="8.875" style="550"/>
    <col min="14803" max="14803" width="5" style="550" customWidth="1"/>
    <col min="14804" max="14804" width="33.375" style="550" customWidth="1"/>
    <col min="14805" max="14805" width="6.5" style="550" customWidth="1"/>
    <col min="14806" max="14806" width="29.5" style="550" customWidth="1"/>
    <col min="14807" max="14807" width="23.625" style="550" customWidth="1"/>
    <col min="14808" max="14808" width="8" style="550" customWidth="1"/>
    <col min="14809" max="14809" width="9.125" style="550" customWidth="1"/>
    <col min="14810" max="14810" width="13.875" style="550" customWidth="1"/>
    <col min="14811" max="14811" width="13.5" style="550" customWidth="1"/>
    <col min="14812" max="15058" width="8.875" style="550"/>
    <col min="15059" max="15059" width="5" style="550" customWidth="1"/>
    <col min="15060" max="15060" width="33.375" style="550" customWidth="1"/>
    <col min="15061" max="15061" width="6.5" style="550" customWidth="1"/>
    <col min="15062" max="15062" width="29.5" style="550" customWidth="1"/>
    <col min="15063" max="15063" width="23.625" style="550" customWidth="1"/>
    <col min="15064" max="15064" width="8" style="550" customWidth="1"/>
    <col min="15065" max="15065" width="9.125" style="550" customWidth="1"/>
    <col min="15066" max="15066" width="13.875" style="550" customWidth="1"/>
    <col min="15067" max="15067" width="13.5" style="550" customWidth="1"/>
    <col min="15068" max="15314" width="8.875" style="550"/>
    <col min="15315" max="15315" width="5" style="550" customWidth="1"/>
    <col min="15316" max="15316" width="33.375" style="550" customWidth="1"/>
    <col min="15317" max="15317" width="6.5" style="550" customWidth="1"/>
    <col min="15318" max="15318" width="29.5" style="550" customWidth="1"/>
    <col min="15319" max="15319" width="23.625" style="550" customWidth="1"/>
    <col min="15320" max="15320" width="8" style="550" customWidth="1"/>
    <col min="15321" max="15321" width="9.125" style="550" customWidth="1"/>
    <col min="15322" max="15322" width="13.875" style="550" customWidth="1"/>
    <col min="15323" max="15323" width="13.5" style="550" customWidth="1"/>
    <col min="15324" max="15570" width="8.875" style="550"/>
    <col min="15571" max="15571" width="5" style="550" customWidth="1"/>
    <col min="15572" max="15572" width="33.375" style="550" customWidth="1"/>
    <col min="15573" max="15573" width="6.5" style="550" customWidth="1"/>
    <col min="15574" max="15574" width="29.5" style="550" customWidth="1"/>
    <col min="15575" max="15575" width="23.625" style="550" customWidth="1"/>
    <col min="15576" max="15576" width="8" style="550" customWidth="1"/>
    <col min="15577" max="15577" width="9.125" style="550" customWidth="1"/>
    <col min="15578" max="15578" width="13.875" style="550" customWidth="1"/>
    <col min="15579" max="15579" width="13.5" style="550" customWidth="1"/>
    <col min="15580" max="15826" width="8.875" style="550"/>
    <col min="15827" max="15827" width="5" style="550" customWidth="1"/>
    <col min="15828" max="15828" width="33.375" style="550" customWidth="1"/>
    <col min="15829" max="15829" width="6.5" style="550" customWidth="1"/>
    <col min="15830" max="15830" width="29.5" style="550" customWidth="1"/>
    <col min="15831" max="15831" width="23.625" style="550" customWidth="1"/>
    <col min="15832" max="15832" width="8" style="550" customWidth="1"/>
    <col min="15833" max="15833" width="9.125" style="550" customWidth="1"/>
    <col min="15834" max="15834" width="13.875" style="550" customWidth="1"/>
    <col min="15835" max="15835" width="13.5" style="550" customWidth="1"/>
    <col min="15836" max="16384" width="8.875" style="550"/>
  </cols>
  <sheetData>
    <row r="1" spans="2:16" s="647" customFormat="1" ht="16.5">
      <c r="B1" s="935"/>
      <c r="C1" s="935"/>
      <c r="D1" s="934" t="s">
        <v>255</v>
      </c>
      <c r="F1" s="706"/>
      <c r="G1" s="706"/>
      <c r="H1" s="706"/>
    </row>
    <row r="2" spans="2:16" s="933" customFormat="1" ht="47.25" customHeight="1">
      <c r="B2" s="1134" t="s">
        <v>705</v>
      </c>
      <c r="C2" s="1134"/>
      <c r="D2" s="1135"/>
      <c r="E2" s="1135"/>
      <c r="F2" s="1135"/>
      <c r="G2" s="1135"/>
      <c r="H2" s="1135"/>
      <c r="I2" s="1135"/>
      <c r="J2" s="1135"/>
      <c r="K2" s="1135"/>
      <c r="L2" s="1135"/>
    </row>
    <row r="3" spans="2:16" s="931" customFormat="1" ht="15.75">
      <c r="B3" s="1136"/>
      <c r="C3" s="1136"/>
      <c r="D3" s="1136"/>
      <c r="E3" s="1136"/>
      <c r="F3" s="1136"/>
      <c r="G3" s="1136"/>
      <c r="H3" s="1136"/>
      <c r="I3" s="1136"/>
      <c r="J3" s="1136"/>
      <c r="K3" s="1136"/>
      <c r="L3" s="1136"/>
      <c r="M3" s="932"/>
      <c r="N3" s="932"/>
      <c r="O3" s="932"/>
      <c r="P3" s="932"/>
    </row>
    <row r="4" spans="2:16" s="938" customFormat="1" ht="42.75" customHeight="1">
      <c r="B4" s="475" t="s">
        <v>1</v>
      </c>
      <c r="C4" s="475" t="s">
        <v>702</v>
      </c>
      <c r="D4" s="475" t="s">
        <v>16</v>
      </c>
      <c r="E4" s="475" t="s">
        <v>17</v>
      </c>
      <c r="F4" s="475" t="s">
        <v>18</v>
      </c>
      <c r="G4" s="475" t="s">
        <v>19</v>
      </c>
      <c r="H4" s="901" t="s">
        <v>172</v>
      </c>
      <c r="I4" s="901" t="s">
        <v>164</v>
      </c>
      <c r="J4" s="902" t="s">
        <v>559</v>
      </c>
      <c r="K4" s="902" t="s">
        <v>560</v>
      </c>
      <c r="L4" s="902" t="s">
        <v>471</v>
      </c>
      <c r="M4" s="902" t="s">
        <v>563</v>
      </c>
      <c r="N4" s="902" t="s">
        <v>564</v>
      </c>
      <c r="O4" s="902" t="s">
        <v>565</v>
      </c>
      <c r="P4" s="902" t="s">
        <v>566</v>
      </c>
    </row>
    <row r="5" spans="2:16" s="590" customFormat="1" ht="40.5" customHeight="1">
      <c r="B5" s="1129">
        <v>1</v>
      </c>
      <c r="C5" s="1132" t="s">
        <v>541</v>
      </c>
      <c r="D5" s="903" t="s">
        <v>647</v>
      </c>
      <c r="E5" s="904" t="s">
        <v>413</v>
      </c>
      <c r="F5" s="905" t="s">
        <v>522</v>
      </c>
      <c r="G5" s="927" t="s">
        <v>414</v>
      </c>
      <c r="H5" s="926">
        <v>0</v>
      </c>
      <c r="I5" s="926">
        <v>0</v>
      </c>
      <c r="J5" s="925"/>
      <c r="K5" s="925"/>
      <c r="L5" s="925"/>
      <c r="M5" s="925"/>
      <c r="N5" s="925"/>
      <c r="O5" s="925"/>
      <c r="P5" s="925"/>
    </row>
    <row r="6" spans="2:16" s="590" customFormat="1" ht="40.5" customHeight="1">
      <c r="B6" s="1130"/>
      <c r="C6" s="1133"/>
      <c r="D6" s="906" t="s">
        <v>452</v>
      </c>
      <c r="E6" s="904" t="s">
        <v>413</v>
      </c>
      <c r="F6" s="905" t="s">
        <v>522</v>
      </c>
      <c r="G6" s="927" t="s">
        <v>414</v>
      </c>
      <c r="H6" s="926">
        <v>0</v>
      </c>
      <c r="I6" s="926">
        <v>0</v>
      </c>
      <c r="J6" s="925"/>
      <c r="K6" s="925"/>
      <c r="L6" s="925"/>
      <c r="M6" s="925"/>
      <c r="N6" s="925"/>
      <c r="O6" s="925"/>
      <c r="P6" s="925"/>
    </row>
    <row r="7" spans="2:16" s="590" customFormat="1" ht="51">
      <c r="B7" s="930">
        <v>2</v>
      </c>
      <c r="C7" s="929" t="s">
        <v>543</v>
      </c>
      <c r="D7" s="903" t="s">
        <v>481</v>
      </c>
      <c r="E7" s="904" t="s">
        <v>342</v>
      </c>
      <c r="F7" s="905" t="s">
        <v>524</v>
      </c>
      <c r="G7" s="927" t="s">
        <v>414</v>
      </c>
      <c r="H7" s="926">
        <v>1</v>
      </c>
      <c r="I7" s="926">
        <v>1</v>
      </c>
      <c r="J7" s="925"/>
      <c r="K7" s="925"/>
      <c r="L7" s="925"/>
      <c r="M7" s="925"/>
      <c r="N7" s="925"/>
      <c r="O7" s="925"/>
      <c r="P7" s="925"/>
    </row>
    <row r="8" spans="2:16" s="590" customFormat="1" ht="41.25" customHeight="1">
      <c r="B8" s="930">
        <v>3</v>
      </c>
      <c r="C8" s="929" t="s">
        <v>545</v>
      </c>
      <c r="D8" s="903" t="s">
        <v>519</v>
      </c>
      <c r="E8" s="904" t="s">
        <v>330</v>
      </c>
      <c r="F8" s="905" t="s">
        <v>554</v>
      </c>
      <c r="G8" s="927" t="s">
        <v>326</v>
      </c>
      <c r="H8" s="927">
        <v>1</v>
      </c>
      <c r="I8" s="927">
        <v>1</v>
      </c>
      <c r="J8" s="925"/>
      <c r="K8" s="925"/>
      <c r="L8" s="925"/>
      <c r="M8" s="925"/>
      <c r="N8" s="925"/>
      <c r="O8" s="925"/>
      <c r="P8" s="925"/>
    </row>
    <row r="9" spans="2:16" s="590" customFormat="1" ht="34.5" customHeight="1">
      <c r="B9" s="1128">
        <v>4</v>
      </c>
      <c r="C9" s="1131" t="s">
        <v>547</v>
      </c>
      <c r="D9" s="906" t="s">
        <v>453</v>
      </c>
      <c r="E9" s="904" t="s">
        <v>413</v>
      </c>
      <c r="F9" s="905" t="s">
        <v>471</v>
      </c>
      <c r="G9" s="927" t="s">
        <v>414</v>
      </c>
      <c r="H9" s="926">
        <v>0</v>
      </c>
      <c r="I9" s="926">
        <v>0</v>
      </c>
      <c r="J9" s="925"/>
      <c r="K9" s="925"/>
      <c r="L9" s="925"/>
      <c r="M9" s="925"/>
      <c r="N9" s="925"/>
      <c r="O9" s="925"/>
      <c r="P9" s="925"/>
    </row>
    <row r="10" spans="2:16" s="590" customFormat="1" ht="34.5" customHeight="1">
      <c r="B10" s="1129"/>
      <c r="C10" s="1133"/>
      <c r="D10" s="906" t="s">
        <v>482</v>
      </c>
      <c r="E10" s="904" t="s">
        <v>413</v>
      </c>
      <c r="F10" s="905" t="s">
        <v>471</v>
      </c>
      <c r="G10" s="927" t="s">
        <v>414</v>
      </c>
      <c r="H10" s="926">
        <v>0</v>
      </c>
      <c r="I10" s="926">
        <v>0</v>
      </c>
      <c r="J10" s="925"/>
      <c r="K10" s="925"/>
      <c r="L10" s="925"/>
      <c r="M10" s="925"/>
      <c r="N10" s="925"/>
      <c r="O10" s="925"/>
      <c r="P10" s="925"/>
    </row>
    <row r="11" spans="2:16" s="590" customFormat="1" ht="37.5" customHeight="1">
      <c r="B11" s="1128">
        <v>5</v>
      </c>
      <c r="C11" s="1131" t="s">
        <v>551</v>
      </c>
      <c r="D11" s="906" t="s">
        <v>455</v>
      </c>
      <c r="E11" s="904" t="s">
        <v>413</v>
      </c>
      <c r="F11" s="905" t="s">
        <v>471</v>
      </c>
      <c r="G11" s="927" t="s">
        <v>414</v>
      </c>
      <c r="H11" s="926">
        <v>0</v>
      </c>
      <c r="I11" s="926">
        <v>0</v>
      </c>
      <c r="J11" s="928"/>
      <c r="K11" s="928"/>
      <c r="L11" s="925"/>
      <c r="M11" s="925"/>
      <c r="N11" s="925"/>
      <c r="O11" s="925"/>
      <c r="P11" s="925"/>
    </row>
    <row r="12" spans="2:16" s="590" customFormat="1" ht="37.5" customHeight="1">
      <c r="B12" s="1130"/>
      <c r="C12" s="1133"/>
      <c r="D12" s="906" t="s">
        <v>520</v>
      </c>
      <c r="E12" s="904" t="s">
        <v>413</v>
      </c>
      <c r="F12" s="905" t="s">
        <v>471</v>
      </c>
      <c r="G12" s="927" t="s">
        <v>414</v>
      </c>
      <c r="H12" s="926">
        <v>0</v>
      </c>
      <c r="I12" s="926">
        <v>0</v>
      </c>
      <c r="J12" s="928"/>
      <c r="K12" s="925"/>
      <c r="L12" s="925"/>
      <c r="M12" s="925"/>
      <c r="N12" s="925"/>
      <c r="O12" s="925"/>
      <c r="P12" s="925"/>
    </row>
    <row r="13" spans="2:16" s="590" customFormat="1" ht="29.25" customHeight="1">
      <c r="B13" s="1128">
        <v>6</v>
      </c>
      <c r="C13" s="1131" t="s">
        <v>569</v>
      </c>
      <c r="D13" s="906" t="s">
        <v>457</v>
      </c>
      <c r="E13" s="904" t="s">
        <v>413</v>
      </c>
      <c r="F13" s="905" t="s">
        <v>471</v>
      </c>
      <c r="G13" s="927" t="s">
        <v>414</v>
      </c>
      <c r="H13" s="926">
        <v>0</v>
      </c>
      <c r="I13" s="926">
        <v>0</v>
      </c>
      <c r="J13" s="925"/>
      <c r="K13" s="925"/>
      <c r="L13" s="925"/>
      <c r="M13" s="925"/>
      <c r="N13" s="925"/>
      <c r="O13" s="925"/>
      <c r="P13" s="925"/>
    </row>
    <row r="14" spans="2:16" s="590" customFormat="1" ht="32.25" customHeight="1">
      <c r="B14" s="1129"/>
      <c r="C14" s="1132"/>
      <c r="D14" s="906" t="s">
        <v>458</v>
      </c>
      <c r="E14" s="904" t="s">
        <v>330</v>
      </c>
      <c r="F14" s="905" t="s">
        <v>471</v>
      </c>
      <c r="G14" s="927" t="s">
        <v>326</v>
      </c>
      <c r="H14" s="927">
        <v>1</v>
      </c>
      <c r="I14" s="927">
        <v>1</v>
      </c>
      <c r="J14" s="925"/>
      <c r="K14" s="925"/>
      <c r="L14" s="925"/>
      <c r="M14" s="925"/>
      <c r="N14" s="925"/>
      <c r="O14" s="925"/>
      <c r="P14" s="925"/>
    </row>
    <row r="15" spans="2:16" s="590" customFormat="1" ht="40.5" customHeight="1">
      <c r="B15" s="1129"/>
      <c r="C15" s="1132"/>
      <c r="D15" s="906" t="s">
        <v>535</v>
      </c>
      <c r="E15" s="904" t="s">
        <v>413</v>
      </c>
      <c r="F15" s="905" t="s">
        <v>471</v>
      </c>
      <c r="G15" s="927" t="s">
        <v>414</v>
      </c>
      <c r="H15" s="926">
        <v>0</v>
      </c>
      <c r="I15" s="926">
        <v>0</v>
      </c>
      <c r="J15" s="925"/>
      <c r="K15" s="925"/>
      <c r="L15" s="925"/>
      <c r="M15" s="925"/>
      <c r="N15" s="925"/>
      <c r="O15" s="925"/>
      <c r="P15" s="925"/>
    </row>
    <row r="16" spans="2:16" s="590" customFormat="1" ht="32.25" customHeight="1">
      <c r="B16" s="1129"/>
      <c r="C16" s="1132"/>
      <c r="D16" s="906" t="s">
        <v>459</v>
      </c>
      <c r="E16" s="904" t="s">
        <v>435</v>
      </c>
      <c r="F16" s="905" t="s">
        <v>528</v>
      </c>
      <c r="G16" s="927" t="s">
        <v>326</v>
      </c>
      <c r="H16" s="927">
        <v>1</v>
      </c>
      <c r="I16" s="927">
        <v>1</v>
      </c>
      <c r="J16" s="925"/>
      <c r="K16" s="925"/>
      <c r="L16" s="925"/>
      <c r="M16" s="925"/>
      <c r="N16" s="925"/>
      <c r="O16" s="925"/>
      <c r="P16" s="925"/>
    </row>
    <row r="17" spans="2:16" s="590" customFormat="1" ht="32.25" customHeight="1">
      <c r="B17" s="1130"/>
      <c r="C17" s="1133"/>
      <c r="D17" s="906" t="s">
        <v>461</v>
      </c>
      <c r="E17" s="904" t="s">
        <v>413</v>
      </c>
      <c r="F17" s="905" t="s">
        <v>471</v>
      </c>
      <c r="G17" s="927" t="s">
        <v>414</v>
      </c>
      <c r="H17" s="926">
        <v>0</v>
      </c>
      <c r="I17" s="926">
        <v>0</v>
      </c>
      <c r="J17" s="925"/>
      <c r="K17" s="925"/>
      <c r="L17" s="925"/>
      <c r="M17" s="925"/>
      <c r="N17" s="925"/>
      <c r="O17" s="925"/>
      <c r="P17" s="925"/>
    </row>
    <row r="18" spans="2:16" s="590" customFormat="1" ht="32.25" customHeight="1">
      <c r="B18" s="1128">
        <v>7</v>
      </c>
      <c r="C18" s="1131" t="s">
        <v>621</v>
      </c>
      <c r="D18" s="906" t="s">
        <v>457</v>
      </c>
      <c r="E18" s="904" t="s">
        <v>413</v>
      </c>
      <c r="F18" s="905" t="s">
        <v>471</v>
      </c>
      <c r="G18" s="927" t="s">
        <v>414</v>
      </c>
      <c r="H18" s="926">
        <v>0</v>
      </c>
      <c r="I18" s="926">
        <v>0</v>
      </c>
      <c r="J18" s="925"/>
      <c r="K18" s="925"/>
      <c r="L18" s="925"/>
      <c r="M18" s="925"/>
      <c r="N18" s="925"/>
      <c r="O18" s="925"/>
      <c r="P18" s="925"/>
    </row>
    <row r="19" spans="2:16" s="590" customFormat="1" ht="32.25" customHeight="1">
      <c r="B19" s="1129"/>
      <c r="C19" s="1132"/>
      <c r="D19" s="906" t="s">
        <v>458</v>
      </c>
      <c r="E19" s="904" t="s">
        <v>330</v>
      </c>
      <c r="F19" s="905" t="s">
        <v>471</v>
      </c>
      <c r="G19" s="927" t="s">
        <v>326</v>
      </c>
      <c r="H19" s="927">
        <v>1</v>
      </c>
      <c r="I19" s="927">
        <v>1</v>
      </c>
      <c r="J19" s="925"/>
      <c r="K19" s="925"/>
      <c r="L19" s="925"/>
      <c r="M19" s="925"/>
      <c r="N19" s="925"/>
      <c r="O19" s="925"/>
      <c r="P19" s="925"/>
    </row>
    <row r="20" spans="2:16" s="590" customFormat="1" ht="43.5" customHeight="1">
      <c r="B20" s="1129"/>
      <c r="C20" s="1132"/>
      <c r="D20" s="906" t="s">
        <v>535</v>
      </c>
      <c r="E20" s="904" t="s">
        <v>413</v>
      </c>
      <c r="F20" s="905" t="s">
        <v>471</v>
      </c>
      <c r="G20" s="927" t="s">
        <v>414</v>
      </c>
      <c r="H20" s="926">
        <v>0</v>
      </c>
      <c r="I20" s="926">
        <v>0</v>
      </c>
      <c r="J20" s="925"/>
      <c r="K20" s="925"/>
      <c r="L20" s="925"/>
      <c r="M20" s="925"/>
      <c r="N20" s="925"/>
      <c r="O20" s="925"/>
      <c r="P20" s="925"/>
    </row>
    <row r="21" spans="2:16" s="590" customFormat="1" ht="32.25" customHeight="1">
      <c r="B21" s="1129"/>
      <c r="C21" s="1132"/>
      <c r="D21" s="906" t="s">
        <v>459</v>
      </c>
      <c r="E21" s="904" t="s">
        <v>435</v>
      </c>
      <c r="F21" s="905" t="s">
        <v>528</v>
      </c>
      <c r="G21" s="927" t="s">
        <v>326</v>
      </c>
      <c r="H21" s="927">
        <v>1</v>
      </c>
      <c r="I21" s="927">
        <v>1</v>
      </c>
      <c r="J21" s="925"/>
      <c r="K21" s="925"/>
      <c r="L21" s="925"/>
      <c r="M21" s="925"/>
      <c r="N21" s="925"/>
      <c r="O21" s="925"/>
      <c r="P21" s="925"/>
    </row>
    <row r="22" spans="2:16" s="590" customFormat="1" ht="32.25" customHeight="1">
      <c r="B22" s="1130"/>
      <c r="C22" s="1133"/>
      <c r="D22" s="906" t="s">
        <v>461</v>
      </c>
      <c r="E22" s="904" t="s">
        <v>413</v>
      </c>
      <c r="F22" s="905" t="s">
        <v>471</v>
      </c>
      <c r="G22" s="927" t="s">
        <v>414</v>
      </c>
      <c r="H22" s="926">
        <v>0</v>
      </c>
      <c r="I22" s="926">
        <v>0</v>
      </c>
      <c r="J22" s="925"/>
      <c r="K22" s="925"/>
      <c r="L22" s="925"/>
      <c r="M22" s="925"/>
      <c r="N22" s="925"/>
      <c r="O22" s="925"/>
      <c r="P22" s="925"/>
    </row>
    <row r="23" spans="2:16" s="590" customFormat="1" ht="36.75" customHeight="1">
      <c r="B23" s="1128">
        <v>8</v>
      </c>
      <c r="C23" s="1131" t="s">
        <v>571</v>
      </c>
      <c r="D23" s="906" t="s">
        <v>462</v>
      </c>
      <c r="E23" s="904" t="s">
        <v>413</v>
      </c>
      <c r="F23" s="905" t="s">
        <v>471</v>
      </c>
      <c r="G23" s="927" t="s">
        <v>414</v>
      </c>
      <c r="H23" s="926">
        <v>0</v>
      </c>
      <c r="I23" s="926">
        <v>0</v>
      </c>
      <c r="J23" s="925"/>
      <c r="K23" s="925"/>
      <c r="L23" s="925"/>
      <c r="M23" s="925"/>
      <c r="N23" s="925"/>
      <c r="O23" s="925"/>
      <c r="P23" s="925"/>
    </row>
    <row r="24" spans="2:16" s="590" customFormat="1" ht="36.75" customHeight="1">
      <c r="B24" s="1129"/>
      <c r="C24" s="1132"/>
      <c r="D24" s="906" t="s">
        <v>463</v>
      </c>
      <c r="E24" s="904" t="s">
        <v>413</v>
      </c>
      <c r="F24" s="905" t="s">
        <v>471</v>
      </c>
      <c r="G24" s="927" t="s">
        <v>414</v>
      </c>
      <c r="H24" s="926">
        <v>0</v>
      </c>
      <c r="I24" s="926">
        <v>0</v>
      </c>
      <c r="J24" s="925"/>
      <c r="K24" s="925"/>
      <c r="L24" s="925"/>
      <c r="M24" s="925"/>
      <c r="N24" s="925"/>
      <c r="O24" s="925"/>
      <c r="P24" s="925"/>
    </row>
    <row r="25" spans="2:16" s="590" customFormat="1" ht="36.75" customHeight="1">
      <c r="B25" s="1130"/>
      <c r="C25" s="1133"/>
      <c r="D25" s="906" t="s">
        <v>713</v>
      </c>
      <c r="E25" s="904" t="s">
        <v>589</v>
      </c>
      <c r="F25" s="905" t="s">
        <v>698</v>
      </c>
      <c r="G25" s="927" t="s">
        <v>414</v>
      </c>
      <c r="H25" s="926">
        <v>1</v>
      </c>
      <c r="I25" s="926">
        <v>0</v>
      </c>
      <c r="J25" s="925"/>
      <c r="K25" s="925"/>
      <c r="L25" s="925"/>
      <c r="M25" s="925"/>
      <c r="N25" s="925"/>
      <c r="O25" s="925"/>
      <c r="P25" s="925"/>
    </row>
    <row r="26" spans="2:16" s="590" customFormat="1" ht="36.75" customHeight="1">
      <c r="B26" s="1128">
        <v>9</v>
      </c>
      <c r="C26" s="1131" t="s">
        <v>571</v>
      </c>
      <c r="D26" s="906" t="s">
        <v>462</v>
      </c>
      <c r="E26" s="904" t="s">
        <v>413</v>
      </c>
      <c r="F26" s="905" t="s">
        <v>471</v>
      </c>
      <c r="G26" s="927" t="s">
        <v>414</v>
      </c>
      <c r="H26" s="926">
        <v>0</v>
      </c>
      <c r="I26" s="926">
        <v>0</v>
      </c>
      <c r="J26" s="925"/>
      <c r="K26" s="925"/>
      <c r="L26" s="925"/>
      <c r="M26" s="925"/>
      <c r="N26" s="925"/>
      <c r="O26" s="925"/>
      <c r="P26" s="925"/>
    </row>
    <row r="27" spans="2:16" s="590" customFormat="1" ht="36.75" customHeight="1">
      <c r="B27" s="1129"/>
      <c r="C27" s="1132"/>
      <c r="D27" s="906" t="s">
        <v>463</v>
      </c>
      <c r="E27" s="904" t="s">
        <v>413</v>
      </c>
      <c r="F27" s="905" t="s">
        <v>471</v>
      </c>
      <c r="G27" s="927" t="s">
        <v>414</v>
      </c>
      <c r="H27" s="926">
        <v>0</v>
      </c>
      <c r="I27" s="926">
        <v>0</v>
      </c>
      <c r="J27" s="925"/>
      <c r="K27" s="925"/>
      <c r="L27" s="925"/>
      <c r="M27" s="925"/>
      <c r="N27" s="925"/>
      <c r="O27" s="925"/>
      <c r="P27" s="925"/>
    </row>
    <row r="28" spans="2:16" s="590" customFormat="1" ht="36.75" customHeight="1">
      <c r="B28" s="1130"/>
      <c r="C28" s="1133"/>
      <c r="D28" s="906" t="s">
        <v>713</v>
      </c>
      <c r="E28" s="904" t="s">
        <v>589</v>
      </c>
      <c r="F28" s="905" t="s">
        <v>698</v>
      </c>
      <c r="G28" s="927" t="s">
        <v>414</v>
      </c>
      <c r="H28" s="926">
        <v>1</v>
      </c>
      <c r="I28" s="926">
        <v>0</v>
      </c>
      <c r="J28" s="925"/>
      <c r="K28" s="925"/>
      <c r="L28" s="925"/>
      <c r="M28" s="925"/>
      <c r="N28" s="925"/>
      <c r="O28" s="925"/>
      <c r="P28" s="925"/>
    </row>
    <row r="29" spans="2:16" s="590" customFormat="1" ht="36.75" customHeight="1">
      <c r="B29" s="1128">
        <v>10</v>
      </c>
      <c r="C29" s="1131" t="s">
        <v>556</v>
      </c>
      <c r="D29" s="906" t="s">
        <v>462</v>
      </c>
      <c r="E29" s="904" t="s">
        <v>413</v>
      </c>
      <c r="F29" s="905" t="s">
        <v>471</v>
      </c>
      <c r="G29" s="927" t="s">
        <v>414</v>
      </c>
      <c r="H29" s="926">
        <v>0</v>
      </c>
      <c r="I29" s="926">
        <v>0</v>
      </c>
      <c r="J29" s="925"/>
      <c r="K29" s="925"/>
      <c r="L29" s="925"/>
      <c r="M29" s="925"/>
      <c r="N29" s="925"/>
      <c r="O29" s="925"/>
      <c r="P29" s="925"/>
    </row>
    <row r="30" spans="2:16" s="590" customFormat="1" ht="36.75" customHeight="1">
      <c r="B30" s="1129"/>
      <c r="C30" s="1132"/>
      <c r="D30" s="906" t="s">
        <v>463</v>
      </c>
      <c r="E30" s="904" t="s">
        <v>413</v>
      </c>
      <c r="F30" s="905" t="s">
        <v>471</v>
      </c>
      <c r="G30" s="927" t="s">
        <v>414</v>
      </c>
      <c r="H30" s="926">
        <v>0</v>
      </c>
      <c r="I30" s="926">
        <v>0</v>
      </c>
      <c r="J30" s="925"/>
      <c r="K30" s="925"/>
      <c r="L30" s="925"/>
      <c r="M30" s="925"/>
      <c r="N30" s="925"/>
      <c r="O30" s="925"/>
      <c r="P30" s="925"/>
    </row>
    <row r="31" spans="2:16" s="590" customFormat="1" ht="36.75" customHeight="1">
      <c r="B31" s="1130"/>
      <c r="C31" s="1133"/>
      <c r="D31" s="906" t="s">
        <v>713</v>
      </c>
      <c r="E31" s="904" t="s">
        <v>589</v>
      </c>
      <c r="F31" s="905" t="s">
        <v>698</v>
      </c>
      <c r="G31" s="927" t="s">
        <v>414</v>
      </c>
      <c r="H31" s="926">
        <v>1</v>
      </c>
      <c r="I31" s="926">
        <v>0</v>
      </c>
      <c r="J31" s="925"/>
      <c r="K31" s="925"/>
      <c r="L31" s="925"/>
      <c r="M31" s="925"/>
      <c r="N31" s="925"/>
      <c r="O31" s="925"/>
      <c r="P31" s="925"/>
    </row>
    <row r="32" spans="2:16" s="590" customFormat="1" ht="36.75" customHeight="1">
      <c r="B32" s="1128">
        <v>11</v>
      </c>
      <c r="C32" s="1131" t="s">
        <v>573</v>
      </c>
      <c r="D32" s="906" t="s">
        <v>462</v>
      </c>
      <c r="E32" s="904" t="s">
        <v>413</v>
      </c>
      <c r="F32" s="905" t="s">
        <v>471</v>
      </c>
      <c r="G32" s="927" t="s">
        <v>414</v>
      </c>
      <c r="H32" s="926">
        <v>0</v>
      </c>
      <c r="I32" s="926">
        <v>0</v>
      </c>
      <c r="J32" s="925"/>
      <c r="K32" s="925"/>
      <c r="L32" s="925"/>
      <c r="M32" s="925"/>
      <c r="N32" s="925"/>
      <c r="O32" s="925"/>
      <c r="P32" s="925"/>
    </row>
    <row r="33" spans="2:16" s="590" customFormat="1" ht="36.75" customHeight="1">
      <c r="B33" s="1129"/>
      <c r="C33" s="1132"/>
      <c r="D33" s="906" t="s">
        <v>463</v>
      </c>
      <c r="E33" s="904" t="s">
        <v>413</v>
      </c>
      <c r="F33" s="905" t="s">
        <v>471</v>
      </c>
      <c r="G33" s="927" t="s">
        <v>414</v>
      </c>
      <c r="H33" s="926">
        <v>0</v>
      </c>
      <c r="I33" s="926">
        <v>0</v>
      </c>
      <c r="J33" s="925"/>
      <c r="K33" s="925"/>
      <c r="L33" s="925"/>
      <c r="M33" s="925"/>
      <c r="N33" s="925"/>
      <c r="O33" s="925"/>
      <c r="P33" s="925"/>
    </row>
    <row r="34" spans="2:16" s="590" customFormat="1" ht="36.75" customHeight="1">
      <c r="B34" s="1130"/>
      <c r="C34" s="1133"/>
      <c r="D34" s="906" t="s">
        <v>712</v>
      </c>
      <c r="E34" s="904" t="s">
        <v>589</v>
      </c>
      <c r="F34" s="905" t="s">
        <v>698</v>
      </c>
      <c r="G34" s="927" t="s">
        <v>414</v>
      </c>
      <c r="H34" s="926">
        <v>1</v>
      </c>
      <c r="I34" s="926">
        <v>0</v>
      </c>
      <c r="J34" s="925"/>
      <c r="K34" s="925"/>
      <c r="L34" s="925"/>
      <c r="M34" s="925"/>
      <c r="N34" s="925"/>
      <c r="O34" s="925"/>
      <c r="P34" s="925"/>
    </row>
    <row r="35" spans="2:16" s="590" customFormat="1" ht="36.75" customHeight="1">
      <c r="B35" s="1128">
        <v>12</v>
      </c>
      <c r="C35" s="1131" t="s">
        <v>575</v>
      </c>
      <c r="D35" s="906" t="s">
        <v>462</v>
      </c>
      <c r="E35" s="904" t="s">
        <v>413</v>
      </c>
      <c r="F35" s="905" t="s">
        <v>471</v>
      </c>
      <c r="G35" s="927" t="s">
        <v>414</v>
      </c>
      <c r="H35" s="926">
        <v>0</v>
      </c>
      <c r="I35" s="926">
        <v>0</v>
      </c>
      <c r="J35" s="925"/>
      <c r="K35" s="925"/>
      <c r="L35" s="925"/>
      <c r="M35" s="925"/>
      <c r="N35" s="925"/>
      <c r="O35" s="925"/>
      <c r="P35" s="925"/>
    </row>
    <row r="36" spans="2:16" s="590" customFormat="1" ht="36.75" customHeight="1">
      <c r="B36" s="1129"/>
      <c r="C36" s="1132"/>
      <c r="D36" s="906" t="s">
        <v>463</v>
      </c>
      <c r="E36" s="904" t="s">
        <v>413</v>
      </c>
      <c r="F36" s="905" t="s">
        <v>471</v>
      </c>
      <c r="G36" s="927" t="s">
        <v>414</v>
      </c>
      <c r="H36" s="926">
        <v>0</v>
      </c>
      <c r="I36" s="926">
        <v>0</v>
      </c>
      <c r="J36" s="925"/>
      <c r="K36" s="925"/>
      <c r="L36" s="925"/>
      <c r="M36" s="925"/>
      <c r="N36" s="925"/>
      <c r="O36" s="925"/>
      <c r="P36" s="925"/>
    </row>
    <row r="37" spans="2:16" s="590" customFormat="1" ht="42.75" customHeight="1">
      <c r="B37" s="1130"/>
      <c r="C37" s="1133"/>
      <c r="D37" s="906" t="s">
        <v>712</v>
      </c>
      <c r="E37" s="904" t="s">
        <v>589</v>
      </c>
      <c r="F37" s="905" t="s">
        <v>698</v>
      </c>
      <c r="G37" s="927" t="s">
        <v>414</v>
      </c>
      <c r="H37" s="926">
        <v>1</v>
      </c>
      <c r="I37" s="926">
        <v>0</v>
      </c>
      <c r="J37" s="925"/>
      <c r="K37" s="925"/>
      <c r="L37" s="925"/>
      <c r="M37" s="925"/>
      <c r="N37" s="925"/>
      <c r="O37" s="925"/>
      <c r="P37" s="925"/>
    </row>
    <row r="38" spans="2:16" s="590" customFormat="1" ht="44.25" customHeight="1">
      <c r="B38" s="981" t="s">
        <v>567</v>
      </c>
      <c r="C38" s="1137"/>
      <c r="D38" s="982"/>
      <c r="E38" s="516"/>
      <c r="F38" s="518"/>
      <c r="G38" s="476"/>
      <c r="H38" s="476"/>
      <c r="I38" s="514"/>
      <c r="J38" s="514"/>
      <c r="K38" s="514"/>
      <c r="L38" s="514"/>
      <c r="M38" s="514"/>
      <c r="N38" s="514"/>
      <c r="O38" s="514"/>
      <c r="P38" s="514"/>
    </row>
    <row r="40" spans="2:16">
      <c r="C40" s="38" t="s">
        <v>703</v>
      </c>
    </row>
  </sheetData>
  <mergeCells count="23">
    <mergeCell ref="B38:D38"/>
    <mergeCell ref="C9:C10"/>
    <mergeCell ref="B23:B25"/>
    <mergeCell ref="C23:C25"/>
    <mergeCell ref="B26:B28"/>
    <mergeCell ref="C26:C28"/>
    <mergeCell ref="B29:B31"/>
    <mergeCell ref="C29:C31"/>
    <mergeCell ref="B32:B34"/>
    <mergeCell ref="C32:C34"/>
    <mergeCell ref="B35:B37"/>
    <mergeCell ref="C35:C37"/>
    <mergeCell ref="B11:B12"/>
    <mergeCell ref="C11:C12"/>
    <mergeCell ref="B13:B17"/>
    <mergeCell ref="C13:C17"/>
    <mergeCell ref="B18:B22"/>
    <mergeCell ref="C18:C22"/>
    <mergeCell ref="B2:L2"/>
    <mergeCell ref="B3:L3"/>
    <mergeCell ref="B5:B6"/>
    <mergeCell ref="C5:C6"/>
    <mergeCell ref="B9:B10"/>
  </mergeCells>
  <pageMargins left="0.17" right="0.17" top="0.17" bottom="0.17" header="0.18" footer="0.17"/>
  <pageSetup paperSize="9" scale="71"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854DA-6016-4F61-886E-EDA8719F54A1}">
  <dimension ref="A1:E20"/>
  <sheetViews>
    <sheetView workbookViewId="0">
      <selection activeCell="F21" sqref="F21"/>
    </sheetView>
  </sheetViews>
  <sheetFormatPr defaultColWidth="26.875" defaultRowHeight="16.5"/>
  <cols>
    <col min="1" max="1" width="6.875" style="942" customWidth="1"/>
    <col min="2" max="2" width="30.5" style="941" customWidth="1"/>
    <col min="3" max="3" width="16.25" style="942" customWidth="1"/>
    <col min="4" max="4" width="17" style="943" customWidth="1"/>
    <col min="5" max="16384" width="26.875" style="941"/>
  </cols>
  <sheetData>
    <row r="1" spans="1:5">
      <c r="A1" s="1140" t="s">
        <v>718</v>
      </c>
      <c r="B1" s="1140"/>
      <c r="C1" s="1140"/>
      <c r="D1" s="1140"/>
    </row>
    <row r="2" spans="1:5">
      <c r="A2" s="945"/>
      <c r="B2" s="945"/>
      <c r="C2" s="945"/>
      <c r="D2" s="945"/>
    </row>
    <row r="3" spans="1:5" s="940" customFormat="1" ht="43.5" customHeight="1">
      <c r="A3" s="1138" t="s">
        <v>716</v>
      </c>
      <c r="B3" s="1139"/>
      <c r="C3" s="1139"/>
      <c r="D3" s="1139"/>
    </row>
    <row r="4" spans="1:5" s="949" customFormat="1" ht="21.75" customHeight="1">
      <c r="A4" s="946" t="s">
        <v>1</v>
      </c>
      <c r="B4" s="946" t="s">
        <v>715</v>
      </c>
      <c r="C4" s="947" t="s">
        <v>714</v>
      </c>
      <c r="D4" s="948" t="s">
        <v>20</v>
      </c>
    </row>
    <row r="5" spans="1:5" s="949" customFormat="1" ht="21.75" customHeight="1">
      <c r="A5" s="957">
        <v>1</v>
      </c>
      <c r="B5" s="950" t="s">
        <v>706</v>
      </c>
      <c r="C5" s="951" t="s">
        <v>707</v>
      </c>
      <c r="D5" s="961">
        <f>'A7.13.KPI Quan ly.Q2'!N15</f>
        <v>1.0220500000000001</v>
      </c>
      <c r="E5" s="959"/>
    </row>
    <row r="6" spans="1:5" s="949" customFormat="1" ht="21.75" customHeight="1">
      <c r="A6" s="957">
        <f>A5+1</f>
        <v>2</v>
      </c>
      <c r="B6" s="950" t="s">
        <v>545</v>
      </c>
      <c r="C6" s="951" t="s">
        <v>546</v>
      </c>
      <c r="D6" s="960">
        <f>'3.KPI Q2.PGĐ(NS-PC)'!N25</f>
        <v>0.97645000000000015</v>
      </c>
      <c r="E6" s="959"/>
    </row>
    <row r="7" spans="1:5" s="949" customFormat="1" ht="21.75" customHeight="1">
      <c r="A7" s="957">
        <f t="shared" ref="A7:A17" si="0">A6+1</f>
        <v>3</v>
      </c>
      <c r="B7" s="950" t="s">
        <v>541</v>
      </c>
      <c r="C7" s="951" t="s">
        <v>542</v>
      </c>
      <c r="D7" s="960">
        <f>'1.KPI Q2.PGĐ Ban(HC-TS-ATNB'!N24</f>
        <v>0.91444999999999999</v>
      </c>
      <c r="E7" s="959"/>
    </row>
    <row r="8" spans="1:5" s="949" customFormat="1" ht="21.75" customHeight="1">
      <c r="A8" s="957">
        <f t="shared" si="0"/>
        <v>4</v>
      </c>
      <c r="B8" s="950" t="s">
        <v>543</v>
      </c>
      <c r="C8" s="951" t="s">
        <v>544</v>
      </c>
      <c r="D8" s="960">
        <f>'2.KPI Q2.PGĐ(CSKH-LĐ TL)'!N25</f>
        <v>0.92645000000000011</v>
      </c>
      <c r="E8" s="959"/>
    </row>
    <row r="9" spans="1:5" s="949" customFormat="1" ht="21.75" customHeight="1">
      <c r="A9" s="957">
        <f t="shared" si="0"/>
        <v>5</v>
      </c>
      <c r="B9" s="950" t="s">
        <v>551</v>
      </c>
      <c r="C9" s="951" t="s">
        <v>552</v>
      </c>
      <c r="D9" s="960">
        <f>'5.KPI Q2.NV VTLT'!N24</f>
        <v>1.0024500000000001</v>
      </c>
      <c r="E9" s="959"/>
    </row>
    <row r="10" spans="1:5" s="949" customFormat="1" ht="21.75" customHeight="1">
      <c r="A10" s="957">
        <f t="shared" si="0"/>
        <v>6</v>
      </c>
      <c r="B10" s="952" t="s">
        <v>621</v>
      </c>
      <c r="C10" s="951" t="s">
        <v>622</v>
      </c>
      <c r="D10" s="960">
        <f>'6.KPI Q2.NV Lai xe (1)'!N24</f>
        <v>1.0024500000000001</v>
      </c>
      <c r="E10" s="959"/>
    </row>
    <row r="11" spans="1:5" s="949" customFormat="1" ht="21.75" customHeight="1">
      <c r="A11" s="957">
        <f t="shared" si="0"/>
        <v>7</v>
      </c>
      <c r="B11" s="950" t="s">
        <v>569</v>
      </c>
      <c r="C11" s="951" t="s">
        <v>570</v>
      </c>
      <c r="D11" s="960">
        <f>'6.KPI Q2.NV Lai xe (2)'!N24</f>
        <v>1.0024500000000001</v>
      </c>
      <c r="E11" s="959"/>
    </row>
    <row r="12" spans="1:5" s="949" customFormat="1" ht="21.75" customHeight="1">
      <c r="A12" s="957">
        <f t="shared" si="0"/>
        <v>8</v>
      </c>
      <c r="B12" s="950" t="s">
        <v>549</v>
      </c>
      <c r="C12" s="951" t="s">
        <v>550</v>
      </c>
      <c r="D12" s="960">
        <f>'4.2.KPI Q2.NV HCNS-Nhu'!N23</f>
        <v>0.90245000000000009</v>
      </c>
      <c r="E12" s="959"/>
    </row>
    <row r="13" spans="1:5" s="949" customFormat="1" ht="21.75" customHeight="1">
      <c r="A13" s="957">
        <f t="shared" si="0"/>
        <v>9</v>
      </c>
      <c r="B13" s="950" t="s">
        <v>547</v>
      </c>
      <c r="C13" s="951" t="s">
        <v>548</v>
      </c>
      <c r="D13" s="960">
        <f>'4.1.KPI Q2.NV HCNS-Nhi'!N23</f>
        <v>1.0024500000000001</v>
      </c>
      <c r="E13" s="959"/>
    </row>
    <row r="14" spans="1:5" s="949" customFormat="1" ht="21.75" customHeight="1">
      <c r="A14" s="957">
        <f t="shared" si="0"/>
        <v>10</v>
      </c>
      <c r="B14" s="950" t="s">
        <v>571</v>
      </c>
      <c r="C14" s="951" t="s">
        <v>572</v>
      </c>
      <c r="D14" s="960">
        <f>'7.KPI Q2.NV CSKH (4NV) (4)'!N24</f>
        <v>0.97645000000000015</v>
      </c>
      <c r="E14" s="959"/>
    </row>
    <row r="15" spans="1:5" s="949" customFormat="1" ht="21.75" customHeight="1">
      <c r="A15" s="957">
        <f t="shared" si="0"/>
        <v>11</v>
      </c>
      <c r="B15" s="950" t="s">
        <v>573</v>
      </c>
      <c r="C15" s="951" t="s">
        <v>574</v>
      </c>
      <c r="D15" s="960">
        <f>'7.KPI Q2.NV CSKH (4NV) (2)'!N24</f>
        <v>0.97645000000000015</v>
      </c>
      <c r="E15" s="959"/>
    </row>
    <row r="16" spans="1:5" s="949" customFormat="1" ht="21.75" customHeight="1">
      <c r="A16" s="957">
        <f t="shared" si="0"/>
        <v>12</v>
      </c>
      <c r="B16" s="950" t="s">
        <v>575</v>
      </c>
      <c r="C16" s="951" t="s">
        <v>576</v>
      </c>
      <c r="D16" s="960">
        <f>'7.KPI Q2.NV CSKH (4NV) (1)'!N24</f>
        <v>0.97645000000000015</v>
      </c>
      <c r="E16" s="959"/>
    </row>
    <row r="17" spans="1:5" s="949" customFormat="1" ht="21.75" customHeight="1">
      <c r="A17" s="957">
        <f t="shared" si="0"/>
        <v>13</v>
      </c>
      <c r="B17" s="950" t="s">
        <v>556</v>
      </c>
      <c r="C17" s="951" t="s">
        <v>557</v>
      </c>
      <c r="D17" s="960">
        <f>'7.KPI Q2.NV CSKH (4NV) (3)'!N24</f>
        <v>0.97645000000000015</v>
      </c>
      <c r="E17" s="959"/>
    </row>
    <row r="18" spans="1:5" s="949" customFormat="1" ht="18.75">
      <c r="A18" s="958"/>
      <c r="C18" s="953"/>
      <c r="D18" s="954"/>
    </row>
    <row r="19" spans="1:5" s="956" customFormat="1" ht="18.75">
      <c r="A19" s="955"/>
      <c r="B19" s="956" t="s">
        <v>536</v>
      </c>
      <c r="C19" s="1141" t="s">
        <v>650</v>
      </c>
      <c r="D19" s="1141"/>
    </row>
    <row r="20" spans="1:5" s="949" customFormat="1" ht="18.75">
      <c r="A20" s="953"/>
      <c r="C20" s="953"/>
      <c r="D20" s="954"/>
    </row>
  </sheetData>
  <mergeCells count="3">
    <mergeCell ref="A3:D3"/>
    <mergeCell ref="A1:D1"/>
    <mergeCell ref="C19:D19"/>
  </mergeCells>
  <printOptions horizontalCentered="1"/>
  <pageMargins left="0.57999999999999996" right="0.61" top="0.75" bottom="0.75" header="0.3" footer="0.3"/>
  <pageSetup paperSize="9" scale="11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5A005-9337-4754-9EF3-C4197CDAAE64}">
  <sheetPr>
    <tabColor rgb="FF92D050"/>
  </sheetPr>
  <dimension ref="B1:N36"/>
  <sheetViews>
    <sheetView showGridLines="0" tabSelected="1" topLeftCell="A17" zoomScaleNormal="100" workbookViewId="0">
      <selection activeCell="C27" sqref="C27"/>
    </sheetView>
  </sheetViews>
  <sheetFormatPr defaultColWidth="8.875" defaultRowHeight="12.75"/>
  <cols>
    <col min="1" max="1" width="2" style="550" customWidth="1"/>
    <col min="2" max="2" width="6.5" style="550" customWidth="1"/>
    <col min="3" max="3" width="33.375" style="550" customWidth="1"/>
    <col min="4" max="4" width="8.5" style="550" customWidth="1"/>
    <col min="5" max="5" width="22" style="550" customWidth="1"/>
    <col min="6" max="6" width="25.375" style="551" customWidth="1"/>
    <col min="7" max="7" width="13.125" style="551" customWidth="1"/>
    <col min="8" max="8" width="18.375" style="550" customWidth="1"/>
    <col min="9" max="9" width="9.125" style="550" customWidth="1"/>
    <col min="10" max="10" width="9.375" style="550" customWidth="1"/>
    <col min="11" max="11" width="7.625" style="550" customWidth="1"/>
    <col min="12" max="12" width="8" style="550" customWidth="1"/>
    <col min="13" max="13" width="9.375" style="551" customWidth="1"/>
    <col min="14" max="14" width="17.625" style="550" hidden="1" customWidth="1"/>
    <col min="15" max="15" width="10.125" style="550" bestFit="1" customWidth="1"/>
    <col min="16" max="221" width="8.875" style="550"/>
    <col min="222" max="222" width="5" style="550" customWidth="1"/>
    <col min="223" max="223" width="33.375" style="550" customWidth="1"/>
    <col min="224" max="224" width="6.5" style="550" customWidth="1"/>
    <col min="225" max="225" width="29.5" style="550" customWidth="1"/>
    <col min="226" max="226" width="23.625" style="550" customWidth="1"/>
    <col min="227" max="227" width="8" style="550" customWidth="1"/>
    <col min="228" max="228" width="9.125" style="550" customWidth="1"/>
    <col min="229" max="229" width="13.875" style="550" customWidth="1"/>
    <col min="230" max="230" width="13.5" style="550" customWidth="1"/>
    <col min="231" max="477" width="8.875" style="550"/>
    <col min="478" max="478" width="5" style="550" customWidth="1"/>
    <col min="479" max="479" width="33.375" style="550" customWidth="1"/>
    <col min="480" max="480" width="6.5" style="550" customWidth="1"/>
    <col min="481" max="481" width="29.5" style="550" customWidth="1"/>
    <col min="482" max="482" width="23.625" style="550" customWidth="1"/>
    <col min="483" max="483" width="8" style="550" customWidth="1"/>
    <col min="484" max="484" width="9.125" style="550" customWidth="1"/>
    <col min="485" max="485" width="13.875" style="550" customWidth="1"/>
    <col min="486" max="486" width="13.5" style="550" customWidth="1"/>
    <col min="487" max="733" width="8.875" style="550"/>
    <col min="734" max="734" width="5" style="550" customWidth="1"/>
    <col min="735" max="735" width="33.375" style="550" customWidth="1"/>
    <col min="736" max="736" width="6.5" style="550" customWidth="1"/>
    <col min="737" max="737" width="29.5" style="550" customWidth="1"/>
    <col min="738" max="738" width="23.625" style="550" customWidth="1"/>
    <col min="739" max="739" width="8" style="550" customWidth="1"/>
    <col min="740" max="740" width="9.125" style="550" customWidth="1"/>
    <col min="741" max="741" width="13.875" style="550" customWidth="1"/>
    <col min="742" max="742" width="13.5" style="550" customWidth="1"/>
    <col min="743" max="989" width="8.875" style="550"/>
    <col min="990" max="990" width="5" style="550" customWidth="1"/>
    <col min="991" max="991" width="33.375" style="550" customWidth="1"/>
    <col min="992" max="992" width="6.5" style="550" customWidth="1"/>
    <col min="993" max="993" width="29.5" style="550" customWidth="1"/>
    <col min="994" max="994" width="23.625" style="550" customWidth="1"/>
    <col min="995" max="995" width="8" style="550" customWidth="1"/>
    <col min="996" max="996" width="9.125" style="550" customWidth="1"/>
    <col min="997" max="997" width="13.875" style="550" customWidth="1"/>
    <col min="998" max="998" width="13.5" style="550" customWidth="1"/>
    <col min="999" max="1245" width="8.875" style="550"/>
    <col min="1246" max="1246" width="5" style="550" customWidth="1"/>
    <col min="1247" max="1247" width="33.375" style="550" customWidth="1"/>
    <col min="1248" max="1248" width="6.5" style="550" customWidth="1"/>
    <col min="1249" max="1249" width="29.5" style="550" customWidth="1"/>
    <col min="1250" max="1250" width="23.625" style="550" customWidth="1"/>
    <col min="1251" max="1251" width="8" style="550" customWidth="1"/>
    <col min="1252" max="1252" width="9.125" style="550" customWidth="1"/>
    <col min="1253" max="1253" width="13.875" style="550" customWidth="1"/>
    <col min="1254" max="1254" width="13.5" style="550" customWidth="1"/>
    <col min="1255" max="1501" width="8.875" style="550"/>
    <col min="1502" max="1502" width="5" style="550" customWidth="1"/>
    <col min="1503" max="1503" width="33.375" style="550" customWidth="1"/>
    <col min="1504" max="1504" width="6.5" style="550" customWidth="1"/>
    <col min="1505" max="1505" width="29.5" style="550" customWidth="1"/>
    <col min="1506" max="1506" width="23.625" style="550" customWidth="1"/>
    <col min="1507" max="1507" width="8" style="550" customWidth="1"/>
    <col min="1508" max="1508" width="9.125" style="550" customWidth="1"/>
    <col min="1509" max="1509" width="13.875" style="550" customWidth="1"/>
    <col min="1510" max="1510" width="13.5" style="550" customWidth="1"/>
    <col min="1511" max="1757" width="8.875" style="550"/>
    <col min="1758" max="1758" width="5" style="550" customWidth="1"/>
    <col min="1759" max="1759" width="33.375" style="550" customWidth="1"/>
    <col min="1760" max="1760" width="6.5" style="550" customWidth="1"/>
    <col min="1761" max="1761" width="29.5" style="550" customWidth="1"/>
    <col min="1762" max="1762" width="23.625" style="550" customWidth="1"/>
    <col min="1763" max="1763" width="8" style="550" customWidth="1"/>
    <col min="1764" max="1764" width="9.125" style="550" customWidth="1"/>
    <col min="1765" max="1765" width="13.875" style="550" customWidth="1"/>
    <col min="1766" max="1766" width="13.5" style="550" customWidth="1"/>
    <col min="1767" max="2013" width="8.875" style="550"/>
    <col min="2014" max="2014" width="5" style="550" customWidth="1"/>
    <col min="2015" max="2015" width="33.375" style="550" customWidth="1"/>
    <col min="2016" max="2016" width="6.5" style="550" customWidth="1"/>
    <col min="2017" max="2017" width="29.5" style="550" customWidth="1"/>
    <col min="2018" max="2018" width="23.625" style="550" customWidth="1"/>
    <col min="2019" max="2019" width="8" style="550" customWidth="1"/>
    <col min="2020" max="2020" width="9.125" style="550" customWidth="1"/>
    <col min="2021" max="2021" width="13.875" style="550" customWidth="1"/>
    <col min="2022" max="2022" width="13.5" style="550" customWidth="1"/>
    <col min="2023" max="2269" width="8.875" style="550"/>
    <col min="2270" max="2270" width="5" style="550" customWidth="1"/>
    <col min="2271" max="2271" width="33.375" style="550" customWidth="1"/>
    <col min="2272" max="2272" width="6.5" style="550" customWidth="1"/>
    <col min="2273" max="2273" width="29.5" style="550" customWidth="1"/>
    <col min="2274" max="2274" width="23.625" style="550" customWidth="1"/>
    <col min="2275" max="2275" width="8" style="550" customWidth="1"/>
    <col min="2276" max="2276" width="9.125" style="550" customWidth="1"/>
    <col min="2277" max="2277" width="13.875" style="550" customWidth="1"/>
    <col min="2278" max="2278" width="13.5" style="550" customWidth="1"/>
    <col min="2279" max="2525" width="8.875" style="550"/>
    <col min="2526" max="2526" width="5" style="550" customWidth="1"/>
    <col min="2527" max="2527" width="33.375" style="550" customWidth="1"/>
    <col min="2528" max="2528" width="6.5" style="550" customWidth="1"/>
    <col min="2529" max="2529" width="29.5" style="550" customWidth="1"/>
    <col min="2530" max="2530" width="23.625" style="550" customWidth="1"/>
    <col min="2531" max="2531" width="8" style="550" customWidth="1"/>
    <col min="2532" max="2532" width="9.125" style="550" customWidth="1"/>
    <col min="2533" max="2533" width="13.875" style="550" customWidth="1"/>
    <col min="2534" max="2534" width="13.5" style="550" customWidth="1"/>
    <col min="2535" max="2781" width="8.875" style="550"/>
    <col min="2782" max="2782" width="5" style="550" customWidth="1"/>
    <col min="2783" max="2783" width="33.375" style="550" customWidth="1"/>
    <col min="2784" max="2784" width="6.5" style="550" customWidth="1"/>
    <col min="2785" max="2785" width="29.5" style="550" customWidth="1"/>
    <col min="2786" max="2786" width="23.625" style="550" customWidth="1"/>
    <col min="2787" max="2787" width="8" style="550" customWidth="1"/>
    <col min="2788" max="2788" width="9.125" style="550" customWidth="1"/>
    <col min="2789" max="2789" width="13.875" style="550" customWidth="1"/>
    <col min="2790" max="2790" width="13.5" style="550" customWidth="1"/>
    <col min="2791" max="3037" width="8.875" style="550"/>
    <col min="3038" max="3038" width="5" style="550" customWidth="1"/>
    <col min="3039" max="3039" width="33.375" style="550" customWidth="1"/>
    <col min="3040" max="3040" width="6.5" style="550" customWidth="1"/>
    <col min="3041" max="3041" width="29.5" style="550" customWidth="1"/>
    <col min="3042" max="3042" width="23.625" style="550" customWidth="1"/>
    <col min="3043" max="3043" width="8" style="550" customWidth="1"/>
    <col min="3044" max="3044" width="9.125" style="550" customWidth="1"/>
    <col min="3045" max="3045" width="13.875" style="550" customWidth="1"/>
    <col min="3046" max="3046" width="13.5" style="550" customWidth="1"/>
    <col min="3047" max="3293" width="8.875" style="550"/>
    <col min="3294" max="3294" width="5" style="550" customWidth="1"/>
    <col min="3295" max="3295" width="33.375" style="550" customWidth="1"/>
    <col min="3296" max="3296" width="6.5" style="550" customWidth="1"/>
    <col min="3297" max="3297" width="29.5" style="550" customWidth="1"/>
    <col min="3298" max="3298" width="23.625" style="550" customWidth="1"/>
    <col min="3299" max="3299" width="8" style="550" customWidth="1"/>
    <col min="3300" max="3300" width="9.125" style="550" customWidth="1"/>
    <col min="3301" max="3301" width="13.875" style="550" customWidth="1"/>
    <col min="3302" max="3302" width="13.5" style="550" customWidth="1"/>
    <col min="3303" max="3549" width="8.875" style="550"/>
    <col min="3550" max="3550" width="5" style="550" customWidth="1"/>
    <col min="3551" max="3551" width="33.375" style="550" customWidth="1"/>
    <col min="3552" max="3552" width="6.5" style="550" customWidth="1"/>
    <col min="3553" max="3553" width="29.5" style="550" customWidth="1"/>
    <col min="3554" max="3554" width="23.625" style="550" customWidth="1"/>
    <col min="3555" max="3555" width="8" style="550" customWidth="1"/>
    <col min="3556" max="3556" width="9.125" style="550" customWidth="1"/>
    <col min="3557" max="3557" width="13.875" style="550" customWidth="1"/>
    <col min="3558" max="3558" width="13.5" style="550" customWidth="1"/>
    <col min="3559" max="3805" width="8.875" style="550"/>
    <col min="3806" max="3806" width="5" style="550" customWidth="1"/>
    <col min="3807" max="3807" width="33.375" style="550" customWidth="1"/>
    <col min="3808" max="3808" width="6.5" style="550" customWidth="1"/>
    <col min="3809" max="3809" width="29.5" style="550" customWidth="1"/>
    <col min="3810" max="3810" width="23.625" style="550" customWidth="1"/>
    <col min="3811" max="3811" width="8" style="550" customWidth="1"/>
    <col min="3812" max="3812" width="9.125" style="550" customWidth="1"/>
    <col min="3813" max="3813" width="13.875" style="550" customWidth="1"/>
    <col min="3814" max="3814" width="13.5" style="550" customWidth="1"/>
    <col min="3815" max="4061" width="8.875" style="550"/>
    <col min="4062" max="4062" width="5" style="550" customWidth="1"/>
    <col min="4063" max="4063" width="33.375" style="550" customWidth="1"/>
    <col min="4064" max="4064" width="6.5" style="550" customWidth="1"/>
    <col min="4065" max="4065" width="29.5" style="550" customWidth="1"/>
    <col min="4066" max="4066" width="23.625" style="550" customWidth="1"/>
    <col min="4067" max="4067" width="8" style="550" customWidth="1"/>
    <col min="4068" max="4068" width="9.125" style="550" customWidth="1"/>
    <col min="4069" max="4069" width="13.875" style="550" customWidth="1"/>
    <col min="4070" max="4070" width="13.5" style="550" customWidth="1"/>
    <col min="4071" max="4317" width="8.875" style="550"/>
    <col min="4318" max="4318" width="5" style="550" customWidth="1"/>
    <col min="4319" max="4319" width="33.375" style="550" customWidth="1"/>
    <col min="4320" max="4320" width="6.5" style="550" customWidth="1"/>
    <col min="4321" max="4321" width="29.5" style="550" customWidth="1"/>
    <col min="4322" max="4322" width="23.625" style="550" customWidth="1"/>
    <col min="4323" max="4323" width="8" style="550" customWidth="1"/>
    <col min="4324" max="4324" width="9.125" style="550" customWidth="1"/>
    <col min="4325" max="4325" width="13.875" style="550" customWidth="1"/>
    <col min="4326" max="4326" width="13.5" style="550" customWidth="1"/>
    <col min="4327" max="4573" width="8.875" style="550"/>
    <col min="4574" max="4574" width="5" style="550" customWidth="1"/>
    <col min="4575" max="4575" width="33.375" style="550" customWidth="1"/>
    <col min="4576" max="4576" width="6.5" style="550" customWidth="1"/>
    <col min="4577" max="4577" width="29.5" style="550" customWidth="1"/>
    <col min="4578" max="4578" width="23.625" style="550" customWidth="1"/>
    <col min="4579" max="4579" width="8" style="550" customWidth="1"/>
    <col min="4580" max="4580" width="9.125" style="550" customWidth="1"/>
    <col min="4581" max="4581" width="13.875" style="550" customWidth="1"/>
    <col min="4582" max="4582" width="13.5" style="550" customWidth="1"/>
    <col min="4583" max="4829" width="8.875" style="550"/>
    <col min="4830" max="4830" width="5" style="550" customWidth="1"/>
    <col min="4831" max="4831" width="33.375" style="550" customWidth="1"/>
    <col min="4832" max="4832" width="6.5" style="550" customWidth="1"/>
    <col min="4833" max="4833" width="29.5" style="550" customWidth="1"/>
    <col min="4834" max="4834" width="23.625" style="550" customWidth="1"/>
    <col min="4835" max="4835" width="8" style="550" customWidth="1"/>
    <col min="4836" max="4836" width="9.125" style="550" customWidth="1"/>
    <col min="4837" max="4837" width="13.875" style="550" customWidth="1"/>
    <col min="4838" max="4838" width="13.5" style="550" customWidth="1"/>
    <col min="4839" max="5085" width="8.875" style="550"/>
    <col min="5086" max="5086" width="5" style="550" customWidth="1"/>
    <col min="5087" max="5087" width="33.375" style="550" customWidth="1"/>
    <col min="5088" max="5088" width="6.5" style="550" customWidth="1"/>
    <col min="5089" max="5089" width="29.5" style="550" customWidth="1"/>
    <col min="5090" max="5090" width="23.625" style="550" customWidth="1"/>
    <col min="5091" max="5091" width="8" style="550" customWidth="1"/>
    <col min="5092" max="5092" width="9.125" style="550" customWidth="1"/>
    <col min="5093" max="5093" width="13.875" style="550" customWidth="1"/>
    <col min="5094" max="5094" width="13.5" style="550" customWidth="1"/>
    <col min="5095" max="5341" width="8.875" style="550"/>
    <col min="5342" max="5342" width="5" style="550" customWidth="1"/>
    <col min="5343" max="5343" width="33.375" style="550" customWidth="1"/>
    <col min="5344" max="5344" width="6.5" style="550" customWidth="1"/>
    <col min="5345" max="5345" width="29.5" style="550" customWidth="1"/>
    <col min="5346" max="5346" width="23.625" style="550" customWidth="1"/>
    <col min="5347" max="5347" width="8" style="550" customWidth="1"/>
    <col min="5348" max="5348" width="9.125" style="550" customWidth="1"/>
    <col min="5349" max="5349" width="13.875" style="550" customWidth="1"/>
    <col min="5350" max="5350" width="13.5" style="550" customWidth="1"/>
    <col min="5351" max="5597" width="8.875" style="550"/>
    <col min="5598" max="5598" width="5" style="550" customWidth="1"/>
    <col min="5599" max="5599" width="33.375" style="550" customWidth="1"/>
    <col min="5600" max="5600" width="6.5" style="550" customWidth="1"/>
    <col min="5601" max="5601" width="29.5" style="550" customWidth="1"/>
    <col min="5602" max="5602" width="23.625" style="550" customWidth="1"/>
    <col min="5603" max="5603" width="8" style="550" customWidth="1"/>
    <col min="5604" max="5604" width="9.125" style="550" customWidth="1"/>
    <col min="5605" max="5605" width="13.875" style="550" customWidth="1"/>
    <col min="5606" max="5606" width="13.5" style="550" customWidth="1"/>
    <col min="5607" max="5853" width="8.875" style="550"/>
    <col min="5854" max="5854" width="5" style="550" customWidth="1"/>
    <col min="5855" max="5855" width="33.375" style="550" customWidth="1"/>
    <col min="5856" max="5856" width="6.5" style="550" customWidth="1"/>
    <col min="5857" max="5857" width="29.5" style="550" customWidth="1"/>
    <col min="5858" max="5858" width="23.625" style="550" customWidth="1"/>
    <col min="5859" max="5859" width="8" style="550" customWidth="1"/>
    <col min="5860" max="5860" width="9.125" style="550" customWidth="1"/>
    <col min="5861" max="5861" width="13.875" style="550" customWidth="1"/>
    <col min="5862" max="5862" width="13.5" style="550" customWidth="1"/>
    <col min="5863" max="6109" width="8.875" style="550"/>
    <col min="6110" max="6110" width="5" style="550" customWidth="1"/>
    <col min="6111" max="6111" width="33.375" style="550" customWidth="1"/>
    <col min="6112" max="6112" width="6.5" style="550" customWidth="1"/>
    <col min="6113" max="6113" width="29.5" style="550" customWidth="1"/>
    <col min="6114" max="6114" width="23.625" style="550" customWidth="1"/>
    <col min="6115" max="6115" width="8" style="550" customWidth="1"/>
    <col min="6116" max="6116" width="9.125" style="550" customWidth="1"/>
    <col min="6117" max="6117" width="13.875" style="550" customWidth="1"/>
    <col min="6118" max="6118" width="13.5" style="550" customWidth="1"/>
    <col min="6119" max="6365" width="8.875" style="550"/>
    <col min="6366" max="6366" width="5" style="550" customWidth="1"/>
    <col min="6367" max="6367" width="33.375" style="550" customWidth="1"/>
    <col min="6368" max="6368" width="6.5" style="550" customWidth="1"/>
    <col min="6369" max="6369" width="29.5" style="550" customWidth="1"/>
    <col min="6370" max="6370" width="23.625" style="550" customWidth="1"/>
    <col min="6371" max="6371" width="8" style="550" customWidth="1"/>
    <col min="6372" max="6372" width="9.125" style="550" customWidth="1"/>
    <col min="6373" max="6373" width="13.875" style="550" customWidth="1"/>
    <col min="6374" max="6374" width="13.5" style="550" customWidth="1"/>
    <col min="6375" max="6621" width="8.875" style="550"/>
    <col min="6622" max="6622" width="5" style="550" customWidth="1"/>
    <col min="6623" max="6623" width="33.375" style="550" customWidth="1"/>
    <col min="6624" max="6624" width="6.5" style="550" customWidth="1"/>
    <col min="6625" max="6625" width="29.5" style="550" customWidth="1"/>
    <col min="6626" max="6626" width="23.625" style="550" customWidth="1"/>
    <col min="6627" max="6627" width="8" style="550" customWidth="1"/>
    <col min="6628" max="6628" width="9.125" style="550" customWidth="1"/>
    <col min="6629" max="6629" width="13.875" style="550" customWidth="1"/>
    <col min="6630" max="6630" width="13.5" style="550" customWidth="1"/>
    <col min="6631" max="6877" width="8.875" style="550"/>
    <col min="6878" max="6878" width="5" style="550" customWidth="1"/>
    <col min="6879" max="6879" width="33.375" style="550" customWidth="1"/>
    <col min="6880" max="6880" width="6.5" style="550" customWidth="1"/>
    <col min="6881" max="6881" width="29.5" style="550" customWidth="1"/>
    <col min="6882" max="6882" width="23.625" style="550" customWidth="1"/>
    <col min="6883" max="6883" width="8" style="550" customWidth="1"/>
    <col min="6884" max="6884" width="9.125" style="550" customWidth="1"/>
    <col min="6885" max="6885" width="13.875" style="550" customWidth="1"/>
    <col min="6886" max="6886" width="13.5" style="550" customWidth="1"/>
    <col min="6887" max="7133" width="8.875" style="550"/>
    <col min="7134" max="7134" width="5" style="550" customWidth="1"/>
    <col min="7135" max="7135" width="33.375" style="550" customWidth="1"/>
    <col min="7136" max="7136" width="6.5" style="550" customWidth="1"/>
    <col min="7137" max="7137" width="29.5" style="550" customWidth="1"/>
    <col min="7138" max="7138" width="23.625" style="550" customWidth="1"/>
    <col min="7139" max="7139" width="8" style="550" customWidth="1"/>
    <col min="7140" max="7140" width="9.125" style="550" customWidth="1"/>
    <col min="7141" max="7141" width="13.875" style="550" customWidth="1"/>
    <col min="7142" max="7142" width="13.5" style="550" customWidth="1"/>
    <col min="7143" max="7389" width="8.875" style="550"/>
    <col min="7390" max="7390" width="5" style="550" customWidth="1"/>
    <col min="7391" max="7391" width="33.375" style="550" customWidth="1"/>
    <col min="7392" max="7392" width="6.5" style="550" customWidth="1"/>
    <col min="7393" max="7393" width="29.5" style="550" customWidth="1"/>
    <col min="7394" max="7394" width="23.625" style="550" customWidth="1"/>
    <col min="7395" max="7395" width="8" style="550" customWidth="1"/>
    <col min="7396" max="7396" width="9.125" style="550" customWidth="1"/>
    <col min="7397" max="7397" width="13.875" style="550" customWidth="1"/>
    <col min="7398" max="7398" width="13.5" style="550" customWidth="1"/>
    <col min="7399" max="7645" width="8.875" style="550"/>
    <col min="7646" max="7646" width="5" style="550" customWidth="1"/>
    <col min="7647" max="7647" width="33.375" style="550" customWidth="1"/>
    <col min="7648" max="7648" width="6.5" style="550" customWidth="1"/>
    <col min="7649" max="7649" width="29.5" style="550" customWidth="1"/>
    <col min="7650" max="7650" width="23.625" style="550" customWidth="1"/>
    <col min="7651" max="7651" width="8" style="550" customWidth="1"/>
    <col min="7652" max="7652" width="9.125" style="550" customWidth="1"/>
    <col min="7653" max="7653" width="13.875" style="550" customWidth="1"/>
    <col min="7654" max="7654" width="13.5" style="550" customWidth="1"/>
    <col min="7655" max="7901" width="8.875" style="550"/>
    <col min="7902" max="7902" width="5" style="550" customWidth="1"/>
    <col min="7903" max="7903" width="33.375" style="550" customWidth="1"/>
    <col min="7904" max="7904" width="6.5" style="550" customWidth="1"/>
    <col min="7905" max="7905" width="29.5" style="550" customWidth="1"/>
    <col min="7906" max="7906" width="23.625" style="550" customWidth="1"/>
    <col min="7907" max="7907" width="8" style="550" customWidth="1"/>
    <col min="7908" max="7908" width="9.125" style="550" customWidth="1"/>
    <col min="7909" max="7909" width="13.875" style="550" customWidth="1"/>
    <col min="7910" max="7910" width="13.5" style="550" customWidth="1"/>
    <col min="7911" max="8157" width="8.875" style="550"/>
    <col min="8158" max="8158" width="5" style="550" customWidth="1"/>
    <col min="8159" max="8159" width="33.375" style="550" customWidth="1"/>
    <col min="8160" max="8160" width="6.5" style="550" customWidth="1"/>
    <col min="8161" max="8161" width="29.5" style="550" customWidth="1"/>
    <col min="8162" max="8162" width="23.625" style="550" customWidth="1"/>
    <col min="8163" max="8163" width="8" style="550" customWidth="1"/>
    <col min="8164" max="8164" width="9.125" style="550" customWidth="1"/>
    <col min="8165" max="8165" width="13.875" style="550" customWidth="1"/>
    <col min="8166" max="8166" width="13.5" style="550" customWidth="1"/>
    <col min="8167" max="8413" width="8.875" style="550"/>
    <col min="8414" max="8414" width="5" style="550" customWidth="1"/>
    <col min="8415" max="8415" width="33.375" style="550" customWidth="1"/>
    <col min="8416" max="8416" width="6.5" style="550" customWidth="1"/>
    <col min="8417" max="8417" width="29.5" style="550" customWidth="1"/>
    <col min="8418" max="8418" width="23.625" style="550" customWidth="1"/>
    <col min="8419" max="8419" width="8" style="550" customWidth="1"/>
    <col min="8420" max="8420" width="9.125" style="550" customWidth="1"/>
    <col min="8421" max="8421" width="13.875" style="550" customWidth="1"/>
    <col min="8422" max="8422" width="13.5" style="550" customWidth="1"/>
    <col min="8423" max="8669" width="8.875" style="550"/>
    <col min="8670" max="8670" width="5" style="550" customWidth="1"/>
    <col min="8671" max="8671" width="33.375" style="550" customWidth="1"/>
    <col min="8672" max="8672" width="6.5" style="550" customWidth="1"/>
    <col min="8673" max="8673" width="29.5" style="550" customWidth="1"/>
    <col min="8674" max="8674" width="23.625" style="550" customWidth="1"/>
    <col min="8675" max="8675" width="8" style="550" customWidth="1"/>
    <col min="8676" max="8676" width="9.125" style="550" customWidth="1"/>
    <col min="8677" max="8677" width="13.875" style="550" customWidth="1"/>
    <col min="8678" max="8678" width="13.5" style="550" customWidth="1"/>
    <col min="8679" max="8925" width="8.875" style="550"/>
    <col min="8926" max="8926" width="5" style="550" customWidth="1"/>
    <col min="8927" max="8927" width="33.375" style="550" customWidth="1"/>
    <col min="8928" max="8928" width="6.5" style="550" customWidth="1"/>
    <col min="8929" max="8929" width="29.5" style="550" customWidth="1"/>
    <col min="8930" max="8930" width="23.625" style="550" customWidth="1"/>
    <col min="8931" max="8931" width="8" style="550" customWidth="1"/>
    <col min="8932" max="8932" width="9.125" style="550" customWidth="1"/>
    <col min="8933" max="8933" width="13.875" style="550" customWidth="1"/>
    <col min="8934" max="8934" width="13.5" style="550" customWidth="1"/>
    <col min="8935" max="9181" width="8.875" style="550"/>
    <col min="9182" max="9182" width="5" style="550" customWidth="1"/>
    <col min="9183" max="9183" width="33.375" style="550" customWidth="1"/>
    <col min="9184" max="9184" width="6.5" style="550" customWidth="1"/>
    <col min="9185" max="9185" width="29.5" style="550" customWidth="1"/>
    <col min="9186" max="9186" width="23.625" style="550" customWidth="1"/>
    <col min="9187" max="9187" width="8" style="550" customWidth="1"/>
    <col min="9188" max="9188" width="9.125" style="550" customWidth="1"/>
    <col min="9189" max="9189" width="13.875" style="550" customWidth="1"/>
    <col min="9190" max="9190" width="13.5" style="550" customWidth="1"/>
    <col min="9191" max="9437" width="8.875" style="550"/>
    <col min="9438" max="9438" width="5" style="550" customWidth="1"/>
    <col min="9439" max="9439" width="33.375" style="550" customWidth="1"/>
    <col min="9440" max="9440" width="6.5" style="550" customWidth="1"/>
    <col min="9441" max="9441" width="29.5" style="550" customWidth="1"/>
    <col min="9442" max="9442" width="23.625" style="550" customWidth="1"/>
    <col min="9443" max="9443" width="8" style="550" customWidth="1"/>
    <col min="9444" max="9444" width="9.125" style="550" customWidth="1"/>
    <col min="9445" max="9445" width="13.875" style="550" customWidth="1"/>
    <col min="9446" max="9446" width="13.5" style="550" customWidth="1"/>
    <col min="9447" max="9693" width="8.875" style="550"/>
    <col min="9694" max="9694" width="5" style="550" customWidth="1"/>
    <col min="9695" max="9695" width="33.375" style="550" customWidth="1"/>
    <col min="9696" max="9696" width="6.5" style="550" customWidth="1"/>
    <col min="9697" max="9697" width="29.5" style="550" customWidth="1"/>
    <col min="9698" max="9698" width="23.625" style="550" customWidth="1"/>
    <col min="9699" max="9699" width="8" style="550" customWidth="1"/>
    <col min="9700" max="9700" width="9.125" style="550" customWidth="1"/>
    <col min="9701" max="9701" width="13.875" style="550" customWidth="1"/>
    <col min="9702" max="9702" width="13.5" style="550" customWidth="1"/>
    <col min="9703" max="9949" width="8.875" style="550"/>
    <col min="9950" max="9950" width="5" style="550" customWidth="1"/>
    <col min="9951" max="9951" width="33.375" style="550" customWidth="1"/>
    <col min="9952" max="9952" width="6.5" style="550" customWidth="1"/>
    <col min="9953" max="9953" width="29.5" style="550" customWidth="1"/>
    <col min="9954" max="9954" width="23.625" style="550" customWidth="1"/>
    <col min="9955" max="9955" width="8" style="550" customWidth="1"/>
    <col min="9956" max="9956" width="9.125" style="550" customWidth="1"/>
    <col min="9957" max="9957" width="13.875" style="550" customWidth="1"/>
    <col min="9958" max="9958" width="13.5" style="550" customWidth="1"/>
    <col min="9959" max="10205" width="8.875" style="550"/>
    <col min="10206" max="10206" width="5" style="550" customWidth="1"/>
    <col min="10207" max="10207" width="33.375" style="550" customWidth="1"/>
    <col min="10208" max="10208" width="6.5" style="550" customWidth="1"/>
    <col min="10209" max="10209" width="29.5" style="550" customWidth="1"/>
    <col min="10210" max="10210" width="23.625" style="550" customWidth="1"/>
    <col min="10211" max="10211" width="8" style="550" customWidth="1"/>
    <col min="10212" max="10212" width="9.125" style="550" customWidth="1"/>
    <col min="10213" max="10213" width="13.875" style="550" customWidth="1"/>
    <col min="10214" max="10214" width="13.5" style="550" customWidth="1"/>
    <col min="10215" max="10461" width="8.875" style="550"/>
    <col min="10462" max="10462" width="5" style="550" customWidth="1"/>
    <col min="10463" max="10463" width="33.375" style="550" customWidth="1"/>
    <col min="10464" max="10464" width="6.5" style="550" customWidth="1"/>
    <col min="10465" max="10465" width="29.5" style="550" customWidth="1"/>
    <col min="10466" max="10466" width="23.625" style="550" customWidth="1"/>
    <col min="10467" max="10467" width="8" style="550" customWidth="1"/>
    <col min="10468" max="10468" width="9.125" style="550" customWidth="1"/>
    <col min="10469" max="10469" width="13.875" style="550" customWidth="1"/>
    <col min="10470" max="10470" width="13.5" style="550" customWidth="1"/>
    <col min="10471" max="10717" width="8.875" style="550"/>
    <col min="10718" max="10718" width="5" style="550" customWidth="1"/>
    <col min="10719" max="10719" width="33.375" style="550" customWidth="1"/>
    <col min="10720" max="10720" width="6.5" style="550" customWidth="1"/>
    <col min="10721" max="10721" width="29.5" style="550" customWidth="1"/>
    <col min="10722" max="10722" width="23.625" style="550" customWidth="1"/>
    <col min="10723" max="10723" width="8" style="550" customWidth="1"/>
    <col min="10724" max="10724" width="9.125" style="550" customWidth="1"/>
    <col min="10725" max="10725" width="13.875" style="550" customWidth="1"/>
    <col min="10726" max="10726" width="13.5" style="550" customWidth="1"/>
    <col min="10727" max="10973" width="8.875" style="550"/>
    <col min="10974" max="10974" width="5" style="550" customWidth="1"/>
    <col min="10975" max="10975" width="33.375" style="550" customWidth="1"/>
    <col min="10976" max="10976" width="6.5" style="550" customWidth="1"/>
    <col min="10977" max="10977" width="29.5" style="550" customWidth="1"/>
    <col min="10978" max="10978" width="23.625" style="550" customWidth="1"/>
    <col min="10979" max="10979" width="8" style="550" customWidth="1"/>
    <col min="10980" max="10980" width="9.125" style="550" customWidth="1"/>
    <col min="10981" max="10981" width="13.875" style="550" customWidth="1"/>
    <col min="10982" max="10982" width="13.5" style="550" customWidth="1"/>
    <col min="10983" max="11229" width="8.875" style="550"/>
    <col min="11230" max="11230" width="5" style="550" customWidth="1"/>
    <col min="11231" max="11231" width="33.375" style="550" customWidth="1"/>
    <col min="11232" max="11232" width="6.5" style="550" customWidth="1"/>
    <col min="11233" max="11233" width="29.5" style="550" customWidth="1"/>
    <col min="11234" max="11234" width="23.625" style="550" customWidth="1"/>
    <col min="11235" max="11235" width="8" style="550" customWidth="1"/>
    <col min="11236" max="11236" width="9.125" style="550" customWidth="1"/>
    <col min="11237" max="11237" width="13.875" style="550" customWidth="1"/>
    <col min="11238" max="11238" width="13.5" style="550" customWidth="1"/>
    <col min="11239" max="11485" width="8.875" style="550"/>
    <col min="11486" max="11486" width="5" style="550" customWidth="1"/>
    <col min="11487" max="11487" width="33.375" style="550" customWidth="1"/>
    <col min="11488" max="11488" width="6.5" style="550" customWidth="1"/>
    <col min="11489" max="11489" width="29.5" style="550" customWidth="1"/>
    <col min="11490" max="11490" width="23.625" style="550" customWidth="1"/>
    <col min="11491" max="11491" width="8" style="550" customWidth="1"/>
    <col min="11492" max="11492" width="9.125" style="550" customWidth="1"/>
    <col min="11493" max="11493" width="13.875" style="550" customWidth="1"/>
    <col min="11494" max="11494" width="13.5" style="550" customWidth="1"/>
    <col min="11495" max="11741" width="8.875" style="550"/>
    <col min="11742" max="11742" width="5" style="550" customWidth="1"/>
    <col min="11743" max="11743" width="33.375" style="550" customWidth="1"/>
    <col min="11744" max="11744" width="6.5" style="550" customWidth="1"/>
    <col min="11745" max="11745" width="29.5" style="550" customWidth="1"/>
    <col min="11746" max="11746" width="23.625" style="550" customWidth="1"/>
    <col min="11747" max="11747" width="8" style="550" customWidth="1"/>
    <col min="11748" max="11748" width="9.125" style="550" customWidth="1"/>
    <col min="11749" max="11749" width="13.875" style="550" customWidth="1"/>
    <col min="11750" max="11750" width="13.5" style="550" customWidth="1"/>
    <col min="11751" max="11997" width="8.875" style="550"/>
    <col min="11998" max="11998" width="5" style="550" customWidth="1"/>
    <col min="11999" max="11999" width="33.375" style="550" customWidth="1"/>
    <col min="12000" max="12000" width="6.5" style="550" customWidth="1"/>
    <col min="12001" max="12001" width="29.5" style="550" customWidth="1"/>
    <col min="12002" max="12002" width="23.625" style="550" customWidth="1"/>
    <col min="12003" max="12003" width="8" style="550" customWidth="1"/>
    <col min="12004" max="12004" width="9.125" style="550" customWidth="1"/>
    <col min="12005" max="12005" width="13.875" style="550" customWidth="1"/>
    <col min="12006" max="12006" width="13.5" style="550" customWidth="1"/>
    <col min="12007" max="12253" width="8.875" style="550"/>
    <col min="12254" max="12254" width="5" style="550" customWidth="1"/>
    <col min="12255" max="12255" width="33.375" style="550" customWidth="1"/>
    <col min="12256" max="12256" width="6.5" style="550" customWidth="1"/>
    <col min="12257" max="12257" width="29.5" style="550" customWidth="1"/>
    <col min="12258" max="12258" width="23.625" style="550" customWidth="1"/>
    <col min="12259" max="12259" width="8" style="550" customWidth="1"/>
    <col min="12260" max="12260" width="9.125" style="550" customWidth="1"/>
    <col min="12261" max="12261" width="13.875" style="550" customWidth="1"/>
    <col min="12262" max="12262" width="13.5" style="550" customWidth="1"/>
    <col min="12263" max="12509" width="8.875" style="550"/>
    <col min="12510" max="12510" width="5" style="550" customWidth="1"/>
    <col min="12511" max="12511" width="33.375" style="550" customWidth="1"/>
    <col min="12512" max="12512" width="6.5" style="550" customWidth="1"/>
    <col min="12513" max="12513" width="29.5" style="550" customWidth="1"/>
    <col min="12514" max="12514" width="23.625" style="550" customWidth="1"/>
    <col min="12515" max="12515" width="8" style="550" customWidth="1"/>
    <col min="12516" max="12516" width="9.125" style="550" customWidth="1"/>
    <col min="12517" max="12517" width="13.875" style="550" customWidth="1"/>
    <col min="12518" max="12518" width="13.5" style="550" customWidth="1"/>
    <col min="12519" max="12765" width="8.875" style="550"/>
    <col min="12766" max="12766" width="5" style="550" customWidth="1"/>
    <col min="12767" max="12767" width="33.375" style="550" customWidth="1"/>
    <col min="12768" max="12768" width="6.5" style="550" customWidth="1"/>
    <col min="12769" max="12769" width="29.5" style="550" customWidth="1"/>
    <col min="12770" max="12770" width="23.625" style="550" customWidth="1"/>
    <col min="12771" max="12771" width="8" style="550" customWidth="1"/>
    <col min="12772" max="12772" width="9.125" style="550" customWidth="1"/>
    <col min="12773" max="12773" width="13.875" style="550" customWidth="1"/>
    <col min="12774" max="12774" width="13.5" style="550" customWidth="1"/>
    <col min="12775" max="13021" width="8.875" style="550"/>
    <col min="13022" max="13022" width="5" style="550" customWidth="1"/>
    <col min="13023" max="13023" width="33.375" style="550" customWidth="1"/>
    <col min="13024" max="13024" width="6.5" style="550" customWidth="1"/>
    <col min="13025" max="13025" width="29.5" style="550" customWidth="1"/>
    <col min="13026" max="13026" width="23.625" style="550" customWidth="1"/>
    <col min="13027" max="13027" width="8" style="550" customWidth="1"/>
    <col min="13028" max="13028" width="9.125" style="550" customWidth="1"/>
    <col min="13029" max="13029" width="13.875" style="550" customWidth="1"/>
    <col min="13030" max="13030" width="13.5" style="550" customWidth="1"/>
    <col min="13031" max="13277" width="8.875" style="550"/>
    <col min="13278" max="13278" width="5" style="550" customWidth="1"/>
    <col min="13279" max="13279" width="33.375" style="550" customWidth="1"/>
    <col min="13280" max="13280" width="6.5" style="550" customWidth="1"/>
    <col min="13281" max="13281" width="29.5" style="550" customWidth="1"/>
    <col min="13282" max="13282" width="23.625" style="550" customWidth="1"/>
    <col min="13283" max="13283" width="8" style="550" customWidth="1"/>
    <col min="13284" max="13284" width="9.125" style="550" customWidth="1"/>
    <col min="13285" max="13285" width="13.875" style="550" customWidth="1"/>
    <col min="13286" max="13286" width="13.5" style="550" customWidth="1"/>
    <col min="13287" max="13533" width="8.875" style="550"/>
    <col min="13534" max="13534" width="5" style="550" customWidth="1"/>
    <col min="13535" max="13535" width="33.375" style="550" customWidth="1"/>
    <col min="13536" max="13536" width="6.5" style="550" customWidth="1"/>
    <col min="13537" max="13537" width="29.5" style="550" customWidth="1"/>
    <col min="13538" max="13538" width="23.625" style="550" customWidth="1"/>
    <col min="13539" max="13539" width="8" style="550" customWidth="1"/>
    <col min="13540" max="13540" width="9.125" style="550" customWidth="1"/>
    <col min="13541" max="13541" width="13.875" style="550" customWidth="1"/>
    <col min="13542" max="13542" width="13.5" style="550" customWidth="1"/>
    <col min="13543" max="13789" width="8.875" style="550"/>
    <col min="13790" max="13790" width="5" style="550" customWidth="1"/>
    <col min="13791" max="13791" width="33.375" style="550" customWidth="1"/>
    <col min="13792" max="13792" width="6.5" style="550" customWidth="1"/>
    <col min="13793" max="13793" width="29.5" style="550" customWidth="1"/>
    <col min="13794" max="13794" width="23.625" style="550" customWidth="1"/>
    <col min="13795" max="13795" width="8" style="550" customWidth="1"/>
    <col min="13796" max="13796" width="9.125" style="550" customWidth="1"/>
    <col min="13797" max="13797" width="13.875" style="550" customWidth="1"/>
    <col min="13798" max="13798" width="13.5" style="550" customWidth="1"/>
    <col min="13799" max="14045" width="8.875" style="550"/>
    <col min="14046" max="14046" width="5" style="550" customWidth="1"/>
    <col min="14047" max="14047" width="33.375" style="550" customWidth="1"/>
    <col min="14048" max="14048" width="6.5" style="550" customWidth="1"/>
    <col min="14049" max="14049" width="29.5" style="550" customWidth="1"/>
    <col min="14050" max="14050" width="23.625" style="550" customWidth="1"/>
    <col min="14051" max="14051" width="8" style="550" customWidth="1"/>
    <col min="14052" max="14052" width="9.125" style="550" customWidth="1"/>
    <col min="14053" max="14053" width="13.875" style="550" customWidth="1"/>
    <col min="14054" max="14054" width="13.5" style="550" customWidth="1"/>
    <col min="14055" max="14301" width="8.875" style="550"/>
    <col min="14302" max="14302" width="5" style="550" customWidth="1"/>
    <col min="14303" max="14303" width="33.375" style="550" customWidth="1"/>
    <col min="14304" max="14304" width="6.5" style="550" customWidth="1"/>
    <col min="14305" max="14305" width="29.5" style="550" customWidth="1"/>
    <col min="14306" max="14306" width="23.625" style="550" customWidth="1"/>
    <col min="14307" max="14307" width="8" style="550" customWidth="1"/>
    <col min="14308" max="14308" width="9.125" style="550" customWidth="1"/>
    <col min="14309" max="14309" width="13.875" style="550" customWidth="1"/>
    <col min="14310" max="14310" width="13.5" style="550" customWidth="1"/>
    <col min="14311" max="14557" width="8.875" style="550"/>
    <col min="14558" max="14558" width="5" style="550" customWidth="1"/>
    <col min="14559" max="14559" width="33.375" style="550" customWidth="1"/>
    <col min="14560" max="14560" width="6.5" style="550" customWidth="1"/>
    <col min="14561" max="14561" width="29.5" style="550" customWidth="1"/>
    <col min="14562" max="14562" width="23.625" style="550" customWidth="1"/>
    <col min="14563" max="14563" width="8" style="550" customWidth="1"/>
    <col min="14564" max="14564" width="9.125" style="550" customWidth="1"/>
    <col min="14565" max="14565" width="13.875" style="550" customWidth="1"/>
    <col min="14566" max="14566" width="13.5" style="550" customWidth="1"/>
    <col min="14567" max="14813" width="8.875" style="550"/>
    <col min="14814" max="14814" width="5" style="550" customWidth="1"/>
    <col min="14815" max="14815" width="33.375" style="550" customWidth="1"/>
    <col min="14816" max="14816" width="6.5" style="550" customWidth="1"/>
    <col min="14817" max="14817" width="29.5" style="550" customWidth="1"/>
    <col min="14818" max="14818" width="23.625" style="550" customWidth="1"/>
    <col min="14819" max="14819" width="8" style="550" customWidth="1"/>
    <col min="14820" max="14820" width="9.125" style="550" customWidth="1"/>
    <col min="14821" max="14821" width="13.875" style="550" customWidth="1"/>
    <col min="14822" max="14822" width="13.5" style="550" customWidth="1"/>
    <col min="14823" max="15069" width="8.875" style="550"/>
    <col min="15070" max="15070" width="5" style="550" customWidth="1"/>
    <col min="15071" max="15071" width="33.375" style="550" customWidth="1"/>
    <col min="15072" max="15072" width="6.5" style="550" customWidth="1"/>
    <col min="15073" max="15073" width="29.5" style="550" customWidth="1"/>
    <col min="15074" max="15074" width="23.625" style="550" customWidth="1"/>
    <col min="15075" max="15075" width="8" style="550" customWidth="1"/>
    <col min="15076" max="15076" width="9.125" style="550" customWidth="1"/>
    <col min="15077" max="15077" width="13.875" style="550" customWidth="1"/>
    <col min="15078" max="15078" width="13.5" style="550" customWidth="1"/>
    <col min="15079" max="15325" width="8.875" style="550"/>
    <col min="15326" max="15326" width="5" style="550" customWidth="1"/>
    <col min="15327" max="15327" width="33.375" style="550" customWidth="1"/>
    <col min="15328" max="15328" width="6.5" style="550" customWidth="1"/>
    <col min="15329" max="15329" width="29.5" style="550" customWidth="1"/>
    <col min="15330" max="15330" width="23.625" style="550" customWidth="1"/>
    <col min="15331" max="15331" width="8" style="550" customWidth="1"/>
    <col min="15332" max="15332" width="9.125" style="550" customWidth="1"/>
    <col min="15333" max="15333" width="13.875" style="550" customWidth="1"/>
    <col min="15334" max="15334" width="13.5" style="550" customWidth="1"/>
    <col min="15335" max="15581" width="8.875" style="550"/>
    <col min="15582" max="15582" width="5" style="550" customWidth="1"/>
    <col min="15583" max="15583" width="33.375" style="550" customWidth="1"/>
    <col min="15584" max="15584" width="6.5" style="550" customWidth="1"/>
    <col min="15585" max="15585" width="29.5" style="550" customWidth="1"/>
    <col min="15586" max="15586" width="23.625" style="550" customWidth="1"/>
    <col min="15587" max="15587" width="8" style="550" customWidth="1"/>
    <col min="15588" max="15588" width="9.125" style="550" customWidth="1"/>
    <col min="15589" max="15589" width="13.875" style="550" customWidth="1"/>
    <col min="15590" max="15590" width="13.5" style="550" customWidth="1"/>
    <col min="15591" max="15837" width="8.875" style="550"/>
    <col min="15838" max="15838" width="5" style="550" customWidth="1"/>
    <col min="15839" max="15839" width="33.375" style="550" customWidth="1"/>
    <col min="15840" max="15840" width="6.5" style="550" customWidth="1"/>
    <col min="15841" max="15841" width="29.5" style="550" customWidth="1"/>
    <col min="15842" max="15842" width="23.625" style="550" customWidth="1"/>
    <col min="15843" max="15843" width="8" style="550" customWidth="1"/>
    <col min="15844" max="15844" width="9.125" style="550" customWidth="1"/>
    <col min="15845" max="15845" width="13.875" style="550" customWidth="1"/>
    <col min="15846" max="15846" width="13.5" style="550" customWidth="1"/>
    <col min="15847" max="16384" width="8.875" style="550"/>
  </cols>
  <sheetData>
    <row r="1" spans="2:14" s="560" customFormat="1" hidden="1">
      <c r="B1" s="646"/>
      <c r="C1" s="646"/>
      <c r="F1" s="646"/>
      <c r="I1" s="646"/>
      <c r="J1" s="646"/>
      <c r="K1" s="646"/>
      <c r="L1" s="646"/>
      <c r="M1" s="646"/>
    </row>
    <row r="2" spans="2:14" s="647" customFormat="1" hidden="1">
      <c r="B2" s="547" t="s">
        <v>253</v>
      </c>
      <c r="C2" s="547" t="s">
        <v>132</v>
      </c>
    </row>
    <row r="3" spans="2:14" s="647" customFormat="1" hidden="1">
      <c r="B3" s="549" t="s">
        <v>659</v>
      </c>
      <c r="C3" s="549" t="s">
        <v>255</v>
      </c>
    </row>
    <row r="4" spans="2:14" s="647" customFormat="1" hidden="1">
      <c r="B4" s="547" t="s">
        <v>256</v>
      </c>
      <c r="C4" s="547" t="s">
        <v>133</v>
      </c>
      <c r="L4" s="648"/>
    </row>
    <row r="5" spans="2:14" s="560" customFormat="1" ht="8.1" customHeight="1">
      <c r="B5" s="646"/>
      <c r="C5" s="646"/>
      <c r="F5" s="646"/>
      <c r="I5" s="646"/>
      <c r="J5" s="646"/>
      <c r="K5" s="646"/>
      <c r="L5" s="646"/>
      <c r="M5" s="646"/>
    </row>
    <row r="6" spans="2:14" s="651" customFormat="1" ht="27" customHeight="1">
      <c r="B6" s="649" t="s">
        <v>38</v>
      </c>
      <c r="C6" s="964" t="s">
        <v>665</v>
      </c>
      <c r="D6" s="965"/>
      <c r="E6" s="965"/>
      <c r="F6" s="689"/>
      <c r="G6" s="650"/>
      <c r="H6" s="650"/>
      <c r="I6" s="650"/>
      <c r="J6" s="650"/>
      <c r="K6" s="650"/>
      <c r="L6" s="650"/>
      <c r="M6" s="650"/>
    </row>
    <row r="7" spans="2:14" s="556" customFormat="1" ht="11.1" customHeight="1">
      <c r="C7" s="651"/>
      <c r="D7" s="555"/>
      <c r="E7" s="555"/>
      <c r="F7" s="555"/>
      <c r="G7" s="555"/>
      <c r="H7" s="555"/>
      <c r="I7" s="555"/>
      <c r="J7" s="555"/>
      <c r="K7" s="555"/>
      <c r="L7" s="555"/>
      <c r="M7" s="555"/>
    </row>
    <row r="8" spans="2:14" s="575" customFormat="1" ht="33.75" customHeight="1">
      <c r="B8" s="475" t="s">
        <v>1</v>
      </c>
      <c r="C8" s="475" t="s">
        <v>31</v>
      </c>
      <c r="D8" s="475" t="s">
        <v>151</v>
      </c>
      <c r="E8" s="475" t="s">
        <v>165</v>
      </c>
      <c r="F8" s="475" t="s">
        <v>17</v>
      </c>
      <c r="G8" s="475" t="s">
        <v>36</v>
      </c>
      <c r="H8" s="475" t="s">
        <v>116</v>
      </c>
      <c r="I8" s="475" t="s">
        <v>19</v>
      </c>
      <c r="J8" s="475" t="s">
        <v>170</v>
      </c>
      <c r="K8" s="475" t="s">
        <v>164</v>
      </c>
      <c r="L8" s="475" t="s">
        <v>32</v>
      </c>
      <c r="M8" s="475" t="s">
        <v>20</v>
      </c>
    </row>
    <row r="9" spans="2:14" s="590" customFormat="1" ht="27" customHeight="1">
      <c r="B9" s="514"/>
      <c r="C9" s="514" t="s">
        <v>6</v>
      </c>
      <c r="D9" s="515">
        <v>0.4</v>
      </c>
      <c r="E9" s="516"/>
      <c r="F9" s="518"/>
      <c r="G9" s="518"/>
      <c r="H9" s="654"/>
      <c r="I9" s="518"/>
      <c r="J9" s="476"/>
      <c r="K9" s="514"/>
      <c r="L9" s="655"/>
      <c r="M9" s="656">
        <f>SUM(M10:M13)*D9</f>
        <v>0.42000000000000004</v>
      </c>
    </row>
    <row r="10" spans="2:14" ht="51">
      <c r="B10" s="823">
        <v>1</v>
      </c>
      <c r="C10" s="824" t="s">
        <v>507</v>
      </c>
      <c r="D10" s="825">
        <v>0.25</v>
      </c>
      <c r="E10" s="826" t="s">
        <v>408</v>
      </c>
      <c r="F10" s="827" t="s">
        <v>330</v>
      </c>
      <c r="G10" s="828">
        <v>46203</v>
      </c>
      <c r="H10" s="829" t="s">
        <v>508</v>
      </c>
      <c r="I10" s="830" t="s">
        <v>326</v>
      </c>
      <c r="J10" s="831">
        <v>0.95</v>
      </c>
      <c r="K10" s="832">
        <v>1</v>
      </c>
      <c r="L10" s="833">
        <f>IF(LEN(K10)=0,"",IF(K10&gt;=J10,100%,0%))</f>
        <v>1</v>
      </c>
      <c r="M10" s="825">
        <f>IFERROR(L10*D10,"")</f>
        <v>0.25</v>
      </c>
      <c r="N10" s="550" t="s">
        <v>683</v>
      </c>
    </row>
    <row r="11" spans="2:14" ht="60.75" customHeight="1">
      <c r="B11" s="834">
        <v>2</v>
      </c>
      <c r="C11" s="835" t="s">
        <v>579</v>
      </c>
      <c r="D11" s="836">
        <v>0.25</v>
      </c>
      <c r="E11" s="826" t="s">
        <v>412</v>
      </c>
      <c r="F11" s="827" t="s">
        <v>580</v>
      </c>
      <c r="G11" s="828">
        <v>46203</v>
      </c>
      <c r="H11" s="829" t="s">
        <v>509</v>
      </c>
      <c r="I11" s="830" t="s">
        <v>326</v>
      </c>
      <c r="J11" s="831">
        <v>0.9</v>
      </c>
      <c r="K11" s="939">
        <v>1</v>
      </c>
      <c r="L11" s="833">
        <f>IF(LEN(K11)=0,"",IF(AND(K11&gt;=J11,K11&lt;100%),100%,IF(K11=100%,120%,0%)))</f>
        <v>1.2</v>
      </c>
      <c r="M11" s="836">
        <f t="shared" ref="M11:M13" si="0">IFERROR(L11*D11,"")</f>
        <v>0.3</v>
      </c>
      <c r="N11" s="691" t="s">
        <v>684</v>
      </c>
    </row>
    <row r="12" spans="2:14" ht="60.75" customHeight="1">
      <c r="B12" s="823">
        <v>3</v>
      </c>
      <c r="C12" s="824" t="s">
        <v>429</v>
      </c>
      <c r="D12" s="825">
        <v>0.25</v>
      </c>
      <c r="E12" s="837" t="s">
        <v>430</v>
      </c>
      <c r="F12" s="827" t="s">
        <v>413</v>
      </c>
      <c r="G12" s="828">
        <v>46203</v>
      </c>
      <c r="H12" s="829" t="s">
        <v>510</v>
      </c>
      <c r="I12" s="838" t="s">
        <v>414</v>
      </c>
      <c r="J12" s="839">
        <v>0</v>
      </c>
      <c r="K12" s="840">
        <v>0</v>
      </c>
      <c r="L12" s="841">
        <f>IF(LEN(K12)=0,"",IF(K12=J12,1,0))</f>
        <v>1</v>
      </c>
      <c r="M12" s="825">
        <f t="shared" si="0"/>
        <v>0.25</v>
      </c>
      <c r="N12" s="550" t="s">
        <v>685</v>
      </c>
    </row>
    <row r="13" spans="2:14" ht="60.75" customHeight="1">
      <c r="B13" s="823">
        <v>4</v>
      </c>
      <c r="C13" s="824" t="s">
        <v>418</v>
      </c>
      <c r="D13" s="825">
        <v>0.25</v>
      </c>
      <c r="E13" s="826" t="s">
        <v>431</v>
      </c>
      <c r="F13" s="827" t="s">
        <v>413</v>
      </c>
      <c r="G13" s="828">
        <v>46203</v>
      </c>
      <c r="H13" s="829" t="s">
        <v>511</v>
      </c>
      <c r="I13" s="838" t="s">
        <v>414</v>
      </c>
      <c r="J13" s="839">
        <v>0</v>
      </c>
      <c r="K13" s="840">
        <v>0</v>
      </c>
      <c r="L13" s="841">
        <f>IF(LEN(K13)=0,"",IF(K13=J13,1,0))</f>
        <v>1</v>
      </c>
      <c r="M13" s="825">
        <f t="shared" si="0"/>
        <v>0.25</v>
      </c>
      <c r="N13" s="550" t="s">
        <v>693</v>
      </c>
    </row>
    <row r="14" spans="2:14" s="590" customFormat="1" ht="27" customHeight="1">
      <c r="B14" s="514"/>
      <c r="C14" s="514" t="s">
        <v>5</v>
      </c>
      <c r="D14" s="515">
        <v>0.3</v>
      </c>
      <c r="E14" s="516"/>
      <c r="F14" s="518"/>
      <c r="G14" s="518"/>
      <c r="H14" s="654"/>
      <c r="I14" s="518"/>
      <c r="J14" s="476"/>
      <c r="K14" s="514"/>
      <c r="L14" s="655"/>
      <c r="M14" s="656">
        <f>SUM(M15:M16)*D14</f>
        <v>0.3</v>
      </c>
    </row>
    <row r="15" spans="2:14" s="590" customFormat="1" ht="46.5" customHeight="1">
      <c r="B15" s="823">
        <v>1</v>
      </c>
      <c r="C15" s="854" t="s">
        <v>700</v>
      </c>
      <c r="D15" s="825">
        <v>0.5</v>
      </c>
      <c r="E15" s="837" t="s">
        <v>699</v>
      </c>
      <c r="F15" s="842" t="s">
        <v>711</v>
      </c>
      <c r="G15" s="828">
        <v>46203</v>
      </c>
      <c r="H15" s="829" t="s">
        <v>585</v>
      </c>
      <c r="I15" s="830" t="s">
        <v>326</v>
      </c>
      <c r="J15" s="843">
        <v>1</v>
      </c>
      <c r="K15" s="844">
        <v>0.9859</v>
      </c>
      <c r="L15" s="832">
        <f>IF(LEN(K15)=0,"",IF(K15&lt;J15,100%,0))</f>
        <v>1</v>
      </c>
      <c r="M15" s="825">
        <f>IFERROR(L15*D15,"")</f>
        <v>0.5</v>
      </c>
      <c r="N15" s="590" t="s">
        <v>676</v>
      </c>
    </row>
    <row r="16" spans="2:14" ht="57.75" customHeight="1">
      <c r="B16" s="823">
        <v>2</v>
      </c>
      <c r="C16" s="824" t="s">
        <v>666</v>
      </c>
      <c r="D16" s="845">
        <v>0.5</v>
      </c>
      <c r="E16" s="837" t="s">
        <v>667</v>
      </c>
      <c r="F16" s="842" t="s">
        <v>691</v>
      </c>
      <c r="G16" s="828">
        <v>46203</v>
      </c>
      <c r="H16" s="829" t="s">
        <v>511</v>
      </c>
      <c r="I16" s="830" t="s">
        <v>326</v>
      </c>
      <c r="J16" s="843">
        <v>1</v>
      </c>
      <c r="K16" s="844">
        <v>1</v>
      </c>
      <c r="L16" s="832">
        <f>IF(LEN(K16)=0,"",IF(K16&lt;=J16,1,0))</f>
        <v>1</v>
      </c>
      <c r="M16" s="825">
        <f t="shared" ref="M16" si="1">IFERROR(L16*D16,"")</f>
        <v>0.5</v>
      </c>
      <c r="N16" s="550" t="s">
        <v>686</v>
      </c>
    </row>
    <row r="17" spans="2:14" s="590" customFormat="1" ht="27" customHeight="1">
      <c r="B17" s="514"/>
      <c r="C17" s="514" t="s">
        <v>7</v>
      </c>
      <c r="D17" s="515">
        <v>0.15</v>
      </c>
      <c r="E17" s="516"/>
      <c r="F17" s="518"/>
      <c r="G17" s="518"/>
      <c r="H17" s="654"/>
      <c r="I17" s="518"/>
      <c r="J17" s="476"/>
      <c r="K17" s="514"/>
      <c r="L17" s="655"/>
      <c r="M17" s="656">
        <f>SUM(M18:M22)*D17</f>
        <v>0.15449999999999997</v>
      </c>
    </row>
    <row r="18" spans="2:14" s="590" customFormat="1" ht="51">
      <c r="B18" s="823">
        <v>1</v>
      </c>
      <c r="C18" s="846" t="s">
        <v>658</v>
      </c>
      <c r="D18" s="845">
        <v>0.25</v>
      </c>
      <c r="E18" s="837" t="s">
        <v>432</v>
      </c>
      <c r="F18" s="842" t="s">
        <v>589</v>
      </c>
      <c r="G18" s="847">
        <v>46203</v>
      </c>
      <c r="H18" s="829" t="s">
        <v>590</v>
      </c>
      <c r="I18" s="838" t="s">
        <v>414</v>
      </c>
      <c r="J18" s="839">
        <v>1</v>
      </c>
      <c r="K18" s="840">
        <v>0</v>
      </c>
      <c r="L18" s="841">
        <f>IF(LEN(K18)=0,"",IF(K18&lt;=J18,1,0))</f>
        <v>1</v>
      </c>
      <c r="M18" s="825">
        <f t="shared" ref="M18:M22" si="2">IFERROR(L18*D18,"")</f>
        <v>0.25</v>
      </c>
      <c r="N18" s="590" t="s">
        <v>677</v>
      </c>
    </row>
    <row r="19" spans="2:14" ht="67.5" customHeight="1">
      <c r="B19" s="823">
        <v>2</v>
      </c>
      <c r="C19" s="848" t="s">
        <v>717</v>
      </c>
      <c r="D19" s="845">
        <v>0.1</v>
      </c>
      <c r="E19" s="837" t="s">
        <v>668</v>
      </c>
      <c r="F19" s="842" t="s">
        <v>342</v>
      </c>
      <c r="G19" s="847">
        <v>46203</v>
      </c>
      <c r="H19" s="829" t="s">
        <v>669</v>
      </c>
      <c r="I19" s="838" t="s">
        <v>343</v>
      </c>
      <c r="J19" s="849">
        <v>46203</v>
      </c>
      <c r="K19" s="910">
        <v>46203</v>
      </c>
      <c r="L19" s="841">
        <f>IF(LEN(K19)=0,"",IF(K19&lt;=J19,1,0))</f>
        <v>1</v>
      </c>
      <c r="M19" s="825">
        <f t="shared" si="2"/>
        <v>0.1</v>
      </c>
      <c r="N19" s="550" t="s">
        <v>690</v>
      </c>
    </row>
    <row r="20" spans="2:14" ht="67.5" customHeight="1">
      <c r="B20" s="823">
        <v>3</v>
      </c>
      <c r="C20" s="824" t="s">
        <v>391</v>
      </c>
      <c r="D20" s="845">
        <v>0.3</v>
      </c>
      <c r="E20" s="837" t="s">
        <v>340</v>
      </c>
      <c r="F20" s="842" t="s">
        <v>333</v>
      </c>
      <c r="G20" s="828">
        <v>46203</v>
      </c>
      <c r="H20" s="829" t="s">
        <v>514</v>
      </c>
      <c r="I20" s="830" t="s">
        <v>343</v>
      </c>
      <c r="J20" s="821">
        <v>5</v>
      </c>
      <c r="K20" s="630">
        <v>5</v>
      </c>
      <c r="L20" s="832">
        <f>IF(LEN(K20)=0,"",IF(K20&gt;J20,0,MIN(120%,J20/K20*100%)))</f>
        <v>1</v>
      </c>
      <c r="M20" s="825">
        <f t="shared" si="2"/>
        <v>0.3</v>
      </c>
      <c r="N20" s="550" t="s">
        <v>692</v>
      </c>
    </row>
    <row r="21" spans="2:14" ht="67.5" customHeight="1">
      <c r="B21" s="823">
        <v>4</v>
      </c>
      <c r="C21" s="850" t="s">
        <v>670</v>
      </c>
      <c r="D21" s="845">
        <v>0.15</v>
      </c>
      <c r="E21" s="837" t="s">
        <v>671</v>
      </c>
      <c r="F21" s="842" t="s">
        <v>319</v>
      </c>
      <c r="G21" s="828">
        <v>46203</v>
      </c>
      <c r="H21" s="829" t="s">
        <v>514</v>
      </c>
      <c r="I21" s="851" t="s">
        <v>326</v>
      </c>
      <c r="J21" s="825">
        <v>0.05</v>
      </c>
      <c r="K21" s="852">
        <v>0.37</v>
      </c>
      <c r="L21" s="832">
        <f>IF(LEN(K21)=0,"",IF(K21&lt;J21*80%,0,MIN(120%,K21/J21*100%)))</f>
        <v>1.2</v>
      </c>
      <c r="M21" s="825">
        <f t="shared" si="2"/>
        <v>0.18</v>
      </c>
      <c r="N21" s="550" t="s">
        <v>688</v>
      </c>
    </row>
    <row r="22" spans="2:14" ht="59.25" customHeight="1">
      <c r="B22" s="823">
        <v>5</v>
      </c>
      <c r="C22" s="824" t="s">
        <v>672</v>
      </c>
      <c r="D22" s="845">
        <v>0.2</v>
      </c>
      <c r="E22" s="837" t="s">
        <v>673</v>
      </c>
      <c r="F22" s="842" t="s">
        <v>592</v>
      </c>
      <c r="G22" s="828">
        <v>46203</v>
      </c>
      <c r="H22" s="829" t="s">
        <v>515</v>
      </c>
      <c r="I22" s="830" t="s">
        <v>326</v>
      </c>
      <c r="J22" s="831">
        <v>0.2</v>
      </c>
      <c r="K22" s="852">
        <v>0.2</v>
      </c>
      <c r="L22" s="832">
        <f>IF(LEN(K22)=0,"",IF(K22&lt;J22,0,MIN(120%,K22/J22*100%)))</f>
        <v>1</v>
      </c>
      <c r="M22" s="825">
        <f t="shared" si="2"/>
        <v>0.2</v>
      </c>
      <c r="N22" s="550" t="s">
        <v>678</v>
      </c>
    </row>
    <row r="23" spans="2:14" s="590" customFormat="1" ht="27" customHeight="1">
      <c r="B23" s="514"/>
      <c r="C23" s="514" t="s">
        <v>406</v>
      </c>
      <c r="D23" s="515">
        <v>0.15</v>
      </c>
      <c r="E23" s="516"/>
      <c r="F23" s="518"/>
      <c r="G23" s="518"/>
      <c r="H23" s="654"/>
      <c r="I23" s="518"/>
      <c r="J23" s="476"/>
      <c r="K23" s="514"/>
      <c r="L23" s="655"/>
      <c r="M23" s="656">
        <f>SUM(M24:M25)*D23</f>
        <v>0.15</v>
      </c>
    </row>
    <row r="24" spans="2:14" ht="44.25" customHeight="1">
      <c r="B24" s="853">
        <v>1</v>
      </c>
      <c r="C24" s="854" t="s">
        <v>674</v>
      </c>
      <c r="D24" s="855">
        <v>0.5</v>
      </c>
      <c r="E24" s="856" t="s">
        <v>675</v>
      </c>
      <c r="F24" s="857" t="s">
        <v>342</v>
      </c>
      <c r="G24" s="858">
        <v>46203</v>
      </c>
      <c r="H24" s="859" t="s">
        <v>88</v>
      </c>
      <c r="I24" s="860" t="s">
        <v>343</v>
      </c>
      <c r="J24" s="861">
        <v>46203</v>
      </c>
      <c r="K24" s="594">
        <v>46203</v>
      </c>
      <c r="L24" s="862">
        <f>IF(LEN(K24)=0,"",IF(K24&lt;=J24,1,0))</f>
        <v>1</v>
      </c>
      <c r="M24" s="845">
        <f t="shared" ref="M24:M25" si="3">IFERROR(L24*D24,"")</f>
        <v>0.5</v>
      </c>
      <c r="N24" s="550" t="s">
        <v>679</v>
      </c>
    </row>
    <row r="25" spans="2:14" s="590" customFormat="1" ht="39" customHeight="1">
      <c r="B25" s="853">
        <v>2</v>
      </c>
      <c r="C25" s="854" t="s">
        <v>437</v>
      </c>
      <c r="D25" s="855">
        <v>0.5</v>
      </c>
      <c r="E25" s="856" t="s">
        <v>317</v>
      </c>
      <c r="F25" s="857" t="s">
        <v>330</v>
      </c>
      <c r="G25" s="858">
        <v>46203</v>
      </c>
      <c r="H25" s="859" t="s">
        <v>517</v>
      </c>
      <c r="I25" s="860" t="s">
        <v>346</v>
      </c>
      <c r="J25" s="583">
        <v>1</v>
      </c>
      <c r="K25" s="882">
        <v>1</v>
      </c>
      <c r="L25" s="862">
        <f>IF(LEN(K25)=0,"",IF(K25&gt;=J25,1,0))</f>
        <v>1</v>
      </c>
      <c r="M25" s="845">
        <f t="shared" si="3"/>
        <v>0.5</v>
      </c>
      <c r="N25" s="590" t="s">
        <v>686</v>
      </c>
    </row>
    <row r="26" spans="2:14" s="590" customFormat="1" ht="27" customHeight="1">
      <c r="B26" s="514" t="s">
        <v>33</v>
      </c>
      <c r="C26" s="514"/>
      <c r="D26" s="515">
        <f>D9+D14+D17+D23</f>
        <v>1</v>
      </c>
      <c r="E26" s="516"/>
      <c r="F26" s="518"/>
      <c r="G26" s="518"/>
      <c r="H26" s="654"/>
      <c r="I26" s="518"/>
      <c r="J26" s="476"/>
      <c r="K26" s="514"/>
      <c r="L26" s="655"/>
      <c r="M26" s="656">
        <f>SUM(M9,M14,M17,M23)</f>
        <v>1.0245</v>
      </c>
    </row>
    <row r="27" spans="2:14" s="590" customFormat="1" ht="27" customHeight="1">
      <c r="B27" s="890"/>
      <c r="C27" s="890"/>
      <c r="D27" s="891"/>
      <c r="F27" s="892"/>
      <c r="G27" s="892"/>
      <c r="H27" s="893"/>
      <c r="I27" s="892"/>
      <c r="J27" s="894"/>
      <c r="K27" s="890"/>
      <c r="L27" s="895"/>
      <c r="M27" s="896"/>
    </row>
    <row r="28" spans="2:14" ht="15.95" customHeight="1">
      <c r="B28" s="611"/>
      <c r="C28" s="966" t="s">
        <v>536</v>
      </c>
      <c r="D28" s="966"/>
      <c r="E28" s="615"/>
      <c r="F28" s="966" t="s">
        <v>537</v>
      </c>
      <c r="G28" s="966"/>
      <c r="H28" s="966"/>
      <c r="I28" s="613"/>
      <c r="J28" s="966" t="s">
        <v>538</v>
      </c>
      <c r="K28" s="966"/>
      <c r="L28" s="966"/>
      <c r="M28" s="966"/>
    </row>
    <row r="29" spans="2:14" ht="15.95" customHeight="1">
      <c r="B29" s="611"/>
      <c r="C29" s="966"/>
      <c r="D29" s="966"/>
      <c r="E29" s="611"/>
      <c r="I29" s="612"/>
      <c r="J29" s="966"/>
      <c r="K29" s="966"/>
      <c r="L29" s="966"/>
      <c r="M29" s="966"/>
    </row>
    <row r="30" spans="2:14">
      <c r="B30" s="611"/>
      <c r="C30" s="611"/>
      <c r="D30" s="611"/>
      <c r="E30" s="611"/>
      <c r="F30" s="612"/>
      <c r="G30" s="612"/>
      <c r="H30" s="611"/>
      <c r="I30" s="611"/>
      <c r="J30" s="611"/>
      <c r="K30" s="611"/>
      <c r="L30" s="611"/>
      <c r="M30" s="612"/>
    </row>
    <row r="31" spans="2:14">
      <c r="B31" s="611"/>
      <c r="C31" s="611"/>
      <c r="D31" s="611"/>
      <c r="E31" s="611"/>
      <c r="F31" s="612"/>
      <c r="G31" s="612"/>
      <c r="H31" s="611"/>
      <c r="I31" s="611"/>
      <c r="J31" s="611"/>
      <c r="K31" s="611"/>
      <c r="L31" s="611"/>
      <c r="M31" s="612"/>
    </row>
    <row r="32" spans="2:14">
      <c r="B32" s="611"/>
      <c r="C32" s="611"/>
      <c r="D32" s="611"/>
      <c r="E32" s="611"/>
      <c r="F32" s="612"/>
      <c r="G32" s="612"/>
      <c r="H32" s="611"/>
      <c r="I32" s="611"/>
      <c r="J32" s="611"/>
      <c r="K32" s="611"/>
      <c r="L32" s="611"/>
      <c r="M32" s="612"/>
    </row>
    <row r="33" spans="2:13">
      <c r="B33" s="611"/>
      <c r="C33" s="611"/>
      <c r="D33" s="611"/>
      <c r="E33" s="611"/>
      <c r="F33" s="612"/>
      <c r="G33" s="612"/>
      <c r="H33" s="611"/>
      <c r="I33" s="611"/>
      <c r="J33" s="611"/>
      <c r="K33" s="611"/>
      <c r="L33" s="611"/>
      <c r="M33" s="612"/>
    </row>
    <row r="34" spans="2:13">
      <c r="B34" s="611"/>
      <c r="C34" s="611"/>
      <c r="D34" s="611"/>
      <c r="E34" s="611"/>
      <c r="F34" s="612"/>
      <c r="G34" s="612"/>
      <c r="H34" s="611"/>
      <c r="I34" s="611"/>
      <c r="J34" s="611"/>
      <c r="K34" s="611"/>
      <c r="L34" s="611"/>
      <c r="M34" s="612"/>
    </row>
    <row r="35" spans="2:13" ht="15.95" customHeight="1">
      <c r="B35" s="611"/>
      <c r="C35" s="963" t="s">
        <v>29</v>
      </c>
      <c r="D35" s="963"/>
      <c r="E35" s="611"/>
      <c r="F35" s="963" t="s">
        <v>29</v>
      </c>
      <c r="G35" s="963"/>
      <c r="H35" s="963"/>
      <c r="I35" s="612"/>
      <c r="J35" s="611"/>
      <c r="K35" s="611" t="s">
        <v>29</v>
      </c>
      <c r="L35" s="611"/>
      <c r="M35" s="611"/>
    </row>
    <row r="36" spans="2:13">
      <c r="B36" s="611"/>
      <c r="C36" s="611"/>
      <c r="D36" s="611"/>
      <c r="E36" s="611"/>
      <c r="F36" s="612"/>
      <c r="G36" s="612"/>
      <c r="H36" s="611"/>
      <c r="I36" s="611"/>
      <c r="J36" s="611"/>
      <c r="K36" s="611"/>
      <c r="L36" s="611"/>
      <c r="M36" s="612"/>
    </row>
  </sheetData>
  <mergeCells count="8">
    <mergeCell ref="J28:M28"/>
    <mergeCell ref="C29:D29"/>
    <mergeCell ref="J29:M29"/>
    <mergeCell ref="C35:D35"/>
    <mergeCell ref="F35:H35"/>
    <mergeCell ref="C6:E6"/>
    <mergeCell ref="C28:D28"/>
    <mergeCell ref="F28:H28"/>
  </mergeCells>
  <pageMargins left="0.17" right="0.17" top="0.17" bottom="0.17" header="0.3" footer="0.3"/>
  <pageSetup paperSize="9" scale="77"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6FD8C-D98D-4BD5-9CD6-B996B128B575}">
  <dimension ref="B1:Q27"/>
  <sheetViews>
    <sheetView showGridLines="0" topLeftCell="A5" zoomScale="110" zoomScaleNormal="110" workbookViewId="0">
      <selection activeCell="I22" sqref="I22"/>
    </sheetView>
  </sheetViews>
  <sheetFormatPr defaultColWidth="8.875" defaultRowHeight="12.75"/>
  <cols>
    <col min="1" max="1" width="2.125" style="1" customWidth="1"/>
    <col min="2" max="2" width="12.375" style="1" bestFit="1" customWidth="1"/>
    <col min="3" max="3" width="21.875" style="1" customWidth="1"/>
    <col min="4" max="4" width="10.25" style="1" customWidth="1"/>
    <col min="5" max="5" width="6.625" style="2" customWidth="1"/>
    <col min="6" max="6" width="5.5" style="2" customWidth="1"/>
    <col min="7" max="7" width="7.375" style="1" customWidth="1"/>
    <col min="8" max="8" width="5.625" style="1" customWidth="1"/>
    <col min="9" max="9" width="5.25" style="1" customWidth="1"/>
    <col min="10" max="10" width="10.125" style="1" customWidth="1"/>
    <col min="11" max="11" width="9.125" style="39" customWidth="1"/>
    <col min="12" max="12" width="9.125" style="40" customWidth="1"/>
    <col min="13" max="14" width="8.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6" hidden="1"/>
    <row r="2" spans="2:16" s="11" customFormat="1" hidden="1">
      <c r="B2" s="140" t="s">
        <v>253</v>
      </c>
      <c r="C2" s="140" t="s">
        <v>132</v>
      </c>
    </row>
    <row r="3" spans="2:16" s="11" customFormat="1" hidden="1">
      <c r="B3" s="209" t="s">
        <v>254</v>
      </c>
      <c r="C3" s="209" t="s">
        <v>255</v>
      </c>
    </row>
    <row r="4" spans="2:16" s="11" customFormat="1" hidden="1">
      <c r="B4" s="140" t="s">
        <v>256</v>
      </c>
      <c r="C4" s="140" t="s">
        <v>133</v>
      </c>
    </row>
    <row r="5" spans="2:16" s="31" customFormat="1" ht="6.95" customHeight="1">
      <c r="B5" s="30"/>
      <c r="C5" s="30"/>
      <c r="E5" s="30"/>
      <c r="I5" s="30"/>
      <c r="J5" s="30"/>
      <c r="K5" s="32"/>
      <c r="L5" s="33"/>
    </row>
    <row r="6" spans="2:16" s="98" customFormat="1" ht="26.1" customHeight="1">
      <c r="B6" s="99" t="s">
        <v>80</v>
      </c>
      <c r="C6" s="1121" t="s">
        <v>709</v>
      </c>
      <c r="D6" s="1121"/>
      <c r="E6" s="1121"/>
      <c r="F6" s="1121"/>
      <c r="G6" s="1121"/>
      <c r="H6" s="145"/>
      <c r="I6" s="145"/>
      <c r="J6" s="145"/>
      <c r="K6" s="145"/>
      <c r="L6" s="145"/>
      <c r="M6" s="145"/>
      <c r="N6" s="145"/>
    </row>
    <row r="7" spans="2:16" s="3" customFormat="1" ht="20.100000000000001" customHeight="1">
      <c r="B7" s="213" t="s">
        <v>279</v>
      </c>
      <c r="C7" s="213" t="s">
        <v>706</v>
      </c>
      <c r="D7" s="1144"/>
      <c r="E7" s="1144"/>
      <c r="F7" s="1144"/>
      <c r="G7" s="1144"/>
      <c r="H7" s="212" t="s">
        <v>278</v>
      </c>
      <c r="I7" s="211"/>
      <c r="J7" s="212" t="s">
        <v>476</v>
      </c>
      <c r="K7" s="211"/>
      <c r="L7" s="211"/>
      <c r="M7" s="211"/>
      <c r="N7" s="31"/>
    </row>
    <row r="8" spans="2:16" s="3" customFormat="1" ht="18.95" customHeight="1">
      <c r="B8" s="213" t="s">
        <v>708</v>
      </c>
      <c r="C8" s="472" t="s">
        <v>707</v>
      </c>
      <c r="D8" s="1144"/>
      <c r="E8" s="1144"/>
      <c r="F8" s="1144"/>
      <c r="G8" s="1144"/>
      <c r="H8" s="212" t="s">
        <v>477</v>
      </c>
      <c r="I8" s="211"/>
      <c r="J8" s="212" t="s">
        <v>471</v>
      </c>
      <c r="K8" s="211"/>
      <c r="L8" s="211"/>
      <c r="M8" s="211"/>
      <c r="N8" s="31"/>
    </row>
    <row r="9" spans="2:16" s="3" customFormat="1" ht="6.95" customHeight="1">
      <c r="D9" s="85"/>
      <c r="E9" s="85"/>
      <c r="F9" s="85"/>
      <c r="G9" s="85"/>
      <c r="H9" s="85"/>
      <c r="I9" s="85"/>
      <c r="J9" s="85"/>
      <c r="K9" s="85"/>
      <c r="L9" s="85"/>
      <c r="M9" s="85"/>
      <c r="N9" s="85"/>
    </row>
    <row r="10" spans="2:16" s="4" customFormat="1" ht="26.25" thickBot="1">
      <c r="B10" s="163" t="s">
        <v>0</v>
      </c>
      <c r="C10" s="164" t="s">
        <v>16</v>
      </c>
      <c r="D10" s="164" t="s">
        <v>246</v>
      </c>
      <c r="E10" s="1145" t="s">
        <v>17</v>
      </c>
      <c r="F10" s="1146"/>
      <c r="G10" s="1147" t="s">
        <v>18</v>
      </c>
      <c r="H10" s="1148"/>
      <c r="I10" s="1149"/>
      <c r="J10" s="164" t="s">
        <v>19</v>
      </c>
      <c r="K10" s="164" t="s">
        <v>172</v>
      </c>
      <c r="L10" s="163" t="s">
        <v>164</v>
      </c>
      <c r="M10" s="164" t="s">
        <v>32</v>
      </c>
      <c r="N10" s="164" t="s">
        <v>20</v>
      </c>
    </row>
    <row r="11" spans="2:16" ht="37.5" customHeight="1" thickTop="1" thickBot="1">
      <c r="B11" s="52" t="s">
        <v>21</v>
      </c>
      <c r="C11" s="184" t="s">
        <v>478</v>
      </c>
      <c r="D11" s="185">
        <v>0.9</v>
      </c>
      <c r="E11" s="54"/>
      <c r="F11" s="54"/>
      <c r="G11" s="53"/>
      <c r="H11" s="53"/>
      <c r="I11" s="53"/>
      <c r="J11" s="1150"/>
      <c r="K11" s="1150"/>
      <c r="L11" s="111"/>
      <c r="M11" s="55"/>
      <c r="N11" s="916">
        <f>N12</f>
        <v>0.92205000000000004</v>
      </c>
    </row>
    <row r="12" spans="2:16" ht="37.5" customHeight="1" thickBot="1">
      <c r="B12" s="328"/>
      <c r="C12" s="329" t="s">
        <v>469</v>
      </c>
      <c r="D12" s="330"/>
      <c r="E12" s="1151"/>
      <c r="F12" s="1152"/>
      <c r="G12" s="1153"/>
      <c r="H12" s="1154"/>
      <c r="I12" s="1155"/>
      <c r="J12" s="331"/>
      <c r="K12" s="332">
        <v>1</v>
      </c>
      <c r="L12" s="913">
        <f>'A7.9.KPI Ban HCNS Quy 2.26'!M26</f>
        <v>1.0245</v>
      </c>
      <c r="M12" s="332">
        <f>L12/K12*100%</f>
        <v>1.0245</v>
      </c>
      <c r="N12" s="915">
        <f>M12*D11</f>
        <v>0.92205000000000004</v>
      </c>
    </row>
    <row r="13" spans="2:16" ht="37.5" customHeight="1" thickTop="1" thickBot="1">
      <c r="B13" s="52" t="s">
        <v>22</v>
      </c>
      <c r="C13" s="184" t="s">
        <v>233</v>
      </c>
      <c r="D13" s="185">
        <v>0.1</v>
      </c>
      <c r="E13" s="54"/>
      <c r="F13" s="54"/>
      <c r="G13" s="53"/>
      <c r="H13" s="53"/>
      <c r="I13" s="53"/>
      <c r="J13" s="1150"/>
      <c r="K13" s="1150"/>
      <c r="L13" s="111"/>
      <c r="M13" s="55"/>
      <c r="N13" s="56">
        <f>MIN(10%, MAX(0, D13+SUM(N14)))</f>
        <v>0.1</v>
      </c>
    </row>
    <row r="14" spans="2:16" ht="37.5" customHeight="1" thickBot="1">
      <c r="B14" s="328"/>
      <c r="C14" s="329" t="s">
        <v>710</v>
      </c>
      <c r="D14" s="330"/>
      <c r="E14" s="1151"/>
      <c r="F14" s="1152"/>
      <c r="G14" s="1153"/>
      <c r="H14" s="1154"/>
      <c r="I14" s="1155"/>
      <c r="J14" s="331"/>
      <c r="K14" s="335"/>
      <c r="L14" s="336"/>
      <c r="M14" s="332">
        <f>L14*-50%</f>
        <v>0</v>
      </c>
      <c r="N14" s="334">
        <f>M14*D13</f>
        <v>0</v>
      </c>
    </row>
    <row r="15" spans="2:16" ht="37.5" customHeight="1" thickTop="1">
      <c r="B15" s="112"/>
      <c r="C15" s="113" t="s">
        <v>4</v>
      </c>
      <c r="D15" s="114"/>
      <c r="E15" s="115"/>
      <c r="F15" s="115"/>
      <c r="G15" s="114"/>
      <c r="H15" s="114"/>
      <c r="I15" s="114"/>
      <c r="J15" s="114"/>
      <c r="K15" s="116"/>
      <c r="L15" s="117"/>
      <c r="M15" s="114"/>
      <c r="N15" s="914">
        <f>N11+N13</f>
        <v>1.0220500000000001</v>
      </c>
      <c r="O15" s="1142"/>
      <c r="P15" s="1143"/>
    </row>
    <row r="16" spans="2:16" ht="17.100000000000001" customHeight="1">
      <c r="B16" s="5"/>
      <c r="C16" s="5"/>
      <c r="D16" s="5"/>
      <c r="E16" s="6"/>
      <c r="F16" s="6"/>
      <c r="G16" s="5"/>
      <c r="H16" s="5"/>
      <c r="I16" s="5"/>
      <c r="J16" s="5"/>
      <c r="K16" s="35"/>
      <c r="L16" s="36"/>
      <c r="M16" s="5"/>
      <c r="N16" s="5"/>
    </row>
    <row r="17" spans="2:17" s="51" customFormat="1" ht="23.25" customHeight="1">
      <c r="B17" s="1079" t="s">
        <v>539</v>
      </c>
      <c r="C17" s="975"/>
      <c r="D17" s="1079" t="s">
        <v>537</v>
      </c>
      <c r="E17" s="975"/>
      <c r="F17" s="975"/>
      <c r="G17" s="975"/>
      <c r="H17" s="975"/>
      <c r="I17" s="471"/>
      <c r="J17" s="1079" t="s">
        <v>540</v>
      </c>
      <c r="K17" s="1079"/>
      <c r="L17" s="1079"/>
      <c r="M17" s="1079"/>
      <c r="N17" s="1079"/>
      <c r="O17" s="471"/>
      <c r="P17" s="471"/>
      <c r="Q17" s="471"/>
    </row>
    <row r="18" spans="2:17" ht="17.100000000000001" customHeight="1">
      <c r="B18" s="5"/>
      <c r="C18" s="972"/>
      <c r="D18" s="972"/>
      <c r="E18" s="6"/>
      <c r="F18" s="972"/>
      <c r="G18" s="972"/>
      <c r="H18" s="972"/>
      <c r="I18" s="6"/>
      <c r="J18" s="5"/>
      <c r="K18" s="972"/>
      <c r="L18" s="972"/>
      <c r="M18" s="972"/>
      <c r="N18" s="972"/>
    </row>
    <row r="19" spans="2:17" ht="17.100000000000001" customHeight="1">
      <c r="B19" s="5"/>
      <c r="C19" s="5"/>
      <c r="D19" s="5"/>
      <c r="E19" s="6"/>
      <c r="F19" s="6"/>
      <c r="G19" s="5"/>
      <c r="H19" s="5"/>
      <c r="I19" s="5"/>
      <c r="J19" s="5"/>
      <c r="K19" s="35"/>
      <c r="L19" s="36"/>
      <c r="M19" s="5"/>
      <c r="N19" s="5"/>
    </row>
    <row r="20" spans="2:17" ht="17.100000000000001" customHeight="1">
      <c r="B20" s="5"/>
      <c r="C20" s="5"/>
      <c r="D20" s="5"/>
      <c r="E20" s="6"/>
      <c r="F20" s="6"/>
      <c r="G20" s="5"/>
      <c r="H20" s="5"/>
      <c r="I20" s="5"/>
      <c r="J20" s="5"/>
      <c r="K20" s="35"/>
      <c r="L20" s="36"/>
      <c r="M20" s="5"/>
      <c r="N20" s="5"/>
    </row>
    <row r="21" spans="2:17" ht="17.100000000000001" customHeight="1">
      <c r="B21" s="5"/>
      <c r="C21" s="5"/>
      <c r="D21" s="5"/>
      <c r="E21" s="6"/>
      <c r="F21" s="6"/>
      <c r="G21" s="5"/>
      <c r="H21" s="5"/>
      <c r="I21" s="5"/>
      <c r="J21" s="5"/>
      <c r="K21" s="35"/>
      <c r="L21" s="36"/>
      <c r="M21" s="5"/>
      <c r="N21" s="5"/>
    </row>
    <row r="22" spans="2:17" ht="17.100000000000001" customHeight="1">
      <c r="B22" s="5"/>
      <c r="C22" s="5"/>
      <c r="D22" s="5"/>
      <c r="E22" s="6"/>
      <c r="F22" s="6"/>
      <c r="G22" s="5"/>
      <c r="H22" s="5"/>
      <c r="I22" s="5"/>
      <c r="J22" s="5"/>
      <c r="K22" s="35"/>
      <c r="L22" s="36"/>
      <c r="M22" s="5"/>
      <c r="N22" s="5"/>
    </row>
    <row r="23" spans="2:17" ht="17.100000000000001" customHeight="1">
      <c r="B23" s="5"/>
      <c r="C23" s="5"/>
      <c r="D23" s="5"/>
      <c r="E23" s="6"/>
      <c r="F23" s="6"/>
      <c r="G23" s="5"/>
      <c r="H23" s="5"/>
      <c r="I23" s="5"/>
      <c r="J23" s="5"/>
      <c r="K23" s="35"/>
      <c r="L23" s="36"/>
      <c r="M23" s="5"/>
      <c r="N23" s="5"/>
    </row>
    <row r="24" spans="2:17" ht="17.100000000000001" customHeight="1">
      <c r="B24" s="972" t="s">
        <v>29</v>
      </c>
      <c r="C24" s="972"/>
      <c r="D24" s="5"/>
      <c r="E24" s="972" t="s">
        <v>29</v>
      </c>
      <c r="F24" s="972"/>
      <c r="G24" s="972"/>
      <c r="H24" s="6"/>
      <c r="I24" s="6"/>
      <c r="J24" s="5"/>
      <c r="K24" s="972" t="s">
        <v>29</v>
      </c>
      <c r="L24" s="972"/>
      <c r="M24" s="972"/>
      <c r="N24" s="972"/>
    </row>
    <row r="25" spans="2:17" ht="17.100000000000001" customHeight="1">
      <c r="B25" s="5"/>
      <c r="C25" s="5"/>
      <c r="D25" s="5"/>
      <c r="E25" s="6"/>
      <c r="F25" s="6"/>
      <c r="G25" s="5"/>
      <c r="H25" s="5"/>
      <c r="I25" s="5"/>
      <c r="J25" s="5"/>
      <c r="K25" s="35"/>
      <c r="L25" s="36"/>
      <c r="M25" s="5"/>
      <c r="N25" s="5"/>
    </row>
    <row r="26" spans="2:17" ht="17.100000000000001" customHeight="1"/>
    <row r="27" spans="2:17" ht="17.100000000000001" customHeight="1"/>
  </sheetData>
  <mergeCells count="21">
    <mergeCell ref="J17:N17"/>
    <mergeCell ref="B24:C24"/>
    <mergeCell ref="E24:G24"/>
    <mergeCell ref="C18:D18"/>
    <mergeCell ref="F18:H18"/>
    <mergeCell ref="K18:N18"/>
    <mergeCell ref="K24:N24"/>
    <mergeCell ref="B17:C17"/>
    <mergeCell ref="D17:H17"/>
    <mergeCell ref="O15:P15"/>
    <mergeCell ref="C6:G6"/>
    <mergeCell ref="D7:G7"/>
    <mergeCell ref="D8:G8"/>
    <mergeCell ref="E10:F10"/>
    <mergeCell ref="G10:I10"/>
    <mergeCell ref="J11:K11"/>
    <mergeCell ref="E12:F12"/>
    <mergeCell ref="G12:I12"/>
    <mergeCell ref="J13:K13"/>
    <mergeCell ref="E14:F14"/>
    <mergeCell ref="G14:I14"/>
  </mergeCells>
  <pageMargins left="0.53" right="0.39" top="0.75" bottom="0.75" header="0.3" footer="0.3"/>
  <pageSetup paperSize="9"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Q44"/>
  <sheetViews>
    <sheetView showGridLines="0" topLeftCell="A9" zoomScale="111" zoomScaleNormal="111" workbookViewId="0">
      <selection activeCell="R16" sqref="R16"/>
    </sheetView>
  </sheetViews>
  <sheetFormatPr defaultColWidth="8.875" defaultRowHeight="12.75"/>
  <cols>
    <col min="1" max="1" width="2.125" style="1" customWidth="1"/>
    <col min="2" max="2" width="12.5" style="1" bestFit="1" customWidth="1"/>
    <col min="3" max="3" width="32" style="1" customWidth="1"/>
    <col min="4" max="4" width="8.875" style="2"/>
    <col min="5" max="5" width="6.625" style="2" customWidth="1"/>
    <col min="6" max="6" width="17.875" style="2" customWidth="1"/>
    <col min="7" max="7" width="5.125" style="168" customWidth="1"/>
    <col min="8" max="8" width="3.875" style="2" customWidth="1"/>
    <col min="9" max="10" width="10.125" style="1" customWidth="1"/>
    <col min="11" max="11" width="9.375" style="874" customWidth="1"/>
    <col min="12" max="12" width="9.875" style="40" customWidth="1"/>
    <col min="13" max="13" width="12.375" style="1" customWidth="1"/>
    <col min="14" max="14" width="10.875" style="1" customWidth="1"/>
    <col min="15" max="15" width="21" style="1" hidden="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5" hidden="1"/>
    <row r="2" spans="2:15" s="375" customFormat="1" hidden="1">
      <c r="B2" s="407" t="s">
        <v>464</v>
      </c>
      <c r="C2" s="140" t="s">
        <v>132</v>
      </c>
      <c r="D2" s="866"/>
      <c r="G2" s="870"/>
      <c r="K2" s="875"/>
    </row>
    <row r="3" spans="2:15" s="375" customFormat="1" hidden="1">
      <c r="B3" s="407" t="s">
        <v>465</v>
      </c>
      <c r="C3" s="209" t="s">
        <v>255</v>
      </c>
      <c r="D3" s="473"/>
      <c r="G3" s="870"/>
      <c r="K3" s="875"/>
    </row>
    <row r="4" spans="2:15" s="375" customFormat="1" hidden="1">
      <c r="B4" s="407" t="s">
        <v>466</v>
      </c>
      <c r="C4" s="140" t="s">
        <v>133</v>
      </c>
      <c r="D4" s="866"/>
      <c r="G4" s="870"/>
      <c r="K4" s="875"/>
    </row>
    <row r="5" spans="2:15" s="31" customFormat="1" ht="6.95" customHeight="1">
      <c r="B5" s="30"/>
      <c r="C5" s="30"/>
      <c r="D5" s="30"/>
      <c r="E5" s="30"/>
      <c r="G5" s="871"/>
      <c r="J5" s="30"/>
      <c r="K5" s="32"/>
      <c r="L5" s="33"/>
    </row>
    <row r="6" spans="2:15" s="98" customFormat="1" ht="26.1" customHeight="1">
      <c r="B6" s="99" t="s">
        <v>81</v>
      </c>
      <c r="C6" s="1121" t="s">
        <v>680</v>
      </c>
      <c r="D6" s="1121"/>
      <c r="E6" s="1121"/>
      <c r="F6" s="1121"/>
      <c r="G6" s="1121"/>
      <c r="H6" s="1121"/>
      <c r="I6" s="1121"/>
      <c r="J6" s="145"/>
      <c r="K6" s="876"/>
      <c r="L6" s="145"/>
      <c r="M6" s="145"/>
      <c r="N6" s="145"/>
    </row>
    <row r="7" spans="2:15" s="3" customFormat="1" ht="20.100000000000001" customHeight="1">
      <c r="B7" s="213" t="s">
        <v>404</v>
      </c>
      <c r="C7" s="213" t="s">
        <v>541</v>
      </c>
      <c r="D7" s="867"/>
      <c r="F7" s="211" t="s">
        <v>278</v>
      </c>
      <c r="G7" s="872" t="s">
        <v>438</v>
      </c>
      <c r="H7" s="211"/>
      <c r="K7" s="877"/>
      <c r="L7" s="212"/>
      <c r="M7" s="212"/>
      <c r="N7" s="31"/>
    </row>
    <row r="8" spans="2:15" s="3" customFormat="1" ht="18.95" customHeight="1">
      <c r="B8" s="213" t="s">
        <v>280</v>
      </c>
      <c r="C8" s="472" t="s">
        <v>542</v>
      </c>
      <c r="D8" s="867"/>
      <c r="F8" s="211" t="s">
        <v>477</v>
      </c>
      <c r="G8" s="872" t="s">
        <v>471</v>
      </c>
      <c r="H8" s="211"/>
      <c r="K8" s="877"/>
      <c r="L8" s="212"/>
      <c r="M8" s="212"/>
      <c r="N8" s="31"/>
    </row>
    <row r="9" spans="2:15" s="3" customFormat="1" ht="6.95" customHeight="1">
      <c r="D9" s="75"/>
      <c r="E9" s="85"/>
      <c r="F9" s="85"/>
      <c r="G9" s="85"/>
      <c r="H9" s="85"/>
      <c r="I9" s="85"/>
      <c r="J9" s="85"/>
      <c r="K9" s="75"/>
      <c r="L9" s="85"/>
      <c r="M9" s="85"/>
      <c r="N9" s="85"/>
    </row>
    <row r="10" spans="2:15"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5" ht="21" customHeight="1">
      <c r="B11" s="430" t="s">
        <v>21</v>
      </c>
      <c r="C11" s="431" t="s">
        <v>478</v>
      </c>
      <c r="D11" s="868">
        <v>0.1</v>
      </c>
      <c r="E11" s="1179"/>
      <c r="F11" s="1180"/>
      <c r="G11" s="1156"/>
      <c r="H11" s="1158"/>
      <c r="I11" s="1157"/>
      <c r="J11" s="214"/>
      <c r="K11" s="430"/>
      <c r="L11" s="433"/>
      <c r="M11" s="430"/>
      <c r="N11" s="466">
        <f>N12</f>
        <v>0.10245</v>
      </c>
    </row>
    <row r="12" spans="2:15" ht="21" customHeight="1">
      <c r="B12" s="418"/>
      <c r="C12" s="435" t="s">
        <v>469</v>
      </c>
      <c r="D12" s="421"/>
      <c r="E12" s="1174"/>
      <c r="F12" s="1174"/>
      <c r="G12" s="436"/>
      <c r="H12" s="436"/>
      <c r="I12" s="437"/>
      <c r="J12" s="396"/>
      <c r="K12" s="822">
        <v>1</v>
      </c>
      <c r="L12" s="810">
        <f>'A7.9.KPI Ban HCNS Quy 2.26'!M26</f>
        <v>1.0245</v>
      </c>
      <c r="M12" s="811">
        <f>L12/K12*100%</f>
        <v>1.0245</v>
      </c>
      <c r="N12" s="496">
        <f>M12*D11</f>
        <v>0.10245</v>
      </c>
    </row>
    <row r="13" spans="2:15" ht="21" customHeight="1">
      <c r="B13" s="430" t="s">
        <v>22</v>
      </c>
      <c r="C13" s="440" t="s">
        <v>23</v>
      </c>
      <c r="D13" s="869">
        <v>0.8</v>
      </c>
      <c r="E13" s="1169"/>
      <c r="F13" s="1170"/>
      <c r="G13" s="1156"/>
      <c r="H13" s="1158"/>
      <c r="I13" s="1157"/>
      <c r="J13" s="1171"/>
      <c r="K13" s="1172"/>
      <c r="L13" s="443"/>
      <c r="M13" s="442"/>
      <c r="N13" s="467">
        <f>SUM(N15:N20)*D13</f>
        <v>0.71199999999999997</v>
      </c>
    </row>
    <row r="14" spans="2:15" ht="21" customHeight="1">
      <c r="B14" s="418" t="s">
        <v>245</v>
      </c>
      <c r="C14" s="444" t="s">
        <v>24</v>
      </c>
      <c r="D14" s="446"/>
      <c r="E14" s="1173"/>
      <c r="F14" s="1173"/>
      <c r="G14" s="873"/>
      <c r="H14" s="446"/>
      <c r="I14" s="446"/>
      <c r="J14" s="445"/>
      <c r="K14" s="878"/>
      <c r="L14" s="447"/>
      <c r="M14" s="445"/>
      <c r="N14" s="448"/>
    </row>
    <row r="15" spans="2:15" ht="60" customHeight="1">
      <c r="B15" s="86">
        <v>1</v>
      </c>
      <c r="C15" s="343" t="str">
        <f>'A7.9.KPI Ban HCNS Quy 2.26'!C11</f>
        <v xml:space="preserve"> Tỷ lệ văn bản, hồ sơ xử lý đúng hạn sau khi tiếp nhận văn bản ≥ 90%/tổng số lượng văn bản văn phòng điện tử tiếp nhận </v>
      </c>
      <c r="D15" s="348">
        <v>0.2</v>
      </c>
      <c r="E15" s="1167" t="str">
        <f>'A7.9.KPI Ban HCNS Quy 2.26'!F11</f>
        <v>TH &lt; 80%: KPI= 0
TH ≥ 80%: TH/KH*100%
Max KPI = 120%</v>
      </c>
      <c r="F15" s="1168"/>
      <c r="G15" s="1163" t="str">
        <f>'A7.9.KPI Ban HCNS Quy 2.26'!H11</f>
        <v>Ban HCNS báo cáo, Ban kế hoạch xác nhận</v>
      </c>
      <c r="H15" s="1164"/>
      <c r="I15" s="1165"/>
      <c r="J15" s="451" t="str">
        <f>'A7.9.KPI Ban HCNS Quy 2.26'!I11</f>
        <v>%</v>
      </c>
      <c r="K15" s="391">
        <f>'A7.9.KPI Ban HCNS Quy 2.26'!J11</f>
        <v>0.9</v>
      </c>
      <c r="L15" s="346">
        <v>1</v>
      </c>
      <c r="M15" s="352">
        <f>IF(LEN(L15)=0,"",IF(AND(L15&gt;=D15,L15&lt;100%),100%,IF(L15=100%,120%,0%)))</f>
        <v>1.2</v>
      </c>
      <c r="N15" s="807">
        <f>IFERROR(M15*D15,"")</f>
        <v>0.24</v>
      </c>
    </row>
    <row r="16" spans="2:15" ht="42" customHeight="1">
      <c r="B16" s="86">
        <v>2</v>
      </c>
      <c r="C16" s="343" t="str">
        <f>'A7.9.KPI Ban HCNS Quy 2.26'!C16</f>
        <v xml:space="preserve">Kinh phí Đào tạo không vượt quá kế hoạch được duyệt </v>
      </c>
      <c r="D16" s="348">
        <v>0.2</v>
      </c>
      <c r="E16" s="1092" t="str">
        <f>'A7.9.KPI Ban HCNS Quy 2.26'!F16</f>
        <v>TH ≤  KH: KPI = 100%
TH &gt; KH: KPI =0%</v>
      </c>
      <c r="F16" s="1093"/>
      <c r="G16" s="1163" t="str">
        <f>'A7.9.KPI Ban HCNS Quy 2.26'!H16</f>
        <v>Báo cáo của Ban HCNS, Ban TCKT xác nhận</v>
      </c>
      <c r="H16" s="1164"/>
      <c r="I16" s="1165"/>
      <c r="J16" s="490" t="str">
        <f>'A7.9.KPI Ban HCNS Quy 2.26'!I16</f>
        <v>%</v>
      </c>
      <c r="K16" s="879">
        <f>'A7.9.KPI Ban HCNS Quy 2.26'!J16</f>
        <v>1</v>
      </c>
      <c r="L16" s="911">
        <v>1</v>
      </c>
      <c r="M16" s="345">
        <f>IF(LEN(L16)=0,"",IF(L16&gt;K16,0,MIN(120%,K16/L16*100%)))</f>
        <v>1</v>
      </c>
      <c r="N16" s="807">
        <f t="shared" ref="N16:N20" si="0">IFERROR(M16*D16,"")</f>
        <v>0.2</v>
      </c>
      <c r="O16" s="13"/>
    </row>
    <row r="17" spans="2:17" ht="32.25" customHeight="1">
      <c r="B17" s="86">
        <v>3</v>
      </c>
      <c r="C17" s="343" t="str">
        <f>'A7.9.KPI Ban HCNS Quy 2.26'!C25</f>
        <v>Tổ chức 01 khóa đào tạo</v>
      </c>
      <c r="D17" s="348">
        <v>0.25</v>
      </c>
      <c r="E17" s="1167" t="str">
        <f>'A7.9.KPI Ban HCNS Quy 2.26'!F25</f>
        <v>TH ≥ KH, KPI = 100%
TH &lt; KH, KPI = 0</v>
      </c>
      <c r="F17" s="1168"/>
      <c r="G17" s="1163" t="str">
        <f>'A7.9.KPI Ban HCNS Quy 2.26'!H25</f>
        <v>HCNS báo cáo, Ban Kế hoạch xác nhận</v>
      </c>
      <c r="H17" s="1164"/>
      <c r="I17" s="1165"/>
      <c r="J17" s="451" t="str">
        <f>'A7.9.KPI Ban HCNS Quy 2.26'!I25</f>
        <v>Khoá đào tạo</v>
      </c>
      <c r="K17" s="865">
        <f>'A7.9.KPI Ban HCNS Quy 2.26'!J25</f>
        <v>1</v>
      </c>
      <c r="L17" s="863">
        <v>1</v>
      </c>
      <c r="M17" s="352">
        <f>IF(LEN(L17)=0,"",IF(L17&gt;=K17,1,0))</f>
        <v>1</v>
      </c>
      <c r="N17" s="807">
        <f t="shared" si="0"/>
        <v>0.25</v>
      </c>
    </row>
    <row r="18" spans="2:17" ht="21" customHeight="1">
      <c r="B18" s="418" t="s">
        <v>245</v>
      </c>
      <c r="C18" s="444" t="s">
        <v>128</v>
      </c>
      <c r="D18" s="446"/>
      <c r="E18" s="1166"/>
      <c r="F18" s="1166"/>
      <c r="G18" s="454"/>
      <c r="H18" s="454"/>
      <c r="I18" s="455"/>
      <c r="J18" s="445"/>
      <c r="K18" s="878"/>
      <c r="L18" s="447"/>
      <c r="M18" s="445"/>
      <c r="N18" s="814"/>
      <c r="O18" s="889" t="s">
        <v>682</v>
      </c>
    </row>
    <row r="19" spans="2:17" ht="39.950000000000003" customHeight="1">
      <c r="B19" s="86">
        <v>1</v>
      </c>
      <c r="C19" s="522" t="s">
        <v>663</v>
      </c>
      <c r="D19" s="457">
        <v>0.2</v>
      </c>
      <c r="E19" s="1092" t="s">
        <v>413</v>
      </c>
      <c r="F19" s="1093"/>
      <c r="G19" s="1094" t="s">
        <v>590</v>
      </c>
      <c r="H19" s="1095"/>
      <c r="I19" s="1096"/>
      <c r="J19" s="451" t="s">
        <v>414</v>
      </c>
      <c r="K19" s="487">
        <v>0</v>
      </c>
      <c r="L19" s="364">
        <v>0</v>
      </c>
      <c r="M19" s="365">
        <f>IF(LEN(L19)=0,"",IF(L19&lt;=K19,100%,0%))</f>
        <v>1</v>
      </c>
      <c r="N19" s="807">
        <f>IFERROR(M19*D19,"")</f>
        <v>0.2</v>
      </c>
    </row>
    <row r="20" spans="2:17" ht="39.950000000000003" customHeight="1">
      <c r="B20" s="86">
        <v>2</v>
      </c>
      <c r="C20" s="511" t="s">
        <v>452</v>
      </c>
      <c r="D20" s="457">
        <v>0.15</v>
      </c>
      <c r="E20" s="1092" t="s">
        <v>413</v>
      </c>
      <c r="F20" s="1093"/>
      <c r="G20" s="1094" t="s">
        <v>590</v>
      </c>
      <c r="H20" s="1095"/>
      <c r="I20" s="1096"/>
      <c r="J20" s="451" t="s">
        <v>414</v>
      </c>
      <c r="K20" s="487">
        <v>0</v>
      </c>
      <c r="L20" s="962">
        <v>1</v>
      </c>
      <c r="M20" s="365">
        <f>IF(LEN(L20)=0,"",IF(L20&lt;=K20,100%,0%))</f>
        <v>0</v>
      </c>
      <c r="N20" s="807">
        <f t="shared" si="0"/>
        <v>0</v>
      </c>
    </row>
    <row r="21" spans="2:17" ht="21" customHeight="1">
      <c r="B21" s="430" t="s">
        <v>40</v>
      </c>
      <c r="C21" s="459" t="s">
        <v>233</v>
      </c>
      <c r="D21" s="359">
        <v>0.1</v>
      </c>
      <c r="E21" s="1156"/>
      <c r="F21" s="1157"/>
      <c r="G21" s="1156"/>
      <c r="H21" s="1158"/>
      <c r="I21" s="1157"/>
      <c r="J21" s="1159"/>
      <c r="K21" s="1159"/>
      <c r="L21" s="433"/>
      <c r="M21" s="430"/>
      <c r="N21" s="434">
        <f>MIN(10%, MAX(0, D21+SUM(N22)))</f>
        <v>0.1</v>
      </c>
    </row>
    <row r="22" spans="2:17" ht="17.100000000000001" customHeight="1">
      <c r="B22" s="86"/>
      <c r="C22" s="389" t="s">
        <v>710</v>
      </c>
      <c r="D22" s="351"/>
      <c r="E22" s="1093"/>
      <c r="F22" s="1093"/>
      <c r="G22" s="1160"/>
      <c r="H22" s="1161"/>
      <c r="I22" s="1162"/>
      <c r="J22" s="395"/>
      <c r="K22" s="880"/>
      <c r="L22" s="462"/>
      <c r="M22" s="345">
        <f>L22*-50%</f>
        <v>0</v>
      </c>
      <c r="N22" s="346">
        <f>M22*$D$21</f>
        <v>0</v>
      </c>
    </row>
    <row r="23" spans="2:17" ht="20.25" hidden="1" customHeight="1">
      <c r="B23" s="86"/>
      <c r="C23" s="389"/>
      <c r="D23" s="351"/>
      <c r="E23" s="1093"/>
      <c r="F23" s="1093"/>
      <c r="G23" s="1160"/>
      <c r="H23" s="1161"/>
      <c r="I23" s="1162"/>
      <c r="J23" s="395"/>
      <c r="K23" s="880"/>
      <c r="L23" s="462"/>
      <c r="M23" s="345">
        <f>L23*-30%</f>
        <v>0</v>
      </c>
      <c r="N23" s="346">
        <f>M23*$D$21</f>
        <v>0</v>
      </c>
    </row>
    <row r="24" spans="2:17" ht="16.5">
      <c r="B24" s="214"/>
      <c r="C24" s="214" t="s">
        <v>4</v>
      </c>
      <c r="D24" s="339"/>
      <c r="E24" s="1156"/>
      <c r="F24" s="1157"/>
      <c r="G24" s="1156"/>
      <c r="H24" s="1158"/>
      <c r="I24" s="1157"/>
      <c r="J24" s="338"/>
      <c r="K24" s="641"/>
      <c r="L24" s="464"/>
      <c r="M24" s="338"/>
      <c r="N24" s="466">
        <f>N11+N13+N21</f>
        <v>0.91444999999999999</v>
      </c>
      <c r="O24" s="1143"/>
      <c r="P24" s="1143"/>
    </row>
    <row r="25" spans="2:17" ht="17.100000000000001" customHeight="1">
      <c r="B25" s="5"/>
      <c r="C25" s="5"/>
      <c r="D25" s="6"/>
      <c r="E25" s="6"/>
      <c r="F25" s="6"/>
      <c r="G25" s="58"/>
      <c r="H25" s="6"/>
      <c r="I25" s="5"/>
      <c r="J25" s="5"/>
      <c r="K25" s="881"/>
      <c r="L25" s="36"/>
      <c r="M25" s="5"/>
      <c r="N25" s="5"/>
    </row>
    <row r="26" spans="2:17" ht="12.95" hidden="1" customHeight="1">
      <c r="B26" s="37"/>
      <c r="C26" s="47"/>
      <c r="D26" s="37"/>
      <c r="E26" s="38"/>
      <c r="F26" s="38"/>
      <c r="G26" s="47"/>
      <c r="H26" s="37"/>
      <c r="I26" s="38"/>
      <c r="J26" s="38"/>
      <c r="K26" s="37"/>
      <c r="L26" s="38"/>
      <c r="M26" s="38"/>
      <c r="N26" s="38"/>
      <c r="O26" s="38"/>
      <c r="P26" s="38"/>
      <c r="Q26" s="37"/>
    </row>
    <row r="27" spans="2:17" s="51" customFormat="1" ht="23.25" customHeight="1">
      <c r="B27" s="1079" t="s">
        <v>539</v>
      </c>
      <c r="C27" s="975"/>
      <c r="D27" s="1079" t="s">
        <v>537</v>
      </c>
      <c r="E27" s="975"/>
      <c r="F27" s="975"/>
      <c r="G27" s="975"/>
      <c r="H27" s="975"/>
      <c r="I27" s="471"/>
      <c r="J27" s="1079" t="s">
        <v>540</v>
      </c>
      <c r="K27" s="1079"/>
      <c r="L27" s="1079"/>
      <c r="M27" s="1079"/>
      <c r="N27" s="1079"/>
      <c r="O27" s="471"/>
      <c r="P27" s="471"/>
      <c r="Q27" s="471"/>
    </row>
    <row r="28" spans="2:17">
      <c r="B28" s="6"/>
      <c r="C28" s="5"/>
      <c r="D28" s="6"/>
      <c r="E28" s="5"/>
      <c r="F28" s="5"/>
      <c r="G28" s="58"/>
      <c r="I28" s="6"/>
      <c r="J28" s="6"/>
      <c r="K28" s="6"/>
      <c r="L28" s="5"/>
      <c r="M28" s="5"/>
      <c r="N28" s="5"/>
      <c r="O28" s="5"/>
      <c r="P28" s="5"/>
      <c r="Q28" s="5"/>
    </row>
    <row r="29" spans="2:17">
      <c r="B29" s="6"/>
      <c r="C29" s="5"/>
      <c r="D29" s="6"/>
      <c r="E29" s="5"/>
      <c r="F29" s="5"/>
      <c r="G29" s="58"/>
      <c r="I29" s="5" t="s">
        <v>681</v>
      </c>
      <c r="J29" s="6"/>
      <c r="K29" s="6"/>
      <c r="L29" s="5"/>
      <c r="M29" s="5"/>
      <c r="N29" s="5"/>
      <c r="O29" s="5"/>
      <c r="P29" s="5"/>
      <c r="Q29" s="6"/>
    </row>
    <row r="30" spans="2:17">
      <c r="B30" s="6"/>
      <c r="C30" s="5"/>
      <c r="D30" s="6"/>
      <c r="E30" s="5"/>
      <c r="F30" s="5"/>
      <c r="G30" s="58"/>
      <c r="I30" s="5"/>
      <c r="J30" s="6"/>
      <c r="K30" s="6"/>
      <c r="L30" s="5"/>
      <c r="M30" s="5"/>
      <c r="N30" s="5"/>
      <c r="O30" s="5"/>
      <c r="P30" s="5"/>
      <c r="Q30" s="6"/>
    </row>
    <row r="31" spans="2:17">
      <c r="B31" s="6"/>
      <c r="C31" s="5"/>
      <c r="D31" s="6"/>
      <c r="E31" s="5"/>
      <c r="F31" s="5"/>
      <c r="G31" s="58"/>
      <c r="I31" s="5"/>
      <c r="J31" s="6"/>
      <c r="K31" s="6"/>
      <c r="L31" s="5"/>
      <c r="M31" s="5"/>
      <c r="N31" s="5"/>
      <c r="O31" s="5"/>
      <c r="P31" s="5"/>
      <c r="Q31" s="6"/>
    </row>
    <row r="32" spans="2:17">
      <c r="B32" s="6"/>
      <c r="C32" s="5"/>
      <c r="D32" s="6"/>
      <c r="E32" s="5"/>
      <c r="F32" s="5"/>
      <c r="G32" s="58"/>
      <c r="I32" s="5"/>
      <c r="J32" s="6"/>
      <c r="K32" s="6"/>
      <c r="L32" s="5"/>
      <c r="M32" s="5"/>
      <c r="N32" s="5"/>
      <c r="O32" s="5"/>
      <c r="P32" s="5"/>
      <c r="Q32" s="6"/>
    </row>
    <row r="33" spans="2:17" hidden="1">
      <c r="B33" s="6"/>
      <c r="C33" s="5"/>
      <c r="D33" s="6"/>
      <c r="E33" s="5"/>
      <c r="F33" s="5"/>
      <c r="G33" s="58"/>
      <c r="I33" s="5"/>
      <c r="J33" s="6"/>
      <c r="K33" s="6"/>
      <c r="L33" s="5"/>
      <c r="M33" s="5"/>
      <c r="N33" s="5"/>
      <c r="O33" s="5"/>
      <c r="P33" s="5"/>
      <c r="Q33" s="6"/>
    </row>
    <row r="34" spans="2:17">
      <c r="B34" s="972" t="s">
        <v>29</v>
      </c>
      <c r="C34" s="972"/>
      <c r="D34" s="972" t="s">
        <v>29</v>
      </c>
      <c r="E34" s="972"/>
      <c r="F34" s="972"/>
      <c r="G34" s="972"/>
      <c r="H34" s="972"/>
      <c r="I34" s="5"/>
      <c r="J34" s="972" t="s">
        <v>29</v>
      </c>
      <c r="K34" s="972"/>
      <c r="L34" s="972"/>
      <c r="M34" s="972"/>
      <c r="N34" s="972"/>
      <c r="O34" s="5"/>
      <c r="P34" s="5"/>
      <c r="Q34" s="5"/>
    </row>
    <row r="35" spans="2:17">
      <c r="B35" s="6"/>
      <c r="C35" s="5"/>
      <c r="D35" s="6"/>
      <c r="E35" s="5"/>
      <c r="F35" s="5"/>
      <c r="G35" s="58"/>
      <c r="I35" s="5"/>
      <c r="J35" s="6"/>
      <c r="K35" s="6"/>
      <c r="L35" s="5"/>
      <c r="M35" s="5"/>
      <c r="N35" s="5"/>
      <c r="O35" s="5"/>
      <c r="P35" s="5"/>
      <c r="Q35" s="6"/>
    </row>
    <row r="36" spans="2:17">
      <c r="B36" s="37"/>
      <c r="C36" s="47"/>
      <c r="D36" s="37"/>
      <c r="E36" s="38"/>
      <c r="F36" s="38"/>
      <c r="G36" s="47"/>
      <c r="I36" s="38"/>
      <c r="J36" s="37"/>
      <c r="K36" s="37"/>
      <c r="L36" s="38"/>
      <c r="M36" s="38"/>
      <c r="N36" s="38"/>
      <c r="O36" s="38"/>
      <c r="P36" s="38"/>
      <c r="Q36" s="37"/>
    </row>
    <row r="37" spans="2:17" ht="24" customHeight="1">
      <c r="B37" s="1080"/>
      <c r="C37" s="972"/>
      <c r="D37" s="1080"/>
      <c r="E37" s="972"/>
      <c r="F37" s="972"/>
      <c r="G37" s="972"/>
      <c r="H37" s="972"/>
      <c r="I37" s="245"/>
      <c r="J37" s="972"/>
      <c r="K37" s="972"/>
      <c r="L37" s="972"/>
      <c r="M37" s="972"/>
      <c r="N37" s="245"/>
      <c r="O37" s="1080"/>
      <c r="P37" s="972"/>
      <c r="Q37" s="972"/>
    </row>
    <row r="38" spans="2:17">
      <c r="B38" s="6"/>
      <c r="C38" s="5"/>
      <c r="D38" s="6"/>
      <c r="E38" s="5"/>
      <c r="F38" s="5"/>
      <c r="G38" s="58"/>
      <c r="I38" s="6"/>
      <c r="J38" s="6"/>
      <c r="K38" s="6"/>
      <c r="L38" s="5"/>
      <c r="M38" s="5"/>
      <c r="N38" s="5"/>
      <c r="O38" s="5"/>
      <c r="P38" s="5"/>
      <c r="Q38" s="5"/>
    </row>
    <row r="39" spans="2:17">
      <c r="B39" s="6"/>
      <c r="C39" s="5"/>
      <c r="D39" s="6"/>
      <c r="E39" s="5"/>
      <c r="F39" s="5"/>
      <c r="G39" s="58"/>
      <c r="I39" s="5"/>
      <c r="J39" s="6"/>
      <c r="K39" s="6"/>
      <c r="L39" s="5"/>
      <c r="M39" s="5"/>
      <c r="N39" s="5"/>
      <c r="O39" s="5"/>
      <c r="P39" s="5"/>
      <c r="Q39" s="6"/>
    </row>
    <row r="40" spans="2:17">
      <c r="B40" s="6"/>
      <c r="C40" s="5"/>
      <c r="D40" s="6"/>
      <c r="E40" s="5"/>
      <c r="F40" s="5"/>
      <c r="G40" s="58"/>
      <c r="I40" s="5"/>
      <c r="J40" s="6"/>
      <c r="K40" s="6"/>
      <c r="L40" s="5"/>
      <c r="M40" s="5"/>
      <c r="N40" s="5"/>
      <c r="O40" s="5"/>
      <c r="P40" s="5"/>
      <c r="Q40" s="6"/>
    </row>
    <row r="41" spans="2:17">
      <c r="B41" s="6"/>
      <c r="C41" s="5"/>
      <c r="D41" s="6"/>
      <c r="E41" s="5"/>
      <c r="F41" s="5"/>
      <c r="G41" s="58"/>
      <c r="I41" s="5"/>
      <c r="J41" s="6"/>
      <c r="K41" s="6"/>
      <c r="L41" s="5"/>
      <c r="M41" s="5"/>
      <c r="N41" s="5"/>
      <c r="O41" s="5"/>
      <c r="P41" s="5"/>
      <c r="Q41" s="6"/>
    </row>
    <row r="42" spans="2:17">
      <c r="B42" s="6"/>
      <c r="C42" s="5"/>
      <c r="D42" s="6"/>
      <c r="E42" s="5"/>
      <c r="F42" s="5"/>
      <c r="G42" s="58"/>
      <c r="I42" s="5"/>
      <c r="J42" s="6"/>
      <c r="K42" s="6"/>
      <c r="L42" s="5"/>
      <c r="M42" s="5"/>
      <c r="N42" s="5"/>
      <c r="O42" s="5"/>
      <c r="P42" s="5"/>
      <c r="Q42" s="6"/>
    </row>
    <row r="43" spans="2:17">
      <c r="B43" s="6"/>
      <c r="C43" s="5"/>
      <c r="D43" s="6"/>
      <c r="E43" s="5"/>
      <c r="F43" s="5"/>
      <c r="G43" s="58"/>
      <c r="I43" s="5"/>
      <c r="J43" s="6"/>
      <c r="K43" s="6"/>
      <c r="L43" s="5"/>
      <c r="M43" s="5"/>
      <c r="N43" s="5"/>
      <c r="O43" s="5"/>
      <c r="P43" s="5"/>
      <c r="Q43" s="6"/>
    </row>
    <row r="44" spans="2:17">
      <c r="B44" s="972"/>
      <c r="C44" s="972"/>
      <c r="D44" s="972"/>
      <c r="E44" s="972"/>
      <c r="F44" s="972"/>
      <c r="G44" s="972"/>
      <c r="H44" s="972"/>
      <c r="I44" s="5"/>
      <c r="J44" s="972"/>
      <c r="K44" s="972"/>
      <c r="L44" s="972"/>
      <c r="M44" s="972"/>
      <c r="N44" s="5"/>
      <c r="O44" s="972"/>
      <c r="P44" s="972"/>
      <c r="Q44" s="972"/>
    </row>
  </sheetData>
  <mergeCells count="45">
    <mergeCell ref="E12:F12"/>
    <mergeCell ref="C6:I6"/>
    <mergeCell ref="E10:F10"/>
    <mergeCell ref="G10:I10"/>
    <mergeCell ref="E11:F11"/>
    <mergeCell ref="G11:I11"/>
    <mergeCell ref="E13:F13"/>
    <mergeCell ref="G13:I13"/>
    <mergeCell ref="J13:K13"/>
    <mergeCell ref="E14:F14"/>
    <mergeCell ref="E15:F15"/>
    <mergeCell ref="G15:I15"/>
    <mergeCell ref="E16:F16"/>
    <mergeCell ref="G16:I16"/>
    <mergeCell ref="E18:F18"/>
    <mergeCell ref="E17:F17"/>
    <mergeCell ref="G17:I17"/>
    <mergeCell ref="E19:F19"/>
    <mergeCell ref="G19:I19"/>
    <mergeCell ref="E20:F20"/>
    <mergeCell ref="G20:I20"/>
    <mergeCell ref="E21:F21"/>
    <mergeCell ref="G21:I21"/>
    <mergeCell ref="J21:K21"/>
    <mergeCell ref="E22:F22"/>
    <mergeCell ref="G22:I22"/>
    <mergeCell ref="E23:F23"/>
    <mergeCell ref="G23:I23"/>
    <mergeCell ref="O24:P24"/>
    <mergeCell ref="B27:C27"/>
    <mergeCell ref="D27:H27"/>
    <mergeCell ref="B34:C34"/>
    <mergeCell ref="D34:H34"/>
    <mergeCell ref="E24:F24"/>
    <mergeCell ref="G24:I24"/>
    <mergeCell ref="J27:N27"/>
    <mergeCell ref="J34:N34"/>
    <mergeCell ref="B37:C37"/>
    <mergeCell ref="D37:H37"/>
    <mergeCell ref="J37:M37"/>
    <mergeCell ref="O37:Q37"/>
    <mergeCell ref="B44:C44"/>
    <mergeCell ref="D44:H44"/>
    <mergeCell ref="J44:M44"/>
    <mergeCell ref="O44:Q44"/>
  </mergeCells>
  <pageMargins left="0.17" right="0.17" top="0.19" bottom="0.17" header="0.17" footer="0.17"/>
  <pageSetup paperSize="9" scale="85"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Q45"/>
  <sheetViews>
    <sheetView showGridLines="0" topLeftCell="A15" zoomScaleNormal="100" workbookViewId="0">
      <selection activeCell="A24" sqref="A24:XFD24"/>
    </sheetView>
  </sheetViews>
  <sheetFormatPr defaultColWidth="8.875" defaultRowHeight="12.75"/>
  <cols>
    <col min="1" max="1" width="2.125" style="1" customWidth="1"/>
    <col min="2" max="2" width="11.625" style="1" customWidth="1"/>
    <col min="3" max="3" width="32" style="1" customWidth="1"/>
    <col min="4" max="4" width="8.875" style="1"/>
    <col min="5" max="5" width="6.625" style="2" customWidth="1"/>
    <col min="6" max="6" width="22.875" style="2" customWidth="1"/>
    <col min="7" max="7" width="5.125" style="2" customWidth="1"/>
    <col min="8" max="8" width="3.875" style="2" customWidth="1"/>
    <col min="9" max="10" width="10.125" style="1" customWidth="1"/>
    <col min="11" max="11" width="13.875" style="39" customWidth="1"/>
    <col min="12" max="12" width="9.875" style="40" customWidth="1"/>
    <col min="13" max="13" width="12.37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5" hidden="1"/>
    <row r="2" spans="2:15" s="375" customFormat="1" hidden="1">
      <c r="B2" s="407" t="s">
        <v>464</v>
      </c>
      <c r="C2" s="140" t="s">
        <v>132</v>
      </c>
      <c r="D2" s="140"/>
    </row>
    <row r="3" spans="2:15" s="375" customFormat="1" hidden="1">
      <c r="B3" s="407" t="s">
        <v>465</v>
      </c>
      <c r="C3" s="209" t="s">
        <v>255</v>
      </c>
      <c r="D3" s="209"/>
    </row>
    <row r="4" spans="2:15" s="375" customFormat="1" hidden="1">
      <c r="B4" s="407" t="s">
        <v>466</v>
      </c>
      <c r="C4" s="140" t="s">
        <v>133</v>
      </c>
      <c r="D4" s="140"/>
    </row>
    <row r="5" spans="2:15" s="31" customFormat="1" ht="6.95" customHeight="1">
      <c r="B5" s="30"/>
      <c r="C5" s="30"/>
      <c r="E5" s="30"/>
      <c r="J5" s="30"/>
      <c r="K5" s="32"/>
      <c r="L5" s="33"/>
    </row>
    <row r="6" spans="2:15" s="98" customFormat="1" ht="26.1" customHeight="1">
      <c r="B6" s="99" t="s">
        <v>81</v>
      </c>
      <c r="C6" s="1121" t="s">
        <v>689</v>
      </c>
      <c r="D6" s="1121"/>
      <c r="E6" s="1121"/>
      <c r="F6" s="1121"/>
      <c r="G6" s="1121"/>
      <c r="H6" s="1121"/>
      <c r="I6" s="1121"/>
      <c r="J6" s="145"/>
      <c r="K6" s="145"/>
      <c r="L6" s="145"/>
      <c r="M6" s="145"/>
      <c r="N6" s="145"/>
    </row>
    <row r="7" spans="2:15" s="3" customFormat="1" ht="20.100000000000001" customHeight="1">
      <c r="B7" s="213" t="s">
        <v>404</v>
      </c>
      <c r="C7" s="213" t="s">
        <v>543</v>
      </c>
      <c r="D7" s="211"/>
      <c r="E7" s="211"/>
      <c r="F7" s="211"/>
      <c r="G7" s="211"/>
      <c r="H7" s="211"/>
      <c r="I7" s="211" t="s">
        <v>278</v>
      </c>
      <c r="J7" s="212" t="s">
        <v>439</v>
      </c>
      <c r="K7" s="212"/>
      <c r="L7" s="212"/>
      <c r="M7" s="212"/>
      <c r="N7" s="31"/>
    </row>
    <row r="8" spans="2:15" s="3" customFormat="1" ht="18.95" customHeight="1">
      <c r="B8" s="213" t="s">
        <v>280</v>
      </c>
      <c r="C8" s="472" t="s">
        <v>544</v>
      </c>
      <c r="D8" s="211"/>
      <c r="E8" s="211"/>
      <c r="F8" s="211"/>
      <c r="G8" s="211"/>
      <c r="H8" s="211"/>
      <c r="I8" s="211" t="s">
        <v>477</v>
      </c>
      <c r="J8" s="212" t="s">
        <v>471</v>
      </c>
      <c r="K8" s="212"/>
      <c r="L8" s="212"/>
      <c r="M8" s="212"/>
      <c r="N8" s="31"/>
    </row>
    <row r="9" spans="2:15" s="3" customFormat="1" ht="6.95" customHeight="1">
      <c r="D9" s="85"/>
      <c r="E9" s="85"/>
      <c r="F9" s="85"/>
      <c r="G9" s="85"/>
      <c r="H9" s="85"/>
      <c r="I9" s="85"/>
      <c r="J9" s="85"/>
      <c r="K9" s="85"/>
      <c r="L9" s="85"/>
      <c r="M9" s="85"/>
      <c r="N9" s="85"/>
    </row>
    <row r="10" spans="2:15"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5" ht="21" customHeight="1">
      <c r="B11" s="430" t="s">
        <v>21</v>
      </c>
      <c r="C11" s="431" t="s">
        <v>478</v>
      </c>
      <c r="D11" s="868">
        <v>0.1</v>
      </c>
      <c r="E11" s="1179"/>
      <c r="F11" s="1180"/>
      <c r="G11" s="1156"/>
      <c r="H11" s="1158"/>
      <c r="I11" s="1157"/>
      <c r="J11" s="214"/>
      <c r="K11" s="214"/>
      <c r="L11" s="433"/>
      <c r="M11" s="430"/>
      <c r="N11" s="466">
        <f>N12</f>
        <v>0.10245</v>
      </c>
    </row>
    <row r="12" spans="2:15" ht="21" customHeight="1">
      <c r="B12" s="418"/>
      <c r="C12" s="435" t="s">
        <v>469</v>
      </c>
      <c r="D12" s="421"/>
      <c r="E12" s="1174"/>
      <c r="F12" s="1174"/>
      <c r="G12" s="436"/>
      <c r="H12" s="436"/>
      <c r="I12" s="437"/>
      <c r="J12" s="396"/>
      <c r="K12" s="438">
        <v>1</v>
      </c>
      <c r="L12" s="810">
        <f>'A7.9.KPI Ban HCNS Quy 2.26'!M26</f>
        <v>1.0245</v>
      </c>
      <c r="M12" s="811">
        <f>L12/K12*100%</f>
        <v>1.0245</v>
      </c>
      <c r="N12" s="496">
        <f>M12*D11</f>
        <v>0.10245</v>
      </c>
    </row>
    <row r="13" spans="2:15" ht="21" customHeight="1">
      <c r="B13" s="430" t="s">
        <v>22</v>
      </c>
      <c r="C13" s="440" t="s">
        <v>23</v>
      </c>
      <c r="D13" s="869">
        <v>0.8</v>
      </c>
      <c r="E13" s="1169"/>
      <c r="F13" s="1170"/>
      <c r="G13" s="1156"/>
      <c r="H13" s="1158"/>
      <c r="I13" s="1157"/>
      <c r="J13" s="1171"/>
      <c r="K13" s="1172"/>
      <c r="L13" s="443"/>
      <c r="M13" s="442"/>
      <c r="N13" s="467">
        <f>SUM(N15:N21)*D13</f>
        <v>0.82400000000000007</v>
      </c>
    </row>
    <row r="14" spans="2:15" ht="21" customHeight="1">
      <c r="B14" s="418" t="s">
        <v>245</v>
      </c>
      <c r="C14" s="444" t="s">
        <v>24</v>
      </c>
      <c r="D14" s="446"/>
      <c r="E14" s="1173"/>
      <c r="F14" s="1173"/>
      <c r="G14" s="446"/>
      <c r="H14" s="446"/>
      <c r="I14" s="446"/>
      <c r="J14" s="445"/>
      <c r="K14" s="447"/>
      <c r="L14" s="447"/>
      <c r="M14" s="445"/>
      <c r="N14" s="448"/>
    </row>
    <row r="15" spans="2:15" ht="49.5" customHeight="1">
      <c r="B15" s="86">
        <v>1</v>
      </c>
      <c r="C15" s="642" t="str">
        <f>'A7.9.KPI Ban HCNS Quy 2.26'!C10</f>
        <v xml:space="preserve">Hoàn thành 95% các công việc theo phiếu giao việc, thông báo họp giao ban và thông báo khác của Ban Tổng giám đốc giao </v>
      </c>
      <c r="D15" s="348">
        <v>0.2</v>
      </c>
      <c r="E15" s="1092" t="str">
        <f>'A7.9.KPI Ban HCNS Quy 2.26'!F10</f>
        <v>TH ≥ KH, KPI = 100%
TH &lt; KH, KPI = 0</v>
      </c>
      <c r="F15" s="1093"/>
      <c r="G15" s="1163" t="s">
        <v>701</v>
      </c>
      <c r="H15" s="1164"/>
      <c r="I15" s="1165"/>
      <c r="J15" s="490" t="str">
        <f>'A7.9.KPI Ban HCNS Quy 2.26'!I10</f>
        <v>%</v>
      </c>
      <c r="K15" s="346">
        <f>'A7.9.KPI Ban HCNS Quy 2.26'!J10</f>
        <v>0.95</v>
      </c>
      <c r="L15" s="362">
        <v>1</v>
      </c>
      <c r="M15" s="352">
        <f>IF(LEN(L15)=0,"",IF(L15&gt;=K15,100%,0%))</f>
        <v>1</v>
      </c>
      <c r="N15" s="815">
        <f>IFERROR(M15*D15,"")</f>
        <v>0.2</v>
      </c>
      <c r="O15" s="13"/>
    </row>
    <row r="16" spans="2:15" ht="49.5" customHeight="1">
      <c r="B16" s="86">
        <v>2</v>
      </c>
      <c r="C16" s="642" t="s">
        <v>694</v>
      </c>
      <c r="D16" s="348">
        <v>0.15</v>
      </c>
      <c r="E16" s="1092" t="str">
        <f>'A7.9.KPI Ban HCNS Quy 2.26'!F13</f>
        <v>TH = 0, KPI = 100%
TH ≥ 1, KPI = 0%</v>
      </c>
      <c r="F16" s="1093"/>
      <c r="G16" s="1163" t="str">
        <f>'A7.9.KPI Ban HCNS Quy 2.26'!H13</f>
        <v>Báo cáo của Ban HCNS, Ban TCKT xác nhận</v>
      </c>
      <c r="H16" s="1164"/>
      <c r="I16" s="1165"/>
      <c r="J16" s="451" t="str">
        <f>'A7.9.KPI Ban HCNS Quy 2.26'!I13</f>
        <v>Lần</v>
      </c>
      <c r="K16" s="364">
        <f>'A7.9.KPI Ban HCNS Quy 2.26'!J13</f>
        <v>0</v>
      </c>
      <c r="L16" s="364">
        <v>0</v>
      </c>
      <c r="M16" s="365">
        <f>IF(LEN(L16)=0,"",IF(L16=K16,1,0))</f>
        <v>1</v>
      </c>
      <c r="N16" s="815">
        <f t="shared" ref="N16:N19" si="0">IFERROR(M16*D16,"")</f>
        <v>0.15</v>
      </c>
      <c r="O16" s="13"/>
    </row>
    <row r="17" spans="2:17" ht="49.5" customHeight="1">
      <c r="B17" s="86">
        <v>3</v>
      </c>
      <c r="C17" s="642" t="str">
        <f>'A7.9.KPI Ban HCNS Quy 2.26'!C19</f>
        <v>Trình HĐQT/ Tổng Giám đốc phương án, cách thức khảo sát mức độ hài lòng của khách hàng hạn cuối 30/6/2026</v>
      </c>
      <c r="D17" s="348">
        <v>0.2</v>
      </c>
      <c r="E17" s="1092" t="str">
        <f>'A7.9.KPI Ban HCNS Quy 2.26'!F19</f>
        <v>TH ≤ KH, KPI = 100% 
TH &gt; KH, KPI = 0%</v>
      </c>
      <c r="F17" s="1093"/>
      <c r="G17" s="1163" t="str">
        <f>'A7.9.KPI Ban HCNS Quy 2.26'!H19</f>
        <v>Ban HCNS xác nhận dựa trên phương án trình</v>
      </c>
      <c r="H17" s="1164"/>
      <c r="I17" s="1165"/>
      <c r="J17" s="451" t="str">
        <f>'A7.9.KPI Ban HCNS Quy 2.26'!I19</f>
        <v>Ngày</v>
      </c>
      <c r="K17" s="885">
        <f>'A7.9.KPI Ban HCNS Quy 2.26'!J19</f>
        <v>46203</v>
      </c>
      <c r="L17" s="885">
        <v>46203</v>
      </c>
      <c r="M17" s="365">
        <f>IF(LEN(L17)=0,"",IF(L17&lt;=K17,1,0))</f>
        <v>1</v>
      </c>
      <c r="N17" s="815">
        <f t="shared" si="0"/>
        <v>0.2</v>
      </c>
      <c r="O17" s="13"/>
    </row>
    <row r="18" spans="2:17" ht="38.25">
      <c r="B18" s="86">
        <v>4</v>
      </c>
      <c r="C18" s="643" t="str">
        <f>'A7.9.KPI Ban HCNS Quy 2.26'!C21</f>
        <v>Tỷ lệ phản ánh về chất lượng dịch vụ giảm 5% so với tổng phản ánh quý 2 năm trước</v>
      </c>
      <c r="D18" s="348">
        <v>0.15</v>
      </c>
      <c r="E18" s="1183" t="str">
        <f>'A7.9.KPI Ban HCNS Quy 2.26'!F21</f>
        <v>TH ≥ 80%KH: KPI = TH/KH*100%
TH &lt; 80%KH: KPI = 0% 
Max KPI = 120%</v>
      </c>
      <c r="F18" s="1184"/>
      <c r="G18" s="1163" t="str">
        <f>'A7.9.KPI Ban HCNS Quy 2.26'!H21</f>
        <v>HCNS báo cáo, các XN liên quan xác nhận</v>
      </c>
      <c r="H18" s="1164"/>
      <c r="I18" s="1165"/>
      <c r="J18" s="688" t="str">
        <f>'A7.9.KPI Ban HCNS Quy 2.26'!I21</f>
        <v>%</v>
      </c>
      <c r="K18" s="346">
        <f>'A7.9.KPI Ban HCNS Quy 2.26'!J21</f>
        <v>0.05</v>
      </c>
      <c r="L18" s="479">
        <v>0.37</v>
      </c>
      <c r="M18" s="354">
        <f>IF(LEN(L18)=0,"",IF(L18&lt;K18,0,MIN(120%,L18/K18*100%)))</f>
        <v>1.2</v>
      </c>
      <c r="N18" s="815">
        <f t="shared" si="0"/>
        <v>0.18</v>
      </c>
      <c r="O18" s="13"/>
    </row>
    <row r="19" spans="2:17" ht="42" customHeight="1">
      <c r="B19" s="86">
        <v>5</v>
      </c>
      <c r="C19" s="643" t="str">
        <f>'A7.9.KPI Ban HCNS Quy 2.26'!C24</f>
        <v>Trình phương án Xây dựng hệ thống khung bậc lương hạn cuối 30/6/2026</v>
      </c>
      <c r="D19" s="348">
        <v>0.2</v>
      </c>
      <c r="E19" s="1092" t="str">
        <f>'A7.9.KPI Ban HCNS Quy 2.26'!F24</f>
        <v>TH ≤ KH, KPI = 100% 
TH &gt; KH, KPI = 0%</v>
      </c>
      <c r="F19" s="1093"/>
      <c r="G19" s="1163" t="str">
        <f>'A7.9.KPI Ban HCNS Quy 2.26'!H24</f>
        <v>Ban KPI</v>
      </c>
      <c r="H19" s="1164"/>
      <c r="I19" s="1165"/>
      <c r="J19" s="451" t="str">
        <f>'A7.9.KPI Ban HCNS Quy 2.26'!I24</f>
        <v>Ngày</v>
      </c>
      <c r="K19" s="353">
        <f>'A7.9.KPI Ban HCNS Quy 2.26'!J24</f>
        <v>46203</v>
      </c>
      <c r="L19" s="353">
        <v>46203</v>
      </c>
      <c r="M19" s="354">
        <f>IF(LEN(L19)=0,"",IF(L19&lt;=K19,1,0))</f>
        <v>1</v>
      </c>
      <c r="N19" s="815">
        <f t="shared" si="0"/>
        <v>0.2</v>
      </c>
      <c r="O19" s="13"/>
    </row>
    <row r="20" spans="2:17" ht="21" customHeight="1">
      <c r="B20" s="418" t="s">
        <v>245</v>
      </c>
      <c r="C20" s="444" t="s">
        <v>128</v>
      </c>
      <c r="D20" s="446"/>
      <c r="E20" s="1173"/>
      <c r="F20" s="1173"/>
      <c r="G20" s="446"/>
      <c r="H20" s="446"/>
      <c r="I20" s="446"/>
      <c r="J20" s="445"/>
      <c r="K20" s="447"/>
      <c r="L20" s="447"/>
      <c r="M20" s="445"/>
      <c r="N20" s="448"/>
    </row>
    <row r="21" spans="2:17" ht="63.75">
      <c r="B21" s="86">
        <v>1</v>
      </c>
      <c r="C21" s="511" t="s">
        <v>481</v>
      </c>
      <c r="D21" s="348">
        <v>0.1</v>
      </c>
      <c r="E21" s="1092" t="s">
        <v>342</v>
      </c>
      <c r="F21" s="1093"/>
      <c r="G21" s="1094" t="s">
        <v>524</v>
      </c>
      <c r="H21" s="1095"/>
      <c r="I21" s="1096"/>
      <c r="J21" s="451" t="s">
        <v>414</v>
      </c>
      <c r="K21" s="465">
        <v>1</v>
      </c>
      <c r="L21" s="820">
        <v>1</v>
      </c>
      <c r="M21" s="354">
        <f>IF(LEN(L21)=0,"",IF(L21&lt;=K21,100%,0%))</f>
        <v>1</v>
      </c>
      <c r="N21" s="807">
        <f>IFERROR(M21*D21,"")</f>
        <v>0.1</v>
      </c>
    </row>
    <row r="22" spans="2:17" ht="21" customHeight="1">
      <c r="B22" s="430" t="s">
        <v>40</v>
      </c>
      <c r="C22" s="459" t="s">
        <v>233</v>
      </c>
      <c r="D22" s="359">
        <v>0.1</v>
      </c>
      <c r="E22" s="1156"/>
      <c r="F22" s="1157"/>
      <c r="G22" s="1156"/>
      <c r="H22" s="1158"/>
      <c r="I22" s="1157"/>
      <c r="J22" s="1159"/>
      <c r="K22" s="1159"/>
      <c r="L22" s="433">
        <v>0</v>
      </c>
      <c r="M22" s="430"/>
      <c r="N22" s="434">
        <f>MIN(10%, MAX(0, D22+SUM(N23)))</f>
        <v>0</v>
      </c>
    </row>
    <row r="23" spans="2:17" ht="18" customHeight="1">
      <c r="B23" s="86"/>
      <c r="C23" s="389" t="s">
        <v>719</v>
      </c>
      <c r="D23" s="351"/>
      <c r="E23" s="1093"/>
      <c r="F23" s="1093"/>
      <c r="G23" s="1160"/>
      <c r="H23" s="1161"/>
      <c r="I23" s="1162"/>
      <c r="J23" s="395"/>
      <c r="K23" s="461"/>
      <c r="L23" s="917">
        <v>6</v>
      </c>
      <c r="M23" s="345">
        <f>L23*-50%</f>
        <v>-3</v>
      </c>
      <c r="N23" s="346">
        <f>M23*$D$22</f>
        <v>-0.30000000000000004</v>
      </c>
    </row>
    <row r="24" spans="2:17" ht="18" hidden="1" customHeight="1">
      <c r="B24" s="86"/>
      <c r="C24" s="389"/>
      <c r="D24" s="351"/>
      <c r="E24" s="1181"/>
      <c r="F24" s="1182"/>
      <c r="G24" s="1160"/>
      <c r="H24" s="1161"/>
      <c r="I24" s="1162"/>
      <c r="J24" s="395"/>
      <c r="K24" s="461"/>
      <c r="L24" s="462">
        <v>0</v>
      </c>
      <c r="M24" s="345"/>
      <c r="N24" s="346"/>
    </row>
    <row r="25" spans="2:17" ht="16.5">
      <c r="B25" s="214"/>
      <c r="C25" s="214" t="s">
        <v>4</v>
      </c>
      <c r="D25" s="338"/>
      <c r="E25" s="1156"/>
      <c r="F25" s="1157"/>
      <c r="G25" s="1156"/>
      <c r="H25" s="1158"/>
      <c r="I25" s="1157"/>
      <c r="J25" s="338"/>
      <c r="K25" s="463"/>
      <c r="L25" s="464"/>
      <c r="M25" s="338"/>
      <c r="N25" s="466">
        <f>N11+N13+N22</f>
        <v>0.92645000000000011</v>
      </c>
      <c r="O25" s="1143"/>
      <c r="P25" s="1143"/>
    </row>
    <row r="26" spans="2:17" ht="17.100000000000001" customHeight="1">
      <c r="B26" s="5"/>
      <c r="C26" s="5"/>
      <c r="D26" s="5"/>
      <c r="E26" s="6"/>
      <c r="F26" s="6"/>
      <c r="G26" s="6"/>
      <c r="H26" s="6"/>
      <c r="I26" s="5"/>
      <c r="J26" s="5"/>
      <c r="K26" s="35"/>
      <c r="L26" s="36"/>
      <c r="M26" s="5"/>
      <c r="N26" s="5"/>
    </row>
    <row r="27" spans="2:17" ht="12.95" hidden="1" customHeight="1">
      <c r="B27" s="37"/>
      <c r="C27" s="47"/>
      <c r="D27" s="38"/>
      <c r="E27" s="38"/>
      <c r="F27" s="38"/>
      <c r="G27" s="37"/>
      <c r="H27" s="37"/>
      <c r="I27" s="38"/>
      <c r="J27" s="38"/>
      <c r="K27" s="38"/>
      <c r="L27" s="38"/>
      <c r="M27" s="38"/>
      <c r="N27" s="38"/>
      <c r="O27" s="38"/>
      <c r="P27" s="38"/>
      <c r="Q27" s="37"/>
    </row>
    <row r="28" spans="2:17" s="51" customFormat="1" ht="23.25" customHeight="1">
      <c r="B28" s="1079" t="s">
        <v>539</v>
      </c>
      <c r="C28" s="975"/>
      <c r="D28" s="1079" t="s">
        <v>537</v>
      </c>
      <c r="E28" s="975"/>
      <c r="F28" s="975"/>
      <c r="G28" s="975"/>
      <c r="H28" s="975"/>
      <c r="I28" s="471"/>
      <c r="J28" s="1079" t="s">
        <v>540</v>
      </c>
      <c r="K28" s="1079"/>
      <c r="L28" s="1079"/>
      <c r="M28" s="1079"/>
      <c r="N28" s="1079"/>
      <c r="O28" s="471"/>
      <c r="P28" s="471"/>
      <c r="Q28" s="471"/>
    </row>
    <row r="29" spans="2:17">
      <c r="B29" s="6"/>
      <c r="C29" s="5"/>
      <c r="D29" s="6"/>
      <c r="E29" s="5"/>
      <c r="F29" s="5"/>
      <c r="G29" s="58"/>
      <c r="I29" s="6"/>
      <c r="J29" s="6"/>
      <c r="K29" s="6"/>
      <c r="L29" s="5"/>
      <c r="M29" s="5"/>
      <c r="N29" s="5"/>
      <c r="O29" s="5"/>
      <c r="P29" s="5"/>
      <c r="Q29" s="5"/>
    </row>
    <row r="30" spans="2:17">
      <c r="B30" s="6"/>
      <c r="C30" s="5"/>
      <c r="D30" s="6"/>
      <c r="E30" s="5"/>
      <c r="F30" s="5"/>
      <c r="G30" s="58"/>
      <c r="I30" s="5" t="s">
        <v>681</v>
      </c>
      <c r="J30" s="6"/>
      <c r="K30" s="6"/>
      <c r="L30" s="5"/>
      <c r="M30" s="5"/>
      <c r="N30" s="5"/>
      <c r="O30" s="5"/>
      <c r="P30" s="5"/>
      <c r="Q30" s="6"/>
    </row>
    <row r="31" spans="2:17">
      <c r="B31" s="6"/>
      <c r="C31" s="5"/>
      <c r="D31" s="6"/>
      <c r="E31" s="5"/>
      <c r="F31" s="5"/>
      <c r="G31" s="58"/>
      <c r="I31" s="5"/>
      <c r="J31" s="6"/>
      <c r="K31" s="6"/>
      <c r="L31" s="5"/>
      <c r="M31" s="5"/>
      <c r="N31" s="5"/>
      <c r="O31" s="5"/>
      <c r="P31" s="5"/>
      <c r="Q31" s="6"/>
    </row>
    <row r="32" spans="2:17">
      <c r="B32" s="6"/>
      <c r="C32" s="5"/>
      <c r="D32" s="6"/>
      <c r="E32" s="5"/>
      <c r="F32" s="5"/>
      <c r="G32" s="58"/>
      <c r="I32" s="5"/>
      <c r="J32" s="6"/>
      <c r="K32" s="6"/>
      <c r="L32" s="5"/>
      <c r="M32" s="5"/>
      <c r="N32" s="5"/>
      <c r="O32" s="5"/>
      <c r="P32" s="5"/>
      <c r="Q32" s="6"/>
    </row>
    <row r="33" spans="2:17">
      <c r="B33" s="6"/>
      <c r="C33" s="5"/>
      <c r="D33" s="6"/>
      <c r="E33" s="5"/>
      <c r="F33" s="5"/>
      <c r="G33" s="58"/>
      <c r="I33" s="5"/>
      <c r="J33" s="6"/>
      <c r="K33" s="6"/>
      <c r="L33" s="5"/>
      <c r="M33" s="5"/>
      <c r="N33" s="5"/>
      <c r="O33" s="5"/>
      <c r="P33" s="5"/>
      <c r="Q33" s="6"/>
    </row>
    <row r="34" spans="2:17" hidden="1">
      <c r="B34" s="6"/>
      <c r="C34" s="5"/>
      <c r="D34" s="6"/>
      <c r="E34" s="5"/>
      <c r="F34" s="5"/>
      <c r="G34" s="58"/>
      <c r="I34" s="5"/>
      <c r="J34" s="6"/>
      <c r="K34" s="6"/>
      <c r="L34" s="5"/>
      <c r="M34" s="5"/>
      <c r="N34" s="5"/>
      <c r="O34" s="5"/>
      <c r="P34" s="5"/>
      <c r="Q34" s="6"/>
    </row>
    <row r="35" spans="2:17">
      <c r="B35" s="972" t="s">
        <v>29</v>
      </c>
      <c r="C35" s="972"/>
      <c r="D35" s="972" t="s">
        <v>29</v>
      </c>
      <c r="E35" s="972"/>
      <c r="F35" s="972"/>
      <c r="G35" s="972"/>
      <c r="H35" s="972"/>
      <c r="I35" s="5"/>
      <c r="J35" s="972" t="s">
        <v>29</v>
      </c>
      <c r="K35" s="972"/>
      <c r="L35" s="972"/>
      <c r="M35" s="972"/>
      <c r="N35" s="972"/>
      <c r="O35" s="5"/>
      <c r="P35" s="5"/>
      <c r="Q35" s="5"/>
    </row>
    <row r="36" spans="2:17">
      <c r="B36" s="6"/>
      <c r="C36" s="5"/>
      <c r="D36" s="5"/>
      <c r="E36" s="5"/>
      <c r="F36" s="5"/>
      <c r="G36" s="6"/>
      <c r="I36" s="5"/>
      <c r="J36" s="6"/>
      <c r="K36" s="5"/>
      <c r="L36" s="5"/>
      <c r="M36" s="5"/>
      <c r="N36" s="5"/>
      <c r="O36" s="5"/>
      <c r="P36" s="5"/>
      <c r="Q36" s="6"/>
    </row>
    <row r="37" spans="2:17">
      <c r="B37" s="37"/>
      <c r="C37" s="47"/>
      <c r="D37" s="38"/>
      <c r="E37" s="38"/>
      <c r="F37" s="38"/>
      <c r="G37" s="37"/>
      <c r="I37" s="38"/>
      <c r="J37" s="37"/>
      <c r="K37" s="38"/>
      <c r="L37" s="38"/>
      <c r="M37" s="38"/>
      <c r="N37" s="38"/>
      <c r="O37" s="38"/>
      <c r="P37" s="38"/>
      <c r="Q37" s="37"/>
    </row>
    <row r="38" spans="2:17" ht="24" customHeight="1">
      <c r="B38" s="1080"/>
      <c r="C38" s="972"/>
      <c r="D38" s="1080"/>
      <c r="E38" s="972"/>
      <c r="F38" s="972"/>
      <c r="G38" s="972"/>
      <c r="H38" s="972"/>
      <c r="I38" s="245"/>
      <c r="J38" s="972"/>
      <c r="K38" s="972"/>
      <c r="L38" s="972"/>
      <c r="M38" s="972"/>
      <c r="N38" s="245"/>
      <c r="O38" s="1080"/>
      <c r="P38" s="972"/>
      <c r="Q38" s="972"/>
    </row>
    <row r="39" spans="2:17">
      <c r="B39" s="6"/>
      <c r="C39" s="5"/>
      <c r="D39" s="5"/>
      <c r="E39" s="5"/>
      <c r="F39" s="5"/>
      <c r="G39" s="6"/>
      <c r="I39" s="6"/>
      <c r="J39" s="6"/>
      <c r="K39" s="6"/>
      <c r="L39" s="5"/>
      <c r="M39" s="5"/>
      <c r="N39" s="5"/>
      <c r="O39" s="5"/>
      <c r="P39" s="5"/>
      <c r="Q39" s="5"/>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972"/>
      <c r="C45" s="972"/>
      <c r="D45" s="972"/>
      <c r="E45" s="972"/>
      <c r="F45" s="972"/>
      <c r="G45" s="972"/>
      <c r="H45" s="972"/>
      <c r="I45" s="5"/>
      <c r="J45" s="972"/>
      <c r="K45" s="972"/>
      <c r="L45" s="972"/>
      <c r="M45" s="972"/>
      <c r="N45" s="5"/>
      <c r="O45" s="972"/>
      <c r="P45" s="972"/>
      <c r="Q45" s="972"/>
    </row>
  </sheetData>
  <mergeCells count="47">
    <mergeCell ref="E17:F17"/>
    <mergeCell ref="G17:I17"/>
    <mergeCell ref="E12:F12"/>
    <mergeCell ref="C6:I6"/>
    <mergeCell ref="E10:F10"/>
    <mergeCell ref="G10:I10"/>
    <mergeCell ref="E11:F11"/>
    <mergeCell ref="G11:I11"/>
    <mergeCell ref="E13:F13"/>
    <mergeCell ref="G13:I13"/>
    <mergeCell ref="J13:K13"/>
    <mergeCell ref="E14:F14"/>
    <mergeCell ref="E16:F16"/>
    <mergeCell ref="G16:I16"/>
    <mergeCell ref="E15:F15"/>
    <mergeCell ref="G15:I15"/>
    <mergeCell ref="E18:F18"/>
    <mergeCell ref="G18:I18"/>
    <mergeCell ref="E19:F19"/>
    <mergeCell ref="G19:I19"/>
    <mergeCell ref="E20:F20"/>
    <mergeCell ref="E21:F21"/>
    <mergeCell ref="G21:I21"/>
    <mergeCell ref="E22:F22"/>
    <mergeCell ref="G22:I22"/>
    <mergeCell ref="J22:K22"/>
    <mergeCell ref="E23:F23"/>
    <mergeCell ref="G23:I23"/>
    <mergeCell ref="E24:F24"/>
    <mergeCell ref="G24:I24"/>
    <mergeCell ref="O25:P25"/>
    <mergeCell ref="E25:F25"/>
    <mergeCell ref="G25:I25"/>
    <mergeCell ref="B28:C28"/>
    <mergeCell ref="B35:C35"/>
    <mergeCell ref="D28:H28"/>
    <mergeCell ref="J28:N28"/>
    <mergeCell ref="D35:H35"/>
    <mergeCell ref="J35:N35"/>
    <mergeCell ref="B38:C38"/>
    <mergeCell ref="D38:H38"/>
    <mergeCell ref="J38:M38"/>
    <mergeCell ref="O38:Q38"/>
    <mergeCell ref="B45:C45"/>
    <mergeCell ref="D45:H45"/>
    <mergeCell ref="J45:M45"/>
    <mergeCell ref="O45:Q45"/>
  </mergeCells>
  <pageMargins left="0.17" right="0.17" top="0.28000000000000003" bottom="0.17" header="0.3" footer="0.17"/>
  <pageSetup paperSize="9" scale="83"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Q44"/>
  <sheetViews>
    <sheetView showGridLines="0" topLeftCell="A15" zoomScaleNormal="100" workbookViewId="0">
      <selection activeCell="A24" sqref="A24:XFD24"/>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22.875" style="2" customWidth="1"/>
    <col min="7" max="7" width="5.125" style="2" customWidth="1"/>
    <col min="8" max="8" width="3.875" style="2" customWidth="1"/>
    <col min="9" max="10" width="10.125" style="1" customWidth="1"/>
    <col min="11" max="11" width="13.875" style="39" customWidth="1"/>
    <col min="12" max="12" width="9.875" style="40" customWidth="1"/>
    <col min="13" max="13" width="10.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5" hidden="1"/>
    <row r="2" spans="2:15" s="375" customFormat="1" hidden="1">
      <c r="B2" s="407" t="s">
        <v>464</v>
      </c>
      <c r="C2" s="140" t="s">
        <v>132</v>
      </c>
      <c r="D2" s="140"/>
    </row>
    <row r="3" spans="2:15" s="375" customFormat="1" hidden="1">
      <c r="B3" s="407" t="s">
        <v>465</v>
      </c>
      <c r="C3" s="209" t="s">
        <v>255</v>
      </c>
      <c r="D3" s="209"/>
    </row>
    <row r="4" spans="2:15" s="375" customFormat="1" hidden="1">
      <c r="B4" s="407" t="s">
        <v>466</v>
      </c>
      <c r="C4" s="140" t="s">
        <v>133</v>
      </c>
      <c r="D4" s="140"/>
    </row>
    <row r="5" spans="2:15" s="31" customFormat="1" ht="6.95" customHeight="1">
      <c r="B5" s="30"/>
      <c r="C5" s="30"/>
      <c r="E5" s="30"/>
      <c r="J5" s="30"/>
      <c r="K5" s="32"/>
      <c r="L5" s="33"/>
    </row>
    <row r="6" spans="2:15" s="98" customFormat="1" ht="26.1" customHeight="1">
      <c r="B6" s="99" t="s">
        <v>81</v>
      </c>
      <c r="C6" s="1121" t="s">
        <v>680</v>
      </c>
      <c r="D6" s="1121"/>
      <c r="E6" s="1121"/>
      <c r="F6" s="1121"/>
      <c r="G6" s="1121"/>
      <c r="H6" s="1121"/>
      <c r="I6" s="1121"/>
      <c r="J6" s="145"/>
      <c r="K6" s="145"/>
      <c r="L6" s="145"/>
      <c r="M6" s="145"/>
      <c r="N6" s="145"/>
    </row>
    <row r="7" spans="2:15" s="3" customFormat="1" ht="20.100000000000001" customHeight="1">
      <c r="B7" s="213" t="s">
        <v>404</v>
      </c>
      <c r="C7" s="213" t="s">
        <v>545</v>
      </c>
      <c r="D7" s="211"/>
      <c r="E7" s="211"/>
      <c r="F7" s="211"/>
      <c r="G7" s="211"/>
      <c r="H7" s="211"/>
      <c r="I7" s="211" t="s">
        <v>278</v>
      </c>
      <c r="J7" s="212" t="s">
        <v>440</v>
      </c>
      <c r="K7" s="212"/>
      <c r="L7" s="212"/>
      <c r="M7" s="212"/>
      <c r="N7" s="31"/>
    </row>
    <row r="8" spans="2:15" s="3" customFormat="1" ht="18.95" customHeight="1">
      <c r="B8" s="213" t="s">
        <v>280</v>
      </c>
      <c r="C8" s="472" t="s">
        <v>546</v>
      </c>
      <c r="D8" s="211"/>
      <c r="E8" s="211"/>
      <c r="F8" s="211"/>
      <c r="G8" s="211"/>
      <c r="H8" s="211"/>
      <c r="I8" s="211" t="s">
        <v>477</v>
      </c>
      <c r="J8" s="212" t="s">
        <v>471</v>
      </c>
      <c r="K8" s="212"/>
      <c r="L8" s="212"/>
      <c r="M8" s="212"/>
      <c r="N8" s="31"/>
    </row>
    <row r="9" spans="2:15" s="3" customFormat="1" ht="6.95" customHeight="1">
      <c r="D9" s="85"/>
      <c r="E9" s="85"/>
      <c r="F9" s="85"/>
      <c r="G9" s="85"/>
      <c r="H9" s="85"/>
      <c r="I9" s="85"/>
      <c r="J9" s="85"/>
      <c r="K9" s="85"/>
      <c r="L9" s="85"/>
      <c r="M9" s="85"/>
      <c r="N9" s="85"/>
    </row>
    <row r="10" spans="2:15"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5" ht="21" customHeight="1">
      <c r="B11" s="430" t="s">
        <v>21</v>
      </c>
      <c r="C11" s="431" t="s">
        <v>478</v>
      </c>
      <c r="D11" s="868">
        <v>0.1</v>
      </c>
      <c r="E11" s="1179"/>
      <c r="F11" s="1180"/>
      <c r="G11" s="1156"/>
      <c r="H11" s="1158"/>
      <c r="I11" s="1157"/>
      <c r="J11" s="214"/>
      <c r="K11" s="214"/>
      <c r="L11" s="433"/>
      <c r="M11" s="430"/>
      <c r="N11" s="466">
        <f>N12</f>
        <v>0.10245</v>
      </c>
    </row>
    <row r="12" spans="2:15" ht="21" customHeight="1">
      <c r="B12" s="418"/>
      <c r="C12" s="435" t="s">
        <v>469</v>
      </c>
      <c r="D12" s="421"/>
      <c r="E12" s="1174"/>
      <c r="F12" s="1174"/>
      <c r="G12" s="436"/>
      <c r="H12" s="436"/>
      <c r="I12" s="437"/>
      <c r="J12" s="396"/>
      <c r="K12" s="438">
        <v>1</v>
      </c>
      <c r="L12" s="810">
        <f>'A7.9.KPI Ban HCNS Quy 2.26'!M26</f>
        <v>1.0245</v>
      </c>
      <c r="M12" s="811">
        <f>L12/K12*100%</f>
        <v>1.0245</v>
      </c>
      <c r="N12" s="496">
        <f>M12*D11</f>
        <v>0.10245</v>
      </c>
    </row>
    <row r="13" spans="2:15" ht="21" customHeight="1">
      <c r="B13" s="430" t="s">
        <v>22</v>
      </c>
      <c r="C13" s="440" t="s">
        <v>23</v>
      </c>
      <c r="D13" s="869">
        <v>0.8</v>
      </c>
      <c r="E13" s="1169"/>
      <c r="F13" s="1170"/>
      <c r="G13" s="1156"/>
      <c r="H13" s="1158"/>
      <c r="I13" s="1157"/>
      <c r="J13" s="1171"/>
      <c r="K13" s="1172"/>
      <c r="L13" s="443"/>
      <c r="M13" s="442"/>
      <c r="N13" s="467">
        <f>SUM(N15:N21)*D13</f>
        <v>0.82400000000000007</v>
      </c>
    </row>
    <row r="14" spans="2:15" ht="21" customHeight="1">
      <c r="B14" s="418" t="s">
        <v>245</v>
      </c>
      <c r="C14" s="444" t="s">
        <v>24</v>
      </c>
      <c r="D14" s="446"/>
      <c r="E14" s="1173"/>
      <c r="F14" s="1173"/>
      <c r="G14" s="446"/>
      <c r="H14" s="446"/>
      <c r="I14" s="446"/>
      <c r="J14" s="445"/>
      <c r="K14" s="447"/>
      <c r="L14" s="447"/>
      <c r="M14" s="445"/>
      <c r="N14" s="448"/>
    </row>
    <row r="15" spans="2:15" ht="51" customHeight="1">
      <c r="B15" s="86">
        <v>1</v>
      </c>
      <c r="C15" s="343" t="str">
        <f>'A7.9.KPI Ban HCNS Quy 2.26'!C10</f>
        <v xml:space="preserve">Hoàn thành 95% các công việc theo phiếu giao việc, thông báo họp giao ban và thông báo khác của Ban Tổng giám đốc giao </v>
      </c>
      <c r="D15" s="344">
        <v>0.2</v>
      </c>
      <c r="E15" s="1092" t="str">
        <f>'A7.9.KPI Ban HCNS Quy 2.26'!F10</f>
        <v>TH ≥ KH, KPI = 100%
TH &lt; KH, KPI = 0</v>
      </c>
      <c r="F15" s="1093"/>
      <c r="G15" s="1163" t="s">
        <v>701</v>
      </c>
      <c r="H15" s="1164"/>
      <c r="I15" s="1165"/>
      <c r="J15" s="451" t="str">
        <f>'A7.9.KPI Ban HCNS Quy 2.26'!I10</f>
        <v>%</v>
      </c>
      <c r="K15" s="864">
        <f>'A7.9.KPI Ban HCNS Quy 2.26'!J10</f>
        <v>0.95</v>
      </c>
      <c r="L15" s="346">
        <f>'A7.9.KPI Ban HCNS Quy 2.26'!K10</f>
        <v>1</v>
      </c>
      <c r="M15" s="352">
        <f>IF(LEN(L15)=0,"",IF(L15&gt;=K15,100%,0%))</f>
        <v>1</v>
      </c>
      <c r="N15" s="815">
        <f t="shared" ref="N15:N21" si="0">IFERROR(M15*D15,"")</f>
        <v>0.2</v>
      </c>
      <c r="O15" s="13"/>
    </row>
    <row r="16" spans="2:15" ht="51">
      <c r="B16" s="86">
        <v>2</v>
      </c>
      <c r="C16" s="343" t="str">
        <f>'A7.9.KPI Ban HCNS Quy 2.26'!C11</f>
        <v xml:space="preserve"> Tỷ lệ văn bản, hồ sơ xử lý đúng hạn sau khi tiếp nhận văn bản ≥ 90%/tổng số lượng văn bản văn phòng điện tử tiếp nhận </v>
      </c>
      <c r="D16" s="344">
        <v>0.15</v>
      </c>
      <c r="E16" s="1092" t="str">
        <f>'A7.9.KPI Ban HCNS Quy 2.26'!F11</f>
        <v>TH &lt; 80%: KPI= 0
TH ≥ 80%: TH/KH*100%
Max KPI = 120%</v>
      </c>
      <c r="F16" s="1093"/>
      <c r="G16" s="1163" t="str">
        <f>'A7.9.KPI Ban HCNS Quy 2.26'!H11</f>
        <v>Ban HCNS báo cáo, Ban kế hoạch xác nhận</v>
      </c>
      <c r="H16" s="1164"/>
      <c r="I16" s="1165"/>
      <c r="J16" s="451" t="str">
        <f>'A7.9.KPI Ban HCNS Quy 2.26'!I11</f>
        <v>%</v>
      </c>
      <c r="K16" s="391">
        <f>'A7.9.KPI Ban HCNS Quy 2.26'!J11</f>
        <v>0.9</v>
      </c>
      <c r="L16" s="346">
        <f>'A7.9.KPI Ban HCNS Quy 2.26'!K11</f>
        <v>1</v>
      </c>
      <c r="M16" s="352">
        <f>IF(LEN(L16)=0,"",IF(AND(L16&gt;=D16,L16&lt;100%),100%,IF(L16=100%,120%,0%)))</f>
        <v>1.2</v>
      </c>
      <c r="N16" s="807">
        <f t="shared" si="0"/>
        <v>0.18</v>
      </c>
      <c r="O16" s="13"/>
    </row>
    <row r="17" spans="2:17" ht="38.25">
      <c r="B17" s="86">
        <v>3</v>
      </c>
      <c r="C17" s="343" t="str">
        <f>'A7.9.KPI Ban HCNS Quy 2.26'!C12</f>
        <v>Đảm bảo 100% công văn đi đến được xử lý đúng hạn (tại giai đoạn theo chức năng Ban HCNS)</v>
      </c>
      <c r="D17" s="344">
        <v>0.15</v>
      </c>
      <c r="E17" s="1092" t="str">
        <f>'A7.9.KPI Ban HCNS Quy 2.26'!F12</f>
        <v>TH = 0, KPI = 100%
TH ≥ 1, KPI = 0%</v>
      </c>
      <c r="F17" s="1093"/>
      <c r="G17" s="1163" t="str">
        <f>'A7.9.KPI Ban HCNS Quy 2.26'!H12</f>
        <v>Báo cáo của Ban HCNS</v>
      </c>
      <c r="H17" s="1164"/>
      <c r="I17" s="1165"/>
      <c r="J17" s="451" t="str">
        <f>'A7.9.KPI Ban HCNS Quy 2.26'!I12</f>
        <v>Lần</v>
      </c>
      <c r="K17" s="865">
        <f>'A7.9.KPI Ban HCNS Quy 2.26'!J12</f>
        <v>0</v>
      </c>
      <c r="L17" s="863">
        <f>'A7.9.KPI Ban HCNS Quy 2.26'!K12</f>
        <v>0</v>
      </c>
      <c r="M17" s="354">
        <f>IF(LEN(L17)=0,"",IF(L17&lt;=K17,1,0))</f>
        <v>1</v>
      </c>
      <c r="N17" s="815">
        <f t="shared" si="0"/>
        <v>0.15</v>
      </c>
      <c r="O17" s="13"/>
    </row>
    <row r="18" spans="2:17" ht="51">
      <c r="B18" s="86">
        <v>4</v>
      </c>
      <c r="C18" s="343" t="str">
        <f>'A7.9.KPI Ban HCNS Quy 2.26'!C20</f>
        <v>Thời gian xử lý đơn khiếu nại của KH (có báo cáo bằng văn bản) trung bình không quá 05 ngày làm việc kể từ ngày tiếp nhận đơn</v>
      </c>
      <c r="D18" s="344">
        <v>0.15</v>
      </c>
      <c r="E18" s="1092" t="str">
        <f>'A7.9.KPI Ban HCNS Quy 2.26'!F20</f>
        <v>TH ≤ KH: KPI = KH/TH*100%
TH &gt; KH: KPI = 0% 
Max KPI = 120%</v>
      </c>
      <c r="F18" s="1093"/>
      <c r="G18" s="1163" t="str">
        <f>'A7.9.KPI Ban HCNS Quy 2.26'!H20</f>
        <v>HCNS báo cáo, các XN liên quan xác nhận</v>
      </c>
      <c r="H18" s="1164"/>
      <c r="I18" s="1165"/>
      <c r="J18" s="451" t="str">
        <f>'A7.9.KPI Ban HCNS Quy 2.26'!I20</f>
        <v>Ngày</v>
      </c>
      <c r="K18" s="86">
        <f>'A7.9.KPI Ban HCNS Quy 2.26'!J20</f>
        <v>5</v>
      </c>
      <c r="L18" s="368">
        <f>'A7.9.KPI Ban HCNS Quy 2.26'!K20</f>
        <v>5</v>
      </c>
      <c r="M18" s="354">
        <f>IF(LEN(L18)=0,"",IF(L18&lt;=K18,1,0))</f>
        <v>1</v>
      </c>
      <c r="N18" s="815">
        <f t="shared" si="0"/>
        <v>0.15</v>
      </c>
      <c r="O18" s="13"/>
    </row>
    <row r="19" spans="2:17" ht="38.25">
      <c r="B19" s="86">
        <v>5</v>
      </c>
      <c r="C19" s="343" t="str">
        <f>'A7.9.KPI Ban HCNS Quy 2.26'!C19</f>
        <v>Trình HĐQT/ Tổng Giám đốc phương án, cách thức khảo sát mức độ hài lòng của khách hàng hạn cuối 30/6/2026</v>
      </c>
      <c r="D19" s="344">
        <v>0.15</v>
      </c>
      <c r="E19" s="1092" t="str">
        <f>'A7.9.KPI Ban HCNS Quy 2.26'!F19</f>
        <v>TH ≤ KH, KPI = 100% 
TH &gt; KH, KPI = 0%</v>
      </c>
      <c r="F19" s="1093"/>
      <c r="G19" s="1163" t="str">
        <f>'A7.9.KPI Ban HCNS Quy 2.26'!H19</f>
        <v>Ban HCNS xác nhận dựa trên phương án trình</v>
      </c>
      <c r="H19" s="1164"/>
      <c r="I19" s="1165"/>
      <c r="J19" s="451" t="str">
        <f>'A7.9.KPI Ban HCNS Quy 2.26'!I19</f>
        <v>Ngày</v>
      </c>
      <c r="K19" s="884">
        <f>'A7.9.KPI Ban HCNS Quy 2.26'!J19</f>
        <v>46203</v>
      </c>
      <c r="L19" s="353">
        <f>'A7.9.KPI Ban HCNS Quy 2.26'!K19</f>
        <v>46203</v>
      </c>
      <c r="M19" s="354">
        <f>IF(LEN(L19)=0,"",IF(L19&lt;=K19,1,0))</f>
        <v>1</v>
      </c>
      <c r="N19" s="815">
        <f t="shared" si="0"/>
        <v>0.15</v>
      </c>
      <c r="O19" s="13"/>
    </row>
    <row r="20" spans="2:17" ht="21" customHeight="1">
      <c r="B20" s="418" t="s">
        <v>245</v>
      </c>
      <c r="C20" s="444" t="s">
        <v>128</v>
      </c>
      <c r="D20" s="446"/>
      <c r="E20" s="1166"/>
      <c r="F20" s="1166"/>
      <c r="G20" s="454"/>
      <c r="H20" s="454"/>
      <c r="I20" s="455"/>
      <c r="J20" s="445"/>
      <c r="K20" s="447"/>
      <c r="L20" s="447"/>
      <c r="M20" s="445"/>
      <c r="N20" s="448"/>
    </row>
    <row r="21" spans="2:17" ht="39.75" customHeight="1">
      <c r="B21" s="86">
        <v>1</v>
      </c>
      <c r="C21" s="511" t="s">
        <v>519</v>
      </c>
      <c r="D21" s="344">
        <v>0.2</v>
      </c>
      <c r="E21" s="1092" t="s">
        <v>330</v>
      </c>
      <c r="F21" s="1093"/>
      <c r="G21" s="1185" t="s">
        <v>554</v>
      </c>
      <c r="H21" s="1186"/>
      <c r="I21" s="1187"/>
      <c r="J21" s="451" t="s">
        <v>326</v>
      </c>
      <c r="K21" s="391">
        <v>1</v>
      </c>
      <c r="L21" s="346">
        <v>1</v>
      </c>
      <c r="M21" s="352">
        <f>IF(LEN(L21)=0,"",IF(L21&gt;=K21,100%,0%))</f>
        <v>1</v>
      </c>
      <c r="N21" s="358">
        <f t="shared" si="0"/>
        <v>0.2</v>
      </c>
      <c r="O21" s="13"/>
    </row>
    <row r="22" spans="2:17" ht="21" customHeight="1">
      <c r="B22" s="430" t="s">
        <v>40</v>
      </c>
      <c r="C22" s="459" t="s">
        <v>233</v>
      </c>
      <c r="D22" s="359">
        <v>0.1</v>
      </c>
      <c r="E22" s="1156"/>
      <c r="F22" s="1157"/>
      <c r="G22" s="1156"/>
      <c r="H22" s="1158"/>
      <c r="I22" s="1157"/>
      <c r="J22" s="1159"/>
      <c r="K22" s="1159"/>
      <c r="L22" s="433"/>
      <c r="M22" s="430"/>
      <c r="N22" s="434">
        <f>MIN(10%, MAX(0, D22+SUM(N23)))</f>
        <v>0.05</v>
      </c>
    </row>
    <row r="23" spans="2:17" ht="17.100000000000001" customHeight="1">
      <c r="B23" s="86"/>
      <c r="C23" s="389" t="s">
        <v>719</v>
      </c>
      <c r="D23" s="351"/>
      <c r="E23" s="1093"/>
      <c r="F23" s="1093"/>
      <c r="G23" s="1160"/>
      <c r="H23" s="1161"/>
      <c r="I23" s="1162"/>
      <c r="J23" s="395"/>
      <c r="K23" s="461"/>
      <c r="L23" s="462">
        <v>1</v>
      </c>
      <c r="M23" s="345">
        <f>L23*-50%</f>
        <v>-0.5</v>
      </c>
      <c r="N23" s="346">
        <f>M23*$D$22</f>
        <v>-0.05</v>
      </c>
    </row>
    <row r="24" spans="2:17" ht="29.1" hidden="1" customHeight="1">
      <c r="B24" s="86"/>
      <c r="C24" s="389"/>
      <c r="D24" s="351"/>
      <c r="E24" s="1093"/>
      <c r="F24" s="1093"/>
      <c r="G24" s="1160"/>
      <c r="H24" s="1161"/>
      <c r="I24" s="1162"/>
      <c r="J24" s="395"/>
      <c r="K24" s="461"/>
      <c r="L24" s="462"/>
      <c r="M24" s="345"/>
      <c r="N24" s="346"/>
    </row>
    <row r="25" spans="2:17" ht="16.5">
      <c r="B25" s="214"/>
      <c r="C25" s="214" t="s">
        <v>4</v>
      </c>
      <c r="D25" s="338"/>
      <c r="E25" s="1156"/>
      <c r="F25" s="1157"/>
      <c r="G25" s="1156"/>
      <c r="H25" s="1158"/>
      <c r="I25" s="1157"/>
      <c r="J25" s="338"/>
      <c r="K25" s="463"/>
      <c r="L25" s="464"/>
      <c r="M25" s="338"/>
      <c r="N25" s="466">
        <f>N11+N13+N22</f>
        <v>0.97645000000000015</v>
      </c>
      <c r="O25" s="1143"/>
      <c r="P25" s="1143"/>
    </row>
    <row r="26" spans="2:17" ht="17.100000000000001" customHeight="1">
      <c r="B26" s="5"/>
      <c r="C26" s="5"/>
      <c r="D26" s="5"/>
      <c r="E26" s="6"/>
      <c r="F26" s="6"/>
      <c r="G26" s="6"/>
      <c r="H26" s="6"/>
      <c r="I26" s="5"/>
      <c r="J26" s="5"/>
      <c r="K26" s="35"/>
      <c r="L26" s="36"/>
      <c r="M26" s="5"/>
      <c r="N26" s="5"/>
    </row>
    <row r="27" spans="2:17" s="51" customFormat="1" ht="23.25" customHeight="1">
      <c r="B27" s="1079" t="s">
        <v>539</v>
      </c>
      <c r="C27" s="975"/>
      <c r="D27" s="1079" t="s">
        <v>537</v>
      </c>
      <c r="E27" s="975"/>
      <c r="F27" s="975"/>
      <c r="G27" s="975"/>
      <c r="H27" s="975"/>
      <c r="I27" s="471"/>
      <c r="J27" s="1079" t="s">
        <v>540</v>
      </c>
      <c r="K27" s="1079"/>
      <c r="L27" s="1079"/>
      <c r="M27" s="1079"/>
      <c r="N27" s="1079"/>
      <c r="O27" s="471"/>
      <c r="P27" s="471"/>
      <c r="Q27" s="471"/>
    </row>
    <row r="28" spans="2:17">
      <c r="B28" s="6"/>
      <c r="C28" s="5"/>
      <c r="D28" s="6"/>
      <c r="E28" s="5"/>
      <c r="F28" s="5"/>
      <c r="G28" s="58"/>
      <c r="I28" s="6"/>
      <c r="J28" s="6"/>
      <c r="K28" s="6"/>
      <c r="L28" s="5"/>
      <c r="M28" s="5"/>
      <c r="N28" s="5"/>
      <c r="O28" s="5"/>
      <c r="P28" s="5"/>
      <c r="Q28" s="5"/>
    </row>
    <row r="29" spans="2:17">
      <c r="B29" s="6"/>
      <c r="C29" s="5"/>
      <c r="D29" s="6"/>
      <c r="E29" s="5"/>
      <c r="F29" s="5"/>
      <c r="G29" s="58"/>
      <c r="I29" s="5" t="s">
        <v>681</v>
      </c>
      <c r="J29" s="6"/>
      <c r="K29" s="6"/>
      <c r="L29" s="5"/>
      <c r="M29" s="5"/>
      <c r="N29" s="5"/>
      <c r="O29" s="5"/>
      <c r="P29" s="5"/>
      <c r="Q29" s="6"/>
    </row>
    <row r="30" spans="2:17">
      <c r="B30" s="6"/>
      <c r="C30" s="5"/>
      <c r="D30" s="6"/>
      <c r="E30" s="5"/>
      <c r="F30" s="5"/>
      <c r="G30" s="58"/>
      <c r="I30" s="5"/>
      <c r="J30" s="6"/>
      <c r="K30" s="6"/>
      <c r="L30" s="5"/>
      <c r="M30" s="5"/>
      <c r="N30" s="5"/>
      <c r="O30" s="5"/>
      <c r="P30" s="5"/>
      <c r="Q30" s="6"/>
    </row>
    <row r="31" spans="2:17">
      <c r="B31" s="6"/>
      <c r="C31" s="5"/>
      <c r="D31" s="6"/>
      <c r="E31" s="5"/>
      <c r="F31" s="5"/>
      <c r="G31" s="58"/>
      <c r="I31" s="5"/>
      <c r="J31" s="6"/>
      <c r="K31" s="6"/>
      <c r="L31" s="5"/>
      <c r="M31" s="5"/>
      <c r="N31" s="5"/>
      <c r="O31" s="5"/>
      <c r="P31" s="5"/>
      <c r="Q31" s="6"/>
    </row>
    <row r="32" spans="2:17">
      <c r="B32" s="6"/>
      <c r="C32" s="5"/>
      <c r="D32" s="6"/>
      <c r="E32" s="5"/>
      <c r="F32" s="5"/>
      <c r="G32" s="58"/>
      <c r="I32" s="5"/>
      <c r="J32" s="6"/>
      <c r="K32" s="6"/>
      <c r="L32" s="5"/>
      <c r="M32" s="5"/>
      <c r="N32" s="5"/>
      <c r="O32" s="5"/>
      <c r="P32" s="5"/>
      <c r="Q32" s="6"/>
    </row>
    <row r="33" spans="2:17" hidden="1">
      <c r="B33" s="6"/>
      <c r="C33" s="5"/>
      <c r="D33" s="6"/>
      <c r="E33" s="5"/>
      <c r="F33" s="5"/>
      <c r="G33" s="58"/>
      <c r="I33" s="5"/>
      <c r="J33" s="6"/>
      <c r="K33" s="6"/>
      <c r="L33" s="5"/>
      <c r="M33" s="5"/>
      <c r="N33" s="5"/>
      <c r="O33" s="5"/>
      <c r="P33" s="5"/>
      <c r="Q33" s="6"/>
    </row>
    <row r="34" spans="2:17">
      <c r="B34" s="972" t="s">
        <v>29</v>
      </c>
      <c r="C34" s="972"/>
      <c r="D34" s="972" t="s">
        <v>29</v>
      </c>
      <c r="E34" s="972"/>
      <c r="F34" s="972"/>
      <c r="G34" s="972"/>
      <c r="H34" s="972"/>
      <c r="I34" s="5"/>
      <c r="J34" s="972" t="s">
        <v>29</v>
      </c>
      <c r="K34" s="972"/>
      <c r="L34" s="972"/>
      <c r="M34" s="972"/>
      <c r="N34" s="972"/>
      <c r="O34" s="5"/>
      <c r="P34" s="5"/>
      <c r="Q34" s="5"/>
    </row>
    <row r="35" spans="2:17">
      <c r="B35" s="6"/>
      <c r="C35" s="5"/>
      <c r="D35" s="5"/>
      <c r="E35" s="5"/>
      <c r="F35" s="5"/>
      <c r="G35" s="6"/>
      <c r="I35" s="5"/>
      <c r="J35" s="6"/>
      <c r="K35" s="5"/>
      <c r="L35" s="5"/>
      <c r="M35" s="5"/>
      <c r="N35" s="5"/>
      <c r="O35" s="5"/>
      <c r="P35" s="5"/>
      <c r="Q35" s="6"/>
    </row>
    <row r="36" spans="2:17">
      <c r="B36" s="37"/>
      <c r="C36" s="47"/>
      <c r="D36" s="38"/>
      <c r="E36" s="38"/>
      <c r="F36" s="38"/>
      <c r="G36" s="37"/>
      <c r="I36" s="38"/>
      <c r="J36" s="37"/>
      <c r="K36" s="38"/>
      <c r="L36" s="38"/>
      <c r="M36" s="38"/>
      <c r="N36" s="38"/>
      <c r="O36" s="38"/>
      <c r="P36" s="38"/>
      <c r="Q36" s="37"/>
    </row>
    <row r="37" spans="2:17" ht="24" customHeight="1">
      <c r="B37" s="1080"/>
      <c r="C37" s="972"/>
      <c r="D37" s="1080"/>
      <c r="E37" s="972"/>
      <c r="F37" s="972"/>
      <c r="G37" s="972"/>
      <c r="H37" s="972"/>
      <c r="I37" s="245"/>
      <c r="J37" s="972"/>
      <c r="K37" s="972"/>
      <c r="L37" s="972"/>
      <c r="M37" s="972"/>
      <c r="N37" s="245"/>
      <c r="O37" s="1080"/>
      <c r="P37" s="972"/>
      <c r="Q37" s="972"/>
    </row>
    <row r="38" spans="2:17">
      <c r="B38" s="6"/>
      <c r="C38" s="5"/>
      <c r="D38" s="5"/>
      <c r="E38" s="5"/>
      <c r="F38" s="5"/>
      <c r="G38" s="6"/>
      <c r="I38" s="6"/>
      <c r="J38" s="6"/>
      <c r="K38" s="6"/>
      <c r="L38" s="5"/>
      <c r="M38" s="5"/>
      <c r="N38" s="5"/>
      <c r="O38" s="5"/>
      <c r="P38" s="5"/>
      <c r="Q38" s="5"/>
    </row>
    <row r="39" spans="2:17">
      <c r="B39" s="6"/>
      <c r="C39" s="5"/>
      <c r="D39" s="5"/>
      <c r="E39" s="5"/>
      <c r="F39" s="5"/>
      <c r="G39" s="6"/>
      <c r="I39" s="5"/>
      <c r="J39" s="6"/>
      <c r="K39" s="5"/>
      <c r="L39" s="5"/>
      <c r="M39" s="5"/>
      <c r="N39" s="5"/>
      <c r="O39" s="5"/>
      <c r="P39" s="5"/>
      <c r="Q39" s="6"/>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972"/>
      <c r="C44" s="972"/>
      <c r="D44" s="972"/>
      <c r="E44" s="972"/>
      <c r="F44" s="972"/>
      <c r="G44" s="972"/>
      <c r="H44" s="972"/>
      <c r="I44" s="5"/>
      <c r="J44" s="972"/>
      <c r="K44" s="972"/>
      <c r="L44" s="972"/>
      <c r="M44" s="972"/>
      <c r="N44" s="5"/>
      <c r="O44" s="972"/>
      <c r="P44" s="972"/>
      <c r="Q44" s="972"/>
    </row>
  </sheetData>
  <mergeCells count="47">
    <mergeCell ref="J13:K13"/>
    <mergeCell ref="E14:F14"/>
    <mergeCell ref="E15:F15"/>
    <mergeCell ref="G15:I15"/>
    <mergeCell ref="C6:I6"/>
    <mergeCell ref="E10:F10"/>
    <mergeCell ref="G10:I10"/>
    <mergeCell ref="E11:F11"/>
    <mergeCell ref="G11:I11"/>
    <mergeCell ref="E12:F12"/>
    <mergeCell ref="E16:F16"/>
    <mergeCell ref="G16:I16"/>
    <mergeCell ref="E17:F17"/>
    <mergeCell ref="G17:I17"/>
    <mergeCell ref="E13:F13"/>
    <mergeCell ref="G13:I13"/>
    <mergeCell ref="E18:F18"/>
    <mergeCell ref="G18:I18"/>
    <mergeCell ref="E20:F20"/>
    <mergeCell ref="E21:F21"/>
    <mergeCell ref="G21:I21"/>
    <mergeCell ref="E19:F19"/>
    <mergeCell ref="G19:I19"/>
    <mergeCell ref="J22:K22"/>
    <mergeCell ref="E23:F23"/>
    <mergeCell ref="G23:I23"/>
    <mergeCell ref="E24:F24"/>
    <mergeCell ref="G24:I24"/>
    <mergeCell ref="E22:F22"/>
    <mergeCell ref="G22:I22"/>
    <mergeCell ref="O25:P25"/>
    <mergeCell ref="B27:C27"/>
    <mergeCell ref="D27:H27"/>
    <mergeCell ref="J27:N27"/>
    <mergeCell ref="B34:C34"/>
    <mergeCell ref="D34:H34"/>
    <mergeCell ref="J34:N34"/>
    <mergeCell ref="E25:F25"/>
    <mergeCell ref="G25:I25"/>
    <mergeCell ref="B37:C37"/>
    <mergeCell ref="D37:H37"/>
    <mergeCell ref="J37:M37"/>
    <mergeCell ref="O37:Q37"/>
    <mergeCell ref="B44:C44"/>
    <mergeCell ref="D44:H44"/>
    <mergeCell ref="J44:M44"/>
    <mergeCell ref="O44:Q44"/>
  </mergeCells>
  <pageMargins left="0.17" right="0.17" top="0.17" bottom="0.17" header="0.3" footer="0.3"/>
  <pageSetup paperSize="9" scale="83" orientation="landscape" r:id="rId1"/>
  <colBreaks count="1" manualBreakCount="1">
    <brk id="14" max="1048575"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Q44"/>
  <sheetViews>
    <sheetView showGridLines="0" topLeftCell="A5" workbookViewId="0">
      <selection activeCell="G19" sqref="G19:I19"/>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22.875" style="2" customWidth="1"/>
    <col min="7" max="7" width="5.125" style="2" customWidth="1"/>
    <col min="8" max="8" width="3.875" style="2" customWidth="1"/>
    <col min="9" max="10" width="10.125" style="1" customWidth="1"/>
    <col min="11" max="11" width="13.875" style="39" customWidth="1"/>
    <col min="12" max="12" width="9.875" style="40" customWidth="1"/>
    <col min="13" max="14" width="10.875" style="1" customWidth="1"/>
    <col min="15" max="15" width="69.5" style="1" hidden="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5" hidden="1"/>
    <row r="2" spans="2:15" s="375" customFormat="1" hidden="1">
      <c r="B2" s="407" t="s">
        <v>464</v>
      </c>
      <c r="C2" s="140" t="s">
        <v>132</v>
      </c>
      <c r="D2" s="140"/>
    </row>
    <row r="3" spans="2:15" s="375" customFormat="1" hidden="1">
      <c r="B3" s="407" t="s">
        <v>465</v>
      </c>
      <c r="C3" s="209" t="s">
        <v>255</v>
      </c>
      <c r="D3" s="209"/>
    </row>
    <row r="4" spans="2:15" s="375" customFormat="1" hidden="1">
      <c r="B4" s="407" t="s">
        <v>466</v>
      </c>
      <c r="C4" s="140" t="s">
        <v>133</v>
      </c>
      <c r="D4" s="140"/>
    </row>
    <row r="5" spans="2:15" s="31" customFormat="1" ht="6.95" customHeight="1">
      <c r="B5" s="30"/>
      <c r="C5" s="30"/>
      <c r="E5" s="30"/>
      <c r="J5" s="30"/>
      <c r="K5" s="32"/>
      <c r="L5" s="33"/>
      <c r="O5" s="1189" t="s">
        <v>695</v>
      </c>
    </row>
    <row r="6" spans="2:15" s="98" customFormat="1" ht="18">
      <c r="B6" s="99" t="s">
        <v>81</v>
      </c>
      <c r="C6" s="1121" t="s">
        <v>680</v>
      </c>
      <c r="D6" s="1121"/>
      <c r="E6" s="1121"/>
      <c r="F6" s="1121"/>
      <c r="G6" s="1121"/>
      <c r="H6" s="1121"/>
      <c r="I6" s="1121"/>
      <c r="J6" s="145"/>
      <c r="K6" s="145"/>
      <c r="L6" s="145"/>
      <c r="M6" s="145"/>
      <c r="N6" s="145"/>
      <c r="O6" s="1189"/>
    </row>
    <row r="7" spans="2:15" s="3" customFormat="1" ht="20.100000000000001" customHeight="1">
      <c r="B7" s="213" t="s">
        <v>404</v>
      </c>
      <c r="C7" s="213" t="s">
        <v>547</v>
      </c>
      <c r="D7" s="211"/>
      <c r="E7" s="211"/>
      <c r="F7" s="211"/>
      <c r="G7" s="211"/>
      <c r="H7" s="211"/>
      <c r="I7" s="211" t="s">
        <v>278</v>
      </c>
      <c r="J7" s="212" t="s">
        <v>490</v>
      </c>
      <c r="K7" s="212"/>
      <c r="L7" s="212"/>
      <c r="M7" s="212"/>
      <c r="N7" s="31"/>
      <c r="O7" s="1189"/>
    </row>
    <row r="8" spans="2:15" s="3" customFormat="1" ht="18.95" customHeight="1">
      <c r="B8" s="213" t="s">
        <v>280</v>
      </c>
      <c r="C8" s="472" t="s">
        <v>548</v>
      </c>
      <c r="D8" s="211"/>
      <c r="E8" s="211"/>
      <c r="F8" s="211"/>
      <c r="G8" s="211"/>
      <c r="H8" s="211"/>
      <c r="I8" s="211" t="s">
        <v>477</v>
      </c>
      <c r="J8" s="212" t="s">
        <v>471</v>
      </c>
      <c r="K8" s="212"/>
      <c r="L8" s="212"/>
      <c r="M8" s="212"/>
      <c r="N8" s="31"/>
      <c r="O8" s="1189"/>
    </row>
    <row r="9" spans="2:15" s="3" customFormat="1" ht="6.95" customHeight="1">
      <c r="D9" s="85"/>
      <c r="E9" s="85"/>
      <c r="F9" s="85"/>
      <c r="G9" s="85"/>
      <c r="H9" s="85"/>
      <c r="I9" s="85"/>
      <c r="J9" s="85"/>
      <c r="K9" s="85"/>
      <c r="L9" s="85"/>
      <c r="M9" s="85"/>
      <c r="N9" s="85"/>
      <c r="O9" s="886"/>
    </row>
    <row r="10" spans="2:15"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5" ht="21" customHeight="1">
      <c r="B11" s="430" t="s">
        <v>21</v>
      </c>
      <c r="C11" s="431" t="s">
        <v>478</v>
      </c>
      <c r="D11" s="868">
        <v>0.1</v>
      </c>
      <c r="E11" s="1179"/>
      <c r="F11" s="1180"/>
      <c r="G11" s="1156"/>
      <c r="H11" s="1158"/>
      <c r="I11" s="1157"/>
      <c r="J11" s="214"/>
      <c r="K11" s="214"/>
      <c r="L11" s="433"/>
      <c r="M11" s="430"/>
      <c r="N11" s="466">
        <f>N12</f>
        <v>0.10245</v>
      </c>
    </row>
    <row r="12" spans="2:15" ht="21" customHeight="1">
      <c r="B12" s="418"/>
      <c r="C12" s="435" t="s">
        <v>469</v>
      </c>
      <c r="D12" s="421"/>
      <c r="E12" s="1174"/>
      <c r="F12" s="1174"/>
      <c r="G12" s="436"/>
      <c r="H12" s="436"/>
      <c r="I12" s="437"/>
      <c r="J12" s="396"/>
      <c r="K12" s="438">
        <v>1</v>
      </c>
      <c r="L12" s="810">
        <f>'A7.9.KPI Ban HCNS Quy 2.26'!M26</f>
        <v>1.0245</v>
      </c>
      <c r="M12" s="811">
        <f>L12/K12*100%</f>
        <v>1.0245</v>
      </c>
      <c r="N12" s="496">
        <f>M12*D11</f>
        <v>0.10245</v>
      </c>
    </row>
    <row r="13" spans="2:15" ht="21" customHeight="1">
      <c r="B13" s="430" t="s">
        <v>22</v>
      </c>
      <c r="C13" s="440" t="s">
        <v>23</v>
      </c>
      <c r="D13" s="869">
        <v>0.8</v>
      </c>
      <c r="E13" s="1169"/>
      <c r="F13" s="1170"/>
      <c r="G13" s="1156"/>
      <c r="H13" s="1158"/>
      <c r="I13" s="1157"/>
      <c r="J13" s="1171"/>
      <c r="K13" s="1172"/>
      <c r="L13" s="443"/>
      <c r="M13" s="442"/>
      <c r="N13" s="467">
        <f>SUM(N15:N19)*D13</f>
        <v>0.8</v>
      </c>
    </row>
    <row r="14" spans="2:15" ht="21" customHeight="1">
      <c r="B14" s="418" t="s">
        <v>245</v>
      </c>
      <c r="C14" s="444" t="s">
        <v>24</v>
      </c>
      <c r="D14" s="446"/>
      <c r="E14" s="1173"/>
      <c r="F14" s="1173"/>
      <c r="G14" s="446"/>
      <c r="H14" s="446"/>
      <c r="I14" s="446"/>
      <c r="J14" s="445"/>
      <c r="K14" s="447"/>
      <c r="L14" s="447"/>
      <c r="M14" s="445"/>
      <c r="N14" s="448"/>
    </row>
    <row r="15" spans="2:15" ht="57.95" customHeight="1">
      <c r="B15" s="86">
        <v>1</v>
      </c>
      <c r="C15" s="343" t="str">
        <f>'A7.9.KPI Ban HCNS Quy 2.26'!C22</f>
        <v>Đảm bảo 20% hồ sơ nhân sự được số hoá thêm trong quý 2 (Lũy kế hết quý 2 là 40%)</v>
      </c>
      <c r="D15" s="348">
        <v>0.25</v>
      </c>
      <c r="E15" s="1092" t="str">
        <f>'A7.9.KPI Ban HCNS Quy 2.26'!F22</f>
        <v>TH &lt; KH: KPI = 0%
TH ≥ KH: KPI = TH/KH*100%</v>
      </c>
      <c r="F15" s="1093"/>
      <c r="G15" s="1188" t="str">
        <f>'A7.9.KPI Ban HCNS Quy 2.26'!H22</f>
        <v>TT CNTT xác nhận</v>
      </c>
      <c r="H15" s="1095"/>
      <c r="I15" s="1096"/>
      <c r="J15" s="451" t="str">
        <f>'A7.9.KPI Ban HCNS Quy 2.26'!I22</f>
        <v>%</v>
      </c>
      <c r="K15" s="346">
        <f>'A7.9.KPI Ban HCNS Quy 2.26'!J22</f>
        <v>0.2</v>
      </c>
      <c r="L15" s="346">
        <f>'A7.9.KPI Ban HCNS Quy 2.26'!K22</f>
        <v>0.2</v>
      </c>
      <c r="M15" s="352">
        <f>IF(LEN(L15)=0,"",IF(L15&gt;=K15,100%,0%))</f>
        <v>1</v>
      </c>
      <c r="N15" s="815">
        <f t="shared" ref="N15:N19" si="0">IFERROR(M15*D15,"")</f>
        <v>0.25</v>
      </c>
      <c r="O15" s="13"/>
    </row>
    <row r="16" spans="2:15" ht="57.95" customHeight="1">
      <c r="B16" s="86">
        <v>2</v>
      </c>
      <c r="C16" s="343" t="str">
        <f>'A7.9.KPI Ban HCNS Quy 2.26'!C24</f>
        <v>Trình phương án Xây dựng hệ thống khung bậc lương hạn cuối 30/6/2026</v>
      </c>
      <c r="D16" s="348">
        <v>0.25</v>
      </c>
      <c r="E16" s="1092" t="str">
        <f>'A7.9.KPI Ban HCNS Quy 2.26'!F24</f>
        <v>TH ≤ KH, KPI = 100% 
TH &gt; KH, KPI = 0%</v>
      </c>
      <c r="F16" s="1093"/>
      <c r="G16" s="1188" t="str">
        <f>'A7.9.KPI Ban HCNS Quy 2.26'!H24</f>
        <v>Ban KPI</v>
      </c>
      <c r="H16" s="1095"/>
      <c r="I16" s="1096"/>
      <c r="J16" s="451" t="s">
        <v>343</v>
      </c>
      <c r="K16" s="883">
        <f>'A7.9.KPI Ban HCNS Quy 2.26'!J24</f>
        <v>46203</v>
      </c>
      <c r="L16" s="883">
        <v>46203</v>
      </c>
      <c r="M16" s="352">
        <f>IF(LEN(L16)=0,"",IF(L16&lt;=K16,1,0))</f>
        <v>1</v>
      </c>
      <c r="N16" s="815">
        <f>IFERROR(M16*D16,"")</f>
        <v>0.25</v>
      </c>
      <c r="O16" s="13"/>
    </row>
    <row r="17" spans="2:17" ht="21" customHeight="1">
      <c r="B17" s="418" t="s">
        <v>245</v>
      </c>
      <c r="C17" s="444" t="s">
        <v>128</v>
      </c>
      <c r="D17" s="446"/>
      <c r="E17" s="1166"/>
      <c r="F17" s="1166"/>
      <c r="G17" s="454"/>
      <c r="H17" s="454"/>
      <c r="I17" s="455"/>
      <c r="J17" s="446"/>
      <c r="K17" s="447"/>
      <c r="L17" s="447"/>
      <c r="M17" s="445"/>
      <c r="N17" s="814"/>
    </row>
    <row r="18" spans="2:17" ht="51.95" customHeight="1">
      <c r="B18" s="86">
        <v>1</v>
      </c>
      <c r="C18" s="470" t="s">
        <v>453</v>
      </c>
      <c r="D18" s="348">
        <v>0.25</v>
      </c>
      <c r="E18" s="1092" t="s">
        <v>413</v>
      </c>
      <c r="F18" s="1093"/>
      <c r="G18" s="1094" t="s">
        <v>471</v>
      </c>
      <c r="H18" s="1095"/>
      <c r="I18" s="1096"/>
      <c r="J18" s="451" t="s">
        <v>414</v>
      </c>
      <c r="K18" s="364">
        <v>0</v>
      </c>
      <c r="L18" s="364">
        <v>0</v>
      </c>
      <c r="M18" s="365">
        <f>IF(LEN(L18)=0,"",IF(L18=K18,1,0))</f>
        <v>1</v>
      </c>
      <c r="N18" s="807">
        <f t="shared" ref="N18" si="1">IFERROR(M18*D18,"")</f>
        <v>0.25</v>
      </c>
    </row>
    <row r="19" spans="2:17" ht="51.95" customHeight="1">
      <c r="B19" s="86">
        <v>2</v>
      </c>
      <c r="C19" s="470" t="s">
        <v>482</v>
      </c>
      <c r="D19" s="348">
        <v>0.25</v>
      </c>
      <c r="E19" s="1092" t="s">
        <v>413</v>
      </c>
      <c r="F19" s="1093"/>
      <c r="G19" s="1094" t="s">
        <v>471</v>
      </c>
      <c r="H19" s="1095"/>
      <c r="I19" s="1096"/>
      <c r="J19" s="451" t="s">
        <v>414</v>
      </c>
      <c r="K19" s="364">
        <v>0</v>
      </c>
      <c r="L19" s="364">
        <v>0</v>
      </c>
      <c r="M19" s="365">
        <f>IF(LEN(L19)=0,"",IF(L19=K19,1,0))</f>
        <v>1</v>
      </c>
      <c r="N19" s="807">
        <f t="shared" si="0"/>
        <v>0.25</v>
      </c>
    </row>
    <row r="20" spans="2:17" ht="21" customHeight="1">
      <c r="B20" s="430" t="s">
        <v>40</v>
      </c>
      <c r="C20" s="459" t="s">
        <v>233</v>
      </c>
      <c r="D20" s="460">
        <v>0.1</v>
      </c>
      <c r="E20" s="1156"/>
      <c r="F20" s="1157"/>
      <c r="G20" s="1156"/>
      <c r="H20" s="1158"/>
      <c r="I20" s="1157"/>
      <c r="J20" s="1159"/>
      <c r="K20" s="1159"/>
      <c r="L20" s="433"/>
      <c r="M20" s="430"/>
      <c r="N20" s="434">
        <f>MIN(10%, MAX(0, D20+SUM(N21)))</f>
        <v>0.1</v>
      </c>
    </row>
    <row r="21" spans="2:17" ht="22.5" customHeight="1">
      <c r="B21" s="86"/>
      <c r="C21" s="389" t="s">
        <v>710</v>
      </c>
      <c r="D21" s="351"/>
      <c r="E21" s="1093"/>
      <c r="F21" s="1093"/>
      <c r="G21" s="1160"/>
      <c r="H21" s="1161"/>
      <c r="I21" s="1162"/>
      <c r="J21" s="395"/>
      <c r="K21" s="461"/>
      <c r="L21" s="462"/>
      <c r="M21" s="345">
        <f>L21*-50%</f>
        <v>0</v>
      </c>
      <c r="N21" s="346">
        <f>M21*$D$20</f>
        <v>0</v>
      </c>
    </row>
    <row r="22" spans="2:17" hidden="1">
      <c r="B22" s="86"/>
      <c r="C22" s="389"/>
      <c r="D22" s="351"/>
      <c r="E22" s="1093"/>
      <c r="F22" s="1093"/>
      <c r="G22" s="1160"/>
      <c r="H22" s="1161"/>
      <c r="I22" s="1162"/>
      <c r="J22" s="395"/>
      <c r="K22" s="461"/>
      <c r="L22" s="462"/>
      <c r="M22" s="345"/>
      <c r="N22" s="346"/>
    </row>
    <row r="23" spans="2:17" ht="16.5">
      <c r="B23" s="214"/>
      <c r="C23" s="214" t="s">
        <v>4</v>
      </c>
      <c r="D23" s="338"/>
      <c r="E23" s="1156"/>
      <c r="F23" s="1157"/>
      <c r="G23" s="1156"/>
      <c r="H23" s="1158"/>
      <c r="I23" s="1157"/>
      <c r="J23" s="338"/>
      <c r="K23" s="463"/>
      <c r="L23" s="464"/>
      <c r="M23" s="338"/>
      <c r="N23" s="466">
        <f>N11+N13+N20</f>
        <v>1.0024500000000001</v>
      </c>
      <c r="O23" s="1143"/>
      <c r="P23" s="1143"/>
    </row>
    <row r="24" spans="2:17" ht="17.100000000000001" customHeight="1">
      <c r="B24" s="5"/>
      <c r="C24" s="5"/>
      <c r="D24" s="5"/>
      <c r="E24" s="6"/>
      <c r="F24" s="6"/>
      <c r="G24" s="6"/>
      <c r="H24" s="6"/>
      <c r="I24" s="5"/>
      <c r="J24" s="5"/>
      <c r="K24" s="35"/>
      <c r="L24" s="36"/>
      <c r="M24" s="5"/>
      <c r="N24" s="5"/>
    </row>
    <row r="25" spans="2:17" ht="12.95" hidden="1" customHeight="1">
      <c r="B25" s="37"/>
      <c r="C25" s="47"/>
      <c r="D25" s="38"/>
      <c r="E25" s="38"/>
      <c r="F25" s="38"/>
      <c r="G25" s="37"/>
      <c r="H25" s="37"/>
      <c r="I25" s="38"/>
      <c r="J25" s="38"/>
      <c r="K25" s="38"/>
      <c r="L25" s="38"/>
      <c r="M25" s="38"/>
      <c r="N25" s="38"/>
      <c r="O25" s="38"/>
      <c r="P25" s="38"/>
      <c r="Q25" s="37"/>
    </row>
    <row r="26" spans="2:17" s="51" customFormat="1" ht="23.25" customHeight="1">
      <c r="B26" s="1079" t="s">
        <v>539</v>
      </c>
      <c r="C26" s="975"/>
      <c r="D26" s="1079" t="s">
        <v>537</v>
      </c>
      <c r="E26" s="975"/>
      <c r="F26" s="975"/>
      <c r="G26" s="975"/>
      <c r="H26" s="975"/>
      <c r="I26" s="471"/>
      <c r="J26" s="1079" t="s">
        <v>540</v>
      </c>
      <c r="K26" s="1079"/>
      <c r="L26" s="1079"/>
      <c r="M26" s="1079"/>
      <c r="N26" s="1079"/>
      <c r="O26" s="471"/>
      <c r="P26" s="471"/>
      <c r="Q26" s="471"/>
    </row>
    <row r="27" spans="2:17">
      <c r="B27" s="6"/>
      <c r="C27" s="5"/>
      <c r="D27" s="6"/>
      <c r="E27" s="5"/>
      <c r="F27" s="5"/>
      <c r="G27" s="58"/>
      <c r="I27" s="6"/>
      <c r="J27" s="6"/>
      <c r="K27" s="6"/>
      <c r="L27" s="5"/>
      <c r="M27" s="5"/>
      <c r="N27" s="5"/>
      <c r="O27" s="5"/>
      <c r="P27" s="5"/>
      <c r="Q27" s="5"/>
    </row>
    <row r="28" spans="2:17">
      <c r="B28" s="6"/>
      <c r="C28" s="5"/>
      <c r="D28" s="6"/>
      <c r="E28" s="5"/>
      <c r="F28" s="5"/>
      <c r="G28" s="58"/>
      <c r="I28" s="6"/>
      <c r="J28" s="6"/>
      <c r="K28" s="6"/>
      <c r="L28" s="5"/>
      <c r="M28" s="5"/>
      <c r="N28" s="5"/>
      <c r="O28" s="5"/>
      <c r="P28" s="5"/>
      <c r="Q28" s="5"/>
    </row>
    <row r="29" spans="2:17">
      <c r="B29" s="6"/>
      <c r="C29" s="5"/>
      <c r="D29" s="6"/>
      <c r="E29" s="5"/>
      <c r="F29" s="5"/>
      <c r="G29" s="58"/>
      <c r="I29" s="5" t="s">
        <v>681</v>
      </c>
      <c r="J29" s="6"/>
      <c r="K29" s="6"/>
      <c r="L29" s="5"/>
      <c r="M29" s="5"/>
      <c r="N29" s="5"/>
      <c r="O29" s="5"/>
      <c r="P29" s="5"/>
      <c r="Q29" s="6"/>
    </row>
    <row r="30" spans="2:17">
      <c r="B30" s="6"/>
      <c r="C30" s="5"/>
      <c r="D30" s="6"/>
      <c r="E30" s="5"/>
      <c r="F30" s="5"/>
      <c r="G30" s="58"/>
      <c r="I30" s="5"/>
      <c r="J30" s="6"/>
      <c r="K30" s="6"/>
      <c r="L30" s="5"/>
      <c r="M30" s="5"/>
      <c r="N30" s="5"/>
      <c r="O30" s="5"/>
      <c r="P30" s="5"/>
      <c r="Q30" s="6"/>
    </row>
    <row r="31" spans="2:17">
      <c r="B31" s="6"/>
      <c r="C31" s="5"/>
      <c r="D31" s="6"/>
      <c r="E31" s="5"/>
      <c r="F31" s="5"/>
      <c r="G31" s="58"/>
      <c r="I31" s="5"/>
      <c r="J31" s="6"/>
      <c r="K31" s="6"/>
      <c r="L31" s="5"/>
      <c r="M31" s="5"/>
      <c r="N31" s="5"/>
      <c r="O31" s="5"/>
      <c r="P31" s="5"/>
      <c r="Q31" s="6"/>
    </row>
    <row r="32" spans="2:17">
      <c r="B32" s="6"/>
      <c r="C32" s="5"/>
      <c r="D32" s="6"/>
      <c r="E32" s="5"/>
      <c r="F32" s="5"/>
      <c r="G32" s="58"/>
      <c r="I32" s="5"/>
      <c r="J32" s="6"/>
      <c r="K32" s="6"/>
      <c r="L32" s="5"/>
      <c r="M32" s="5"/>
      <c r="N32" s="5"/>
      <c r="O32" s="5"/>
      <c r="P32" s="5"/>
      <c r="Q32" s="6"/>
    </row>
    <row r="33" spans="2:17" hidden="1">
      <c r="B33" s="6"/>
      <c r="C33" s="5"/>
      <c r="D33" s="6"/>
      <c r="E33" s="5"/>
      <c r="F33" s="5"/>
      <c r="G33" s="58"/>
      <c r="I33" s="5"/>
      <c r="J33" s="6"/>
      <c r="K33" s="6"/>
      <c r="L33" s="5"/>
      <c r="M33" s="5"/>
      <c r="N33" s="5"/>
      <c r="O33" s="5"/>
      <c r="P33" s="5"/>
      <c r="Q33" s="6"/>
    </row>
    <row r="34" spans="2:17">
      <c r="B34" s="972" t="s">
        <v>29</v>
      </c>
      <c r="C34" s="972"/>
      <c r="D34" s="972" t="s">
        <v>29</v>
      </c>
      <c r="E34" s="972"/>
      <c r="F34" s="972"/>
      <c r="G34" s="972"/>
      <c r="H34" s="972"/>
      <c r="I34" s="5"/>
      <c r="J34" s="972" t="s">
        <v>29</v>
      </c>
      <c r="K34" s="972"/>
      <c r="L34" s="972"/>
      <c r="M34" s="972"/>
      <c r="N34" s="972"/>
      <c r="O34" s="5"/>
      <c r="P34" s="5"/>
      <c r="Q34" s="5"/>
    </row>
    <row r="35" spans="2:17">
      <c r="B35" s="6"/>
      <c r="C35" s="5"/>
      <c r="D35" s="5"/>
      <c r="E35" s="5"/>
      <c r="F35" s="5"/>
      <c r="G35" s="6"/>
      <c r="I35" s="5"/>
      <c r="J35" s="6"/>
      <c r="K35" s="5"/>
      <c r="L35" s="5"/>
      <c r="M35" s="5"/>
      <c r="N35" s="5"/>
      <c r="O35" s="5"/>
      <c r="P35" s="5"/>
      <c r="Q35" s="6"/>
    </row>
    <row r="36" spans="2:17">
      <c r="B36" s="37"/>
      <c r="C36" s="47"/>
      <c r="D36" s="38"/>
      <c r="E36" s="38"/>
      <c r="F36" s="38"/>
      <c r="G36" s="37"/>
      <c r="I36" s="38"/>
      <c r="J36" s="37"/>
      <c r="K36" s="38"/>
      <c r="L36" s="38"/>
      <c r="M36" s="38"/>
      <c r="N36" s="38"/>
      <c r="O36" s="38"/>
      <c r="P36" s="38"/>
      <c r="Q36" s="37"/>
    </row>
    <row r="37" spans="2:17" ht="24" customHeight="1">
      <c r="B37" s="1080"/>
      <c r="C37" s="972"/>
      <c r="D37" s="1080"/>
      <c r="E37" s="972"/>
      <c r="F37" s="972"/>
      <c r="G37" s="972"/>
      <c r="H37" s="972"/>
      <c r="I37" s="245"/>
      <c r="J37" s="972"/>
      <c r="K37" s="972"/>
      <c r="L37" s="972"/>
      <c r="M37" s="972"/>
      <c r="N37" s="245"/>
      <c r="O37" s="1080"/>
      <c r="P37" s="972"/>
      <c r="Q37" s="972"/>
    </row>
    <row r="38" spans="2:17">
      <c r="B38" s="6"/>
      <c r="C38" s="5"/>
      <c r="D38" s="5"/>
      <c r="E38" s="5"/>
      <c r="F38" s="5"/>
      <c r="G38" s="6"/>
      <c r="I38" s="6"/>
      <c r="J38" s="6"/>
      <c r="K38" s="6"/>
      <c r="L38" s="5"/>
      <c r="M38" s="5"/>
      <c r="N38" s="5"/>
      <c r="O38" s="5"/>
      <c r="P38" s="5"/>
      <c r="Q38" s="5"/>
    </row>
    <row r="39" spans="2:17">
      <c r="B39" s="6"/>
      <c r="C39" s="5"/>
      <c r="D39" s="5"/>
      <c r="E39" s="5"/>
      <c r="F39" s="5"/>
      <c r="G39" s="6"/>
      <c r="I39" s="5"/>
      <c r="J39" s="6"/>
      <c r="K39" s="5"/>
      <c r="L39" s="5"/>
      <c r="M39" s="5"/>
      <c r="N39" s="5"/>
      <c r="O39" s="5"/>
      <c r="P39" s="5"/>
      <c r="Q39" s="6"/>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972"/>
      <c r="C44" s="972"/>
      <c r="D44" s="972"/>
      <c r="E44" s="972"/>
      <c r="F44" s="972"/>
      <c r="G44" s="972"/>
      <c r="H44" s="972"/>
      <c r="I44" s="5"/>
      <c r="J44" s="972"/>
      <c r="K44" s="972"/>
      <c r="L44" s="972"/>
      <c r="M44" s="972"/>
      <c r="N44" s="5"/>
      <c r="O44" s="972"/>
      <c r="P44" s="972"/>
      <c r="Q44" s="972"/>
    </row>
  </sheetData>
  <mergeCells count="44">
    <mergeCell ref="O5:O8"/>
    <mergeCell ref="C6:I6"/>
    <mergeCell ref="E10:F10"/>
    <mergeCell ref="G10:I10"/>
    <mergeCell ref="E11:F11"/>
    <mergeCell ref="G11:I11"/>
    <mergeCell ref="J13:K13"/>
    <mergeCell ref="E14:F14"/>
    <mergeCell ref="E15:F15"/>
    <mergeCell ref="G15:I15"/>
    <mergeCell ref="E12:F12"/>
    <mergeCell ref="G16:I16"/>
    <mergeCell ref="E17:F17"/>
    <mergeCell ref="E18:F18"/>
    <mergeCell ref="G18:I18"/>
    <mergeCell ref="E13:F13"/>
    <mergeCell ref="G13:I13"/>
    <mergeCell ref="E16:F16"/>
    <mergeCell ref="E19:F19"/>
    <mergeCell ref="G19:I19"/>
    <mergeCell ref="E20:F20"/>
    <mergeCell ref="G20:I20"/>
    <mergeCell ref="E23:F23"/>
    <mergeCell ref="G23:I23"/>
    <mergeCell ref="J20:K20"/>
    <mergeCell ref="E21:F21"/>
    <mergeCell ref="G21:I21"/>
    <mergeCell ref="E22:F22"/>
    <mergeCell ref="G22:I22"/>
    <mergeCell ref="O23:P23"/>
    <mergeCell ref="J26:N26"/>
    <mergeCell ref="B44:C44"/>
    <mergeCell ref="D44:H44"/>
    <mergeCell ref="J44:M44"/>
    <mergeCell ref="O44:Q44"/>
    <mergeCell ref="B34:C34"/>
    <mergeCell ref="D34:H34"/>
    <mergeCell ref="B37:C37"/>
    <mergeCell ref="D37:H37"/>
    <mergeCell ref="J37:M37"/>
    <mergeCell ref="O37:Q37"/>
    <mergeCell ref="J34:N34"/>
    <mergeCell ref="B26:C26"/>
    <mergeCell ref="D26:H26"/>
  </mergeCells>
  <pageMargins left="0.19" right="0.17" top="0.17" bottom="0.17" header="0.3" footer="0.3"/>
  <pageSetup paperSize="9" scale="83"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Q44"/>
  <sheetViews>
    <sheetView showGridLines="0" topLeftCell="A7" zoomScale="116" workbookViewId="0">
      <selection activeCell="C32" sqref="C32"/>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14.875" style="2" customWidth="1"/>
    <col min="7" max="7" width="5.125" style="2" customWidth="1"/>
    <col min="8" max="8" width="3.875" style="2" customWidth="1"/>
    <col min="9" max="9" width="10.125" style="1" customWidth="1"/>
    <col min="10" max="10" width="11.625" style="1" customWidth="1"/>
    <col min="11" max="11" width="13.875" style="39" customWidth="1"/>
    <col min="12" max="12" width="9.875" style="40" customWidth="1"/>
    <col min="13" max="13" width="12.375" style="1" customWidth="1"/>
    <col min="14" max="14" width="10.875" style="1" customWidth="1"/>
    <col min="15" max="15" width="11.375" style="1" hidden="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5" hidden="1"/>
    <row r="2" spans="2:15" s="375" customFormat="1" hidden="1">
      <c r="B2" s="407" t="s">
        <v>464</v>
      </c>
      <c r="C2" s="140" t="s">
        <v>132</v>
      </c>
      <c r="D2" s="140"/>
    </row>
    <row r="3" spans="2:15" s="375" customFormat="1" hidden="1">
      <c r="B3" s="407" t="s">
        <v>465</v>
      </c>
      <c r="C3" s="209" t="s">
        <v>255</v>
      </c>
      <c r="D3" s="209"/>
    </row>
    <row r="4" spans="2:15" s="375" customFormat="1" hidden="1">
      <c r="B4" s="407" t="s">
        <v>466</v>
      </c>
      <c r="C4" s="140" t="s">
        <v>133</v>
      </c>
      <c r="D4" s="140"/>
    </row>
    <row r="5" spans="2:15" s="31" customFormat="1" ht="6.95" customHeight="1">
      <c r="B5" s="30"/>
      <c r="C5" s="30"/>
      <c r="E5" s="30"/>
      <c r="J5" s="30"/>
      <c r="K5" s="32"/>
      <c r="L5" s="33"/>
    </row>
    <row r="6" spans="2:15" s="98" customFormat="1" ht="26.1" customHeight="1">
      <c r="B6" s="99" t="s">
        <v>81</v>
      </c>
      <c r="C6" s="1121" t="s">
        <v>680</v>
      </c>
      <c r="D6" s="1121"/>
      <c r="E6" s="1121"/>
      <c r="F6" s="1121"/>
      <c r="G6" s="1121"/>
      <c r="H6" s="1121"/>
      <c r="I6" s="1121"/>
      <c r="J6" s="145"/>
      <c r="K6" s="145"/>
      <c r="L6" s="145"/>
      <c r="M6" s="145"/>
      <c r="N6" s="145"/>
    </row>
    <row r="7" spans="2:15" s="3" customFormat="1" ht="20.100000000000001" customHeight="1">
      <c r="B7" s="213" t="s">
        <v>404</v>
      </c>
      <c r="C7" s="213" t="s">
        <v>549</v>
      </c>
      <c r="D7" s="211"/>
      <c r="E7" s="211"/>
      <c r="F7" s="211"/>
      <c r="G7" s="211"/>
      <c r="H7" s="211"/>
      <c r="I7" s="212" t="s">
        <v>278</v>
      </c>
      <c r="J7" s="212" t="s">
        <v>490</v>
      </c>
      <c r="K7" s="212"/>
      <c r="L7" s="212"/>
      <c r="M7" s="212"/>
      <c r="N7" s="31"/>
    </row>
    <row r="8" spans="2:15" s="3" customFormat="1" ht="18.95" customHeight="1">
      <c r="B8" s="213" t="s">
        <v>280</v>
      </c>
      <c r="C8" s="472" t="s">
        <v>550</v>
      </c>
      <c r="D8" s="211"/>
      <c r="E8" s="211"/>
      <c r="F8" s="211"/>
      <c r="G8" s="211"/>
      <c r="H8" s="211"/>
      <c r="I8" s="211" t="s">
        <v>477</v>
      </c>
      <c r="J8" s="212" t="s">
        <v>471</v>
      </c>
      <c r="K8" s="212"/>
      <c r="L8" s="212"/>
      <c r="M8" s="212"/>
      <c r="N8" s="31"/>
    </row>
    <row r="9" spans="2:15" s="3" customFormat="1" ht="6.95" customHeight="1">
      <c r="D9" s="85"/>
      <c r="E9" s="85"/>
      <c r="F9" s="85"/>
      <c r="G9" s="85"/>
      <c r="H9" s="85"/>
      <c r="I9" s="85"/>
      <c r="J9" s="85"/>
      <c r="K9" s="85"/>
      <c r="L9" s="85"/>
      <c r="M9" s="85"/>
      <c r="N9" s="85"/>
    </row>
    <row r="10" spans="2:15"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5" ht="21" customHeight="1">
      <c r="B11" s="430" t="s">
        <v>21</v>
      </c>
      <c r="C11" s="431" t="s">
        <v>478</v>
      </c>
      <c r="D11" s="868">
        <v>0.1</v>
      </c>
      <c r="E11" s="1179"/>
      <c r="F11" s="1180"/>
      <c r="G11" s="1156"/>
      <c r="H11" s="1158"/>
      <c r="I11" s="1157"/>
      <c r="J11" s="214"/>
      <c r="K11" s="214"/>
      <c r="L11" s="433"/>
      <c r="M11" s="430"/>
      <c r="N11" s="466">
        <f>N12</f>
        <v>0.10245</v>
      </c>
    </row>
    <row r="12" spans="2:15" ht="21" customHeight="1">
      <c r="B12" s="418"/>
      <c r="C12" s="435" t="s">
        <v>469</v>
      </c>
      <c r="D12" s="421"/>
      <c r="E12" s="1174"/>
      <c r="F12" s="1174"/>
      <c r="G12" s="436"/>
      <c r="H12" s="436"/>
      <c r="I12" s="437"/>
      <c r="J12" s="396"/>
      <c r="K12" s="438">
        <v>1</v>
      </c>
      <c r="L12" s="810">
        <f>'A7.9.KPI Ban HCNS Quy 2.26'!M26</f>
        <v>1.0245</v>
      </c>
      <c r="M12" s="811">
        <f>L12/K12*100%</f>
        <v>1.0245</v>
      </c>
      <c r="N12" s="496">
        <f>M12*D11</f>
        <v>0.10245</v>
      </c>
    </row>
    <row r="13" spans="2:15" ht="21" customHeight="1">
      <c r="B13" s="430" t="s">
        <v>22</v>
      </c>
      <c r="C13" s="440" t="s">
        <v>23</v>
      </c>
      <c r="D13" s="869">
        <v>0.8</v>
      </c>
      <c r="E13" s="1169"/>
      <c r="F13" s="1170"/>
      <c r="G13" s="1156"/>
      <c r="H13" s="1158"/>
      <c r="I13" s="1157"/>
      <c r="J13" s="1171"/>
      <c r="K13" s="1172"/>
      <c r="L13" s="443"/>
      <c r="M13" s="442"/>
      <c r="N13" s="467">
        <f>SUM(N15:N19)*D13</f>
        <v>0.8</v>
      </c>
    </row>
    <row r="14" spans="2:15" ht="21" customHeight="1">
      <c r="B14" s="418" t="s">
        <v>245</v>
      </c>
      <c r="C14" s="444" t="s">
        <v>24</v>
      </c>
      <c r="D14" s="446"/>
      <c r="E14" s="1173"/>
      <c r="F14" s="1173"/>
      <c r="G14" s="446"/>
      <c r="H14" s="446"/>
      <c r="I14" s="446"/>
      <c r="J14" s="445"/>
      <c r="K14" s="447"/>
      <c r="L14" s="447"/>
      <c r="M14" s="445"/>
      <c r="N14" s="448"/>
    </row>
    <row r="15" spans="2:15" ht="39" customHeight="1">
      <c r="B15" s="86">
        <v>1</v>
      </c>
      <c r="C15" s="343" t="str">
        <f>'A7.9.KPI Ban HCNS Quy 2.26'!C15</f>
        <v>Chi phí Văn phòng phẩm (bộ phận văn phòng công ty) quý 2/26 không vượt quá so với quý 2 năm trước</v>
      </c>
      <c r="D15" s="348">
        <v>0.25</v>
      </c>
      <c r="E15" s="1092" t="s">
        <v>711</v>
      </c>
      <c r="F15" s="1093"/>
      <c r="G15" s="1163" t="str">
        <f>'A7.9.KPI Ban HCNS Quy 2.26'!H15</f>
        <v>Ban TCKT xác nhận</v>
      </c>
      <c r="H15" s="1164"/>
      <c r="I15" s="1165"/>
      <c r="J15" s="451" t="str">
        <f>'A7.9.KPI Ban HCNS Quy 2.26'!I15</f>
        <v>%</v>
      </c>
      <c r="K15" s="644">
        <f>'A7.9.KPI Ban HCNS Quy 2.26'!J15</f>
        <v>1</v>
      </c>
      <c r="L15" s="807">
        <f>'A7.9.KPI Ban HCNS Quy 2.26'!K15</f>
        <v>0.9859</v>
      </c>
      <c r="M15" s="354">
        <f>IF(LEN(L15)=0,"",IF(L15&lt;K15,100%,0))</f>
        <v>1</v>
      </c>
      <c r="N15" s="815">
        <f t="shared" ref="N15:N18" si="0">IFERROR(M15*D15,"")</f>
        <v>0.25</v>
      </c>
      <c r="O15" s="13"/>
    </row>
    <row r="16" spans="2:15" ht="35.25" customHeight="1">
      <c r="B16" s="86">
        <v>2</v>
      </c>
      <c r="C16" s="343" t="str">
        <f>'A7.9.KPI Ban HCNS Quy 2.26'!C16</f>
        <v xml:space="preserve">Kinh phí Đào tạo không vượt quá kế hoạch được duyệt </v>
      </c>
      <c r="D16" s="348">
        <v>0.25</v>
      </c>
      <c r="E16" s="1092" t="str">
        <f>'A7.9.KPI Ban HCNS Quy 2.26'!F16</f>
        <v>TH ≤  KH: KPI = 100%
TH &gt; KH: KPI =0%</v>
      </c>
      <c r="F16" s="1093"/>
      <c r="G16" s="1163" t="str">
        <f>'A7.9.KPI Ban HCNS Quy 2.26'!H16</f>
        <v>Báo cáo của Ban HCNS, Ban TCKT xác nhận</v>
      </c>
      <c r="H16" s="1164"/>
      <c r="I16" s="1165"/>
      <c r="J16" s="451" t="str">
        <f>'A7.9.KPI Ban HCNS Quy 2.26'!I16</f>
        <v>%</v>
      </c>
      <c r="K16" s="644">
        <f>'A7.9.KPI Ban HCNS Quy 2.26'!J16</f>
        <v>1</v>
      </c>
      <c r="L16" s="358">
        <f>'A7.9.KPI Ban HCNS Quy 2.26'!K16</f>
        <v>1</v>
      </c>
      <c r="M16" s="354">
        <f>IF(LEN(L16)=0,"",IF(L16&lt;=K16,1,0))</f>
        <v>1</v>
      </c>
      <c r="N16" s="815">
        <f t="shared" si="0"/>
        <v>0.25</v>
      </c>
      <c r="O16" s="13"/>
    </row>
    <row r="17" spans="2:17" ht="35.25" customHeight="1">
      <c r="B17" s="418">
        <v>3</v>
      </c>
      <c r="C17" s="343" t="str">
        <f>'A7.9.KPI Ban HCNS Quy 2.26'!C24</f>
        <v>Trình phương án Xây dựng hệ thống khung bậc lương hạn cuối 30/6/2026</v>
      </c>
      <c r="D17" s="348">
        <v>0.25</v>
      </c>
      <c r="E17" s="1092" t="str">
        <f>'A7.9.KPI Ban HCNS Quy 2.26'!F24</f>
        <v>TH ≤ KH, KPI = 100% 
TH &gt; KH, KPI = 0%</v>
      </c>
      <c r="F17" s="1093"/>
      <c r="G17" s="1163" t="str">
        <f>'A7.9.KPI Ban HCNS Quy 2.26'!H24</f>
        <v>Ban KPI</v>
      </c>
      <c r="H17" s="1164"/>
      <c r="I17" s="1165"/>
      <c r="J17" s="451" t="str">
        <f>'A7.9.KPI Ban HCNS Quy 2.26'!I24</f>
        <v>Ngày</v>
      </c>
      <c r="K17" s="353">
        <f>'A7.9.KPI Ban HCNS Quy 2.26'!J24</f>
        <v>46203</v>
      </c>
      <c r="L17" s="918">
        <f>'A7.9.KPI Ban HCNS Quy 2.26'!K24</f>
        <v>46203</v>
      </c>
      <c r="M17" s="354">
        <f>IF(LEN(L17)=0,"",IF(L17&lt;=K17,1,0))</f>
        <v>1</v>
      </c>
      <c r="N17" s="815">
        <f t="shared" si="0"/>
        <v>0.25</v>
      </c>
      <c r="O17" s="13"/>
    </row>
    <row r="18" spans="2:17" ht="35.25" customHeight="1">
      <c r="B18" s="418">
        <v>4</v>
      </c>
      <c r="C18" s="343" t="str">
        <f>'A7.9.KPI Ban HCNS Quy 2.26'!C25</f>
        <v>Tổ chức 01 khóa đào tạo</v>
      </c>
      <c r="D18" s="348">
        <v>0.25</v>
      </c>
      <c r="E18" s="1092" t="str">
        <f>'A7.9.KPI Ban HCNS Quy 2.26'!F25</f>
        <v>TH ≥ KH, KPI = 100%
TH &lt; KH, KPI = 0</v>
      </c>
      <c r="F18" s="1093"/>
      <c r="G18" s="1163" t="str">
        <f>'A7.9.KPI Ban HCNS Quy 2.26'!H25</f>
        <v>HCNS báo cáo, Ban Kế hoạch xác nhận</v>
      </c>
      <c r="H18" s="1164"/>
      <c r="I18" s="1165"/>
      <c r="J18" s="451" t="str">
        <f>'A7.9.KPI Ban HCNS Quy 2.26'!I25</f>
        <v>Khoá đào tạo</v>
      </c>
      <c r="K18" s="368">
        <f>'A7.9.KPI Ban HCNS Quy 2.26'!J25</f>
        <v>1</v>
      </c>
      <c r="L18" s="919">
        <f>'A7.9.KPI Ban HCNS Quy 2.26'!K25</f>
        <v>1</v>
      </c>
      <c r="M18" s="354">
        <f>IF(LEN(L18)=0,"",IF(L18&gt;=K18,1,0))</f>
        <v>1</v>
      </c>
      <c r="N18" s="815">
        <f t="shared" si="0"/>
        <v>0.25</v>
      </c>
      <c r="O18" s="13"/>
    </row>
    <row r="19" spans="2:17" ht="21" customHeight="1">
      <c r="B19" s="418" t="s">
        <v>245</v>
      </c>
      <c r="C19" s="444" t="s">
        <v>128</v>
      </c>
      <c r="D19" s="446"/>
      <c r="E19" s="1166"/>
      <c r="F19" s="1166"/>
      <c r="G19" s="454"/>
      <c r="H19" s="454"/>
      <c r="I19" s="455"/>
      <c r="J19" s="445"/>
      <c r="K19" s="447"/>
      <c r="L19" s="447"/>
      <c r="M19" s="445"/>
      <c r="N19" s="814"/>
      <c r="O19" s="889" t="s">
        <v>687</v>
      </c>
    </row>
    <row r="20" spans="2:17" ht="21" customHeight="1">
      <c r="B20" s="430" t="s">
        <v>40</v>
      </c>
      <c r="C20" s="459" t="s">
        <v>233</v>
      </c>
      <c r="D20" s="359">
        <v>0.1</v>
      </c>
      <c r="E20" s="1156"/>
      <c r="F20" s="1157"/>
      <c r="G20" s="1156"/>
      <c r="H20" s="1158"/>
      <c r="I20" s="1157"/>
      <c r="J20" s="1159"/>
      <c r="K20" s="1159"/>
      <c r="L20" s="433"/>
      <c r="M20" s="430"/>
      <c r="N20" s="434">
        <f>MIN(10%, MAX(0, D20+SUM(N21)))</f>
        <v>0</v>
      </c>
    </row>
    <row r="21" spans="2:17" ht="17.100000000000001" customHeight="1">
      <c r="B21" s="86">
        <v>1</v>
      </c>
      <c r="C21" s="389" t="s">
        <v>719</v>
      </c>
      <c r="D21" s="351"/>
      <c r="E21" s="1093"/>
      <c r="F21" s="1093"/>
      <c r="G21" s="1160"/>
      <c r="H21" s="1161"/>
      <c r="I21" s="1162"/>
      <c r="J21" s="395"/>
      <c r="K21" s="461"/>
      <c r="L21" s="462">
        <v>7</v>
      </c>
      <c r="M21" s="345">
        <f>L21*-50%</f>
        <v>-3.5</v>
      </c>
      <c r="N21" s="346">
        <f>M21*$D$20</f>
        <v>-0.35000000000000003</v>
      </c>
    </row>
    <row r="22" spans="2:17" hidden="1">
      <c r="B22" s="86"/>
      <c r="C22" s="389"/>
      <c r="D22" s="351"/>
      <c r="E22" s="1093"/>
      <c r="F22" s="1093"/>
      <c r="G22" s="1160"/>
      <c r="H22" s="1161"/>
      <c r="I22" s="1162"/>
      <c r="J22" s="395"/>
      <c r="K22" s="461"/>
      <c r="L22" s="462"/>
      <c r="M22" s="345"/>
      <c r="N22" s="346"/>
    </row>
    <row r="23" spans="2:17" ht="16.5">
      <c r="B23" s="214"/>
      <c r="C23" s="214" t="s">
        <v>4</v>
      </c>
      <c r="D23" s="338"/>
      <c r="E23" s="1156"/>
      <c r="F23" s="1157"/>
      <c r="G23" s="1156"/>
      <c r="H23" s="1158"/>
      <c r="I23" s="1157"/>
      <c r="J23" s="338"/>
      <c r="K23" s="463"/>
      <c r="L23" s="464"/>
      <c r="M23" s="338"/>
      <c r="N23" s="466">
        <f>N11+N13+N20</f>
        <v>0.90245000000000009</v>
      </c>
      <c r="O23" s="1143"/>
      <c r="P23" s="1143"/>
    </row>
    <row r="24" spans="2:17" ht="17.100000000000001" customHeight="1">
      <c r="B24" s="5"/>
      <c r="C24" s="5"/>
      <c r="D24" s="5"/>
      <c r="E24" s="6"/>
      <c r="F24" s="6"/>
      <c r="G24" s="6"/>
      <c r="H24" s="6"/>
      <c r="I24" s="5"/>
      <c r="J24" s="5"/>
      <c r="K24" s="35"/>
      <c r="L24" s="36"/>
      <c r="M24" s="5"/>
      <c r="N24" s="5"/>
    </row>
    <row r="25" spans="2:17" ht="12.95" customHeight="1">
      <c r="B25" s="37"/>
      <c r="C25" s="47"/>
      <c r="D25" s="38"/>
      <c r="E25" s="38"/>
      <c r="F25" s="38"/>
      <c r="G25" s="37"/>
      <c r="H25" s="37"/>
      <c r="I25" s="38"/>
      <c r="J25" s="38"/>
      <c r="K25" s="38"/>
      <c r="L25" s="38"/>
      <c r="M25" s="38"/>
      <c r="N25" s="38"/>
      <c r="O25" s="38"/>
      <c r="P25" s="38"/>
      <c r="Q25" s="37"/>
    </row>
    <row r="26" spans="2:17" s="51" customFormat="1" ht="23.25" customHeight="1">
      <c r="B26" s="1079" t="s">
        <v>539</v>
      </c>
      <c r="C26" s="975"/>
      <c r="D26" s="1079" t="s">
        <v>537</v>
      </c>
      <c r="E26" s="975"/>
      <c r="F26" s="975"/>
      <c r="G26" s="975"/>
      <c r="H26" s="975"/>
      <c r="I26" s="471"/>
      <c r="J26" s="1079" t="s">
        <v>540</v>
      </c>
      <c r="K26" s="1079"/>
      <c r="L26" s="1079"/>
      <c r="M26" s="1079"/>
      <c r="N26" s="1079"/>
      <c r="O26" s="471"/>
      <c r="P26" s="471"/>
      <c r="Q26" s="471"/>
    </row>
    <row r="27" spans="2:17">
      <c r="B27" s="6"/>
      <c r="C27" s="5"/>
      <c r="D27" s="6"/>
      <c r="E27" s="5"/>
      <c r="F27" s="5"/>
      <c r="G27" s="58"/>
      <c r="I27" s="6"/>
      <c r="J27" s="6"/>
      <c r="K27" s="6"/>
      <c r="L27" s="5"/>
      <c r="M27" s="5"/>
      <c r="N27" s="5"/>
      <c r="O27" s="5"/>
      <c r="P27" s="5"/>
      <c r="Q27" s="5"/>
    </row>
    <row r="28" spans="2:17">
      <c r="B28" s="6"/>
      <c r="C28" s="5"/>
      <c r="D28" s="6"/>
      <c r="E28" s="5"/>
      <c r="F28" s="5"/>
      <c r="G28" s="58"/>
      <c r="I28" s="6"/>
      <c r="J28" s="6"/>
      <c r="K28" s="6"/>
      <c r="L28" s="5"/>
      <c r="M28" s="5"/>
      <c r="N28" s="5"/>
      <c r="O28" s="5"/>
      <c r="P28" s="5"/>
      <c r="Q28" s="5"/>
    </row>
    <row r="29" spans="2:17">
      <c r="B29" s="6"/>
      <c r="C29" s="5"/>
      <c r="D29" s="6"/>
      <c r="E29" s="5"/>
      <c r="F29" s="5"/>
      <c r="G29" s="58"/>
      <c r="I29" s="5" t="s">
        <v>681</v>
      </c>
      <c r="J29" s="6"/>
      <c r="K29" s="6"/>
      <c r="L29" s="5"/>
      <c r="M29" s="5"/>
      <c r="N29" s="5"/>
      <c r="O29" s="5"/>
      <c r="P29" s="5"/>
      <c r="Q29" s="6"/>
    </row>
    <row r="30" spans="2:17">
      <c r="B30" s="6"/>
      <c r="C30" s="5"/>
      <c r="D30" s="6"/>
      <c r="E30" s="5"/>
      <c r="F30" s="5"/>
      <c r="G30" s="58"/>
      <c r="I30" s="5"/>
      <c r="J30" s="6"/>
      <c r="K30" s="6"/>
      <c r="L30" s="5"/>
      <c r="M30" s="5"/>
      <c r="N30" s="5"/>
      <c r="O30" s="5"/>
      <c r="P30" s="5"/>
      <c r="Q30" s="6"/>
    </row>
    <row r="31" spans="2:17">
      <c r="B31" s="6"/>
      <c r="C31" s="5"/>
      <c r="D31" s="6"/>
      <c r="E31" s="5"/>
      <c r="F31" s="5"/>
      <c r="G31" s="58"/>
      <c r="I31" s="5"/>
      <c r="J31" s="6"/>
      <c r="K31" s="6"/>
      <c r="L31" s="5"/>
      <c r="M31" s="5"/>
      <c r="N31" s="5"/>
      <c r="O31" s="5"/>
      <c r="P31" s="5"/>
      <c r="Q31" s="6"/>
    </row>
    <row r="32" spans="2:17">
      <c r="B32" s="6"/>
      <c r="C32" s="5"/>
      <c r="D32" s="6"/>
      <c r="E32" s="5"/>
      <c r="F32" s="5"/>
      <c r="G32" s="58"/>
      <c r="I32" s="5"/>
      <c r="J32" s="6"/>
      <c r="K32" s="6"/>
      <c r="L32" s="5"/>
      <c r="M32" s="5"/>
      <c r="N32" s="5"/>
      <c r="O32" s="5"/>
      <c r="P32" s="5"/>
      <c r="Q32" s="6"/>
    </row>
    <row r="33" spans="2:17" hidden="1">
      <c r="B33" s="6"/>
      <c r="C33" s="5"/>
      <c r="D33" s="6"/>
      <c r="E33" s="5"/>
      <c r="F33" s="5"/>
      <c r="G33" s="58"/>
      <c r="I33" s="5"/>
      <c r="J33" s="6"/>
      <c r="K33" s="6"/>
      <c r="L33" s="5"/>
      <c r="M33" s="5"/>
      <c r="N33" s="5"/>
      <c r="O33" s="5"/>
      <c r="P33" s="5"/>
      <c r="Q33" s="6"/>
    </row>
    <row r="34" spans="2:17">
      <c r="B34" s="972" t="s">
        <v>29</v>
      </c>
      <c r="C34" s="972"/>
      <c r="D34" s="972" t="s">
        <v>29</v>
      </c>
      <c r="E34" s="972"/>
      <c r="F34" s="972"/>
      <c r="G34" s="972"/>
      <c r="H34" s="972"/>
      <c r="I34" s="5"/>
      <c r="J34" s="972" t="s">
        <v>29</v>
      </c>
      <c r="K34" s="972"/>
      <c r="L34" s="972"/>
      <c r="M34" s="972"/>
      <c r="N34" s="972"/>
      <c r="O34" s="5"/>
      <c r="P34" s="5"/>
      <c r="Q34" s="5"/>
    </row>
    <row r="35" spans="2:17">
      <c r="B35" s="6"/>
      <c r="C35" s="5"/>
      <c r="D35" s="5"/>
      <c r="E35" s="5"/>
      <c r="F35" s="5"/>
      <c r="G35" s="6"/>
      <c r="I35" s="5"/>
      <c r="J35" s="6"/>
      <c r="K35" s="5"/>
      <c r="L35" s="5"/>
      <c r="M35" s="5"/>
      <c r="N35" s="5"/>
      <c r="O35" s="5"/>
      <c r="P35" s="5"/>
      <c r="Q35" s="6"/>
    </row>
    <row r="36" spans="2:17">
      <c r="B36" s="37"/>
      <c r="C36" s="47"/>
      <c r="D36" s="38"/>
      <c r="E36" s="38"/>
      <c r="F36" s="38"/>
      <c r="G36" s="37"/>
      <c r="I36" s="38"/>
      <c r="J36" s="37"/>
      <c r="K36" s="38"/>
      <c r="L36" s="38"/>
      <c r="M36" s="38"/>
      <c r="N36" s="38"/>
      <c r="O36" s="38"/>
      <c r="P36" s="38"/>
      <c r="Q36" s="37"/>
    </row>
    <row r="37" spans="2:17" ht="24" customHeight="1">
      <c r="B37" s="1080"/>
      <c r="C37" s="972"/>
      <c r="D37" s="1080"/>
      <c r="E37" s="972"/>
      <c r="F37" s="972"/>
      <c r="G37" s="972"/>
      <c r="H37" s="972"/>
      <c r="I37" s="245"/>
      <c r="J37" s="972"/>
      <c r="K37" s="972"/>
      <c r="L37" s="972"/>
      <c r="M37" s="972"/>
      <c r="N37" s="245"/>
      <c r="O37" s="1080"/>
      <c r="P37" s="972"/>
      <c r="Q37" s="972"/>
    </row>
    <row r="38" spans="2:17">
      <c r="B38" s="6"/>
      <c r="C38" s="5"/>
      <c r="D38" s="5"/>
      <c r="E38" s="5"/>
      <c r="F38" s="5"/>
      <c r="G38" s="6"/>
      <c r="I38" s="6"/>
      <c r="J38" s="6"/>
      <c r="K38" s="6"/>
      <c r="L38" s="5"/>
      <c r="M38" s="5"/>
      <c r="N38" s="5"/>
      <c r="O38" s="5"/>
      <c r="P38" s="5"/>
      <c r="Q38" s="5"/>
    </row>
    <row r="39" spans="2:17">
      <c r="B39" s="6"/>
      <c r="C39" s="5"/>
      <c r="D39" s="5"/>
      <c r="E39" s="5"/>
      <c r="F39" s="5"/>
      <c r="G39" s="6"/>
      <c r="I39" s="5"/>
      <c r="J39" s="6"/>
      <c r="K39" s="5"/>
      <c r="L39" s="5"/>
      <c r="M39" s="5"/>
      <c r="N39" s="5"/>
      <c r="O39" s="5"/>
      <c r="P39" s="5"/>
      <c r="Q39" s="6"/>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972"/>
      <c r="C44" s="972"/>
      <c r="D44" s="972"/>
      <c r="E44" s="972"/>
      <c r="F44" s="972"/>
      <c r="G44" s="972"/>
      <c r="H44" s="972"/>
      <c r="I44" s="5"/>
      <c r="J44" s="972"/>
      <c r="K44" s="972"/>
      <c r="L44" s="972"/>
      <c r="M44" s="972"/>
      <c r="N44" s="5"/>
      <c r="O44" s="972"/>
      <c r="P44" s="972"/>
      <c r="Q44" s="972"/>
    </row>
  </sheetData>
  <mergeCells count="43">
    <mergeCell ref="E12:F12"/>
    <mergeCell ref="E15:F15"/>
    <mergeCell ref="G15:I15"/>
    <mergeCell ref="C6:I6"/>
    <mergeCell ref="E10:F10"/>
    <mergeCell ref="G10:I10"/>
    <mergeCell ref="E11:F11"/>
    <mergeCell ref="G11:I11"/>
    <mergeCell ref="E13:F13"/>
    <mergeCell ref="G13:I13"/>
    <mergeCell ref="J13:K13"/>
    <mergeCell ref="E14:F14"/>
    <mergeCell ref="J20:K20"/>
    <mergeCell ref="E19:F19"/>
    <mergeCell ref="E20:F20"/>
    <mergeCell ref="G20:I20"/>
    <mergeCell ref="E17:F17"/>
    <mergeCell ref="G17:I17"/>
    <mergeCell ref="E16:F16"/>
    <mergeCell ref="G16:I16"/>
    <mergeCell ref="E18:F18"/>
    <mergeCell ref="G18:I18"/>
    <mergeCell ref="E21:F21"/>
    <mergeCell ref="G21:I21"/>
    <mergeCell ref="E22:F22"/>
    <mergeCell ref="G22:I22"/>
    <mergeCell ref="E23:F23"/>
    <mergeCell ref="G23:I23"/>
    <mergeCell ref="O23:P23"/>
    <mergeCell ref="B26:C26"/>
    <mergeCell ref="D26:H26"/>
    <mergeCell ref="B34:C34"/>
    <mergeCell ref="D34:H34"/>
    <mergeCell ref="J26:N26"/>
    <mergeCell ref="J34:N34"/>
    <mergeCell ref="B37:C37"/>
    <mergeCell ref="D37:H37"/>
    <mergeCell ref="J37:M37"/>
    <mergeCell ref="O37:Q37"/>
    <mergeCell ref="B44:C44"/>
    <mergeCell ref="D44:H44"/>
    <mergeCell ref="J44:M44"/>
    <mergeCell ref="O44:Q44"/>
  </mergeCells>
  <pageMargins left="0.25" right="0.17" top="0.17" bottom="0.32" header="0.3" footer="0.3"/>
  <pageSetup paperSize="9" scale="83"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1:Q45"/>
  <sheetViews>
    <sheetView showGridLines="0" topLeftCell="A11" zoomScaleNormal="100" workbookViewId="0">
      <selection activeCell="C28" sqref="C28"/>
    </sheetView>
  </sheetViews>
  <sheetFormatPr defaultColWidth="8.875" defaultRowHeight="12.75"/>
  <cols>
    <col min="1" max="1" width="2.125" style="1" customWidth="1"/>
    <col min="2" max="2" width="12.5" style="1" bestFit="1" customWidth="1"/>
    <col min="3" max="3" width="32" style="1" customWidth="1"/>
    <col min="4" max="4" width="8.875" style="2"/>
    <col min="5" max="5" width="6.625" style="2" customWidth="1"/>
    <col min="6" max="6" width="17.625" style="2" customWidth="1"/>
    <col min="7" max="7" width="5.125" style="2" customWidth="1"/>
    <col min="8" max="8" width="3.875" style="2" customWidth="1"/>
    <col min="9" max="9" width="10.125" style="1" customWidth="1"/>
    <col min="10" max="10" width="11.625" style="1" customWidth="1"/>
    <col min="11" max="11" width="13.875" style="39" customWidth="1"/>
    <col min="12" max="12" width="9.875" style="40" customWidth="1"/>
    <col min="13" max="13" width="10.12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5" hidden="1"/>
    <row r="2" spans="2:15" s="375" customFormat="1" hidden="1">
      <c r="B2" s="407" t="s">
        <v>464</v>
      </c>
      <c r="C2" s="140" t="s">
        <v>132</v>
      </c>
      <c r="D2" s="866"/>
    </row>
    <row r="3" spans="2:15" s="375" customFormat="1" hidden="1">
      <c r="B3" s="407" t="s">
        <v>465</v>
      </c>
      <c r="C3" s="209" t="s">
        <v>255</v>
      </c>
      <c r="D3" s="473"/>
    </row>
    <row r="4" spans="2:15" s="375" customFormat="1" hidden="1">
      <c r="B4" s="407" t="s">
        <v>466</v>
      </c>
      <c r="C4" s="140" t="s">
        <v>133</v>
      </c>
      <c r="D4" s="866"/>
    </row>
    <row r="5" spans="2:15" s="31" customFormat="1" ht="6.95" customHeight="1">
      <c r="B5" s="30"/>
      <c r="C5" s="30"/>
      <c r="D5" s="30"/>
      <c r="E5" s="30"/>
      <c r="J5" s="30"/>
      <c r="K5" s="32"/>
      <c r="L5" s="33"/>
    </row>
    <row r="6" spans="2:15" s="98" customFormat="1" ht="26.1" customHeight="1">
      <c r="B6" s="99" t="s">
        <v>81</v>
      </c>
      <c r="C6" s="1121" t="s">
        <v>680</v>
      </c>
      <c r="D6" s="1121"/>
      <c r="E6" s="1121"/>
      <c r="F6" s="1121"/>
      <c r="G6" s="1121"/>
      <c r="H6" s="1121"/>
      <c r="I6" s="1121"/>
      <c r="J6" s="145"/>
      <c r="K6" s="145"/>
      <c r="L6" s="145"/>
      <c r="M6" s="145"/>
      <c r="N6" s="145"/>
    </row>
    <row r="7" spans="2:15" s="3" customFormat="1" ht="20.100000000000001" customHeight="1">
      <c r="B7" s="213" t="s">
        <v>404</v>
      </c>
      <c r="C7" s="213" t="s">
        <v>551</v>
      </c>
      <c r="D7" s="867"/>
      <c r="E7" s="211"/>
      <c r="F7" s="211"/>
      <c r="G7" s="211"/>
      <c r="H7" s="211"/>
      <c r="I7" s="212" t="s">
        <v>278</v>
      </c>
      <c r="J7" s="212" t="s">
        <v>447</v>
      </c>
      <c r="K7" s="212"/>
      <c r="L7" s="212"/>
      <c r="M7" s="212"/>
      <c r="N7" s="31"/>
    </row>
    <row r="8" spans="2:15" s="3" customFormat="1" ht="18.95" customHeight="1">
      <c r="B8" s="213" t="s">
        <v>280</v>
      </c>
      <c r="C8" s="472" t="s">
        <v>552</v>
      </c>
      <c r="D8" s="867"/>
      <c r="E8" s="211"/>
      <c r="F8" s="211"/>
      <c r="G8" s="211"/>
      <c r="H8" s="211"/>
      <c r="I8" s="211" t="s">
        <v>477</v>
      </c>
      <c r="J8" s="212" t="s">
        <v>471</v>
      </c>
      <c r="K8" s="212"/>
      <c r="L8" s="212"/>
      <c r="M8" s="212"/>
      <c r="N8" s="31"/>
    </row>
    <row r="9" spans="2:15" s="3" customFormat="1" ht="6.95" customHeight="1">
      <c r="D9" s="75"/>
      <c r="E9" s="85"/>
      <c r="F9" s="85"/>
      <c r="G9" s="85"/>
      <c r="H9" s="85"/>
      <c r="I9" s="85"/>
      <c r="J9" s="85"/>
      <c r="K9" s="85"/>
      <c r="L9" s="85"/>
      <c r="M9" s="85"/>
      <c r="N9" s="85"/>
    </row>
    <row r="10" spans="2:15"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5" ht="21" customHeight="1">
      <c r="B11" s="430" t="s">
        <v>21</v>
      </c>
      <c r="C11" s="431" t="s">
        <v>478</v>
      </c>
      <c r="D11" s="868">
        <v>0.1</v>
      </c>
      <c r="E11" s="1179"/>
      <c r="F11" s="1180"/>
      <c r="G11" s="1156"/>
      <c r="H11" s="1158"/>
      <c r="I11" s="1157"/>
      <c r="J11" s="214"/>
      <c r="K11" s="214"/>
      <c r="L11" s="433"/>
      <c r="M11" s="430"/>
      <c r="N11" s="466">
        <f>N12</f>
        <v>0.10245</v>
      </c>
    </row>
    <row r="12" spans="2:15" ht="21" customHeight="1">
      <c r="B12" s="418"/>
      <c r="C12" s="435" t="s">
        <v>469</v>
      </c>
      <c r="D12" s="421"/>
      <c r="E12" s="1174"/>
      <c r="F12" s="1174"/>
      <c r="G12" s="436"/>
      <c r="H12" s="436"/>
      <c r="I12" s="437"/>
      <c r="J12" s="396"/>
      <c r="K12" s="438">
        <v>1</v>
      </c>
      <c r="L12" s="810">
        <f>'A7.9.KPI Ban HCNS Quy 2.26'!M26</f>
        <v>1.0245</v>
      </c>
      <c r="M12" s="811">
        <f>L12/K12*100%</f>
        <v>1.0245</v>
      </c>
      <c r="N12" s="496">
        <f>M12*D11</f>
        <v>0.10245</v>
      </c>
    </row>
    <row r="13" spans="2:15" ht="21" customHeight="1">
      <c r="B13" s="430" t="s">
        <v>22</v>
      </c>
      <c r="C13" s="440" t="s">
        <v>23</v>
      </c>
      <c r="D13" s="869">
        <v>0.8</v>
      </c>
      <c r="E13" s="1169"/>
      <c r="F13" s="1170"/>
      <c r="G13" s="1156"/>
      <c r="H13" s="1158"/>
      <c r="I13" s="1157"/>
      <c r="J13" s="1171"/>
      <c r="K13" s="1172"/>
      <c r="L13" s="443"/>
      <c r="M13" s="442"/>
      <c r="N13" s="467">
        <f>SUM(N15:N20)*D13</f>
        <v>0.8</v>
      </c>
    </row>
    <row r="14" spans="2:15" ht="21" customHeight="1">
      <c r="B14" s="418" t="s">
        <v>245</v>
      </c>
      <c r="C14" s="444" t="s">
        <v>24</v>
      </c>
      <c r="D14" s="446"/>
      <c r="E14" s="1173"/>
      <c r="F14" s="1173"/>
      <c r="G14" s="446"/>
      <c r="H14" s="446"/>
      <c r="I14" s="446"/>
      <c r="J14" s="445"/>
      <c r="K14" s="447"/>
      <c r="L14" s="447"/>
      <c r="M14" s="445"/>
      <c r="N14" s="448"/>
    </row>
    <row r="15" spans="2:15" ht="38.25">
      <c r="B15" s="86">
        <v>1</v>
      </c>
      <c r="C15" s="343" t="str">
        <f>'A7.9.KPI Ban HCNS Quy 2.26'!C12</f>
        <v>Đảm bảo 100% công văn đi đến được xử lý đúng hạn (tại giai đoạn theo chức năng Ban HCNS)</v>
      </c>
      <c r="D15" s="348">
        <v>0.2</v>
      </c>
      <c r="E15" s="1092" t="str">
        <f>'A7.9.KPI Ban HCNS Quy 2.26'!F12</f>
        <v>TH = 0, KPI = 100%
TH ≥ 1, KPI = 0%</v>
      </c>
      <c r="F15" s="1093"/>
      <c r="G15" s="1183" t="str">
        <f>'A7.9.KPI Ban HCNS Quy 2.26'!H12</f>
        <v>Báo cáo của Ban HCNS</v>
      </c>
      <c r="H15" s="1166"/>
      <c r="I15" s="1184"/>
      <c r="J15" s="451" t="str">
        <f>'A7.9.KPI Ban HCNS Quy 2.26'!I12</f>
        <v>Lần</v>
      </c>
      <c r="K15" s="364">
        <f>'A7.9.KPI Ban HCNS Quy 2.26'!J12</f>
        <v>0</v>
      </c>
      <c r="L15" s="364">
        <f>'A7.9.KPI Ban HCNS Quy 2.26'!K12</f>
        <v>0</v>
      </c>
      <c r="M15" s="365">
        <f>IF(LEN(L15)=0,"",IF(L15=K15,1,0))</f>
        <v>1</v>
      </c>
      <c r="N15" s="815">
        <f>IFERROR(M15*D15,"")</f>
        <v>0.2</v>
      </c>
      <c r="O15" s="13"/>
    </row>
    <row r="16" spans="2:15" ht="38.25">
      <c r="B16" s="86">
        <v>2</v>
      </c>
      <c r="C16" s="343" t="str">
        <f>'A7.9.KPI Ban HCNS Quy 2.26'!C15</f>
        <v>Chi phí Văn phòng phẩm (bộ phận văn phòng công ty) quý 2/26 không vượt quá so với quý 2 năm trước</v>
      </c>
      <c r="D16" s="348">
        <v>0.2</v>
      </c>
      <c r="E16" s="1092" t="str">
        <f>'A7.9.KPI Ban HCNS Quy 2.26'!F15</f>
        <v>TH ≤ KH: KPI = 100%
TH &gt; KH: KPI = 0% 
Max KPI = 120%</v>
      </c>
      <c r="F16" s="1093"/>
      <c r="G16" s="1163" t="str">
        <f>'A7.9.KPI Ban HCNS Quy 2.26'!H15</f>
        <v>Ban TCKT xác nhận</v>
      </c>
      <c r="H16" s="1164"/>
      <c r="I16" s="1165"/>
      <c r="J16" s="451" t="str">
        <f>'A7.9.KPI Ban HCNS Quy 2.26'!I15</f>
        <v>%</v>
      </c>
      <c r="K16" s="806">
        <f>'A7.9.KPI Ban HCNS Quy 2.26'!J15</f>
        <v>1</v>
      </c>
      <c r="L16" s="805">
        <f>'A7.9.KPI Ban HCNS Quy 2.26'!K15</f>
        <v>0.9859</v>
      </c>
      <c r="M16" s="345">
        <f>IF(LEN(L16)=0,"",IF(L16&lt;K16,100%,0))</f>
        <v>1</v>
      </c>
      <c r="N16" s="807">
        <f>IFERROR(M16*D16,"")</f>
        <v>0.2</v>
      </c>
      <c r="O16" s="13"/>
    </row>
    <row r="17" spans="2:17" ht="51">
      <c r="B17" s="86">
        <v>3</v>
      </c>
      <c r="C17" s="343" t="str">
        <f>'A7.9.KPI Ban HCNS Quy 2.26'!C20</f>
        <v>Thời gian xử lý đơn khiếu nại của KH (có báo cáo bằng văn bản) trung bình không quá 05 ngày làm việc kể từ ngày tiếp nhận đơn</v>
      </c>
      <c r="D17" s="348">
        <v>0.2</v>
      </c>
      <c r="E17" s="1092" t="str">
        <f>'A7.9.KPI Ban HCNS Quy 2.26'!F20</f>
        <v>TH ≤ KH: KPI = KH/TH*100%
TH &gt; KH: KPI = 0% 
Max KPI = 120%</v>
      </c>
      <c r="F17" s="1093"/>
      <c r="G17" s="1163" t="str">
        <f>'A7.9.KPI Ban HCNS Quy 2.26'!H20</f>
        <v>HCNS báo cáo, các XN liên quan xác nhận</v>
      </c>
      <c r="H17" s="1164"/>
      <c r="I17" s="1165"/>
      <c r="J17" s="451" t="str">
        <f>'A7.9.KPI Ban HCNS Quy 2.26'!I20</f>
        <v>Ngày</v>
      </c>
      <c r="K17" s="887">
        <f>'A7.9.KPI Ban HCNS Quy 2.26'!J20</f>
        <v>5</v>
      </c>
      <c r="L17" s="912">
        <f>'A7.9.KPI Ban HCNS Quy 2.26'!K20</f>
        <v>5</v>
      </c>
      <c r="M17" s="345">
        <f>IF(LEN(L17)=0,"",IF(L17&lt;K17,0,MIN(120%,L17/K17*100%)))</f>
        <v>1</v>
      </c>
      <c r="N17" s="807">
        <f>IFERROR(M17*D17,"")</f>
        <v>0.2</v>
      </c>
      <c r="O17" s="13"/>
    </row>
    <row r="18" spans="2:17" ht="21" customHeight="1">
      <c r="B18" s="418" t="s">
        <v>245</v>
      </c>
      <c r="C18" s="444" t="s">
        <v>128</v>
      </c>
      <c r="D18" s="446"/>
      <c r="E18" s="1166"/>
      <c r="F18" s="1166"/>
      <c r="G18" s="454"/>
      <c r="H18" s="454"/>
      <c r="I18" s="455"/>
      <c r="J18" s="445"/>
      <c r="K18" s="447"/>
      <c r="L18" s="447"/>
      <c r="M18" s="445"/>
      <c r="N18" s="814"/>
    </row>
    <row r="19" spans="2:17" ht="41.25" customHeight="1">
      <c r="B19" s="86">
        <v>1</v>
      </c>
      <c r="C19" s="511" t="s">
        <v>455</v>
      </c>
      <c r="D19" s="348">
        <v>0.2</v>
      </c>
      <c r="E19" s="1092" t="s">
        <v>413</v>
      </c>
      <c r="F19" s="1093"/>
      <c r="G19" s="1190" t="s">
        <v>471</v>
      </c>
      <c r="H19" s="1191"/>
      <c r="I19" s="1192"/>
      <c r="J19" s="451" t="s">
        <v>414</v>
      </c>
      <c r="K19" s="364">
        <v>0</v>
      </c>
      <c r="L19" s="364">
        <v>0</v>
      </c>
      <c r="M19" s="365">
        <f>IF(LEN(L19)=0,"",IF(L19=K19,1,0))</f>
        <v>1</v>
      </c>
      <c r="N19" s="807">
        <f t="shared" ref="N19:N20" si="0">IFERROR(M19*D19,"")</f>
        <v>0.2</v>
      </c>
    </row>
    <row r="20" spans="2:17" ht="38.25">
      <c r="B20" s="86">
        <v>2</v>
      </c>
      <c r="C20" s="511" t="s">
        <v>520</v>
      </c>
      <c r="D20" s="348">
        <v>0.2</v>
      </c>
      <c r="E20" s="1092" t="s">
        <v>413</v>
      </c>
      <c r="F20" s="1093"/>
      <c r="G20" s="1190" t="s">
        <v>471</v>
      </c>
      <c r="H20" s="1191"/>
      <c r="I20" s="1192"/>
      <c r="J20" s="451" t="s">
        <v>414</v>
      </c>
      <c r="K20" s="364">
        <v>0</v>
      </c>
      <c r="L20" s="364">
        <v>0</v>
      </c>
      <c r="M20" s="365">
        <f>IF(LEN(L20)=0,"",IF(L20=K20,1,0))</f>
        <v>1</v>
      </c>
      <c r="N20" s="807">
        <f t="shared" si="0"/>
        <v>0.2</v>
      </c>
    </row>
    <row r="21" spans="2:17" ht="21" customHeight="1">
      <c r="B21" s="430" t="s">
        <v>40</v>
      </c>
      <c r="C21" s="459" t="s">
        <v>233</v>
      </c>
      <c r="D21" s="359">
        <v>0.1</v>
      </c>
      <c r="E21" s="1156"/>
      <c r="F21" s="1157"/>
      <c r="G21" s="1156"/>
      <c r="H21" s="1158"/>
      <c r="I21" s="1157"/>
      <c r="J21" s="1159"/>
      <c r="K21" s="1159"/>
      <c r="L21" s="433"/>
      <c r="M21" s="430"/>
      <c r="N21" s="434">
        <f>MIN(10%, MAX(0, D21+SUM(N22)))</f>
        <v>0.1</v>
      </c>
    </row>
    <row r="22" spans="2:17" ht="17.100000000000001" customHeight="1">
      <c r="B22" s="86"/>
      <c r="C22" s="389" t="s">
        <v>710</v>
      </c>
      <c r="D22" s="351"/>
      <c r="E22" s="1093"/>
      <c r="F22" s="1093"/>
      <c r="G22" s="1160"/>
      <c r="H22" s="1161"/>
      <c r="I22" s="1162"/>
      <c r="J22" s="395"/>
      <c r="K22" s="461"/>
      <c r="L22" s="462"/>
      <c r="M22" s="345">
        <f>L22*-50%</f>
        <v>0</v>
      </c>
      <c r="N22" s="346">
        <f>M22*$D$21</f>
        <v>0</v>
      </c>
    </row>
    <row r="23" spans="2:17" hidden="1">
      <c r="B23" s="86"/>
      <c r="C23" s="389"/>
      <c r="D23" s="351"/>
      <c r="E23" s="1181"/>
      <c r="F23" s="1182"/>
      <c r="G23" s="1160"/>
      <c r="H23" s="1161"/>
      <c r="I23" s="1162"/>
      <c r="J23" s="395"/>
      <c r="K23" s="461"/>
      <c r="L23" s="462"/>
      <c r="M23" s="345"/>
      <c r="N23" s="346"/>
    </row>
    <row r="24" spans="2:17" ht="16.5">
      <c r="B24" s="214"/>
      <c r="C24" s="214" t="s">
        <v>4</v>
      </c>
      <c r="D24" s="339"/>
      <c r="E24" s="1156"/>
      <c r="F24" s="1157"/>
      <c r="G24" s="1156"/>
      <c r="H24" s="1158"/>
      <c r="I24" s="1157"/>
      <c r="J24" s="338"/>
      <c r="K24" s="463"/>
      <c r="L24" s="464"/>
      <c r="M24" s="338"/>
      <c r="N24" s="466">
        <f>N11+N13+N21</f>
        <v>1.0024500000000001</v>
      </c>
      <c r="O24" s="1143"/>
      <c r="P24" s="1143"/>
    </row>
    <row r="25" spans="2:17" ht="17.100000000000001" customHeight="1">
      <c r="B25" s="5"/>
      <c r="C25" s="5"/>
      <c r="D25" s="6"/>
      <c r="E25" s="6"/>
      <c r="F25" s="6"/>
      <c r="G25" s="6"/>
      <c r="H25" s="6"/>
      <c r="I25" s="5"/>
      <c r="J25" s="5"/>
      <c r="K25" s="35"/>
      <c r="L25" s="36"/>
      <c r="M25" s="5"/>
      <c r="N25" s="5"/>
    </row>
    <row r="26" spans="2:17" ht="12.95" customHeight="1">
      <c r="B26" s="37"/>
      <c r="C26" s="47"/>
      <c r="D26" s="37"/>
      <c r="E26" s="38"/>
      <c r="F26" s="38"/>
      <c r="G26" s="37"/>
      <c r="H26" s="37"/>
      <c r="I26" s="38"/>
      <c r="J26" s="38"/>
      <c r="K26" s="38"/>
      <c r="L26" s="38"/>
      <c r="M26" s="38"/>
      <c r="N26" s="38"/>
      <c r="O26" s="38"/>
      <c r="P26" s="38"/>
      <c r="Q26" s="37"/>
    </row>
    <row r="27" spans="2:17" s="51" customFormat="1" ht="23.25" customHeight="1">
      <c r="B27" s="1079" t="s">
        <v>539</v>
      </c>
      <c r="C27" s="975"/>
      <c r="D27" s="1079" t="s">
        <v>537</v>
      </c>
      <c r="E27" s="975"/>
      <c r="F27" s="975"/>
      <c r="G27" s="975"/>
      <c r="H27" s="975"/>
      <c r="I27" s="471"/>
      <c r="J27" s="1079" t="s">
        <v>540</v>
      </c>
      <c r="K27" s="1079"/>
      <c r="L27" s="1079"/>
      <c r="M27" s="1079"/>
      <c r="N27" s="1079"/>
      <c r="O27" s="471"/>
      <c r="P27" s="471"/>
      <c r="Q27" s="471"/>
    </row>
    <row r="28" spans="2:17" s="51" customFormat="1" ht="23.25" customHeight="1">
      <c r="B28" s="944"/>
      <c r="C28" s="37"/>
      <c r="D28" s="944"/>
      <c r="E28" s="37"/>
      <c r="F28" s="37"/>
      <c r="G28" s="37"/>
      <c r="H28" s="37"/>
      <c r="I28" s="471"/>
      <c r="J28" s="944"/>
      <c r="K28" s="944"/>
      <c r="L28" s="944"/>
      <c r="M28" s="944"/>
      <c r="N28" s="944"/>
      <c r="O28" s="471"/>
      <c r="P28" s="471"/>
      <c r="Q28" s="471"/>
    </row>
    <row r="29" spans="2:17">
      <c r="B29" s="6"/>
      <c r="C29" s="5"/>
      <c r="D29" s="6"/>
      <c r="E29" s="5"/>
      <c r="F29" s="5"/>
      <c r="G29" s="58"/>
      <c r="I29" s="6"/>
      <c r="J29" s="6"/>
      <c r="K29" s="6"/>
      <c r="L29" s="5"/>
      <c r="M29" s="5"/>
      <c r="N29" s="5"/>
      <c r="O29" s="5"/>
      <c r="P29" s="5"/>
      <c r="Q29" s="5"/>
    </row>
    <row r="30" spans="2:17">
      <c r="B30" s="6"/>
      <c r="C30" s="5"/>
      <c r="D30" s="6"/>
      <c r="E30" s="5"/>
      <c r="F30" s="5"/>
      <c r="G30" s="58"/>
      <c r="I30" s="5" t="s">
        <v>681</v>
      </c>
      <c r="J30" s="6"/>
      <c r="K30" s="6"/>
      <c r="L30" s="5"/>
      <c r="M30" s="5"/>
      <c r="N30" s="5"/>
      <c r="O30" s="5"/>
      <c r="P30" s="5"/>
      <c r="Q30" s="6"/>
    </row>
    <row r="31" spans="2:17">
      <c r="B31" s="6"/>
      <c r="C31" s="5"/>
      <c r="D31" s="6"/>
      <c r="E31" s="5"/>
      <c r="F31" s="5"/>
      <c r="G31" s="58"/>
      <c r="I31" s="5"/>
      <c r="J31" s="6"/>
      <c r="K31" s="6"/>
      <c r="L31" s="5"/>
      <c r="M31" s="5"/>
      <c r="N31" s="5"/>
      <c r="O31" s="5"/>
      <c r="P31" s="5"/>
      <c r="Q31" s="6"/>
    </row>
    <row r="32" spans="2:17">
      <c r="B32" s="6"/>
      <c r="C32" s="5"/>
      <c r="D32" s="6"/>
      <c r="E32" s="5"/>
      <c r="F32" s="5"/>
      <c r="G32" s="58"/>
      <c r="I32" s="5"/>
      <c r="J32" s="6"/>
      <c r="K32" s="6"/>
      <c r="L32" s="5"/>
      <c r="M32" s="5"/>
      <c r="N32" s="5"/>
      <c r="O32" s="5"/>
      <c r="P32" s="5"/>
      <c r="Q32" s="6"/>
    </row>
    <row r="33" spans="2:17">
      <c r="B33" s="6"/>
      <c r="C33" s="5"/>
      <c r="D33" s="6"/>
      <c r="E33" s="5"/>
      <c r="F33" s="5"/>
      <c r="G33" s="58"/>
      <c r="I33" s="5"/>
      <c r="J33" s="6"/>
      <c r="K33" s="6"/>
      <c r="L33" s="5"/>
      <c r="M33" s="5"/>
      <c r="N33" s="5"/>
      <c r="O33" s="5"/>
      <c r="P33" s="5"/>
      <c r="Q33" s="6"/>
    </row>
    <row r="34" spans="2:17" hidden="1">
      <c r="B34" s="6"/>
      <c r="C34" s="5"/>
      <c r="D34" s="6"/>
      <c r="E34" s="5"/>
      <c r="F34" s="5"/>
      <c r="G34" s="58"/>
      <c r="I34" s="5"/>
      <c r="J34" s="6"/>
      <c r="K34" s="6"/>
      <c r="L34" s="5"/>
      <c r="M34" s="5"/>
      <c r="N34" s="5"/>
      <c r="O34" s="5"/>
      <c r="P34" s="5"/>
      <c r="Q34" s="6"/>
    </row>
    <row r="35" spans="2:17">
      <c r="B35" s="972" t="s">
        <v>29</v>
      </c>
      <c r="C35" s="972"/>
      <c r="D35" s="972" t="s">
        <v>29</v>
      </c>
      <c r="E35" s="972"/>
      <c r="F35" s="972"/>
      <c r="G35" s="972"/>
      <c r="H35" s="972"/>
      <c r="I35" s="5"/>
      <c r="J35" s="972" t="s">
        <v>29</v>
      </c>
      <c r="K35" s="972"/>
      <c r="L35" s="972"/>
      <c r="M35" s="972"/>
      <c r="N35" s="972"/>
      <c r="O35" s="5"/>
      <c r="P35" s="5"/>
      <c r="Q35" s="5"/>
    </row>
    <row r="36" spans="2:17">
      <c r="B36" s="6"/>
      <c r="C36" s="5"/>
      <c r="D36" s="6"/>
      <c r="E36" s="5"/>
      <c r="F36" s="5"/>
      <c r="G36" s="6"/>
      <c r="I36" s="5"/>
      <c r="J36" s="6"/>
      <c r="K36" s="5"/>
      <c r="L36" s="5"/>
      <c r="M36" s="5"/>
      <c r="N36" s="5"/>
      <c r="O36" s="5"/>
      <c r="P36" s="5"/>
      <c r="Q36" s="6"/>
    </row>
    <row r="37" spans="2:17">
      <c r="B37" s="37"/>
      <c r="C37" s="47"/>
      <c r="D37" s="37"/>
      <c r="E37" s="38"/>
      <c r="F37" s="38"/>
      <c r="G37" s="37"/>
      <c r="I37" s="38"/>
      <c r="J37" s="37"/>
      <c r="K37" s="38"/>
      <c r="L37" s="38"/>
      <c r="M37" s="38"/>
      <c r="N37" s="38"/>
      <c r="O37" s="38"/>
      <c r="P37" s="38"/>
      <c r="Q37" s="37"/>
    </row>
    <row r="38" spans="2:17" ht="24" customHeight="1">
      <c r="B38" s="1080"/>
      <c r="C38" s="972"/>
      <c r="D38" s="1080"/>
      <c r="E38" s="972"/>
      <c r="F38" s="972"/>
      <c r="G38" s="972"/>
      <c r="H38" s="972"/>
      <c r="I38" s="245"/>
      <c r="J38" s="972"/>
      <c r="K38" s="972"/>
      <c r="L38" s="972"/>
      <c r="M38" s="972"/>
      <c r="N38" s="245"/>
      <c r="O38" s="1080"/>
      <c r="P38" s="972"/>
      <c r="Q38" s="972"/>
    </row>
    <row r="39" spans="2:17">
      <c r="B39" s="6"/>
      <c r="C39" s="5"/>
      <c r="D39" s="6"/>
      <c r="E39" s="5"/>
      <c r="F39" s="5"/>
      <c r="G39" s="6"/>
      <c r="I39" s="6"/>
      <c r="J39" s="6"/>
      <c r="K39" s="6"/>
      <c r="L39" s="5"/>
      <c r="M39" s="5"/>
      <c r="N39" s="5"/>
      <c r="O39" s="5"/>
      <c r="P39" s="5"/>
      <c r="Q39" s="5"/>
    </row>
    <row r="40" spans="2:17">
      <c r="B40" s="6"/>
      <c r="C40" s="5"/>
      <c r="D40" s="6"/>
      <c r="E40" s="5"/>
      <c r="F40" s="5"/>
      <c r="G40" s="6"/>
      <c r="I40" s="5"/>
      <c r="J40" s="6"/>
      <c r="K40" s="5"/>
      <c r="L40" s="5"/>
      <c r="M40" s="5"/>
      <c r="N40" s="5"/>
      <c r="O40" s="5"/>
      <c r="P40" s="5"/>
      <c r="Q40" s="6"/>
    </row>
    <row r="41" spans="2:17">
      <c r="B41" s="6"/>
      <c r="C41" s="5"/>
      <c r="D41" s="6"/>
      <c r="E41" s="5"/>
      <c r="F41" s="5"/>
      <c r="G41" s="6"/>
      <c r="I41" s="5"/>
      <c r="J41" s="6"/>
      <c r="K41" s="5"/>
      <c r="L41" s="5"/>
      <c r="M41" s="5"/>
      <c r="N41" s="5"/>
      <c r="O41" s="5"/>
      <c r="P41" s="5"/>
      <c r="Q41" s="6"/>
    </row>
    <row r="42" spans="2:17">
      <c r="B42" s="6"/>
      <c r="C42" s="5"/>
      <c r="D42" s="6"/>
      <c r="E42" s="5"/>
      <c r="F42" s="5"/>
      <c r="G42" s="6"/>
      <c r="I42" s="5"/>
      <c r="J42" s="6"/>
      <c r="K42" s="5"/>
      <c r="L42" s="5"/>
      <c r="M42" s="5"/>
      <c r="N42" s="5"/>
      <c r="O42" s="5"/>
      <c r="P42" s="5"/>
      <c r="Q42" s="6"/>
    </row>
    <row r="43" spans="2:17">
      <c r="B43" s="6"/>
      <c r="C43" s="5"/>
      <c r="D43" s="6"/>
      <c r="E43" s="5"/>
      <c r="F43" s="5"/>
      <c r="G43" s="6"/>
      <c r="I43" s="5"/>
      <c r="J43" s="6"/>
      <c r="K43" s="5"/>
      <c r="L43" s="5"/>
      <c r="M43" s="5"/>
      <c r="N43" s="5"/>
      <c r="O43" s="5"/>
      <c r="P43" s="5"/>
      <c r="Q43" s="6"/>
    </row>
    <row r="44" spans="2:17">
      <c r="B44" s="6"/>
      <c r="C44" s="5"/>
      <c r="D44" s="6"/>
      <c r="E44" s="5"/>
      <c r="F44" s="5"/>
      <c r="G44" s="6"/>
      <c r="I44" s="5"/>
      <c r="J44" s="6"/>
      <c r="K44" s="5"/>
      <c r="L44" s="5"/>
      <c r="M44" s="5"/>
      <c r="N44" s="5"/>
      <c r="O44" s="5"/>
      <c r="P44" s="5"/>
      <c r="Q44" s="6"/>
    </row>
    <row r="45" spans="2:17">
      <c r="B45" s="972"/>
      <c r="C45" s="972"/>
      <c r="D45" s="972"/>
      <c r="E45" s="972"/>
      <c r="F45" s="972"/>
      <c r="G45" s="972"/>
      <c r="H45" s="972"/>
      <c r="I45" s="5"/>
      <c r="J45" s="972"/>
      <c r="K45" s="972"/>
      <c r="L45" s="972"/>
      <c r="M45" s="972"/>
      <c r="N45" s="5"/>
      <c r="O45" s="972"/>
      <c r="P45" s="972"/>
      <c r="Q45" s="972"/>
    </row>
  </sheetData>
  <mergeCells count="45">
    <mergeCell ref="E12:F12"/>
    <mergeCell ref="C6:I6"/>
    <mergeCell ref="E10:F10"/>
    <mergeCell ref="G10:I10"/>
    <mergeCell ref="E11:F11"/>
    <mergeCell ref="G11:I11"/>
    <mergeCell ref="E19:F19"/>
    <mergeCell ref="G19:I19"/>
    <mergeCell ref="E13:F13"/>
    <mergeCell ref="G13:I13"/>
    <mergeCell ref="J13:K13"/>
    <mergeCell ref="E14:F14"/>
    <mergeCell ref="E15:F15"/>
    <mergeCell ref="G15:I15"/>
    <mergeCell ref="E16:F16"/>
    <mergeCell ref="G16:I16"/>
    <mergeCell ref="E18:F18"/>
    <mergeCell ref="E17:F17"/>
    <mergeCell ref="G17:I17"/>
    <mergeCell ref="E20:F20"/>
    <mergeCell ref="G20:I20"/>
    <mergeCell ref="E21:F21"/>
    <mergeCell ref="G21:I21"/>
    <mergeCell ref="E24:F24"/>
    <mergeCell ref="G24:I24"/>
    <mergeCell ref="J21:K21"/>
    <mergeCell ref="E22:F22"/>
    <mergeCell ref="G22:I22"/>
    <mergeCell ref="E23:F23"/>
    <mergeCell ref="G23:I23"/>
    <mergeCell ref="O24:P24"/>
    <mergeCell ref="J27:N27"/>
    <mergeCell ref="B45:C45"/>
    <mergeCell ref="D45:H45"/>
    <mergeCell ref="J45:M45"/>
    <mergeCell ref="O45:Q45"/>
    <mergeCell ref="B35:C35"/>
    <mergeCell ref="D35:H35"/>
    <mergeCell ref="B38:C38"/>
    <mergeCell ref="D38:H38"/>
    <mergeCell ref="J38:M38"/>
    <mergeCell ref="O38:Q38"/>
    <mergeCell ref="J35:N35"/>
    <mergeCell ref="B27:C27"/>
    <mergeCell ref="D27:H27"/>
  </mergeCells>
  <pageMargins left="0.17" right="0.17" top="0.17" bottom="0.17" header="0.3" footer="0.3"/>
  <pageSetup paperSize="9" scale="83"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9839C-AE6B-48C5-837C-6DC703764386}">
  <dimension ref="B1:Q44"/>
  <sheetViews>
    <sheetView showGridLines="0" topLeftCell="A9" zoomScaleNormal="100" workbookViewId="0">
      <selection activeCell="C28" sqref="C28"/>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17" style="2" customWidth="1"/>
    <col min="7" max="7" width="5.125" style="2" customWidth="1"/>
    <col min="8" max="8" width="3.875" style="2" customWidth="1"/>
    <col min="9" max="9" width="10.125" style="1" customWidth="1"/>
    <col min="10" max="10" width="11.625" style="1" customWidth="1"/>
    <col min="11" max="11" width="13.875" style="39" customWidth="1"/>
    <col min="12" max="12" width="9.875" style="40" customWidth="1"/>
    <col min="13" max="13" width="11.12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4" hidden="1"/>
    <row r="2" spans="2:14" s="375" customFormat="1" hidden="1">
      <c r="B2" s="407" t="s">
        <v>464</v>
      </c>
      <c r="C2" s="140" t="s">
        <v>132</v>
      </c>
      <c r="D2" s="140"/>
    </row>
    <row r="3" spans="2:14" s="375" customFormat="1" hidden="1">
      <c r="B3" s="407" t="s">
        <v>465</v>
      </c>
      <c r="C3" s="209" t="s">
        <v>255</v>
      </c>
      <c r="D3" s="209"/>
    </row>
    <row r="4" spans="2:14" s="375" customFormat="1" hidden="1">
      <c r="B4" s="407" t="s">
        <v>466</v>
      </c>
      <c r="C4" s="140" t="s">
        <v>133</v>
      </c>
      <c r="D4" s="140"/>
    </row>
    <row r="5" spans="2:14" s="31" customFormat="1" ht="6.95" customHeight="1">
      <c r="B5" s="30"/>
      <c r="C5" s="30"/>
      <c r="E5" s="30"/>
      <c r="J5" s="30"/>
      <c r="K5" s="32"/>
      <c r="L5" s="33"/>
    </row>
    <row r="6" spans="2:14" s="98" customFormat="1" ht="26.1" customHeight="1">
      <c r="B6" s="99" t="s">
        <v>81</v>
      </c>
      <c r="C6" s="1121" t="s">
        <v>680</v>
      </c>
      <c r="D6" s="1121"/>
      <c r="E6" s="1121"/>
      <c r="F6" s="1121"/>
      <c r="G6" s="1121"/>
      <c r="H6" s="1121"/>
      <c r="I6" s="1121"/>
      <c r="J6" s="145"/>
      <c r="K6" s="145"/>
      <c r="L6" s="145"/>
      <c r="M6" s="145"/>
      <c r="N6" s="145"/>
    </row>
    <row r="7" spans="2:14" s="3" customFormat="1" ht="20.100000000000001" customHeight="1">
      <c r="B7" s="213" t="s">
        <v>404</v>
      </c>
      <c r="C7" s="213" t="s">
        <v>569</v>
      </c>
      <c r="D7" s="211"/>
      <c r="E7" s="211"/>
      <c r="F7" s="211"/>
      <c r="G7" s="211"/>
      <c r="H7" s="211"/>
      <c r="I7" s="212" t="s">
        <v>278</v>
      </c>
      <c r="J7" s="212" t="s">
        <v>448</v>
      </c>
      <c r="K7" s="212"/>
      <c r="L7" s="212"/>
      <c r="M7" s="212"/>
      <c r="N7" s="31"/>
    </row>
    <row r="8" spans="2:14" s="3" customFormat="1" ht="18.95" customHeight="1">
      <c r="B8" s="213" t="s">
        <v>280</v>
      </c>
      <c r="C8" s="472" t="s">
        <v>570</v>
      </c>
      <c r="D8" s="211"/>
      <c r="E8" s="211"/>
      <c r="F8" s="211"/>
      <c r="G8" s="211"/>
      <c r="H8" s="211"/>
      <c r="I8" s="211" t="s">
        <v>477</v>
      </c>
      <c r="J8" s="212" t="s">
        <v>471</v>
      </c>
      <c r="K8" s="212"/>
      <c r="L8" s="212"/>
      <c r="M8" s="212"/>
      <c r="N8" s="31"/>
    </row>
    <row r="9" spans="2:14" s="3" customFormat="1" ht="6.95" customHeight="1">
      <c r="D9" s="85"/>
      <c r="E9" s="85"/>
      <c r="F9" s="85"/>
      <c r="G9" s="85"/>
      <c r="H9" s="85"/>
      <c r="I9" s="85"/>
      <c r="J9" s="85"/>
      <c r="K9" s="85"/>
      <c r="L9" s="85"/>
      <c r="M9" s="85"/>
      <c r="N9" s="85"/>
    </row>
    <row r="10" spans="2:14"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4" ht="21" customHeight="1">
      <c r="B11" s="430" t="s">
        <v>21</v>
      </c>
      <c r="C11" s="431" t="s">
        <v>478</v>
      </c>
      <c r="D11" s="868">
        <v>0.1</v>
      </c>
      <c r="E11" s="1179"/>
      <c r="F11" s="1180"/>
      <c r="G11" s="1156"/>
      <c r="H11" s="1158"/>
      <c r="I11" s="1157"/>
      <c r="J11" s="214"/>
      <c r="K11" s="214"/>
      <c r="L11" s="433"/>
      <c r="M11" s="430"/>
      <c r="N11" s="466">
        <f>N12</f>
        <v>0.10245</v>
      </c>
    </row>
    <row r="12" spans="2:14" ht="21" customHeight="1">
      <c r="B12" s="418"/>
      <c r="C12" s="435" t="s">
        <v>469</v>
      </c>
      <c r="D12" s="421"/>
      <c r="E12" s="1174"/>
      <c r="F12" s="1174"/>
      <c r="G12" s="436"/>
      <c r="H12" s="436"/>
      <c r="I12" s="437"/>
      <c r="J12" s="396"/>
      <c r="K12" s="438">
        <v>1</v>
      </c>
      <c r="L12" s="810">
        <f>'A7.9.KPI Ban HCNS Quy 2.26'!M26</f>
        <v>1.0245</v>
      </c>
      <c r="M12" s="811">
        <f>L12/K12*100%</f>
        <v>1.0245</v>
      </c>
      <c r="N12" s="496">
        <f>M12*D11</f>
        <v>0.10245</v>
      </c>
    </row>
    <row r="13" spans="2:14" ht="21" customHeight="1">
      <c r="B13" s="430" t="s">
        <v>22</v>
      </c>
      <c r="C13" s="440" t="s">
        <v>23</v>
      </c>
      <c r="D13" s="869">
        <v>0.8</v>
      </c>
      <c r="E13" s="1169"/>
      <c r="F13" s="1170"/>
      <c r="G13" s="1156"/>
      <c r="H13" s="1158"/>
      <c r="I13" s="1157"/>
      <c r="J13" s="1171"/>
      <c r="K13" s="1172"/>
      <c r="L13" s="443"/>
      <c r="M13" s="442"/>
      <c r="N13" s="467">
        <f>SUM(N15:N20)*D13</f>
        <v>0.8</v>
      </c>
    </row>
    <row r="14" spans="2:14" ht="21" customHeight="1">
      <c r="B14" s="418" t="s">
        <v>245</v>
      </c>
      <c r="C14" s="444" t="s">
        <v>24</v>
      </c>
      <c r="D14" s="446"/>
      <c r="E14" s="1173"/>
      <c r="F14" s="1173"/>
      <c r="G14" s="446"/>
      <c r="H14" s="446"/>
      <c r="I14" s="446"/>
      <c r="J14" s="445"/>
      <c r="K14" s="447"/>
      <c r="L14" s="447"/>
      <c r="M14" s="445"/>
      <c r="N14" s="448"/>
    </row>
    <row r="15" spans="2:14" ht="21" customHeight="1">
      <c r="B15" s="418" t="s">
        <v>245</v>
      </c>
      <c r="C15" s="444" t="s">
        <v>128</v>
      </c>
      <c r="D15" s="446"/>
      <c r="E15" s="1166"/>
      <c r="F15" s="1166"/>
      <c r="G15" s="454"/>
      <c r="H15" s="454"/>
      <c r="I15" s="455"/>
      <c r="J15" s="445"/>
      <c r="K15" s="447"/>
      <c r="L15" s="447"/>
      <c r="M15" s="445"/>
      <c r="N15" s="448"/>
    </row>
    <row r="16" spans="2:14" ht="36" customHeight="1">
      <c r="B16" s="86">
        <v>1</v>
      </c>
      <c r="C16" s="470" t="s">
        <v>457</v>
      </c>
      <c r="D16" s="348">
        <v>0.2</v>
      </c>
      <c r="E16" s="1092" t="s">
        <v>413</v>
      </c>
      <c r="F16" s="1093"/>
      <c r="G16" s="1190" t="s">
        <v>471</v>
      </c>
      <c r="H16" s="1191"/>
      <c r="I16" s="1192"/>
      <c r="J16" s="451" t="s">
        <v>414</v>
      </c>
      <c r="K16" s="364">
        <v>0</v>
      </c>
      <c r="L16" s="364">
        <v>0</v>
      </c>
      <c r="M16" s="365">
        <f>IF(LEN(L16)=0,"",IF(L16=K16,1,0))</f>
        <v>1</v>
      </c>
      <c r="N16" s="807">
        <f>IFERROR(M16*D16,"")</f>
        <v>0.2</v>
      </c>
    </row>
    <row r="17" spans="2:17" ht="39.75" customHeight="1">
      <c r="B17" s="86">
        <v>2</v>
      </c>
      <c r="C17" s="470" t="s">
        <v>458</v>
      </c>
      <c r="D17" s="348">
        <v>0.2</v>
      </c>
      <c r="E17" s="1092" t="s">
        <v>330</v>
      </c>
      <c r="F17" s="1093"/>
      <c r="G17" s="1190" t="s">
        <v>471</v>
      </c>
      <c r="H17" s="1191"/>
      <c r="I17" s="1192"/>
      <c r="J17" s="395" t="s">
        <v>326</v>
      </c>
      <c r="K17" s="358">
        <v>1</v>
      </c>
      <c r="L17" s="358">
        <v>1</v>
      </c>
      <c r="M17" s="352">
        <f>IF(LEN(L17)=0,"",IF(L17&gt;=K17,100%,0%))</f>
        <v>1</v>
      </c>
      <c r="N17" s="807">
        <f t="shared" ref="N17:N20" si="0">IFERROR(M17*D17,"")</f>
        <v>0.2</v>
      </c>
    </row>
    <row r="18" spans="2:17" ht="51.95" customHeight="1">
      <c r="B18" s="86">
        <v>3</v>
      </c>
      <c r="C18" s="470" t="s">
        <v>535</v>
      </c>
      <c r="D18" s="348">
        <v>0.25</v>
      </c>
      <c r="E18" s="1092" t="s">
        <v>413</v>
      </c>
      <c r="F18" s="1093"/>
      <c r="G18" s="1190" t="s">
        <v>471</v>
      </c>
      <c r="H18" s="1191"/>
      <c r="I18" s="1192"/>
      <c r="J18" s="451" t="s">
        <v>414</v>
      </c>
      <c r="K18" s="364">
        <v>0</v>
      </c>
      <c r="L18" s="364">
        <v>0</v>
      </c>
      <c r="M18" s="365">
        <f>IF(LEN(L18)=0,"",IF(L18=K18,1,0))</f>
        <v>1</v>
      </c>
      <c r="N18" s="807">
        <f t="shared" si="0"/>
        <v>0.25</v>
      </c>
    </row>
    <row r="19" spans="2:17" ht="51.95" customHeight="1">
      <c r="B19" s="86">
        <v>4</v>
      </c>
      <c r="C19" s="470" t="s">
        <v>459</v>
      </c>
      <c r="D19" s="348">
        <v>0.15</v>
      </c>
      <c r="E19" s="1092" t="s">
        <v>696</v>
      </c>
      <c r="F19" s="1093"/>
      <c r="G19" s="1094" t="s">
        <v>528</v>
      </c>
      <c r="H19" s="1095"/>
      <c r="I19" s="1096"/>
      <c r="J19" s="451" t="s">
        <v>326</v>
      </c>
      <c r="K19" s="346">
        <v>1</v>
      </c>
      <c r="L19" s="346">
        <v>1</v>
      </c>
      <c r="M19" s="354">
        <f>IF(LEN(L19)=0,"",IF(L19&lt;=K19,1,0))</f>
        <v>1</v>
      </c>
      <c r="N19" s="807">
        <f t="shared" si="0"/>
        <v>0.15</v>
      </c>
    </row>
    <row r="20" spans="2:17" ht="51.95" customHeight="1">
      <c r="B20" s="86">
        <v>5</v>
      </c>
      <c r="C20" s="470" t="s">
        <v>461</v>
      </c>
      <c r="D20" s="348">
        <v>0.2</v>
      </c>
      <c r="E20" s="1092" t="s">
        <v>413</v>
      </c>
      <c r="F20" s="1093"/>
      <c r="G20" s="1190" t="s">
        <v>471</v>
      </c>
      <c r="H20" s="1191"/>
      <c r="I20" s="1192"/>
      <c r="J20" s="451" t="s">
        <v>414</v>
      </c>
      <c r="K20" s="364">
        <v>0</v>
      </c>
      <c r="L20" s="364">
        <v>0</v>
      </c>
      <c r="M20" s="365">
        <f>IF(LEN(L20)=0,"",IF(L20=K20,1,0))</f>
        <v>1</v>
      </c>
      <c r="N20" s="807">
        <f t="shared" si="0"/>
        <v>0.2</v>
      </c>
    </row>
    <row r="21" spans="2:17" ht="21" customHeight="1">
      <c r="B21" s="430" t="s">
        <v>40</v>
      </c>
      <c r="C21" s="459" t="s">
        <v>233</v>
      </c>
      <c r="D21" s="359">
        <v>0.1</v>
      </c>
      <c r="E21" s="1156"/>
      <c r="F21" s="1157"/>
      <c r="G21" s="1156"/>
      <c r="H21" s="1158"/>
      <c r="I21" s="1157"/>
      <c r="J21" s="1159"/>
      <c r="K21" s="1159"/>
      <c r="L21" s="433"/>
      <c r="M21" s="430"/>
      <c r="N21" s="434">
        <f>MIN(10%, MAX(0, D21+SUM(N22)))</f>
        <v>0.1</v>
      </c>
    </row>
    <row r="22" spans="2:17" ht="21" customHeight="1">
      <c r="B22" s="86"/>
      <c r="C22" s="389" t="s">
        <v>710</v>
      </c>
      <c r="D22" s="351"/>
      <c r="E22" s="1093"/>
      <c r="F22" s="1093"/>
      <c r="G22" s="1160"/>
      <c r="H22" s="1161"/>
      <c r="I22" s="1162"/>
      <c r="J22" s="395"/>
      <c r="K22" s="461"/>
      <c r="L22" s="462"/>
      <c r="M22" s="345">
        <f>L22*-50%</f>
        <v>0</v>
      </c>
      <c r="N22" s="346">
        <f>M22*$D$21</f>
        <v>0</v>
      </c>
    </row>
    <row r="23" spans="2:17" ht="29.1" hidden="1" customHeight="1">
      <c r="B23" s="86"/>
      <c r="C23" s="389"/>
      <c r="D23" s="351"/>
      <c r="E23" s="1181"/>
      <c r="F23" s="1182"/>
      <c r="G23" s="1160"/>
      <c r="H23" s="1161"/>
      <c r="I23" s="1162"/>
      <c r="J23" s="395"/>
      <c r="K23" s="461"/>
      <c r="L23" s="462"/>
      <c r="M23" s="345"/>
      <c r="N23" s="346"/>
    </row>
    <row r="24" spans="2:17" ht="16.5">
      <c r="B24" s="214"/>
      <c r="C24" s="214" t="s">
        <v>4</v>
      </c>
      <c r="D24" s="338"/>
      <c r="E24" s="1156"/>
      <c r="F24" s="1157"/>
      <c r="G24" s="1156"/>
      <c r="H24" s="1158"/>
      <c r="I24" s="1157"/>
      <c r="J24" s="338"/>
      <c r="K24" s="463"/>
      <c r="L24" s="464"/>
      <c r="M24" s="338"/>
      <c r="N24" s="466">
        <f>N11+N13+N21</f>
        <v>1.0024500000000001</v>
      </c>
      <c r="O24" s="1143"/>
      <c r="P24" s="1143"/>
    </row>
    <row r="25" spans="2:17" ht="17.100000000000001" customHeight="1">
      <c r="B25" s="5"/>
      <c r="C25" s="5"/>
      <c r="D25" s="5"/>
      <c r="E25" s="6"/>
      <c r="F25" s="6"/>
      <c r="G25" s="6"/>
      <c r="H25" s="6"/>
      <c r="I25" s="5"/>
      <c r="J25" s="5"/>
      <c r="K25" s="35"/>
      <c r="L25" s="36"/>
      <c r="M25" s="5"/>
      <c r="N25" s="5"/>
    </row>
    <row r="26" spans="2:17" ht="12.95" customHeight="1">
      <c r="B26" s="37"/>
      <c r="C26" s="47"/>
      <c r="D26" s="38"/>
      <c r="E26" s="38"/>
      <c r="F26" s="38"/>
      <c r="G26" s="37"/>
      <c r="H26" s="37"/>
      <c r="I26" s="38"/>
      <c r="J26" s="38"/>
      <c r="K26" s="38"/>
      <c r="L26" s="38"/>
      <c r="M26" s="38"/>
      <c r="N26" s="38"/>
      <c r="O26" s="38"/>
      <c r="P26" s="38"/>
      <c r="Q26" s="37"/>
    </row>
    <row r="27" spans="2:17" s="51" customFormat="1" ht="23.25" customHeight="1">
      <c r="B27" s="1079" t="s">
        <v>539</v>
      </c>
      <c r="C27" s="975"/>
      <c r="D27" s="1079" t="s">
        <v>537</v>
      </c>
      <c r="E27" s="975"/>
      <c r="F27" s="975"/>
      <c r="G27" s="975"/>
      <c r="H27" s="975"/>
      <c r="I27" s="471"/>
      <c r="J27" s="1079" t="s">
        <v>540</v>
      </c>
      <c r="K27" s="1079"/>
      <c r="L27" s="1079"/>
      <c r="M27" s="1079"/>
      <c r="N27" s="1079"/>
      <c r="O27" s="471"/>
      <c r="P27" s="471"/>
      <c r="Q27" s="471"/>
    </row>
    <row r="28" spans="2:17">
      <c r="B28" s="6"/>
      <c r="C28" s="5"/>
      <c r="D28" s="6"/>
      <c r="E28" s="5"/>
      <c r="F28" s="5"/>
      <c r="G28" s="58"/>
      <c r="I28" s="6"/>
      <c r="J28" s="6"/>
      <c r="K28" s="6"/>
      <c r="L28" s="5"/>
      <c r="M28" s="5"/>
      <c r="N28" s="5"/>
      <c r="O28" s="5"/>
      <c r="P28" s="5"/>
      <c r="Q28" s="5"/>
    </row>
    <row r="29" spans="2:17">
      <c r="B29" s="6"/>
      <c r="C29" s="5"/>
      <c r="D29" s="6"/>
      <c r="E29" s="5"/>
      <c r="F29" s="5"/>
      <c r="G29" s="58"/>
      <c r="I29" s="5" t="s">
        <v>681</v>
      </c>
      <c r="J29" s="6"/>
      <c r="K29" s="6"/>
      <c r="L29" s="5"/>
      <c r="M29" s="5"/>
      <c r="N29" s="5"/>
      <c r="O29" s="5"/>
      <c r="P29" s="5"/>
      <c r="Q29" s="6"/>
    </row>
    <row r="30" spans="2:17">
      <c r="B30" s="6"/>
      <c r="C30" s="5"/>
      <c r="D30" s="6"/>
      <c r="E30" s="5"/>
      <c r="F30" s="5"/>
      <c r="G30" s="58"/>
      <c r="I30" s="5"/>
      <c r="J30" s="6"/>
      <c r="K30" s="6"/>
      <c r="L30" s="5"/>
      <c r="M30" s="5"/>
      <c r="N30" s="5"/>
      <c r="O30" s="5"/>
      <c r="P30" s="5"/>
      <c r="Q30" s="6"/>
    </row>
    <row r="31" spans="2:17">
      <c r="B31" s="6"/>
      <c r="C31" s="5"/>
      <c r="D31" s="6"/>
      <c r="E31" s="5"/>
      <c r="F31" s="5"/>
      <c r="G31" s="58"/>
      <c r="I31" s="5"/>
      <c r="J31" s="6"/>
      <c r="K31" s="6"/>
      <c r="L31" s="5"/>
      <c r="M31" s="5"/>
      <c r="N31" s="5"/>
      <c r="O31" s="5"/>
      <c r="P31" s="5"/>
      <c r="Q31" s="6"/>
    </row>
    <row r="32" spans="2:17">
      <c r="B32" s="6"/>
      <c r="C32" s="5"/>
      <c r="D32" s="6"/>
      <c r="E32" s="5"/>
      <c r="F32" s="5"/>
      <c r="G32" s="58"/>
      <c r="I32" s="5"/>
      <c r="J32" s="6"/>
      <c r="K32" s="6"/>
      <c r="L32" s="5"/>
      <c r="M32" s="5"/>
      <c r="N32" s="5"/>
      <c r="O32" s="5"/>
      <c r="P32" s="5"/>
      <c r="Q32" s="6"/>
    </row>
    <row r="33" spans="2:17" hidden="1">
      <c r="B33" s="6"/>
      <c r="C33" s="5"/>
      <c r="D33" s="6"/>
      <c r="E33" s="5"/>
      <c r="F33" s="5"/>
      <c r="G33" s="58"/>
      <c r="I33" s="5"/>
      <c r="J33" s="6"/>
      <c r="K33" s="6"/>
      <c r="L33" s="5"/>
      <c r="M33" s="5"/>
      <c r="N33" s="5"/>
      <c r="O33" s="5"/>
      <c r="P33" s="5"/>
      <c r="Q33" s="6"/>
    </row>
    <row r="34" spans="2:17">
      <c r="B34" s="972" t="s">
        <v>29</v>
      </c>
      <c r="C34" s="972"/>
      <c r="D34" s="972" t="s">
        <v>29</v>
      </c>
      <c r="E34" s="972"/>
      <c r="F34" s="972"/>
      <c r="G34" s="972"/>
      <c r="H34" s="972"/>
      <c r="I34" s="5"/>
      <c r="J34" s="972" t="s">
        <v>29</v>
      </c>
      <c r="K34" s="972"/>
      <c r="L34" s="972"/>
      <c r="M34" s="972"/>
      <c r="N34" s="972"/>
      <c r="O34" s="5"/>
      <c r="P34" s="5"/>
      <c r="Q34" s="5"/>
    </row>
    <row r="35" spans="2:17">
      <c r="B35" s="6"/>
      <c r="C35" s="5"/>
      <c r="D35" s="5"/>
      <c r="E35" s="5"/>
      <c r="F35" s="5"/>
      <c r="G35" s="6"/>
      <c r="I35" s="5"/>
      <c r="J35" s="6"/>
      <c r="K35" s="5"/>
      <c r="L35" s="5"/>
      <c r="M35" s="5"/>
      <c r="N35" s="5"/>
      <c r="O35" s="5"/>
      <c r="P35" s="5"/>
      <c r="Q35" s="6"/>
    </row>
    <row r="36" spans="2:17">
      <c r="B36" s="37"/>
      <c r="C36" s="47"/>
      <c r="D36" s="38"/>
      <c r="E36" s="38"/>
      <c r="F36" s="38"/>
      <c r="G36" s="37"/>
      <c r="I36" s="38"/>
      <c r="J36" s="37"/>
      <c r="K36" s="38"/>
      <c r="L36" s="38"/>
      <c r="M36" s="38"/>
      <c r="N36" s="38"/>
      <c r="O36" s="38"/>
      <c r="P36" s="38"/>
      <c r="Q36" s="37"/>
    </row>
    <row r="37" spans="2:17" ht="24" customHeight="1">
      <c r="B37" s="1080"/>
      <c r="C37" s="972"/>
      <c r="D37" s="1080"/>
      <c r="E37" s="972"/>
      <c r="F37" s="972"/>
      <c r="G37" s="972"/>
      <c r="H37" s="972"/>
      <c r="I37" s="245"/>
      <c r="J37" s="972"/>
      <c r="K37" s="972"/>
      <c r="L37" s="972"/>
      <c r="M37" s="972"/>
      <c r="N37" s="245"/>
      <c r="O37" s="1080"/>
      <c r="P37" s="972"/>
      <c r="Q37" s="972"/>
    </row>
    <row r="38" spans="2:17">
      <c r="B38" s="6"/>
      <c r="C38" s="5"/>
      <c r="D38" s="5"/>
      <c r="E38" s="5"/>
      <c r="F38" s="5"/>
      <c r="G38" s="6"/>
      <c r="I38" s="6"/>
      <c r="J38" s="6"/>
      <c r="K38" s="6"/>
      <c r="L38" s="5"/>
      <c r="M38" s="5"/>
      <c r="N38" s="5"/>
      <c r="O38" s="5"/>
      <c r="P38" s="5"/>
      <c r="Q38" s="5"/>
    </row>
    <row r="39" spans="2:17">
      <c r="B39" s="6"/>
      <c r="C39" s="5"/>
      <c r="D39" s="5"/>
      <c r="E39" s="5"/>
      <c r="F39" s="5"/>
      <c r="G39" s="6"/>
      <c r="I39" s="5"/>
      <c r="J39" s="6"/>
      <c r="K39" s="5"/>
      <c r="L39" s="5"/>
      <c r="M39" s="5"/>
      <c r="N39" s="5"/>
      <c r="O39" s="5"/>
      <c r="P39" s="5"/>
      <c r="Q39" s="6"/>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972"/>
      <c r="C44" s="972"/>
      <c r="D44" s="972"/>
      <c r="E44" s="972"/>
      <c r="F44" s="972"/>
      <c r="G44" s="972"/>
      <c r="H44" s="972"/>
      <c r="I44" s="5"/>
      <c r="J44" s="972"/>
      <c r="K44" s="972"/>
      <c r="L44" s="972"/>
      <c r="M44" s="972"/>
      <c r="N44" s="5"/>
      <c r="O44" s="972"/>
      <c r="P44" s="972"/>
      <c r="Q44" s="972"/>
    </row>
  </sheetData>
  <mergeCells count="45">
    <mergeCell ref="E12:F12"/>
    <mergeCell ref="E13:F13"/>
    <mergeCell ref="G13:I13"/>
    <mergeCell ref="C6:I6"/>
    <mergeCell ref="E10:F10"/>
    <mergeCell ref="G10:I10"/>
    <mergeCell ref="E11:F11"/>
    <mergeCell ref="G11:I11"/>
    <mergeCell ref="J13:K13"/>
    <mergeCell ref="E14:F14"/>
    <mergeCell ref="E15:F15"/>
    <mergeCell ref="E17:F17"/>
    <mergeCell ref="G17:I17"/>
    <mergeCell ref="E16:F16"/>
    <mergeCell ref="G16:I16"/>
    <mergeCell ref="E18:F18"/>
    <mergeCell ref="G18:I18"/>
    <mergeCell ref="E19:F19"/>
    <mergeCell ref="G19:I19"/>
    <mergeCell ref="B27:C27"/>
    <mergeCell ref="D27:H27"/>
    <mergeCell ref="E20:F20"/>
    <mergeCell ref="G20:I20"/>
    <mergeCell ref="E21:F21"/>
    <mergeCell ref="G21:I21"/>
    <mergeCell ref="E24:F24"/>
    <mergeCell ref="G24:I24"/>
    <mergeCell ref="J21:K21"/>
    <mergeCell ref="E22:F22"/>
    <mergeCell ref="G22:I22"/>
    <mergeCell ref="E23:F23"/>
    <mergeCell ref="G23:I23"/>
    <mergeCell ref="O24:P24"/>
    <mergeCell ref="J27:N27"/>
    <mergeCell ref="B44:C44"/>
    <mergeCell ref="D44:H44"/>
    <mergeCell ref="J44:M44"/>
    <mergeCell ref="O44:Q44"/>
    <mergeCell ref="B34:C34"/>
    <mergeCell ref="D34:H34"/>
    <mergeCell ref="B37:C37"/>
    <mergeCell ref="D37:H37"/>
    <mergeCell ref="J37:M37"/>
    <mergeCell ref="O37:Q37"/>
    <mergeCell ref="J34:N34"/>
  </mergeCells>
  <pageMargins left="0.17" right="0.18" top="0.17" bottom="0.17" header="0.17" footer="0.17"/>
  <pageSetup paperSize="9" scale="83"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1:Q44"/>
  <sheetViews>
    <sheetView showGridLines="0" topLeftCell="A15" zoomScaleNormal="100" workbookViewId="0">
      <selection activeCell="B37" sqref="B37:C37"/>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17" style="2" customWidth="1"/>
    <col min="7" max="7" width="5.125" style="2" customWidth="1"/>
    <col min="8" max="8" width="3.875" style="2" customWidth="1"/>
    <col min="9" max="9" width="10.125" style="1" customWidth="1"/>
    <col min="10" max="10" width="11.625" style="1" customWidth="1"/>
    <col min="11" max="11" width="13.875" style="39" customWidth="1"/>
    <col min="12" max="12" width="9.875" style="40" customWidth="1"/>
    <col min="13" max="13" width="11.12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4" hidden="1"/>
    <row r="2" spans="2:14" s="375" customFormat="1" hidden="1">
      <c r="B2" s="407" t="s">
        <v>464</v>
      </c>
      <c r="C2" s="140" t="s">
        <v>132</v>
      </c>
      <c r="D2" s="140"/>
    </row>
    <row r="3" spans="2:14" s="375" customFormat="1" hidden="1">
      <c r="B3" s="407" t="s">
        <v>465</v>
      </c>
      <c r="C3" s="209" t="s">
        <v>255</v>
      </c>
      <c r="D3" s="209"/>
    </row>
    <row r="4" spans="2:14" s="375" customFormat="1" hidden="1">
      <c r="B4" s="407" t="s">
        <v>466</v>
      </c>
      <c r="C4" s="140" t="s">
        <v>133</v>
      </c>
      <c r="D4" s="140"/>
    </row>
    <row r="5" spans="2:14" s="31" customFormat="1" ht="6.95" customHeight="1">
      <c r="B5" s="30"/>
      <c r="C5" s="30"/>
      <c r="E5" s="30"/>
      <c r="J5" s="30"/>
      <c r="K5" s="32"/>
      <c r="L5" s="33"/>
    </row>
    <row r="6" spans="2:14" s="98" customFormat="1" ht="26.1" customHeight="1">
      <c r="B6" s="99" t="s">
        <v>81</v>
      </c>
      <c r="C6" s="1121" t="s">
        <v>680</v>
      </c>
      <c r="D6" s="1121"/>
      <c r="E6" s="1121"/>
      <c r="F6" s="1121"/>
      <c r="G6" s="1121"/>
      <c r="H6" s="1121"/>
      <c r="I6" s="1121"/>
      <c r="J6" s="145"/>
      <c r="K6" s="145"/>
      <c r="L6" s="145"/>
      <c r="M6" s="145"/>
      <c r="N6" s="145"/>
    </row>
    <row r="7" spans="2:14" s="3" customFormat="1" ht="20.100000000000001" customHeight="1">
      <c r="B7" s="213" t="s">
        <v>404</v>
      </c>
      <c r="C7" s="213" t="s">
        <v>621</v>
      </c>
      <c r="D7" s="211"/>
      <c r="E7" s="211"/>
      <c r="F7" s="211"/>
      <c r="G7" s="211"/>
      <c r="H7" s="211"/>
      <c r="I7" s="212" t="s">
        <v>278</v>
      </c>
      <c r="J7" s="212" t="s">
        <v>448</v>
      </c>
      <c r="K7" s="212"/>
      <c r="L7" s="212"/>
      <c r="M7" s="212"/>
      <c r="N7" s="31"/>
    </row>
    <row r="8" spans="2:14" s="3" customFormat="1" ht="18.95" customHeight="1">
      <c r="B8" s="213" t="s">
        <v>280</v>
      </c>
      <c r="C8" s="472" t="s">
        <v>622</v>
      </c>
      <c r="D8" s="211"/>
      <c r="E8" s="211"/>
      <c r="F8" s="211"/>
      <c r="G8" s="211"/>
      <c r="H8" s="211"/>
      <c r="I8" s="211" t="s">
        <v>477</v>
      </c>
      <c r="J8" s="212" t="s">
        <v>471</v>
      </c>
      <c r="K8" s="212"/>
      <c r="L8" s="212"/>
      <c r="M8" s="212"/>
      <c r="N8" s="31"/>
    </row>
    <row r="9" spans="2:14" s="3" customFormat="1" ht="6.95" customHeight="1">
      <c r="D9" s="85"/>
      <c r="E9" s="85"/>
      <c r="F9" s="85"/>
      <c r="G9" s="85"/>
      <c r="H9" s="85"/>
      <c r="I9" s="85"/>
      <c r="J9" s="85"/>
      <c r="K9" s="85"/>
      <c r="L9" s="85"/>
      <c r="M9" s="85"/>
      <c r="N9" s="85"/>
    </row>
    <row r="10" spans="2:14"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4" ht="21" customHeight="1">
      <c r="B11" s="430" t="s">
        <v>21</v>
      </c>
      <c r="C11" s="431" t="s">
        <v>478</v>
      </c>
      <c r="D11" s="868">
        <v>0.1</v>
      </c>
      <c r="E11" s="1179"/>
      <c r="F11" s="1180"/>
      <c r="G11" s="1156"/>
      <c r="H11" s="1158"/>
      <c r="I11" s="1157"/>
      <c r="J11" s="214"/>
      <c r="K11" s="214"/>
      <c r="L11" s="433"/>
      <c r="M11" s="430"/>
      <c r="N11" s="466">
        <f>N12</f>
        <v>0.10245</v>
      </c>
    </row>
    <row r="12" spans="2:14" ht="21" customHeight="1">
      <c r="B12" s="418"/>
      <c r="C12" s="435" t="s">
        <v>469</v>
      </c>
      <c r="D12" s="421"/>
      <c r="E12" s="1174"/>
      <c r="F12" s="1174"/>
      <c r="G12" s="436"/>
      <c r="H12" s="436"/>
      <c r="I12" s="437"/>
      <c r="J12" s="396"/>
      <c r="K12" s="438">
        <v>1</v>
      </c>
      <c r="L12" s="810">
        <f>'A7.9.KPI Ban HCNS Quy 2.26'!M26</f>
        <v>1.0245</v>
      </c>
      <c r="M12" s="811">
        <f>L12/K12*100%</f>
        <v>1.0245</v>
      </c>
      <c r="N12" s="496">
        <f>M12*D11</f>
        <v>0.10245</v>
      </c>
    </row>
    <row r="13" spans="2:14" ht="21" customHeight="1">
      <c r="B13" s="430" t="s">
        <v>22</v>
      </c>
      <c r="C13" s="440" t="s">
        <v>23</v>
      </c>
      <c r="D13" s="869">
        <v>0.8</v>
      </c>
      <c r="E13" s="1169"/>
      <c r="F13" s="1170"/>
      <c r="G13" s="1156"/>
      <c r="H13" s="1158"/>
      <c r="I13" s="1157"/>
      <c r="J13" s="1171"/>
      <c r="K13" s="1172"/>
      <c r="L13" s="443"/>
      <c r="M13" s="442"/>
      <c r="N13" s="467">
        <f>SUM(N15:N20)*D13</f>
        <v>0.8</v>
      </c>
    </row>
    <row r="14" spans="2:14" ht="21" customHeight="1">
      <c r="B14" s="418" t="s">
        <v>245</v>
      </c>
      <c r="C14" s="444" t="s">
        <v>24</v>
      </c>
      <c r="D14" s="446"/>
      <c r="E14" s="1173"/>
      <c r="F14" s="1173"/>
      <c r="G14" s="446"/>
      <c r="H14" s="446"/>
      <c r="I14" s="446"/>
      <c r="J14" s="445"/>
      <c r="K14" s="447"/>
      <c r="L14" s="447"/>
      <c r="M14" s="445"/>
      <c r="N14" s="448"/>
    </row>
    <row r="15" spans="2:14" ht="21" customHeight="1">
      <c r="B15" s="418" t="s">
        <v>245</v>
      </c>
      <c r="C15" s="444" t="s">
        <v>128</v>
      </c>
      <c r="D15" s="446"/>
      <c r="E15" s="1166"/>
      <c r="F15" s="1166"/>
      <c r="G15" s="454"/>
      <c r="H15" s="454"/>
      <c r="I15" s="455"/>
      <c r="J15" s="445"/>
      <c r="K15" s="447"/>
      <c r="L15" s="447"/>
      <c r="M15" s="445"/>
      <c r="N15" s="448"/>
    </row>
    <row r="16" spans="2:14" ht="36" customHeight="1">
      <c r="B16" s="86">
        <v>1</v>
      </c>
      <c r="C16" s="470" t="s">
        <v>457</v>
      </c>
      <c r="D16" s="348">
        <v>0.2</v>
      </c>
      <c r="E16" s="1092" t="s">
        <v>413</v>
      </c>
      <c r="F16" s="1093"/>
      <c r="G16" s="1190" t="s">
        <v>471</v>
      </c>
      <c r="H16" s="1191"/>
      <c r="I16" s="1192"/>
      <c r="J16" s="451" t="s">
        <v>414</v>
      </c>
      <c r="K16" s="364">
        <v>0</v>
      </c>
      <c r="L16" s="364">
        <v>0</v>
      </c>
      <c r="M16" s="365">
        <f>IF(LEN(L16)=0,"",IF(L16=K16,1,0))</f>
        <v>1</v>
      </c>
      <c r="N16" s="807">
        <f>IFERROR(M16*D16,"")</f>
        <v>0.2</v>
      </c>
    </row>
    <row r="17" spans="2:17" ht="39.75" customHeight="1">
      <c r="B17" s="86">
        <v>2</v>
      </c>
      <c r="C17" s="470" t="s">
        <v>458</v>
      </c>
      <c r="D17" s="348">
        <v>0.2</v>
      </c>
      <c r="E17" s="1092" t="s">
        <v>330</v>
      </c>
      <c r="F17" s="1093"/>
      <c r="G17" s="1190" t="s">
        <v>471</v>
      </c>
      <c r="H17" s="1191"/>
      <c r="I17" s="1192"/>
      <c r="J17" s="395" t="s">
        <v>326</v>
      </c>
      <c r="K17" s="358">
        <v>1</v>
      </c>
      <c r="L17" s="358">
        <v>1</v>
      </c>
      <c r="M17" s="352">
        <f>IF(LEN(L17)=0,"",IF(L17&gt;=K17,100%,0%))</f>
        <v>1</v>
      </c>
      <c r="N17" s="807">
        <f t="shared" ref="N17:N20" si="0">IFERROR(M17*D17,"")</f>
        <v>0.2</v>
      </c>
    </row>
    <row r="18" spans="2:17" ht="51.95" customHeight="1">
      <c r="B18" s="86">
        <v>3</v>
      </c>
      <c r="C18" s="470" t="s">
        <v>535</v>
      </c>
      <c r="D18" s="348">
        <v>0.25</v>
      </c>
      <c r="E18" s="1092" t="s">
        <v>413</v>
      </c>
      <c r="F18" s="1093"/>
      <c r="G18" s="1190" t="s">
        <v>471</v>
      </c>
      <c r="H18" s="1191"/>
      <c r="I18" s="1192"/>
      <c r="J18" s="451" t="s">
        <v>414</v>
      </c>
      <c r="K18" s="364">
        <v>0</v>
      </c>
      <c r="L18" s="364">
        <v>0</v>
      </c>
      <c r="M18" s="365">
        <f>IF(LEN(L18)=0,"",IF(L18=K18,1,0))</f>
        <v>1</v>
      </c>
      <c r="N18" s="807">
        <f t="shared" si="0"/>
        <v>0.25</v>
      </c>
    </row>
    <row r="19" spans="2:17" ht="51.95" customHeight="1">
      <c r="B19" s="86">
        <v>4</v>
      </c>
      <c r="C19" s="470" t="s">
        <v>459</v>
      </c>
      <c r="D19" s="348">
        <v>0.15</v>
      </c>
      <c r="E19" s="1092" t="s">
        <v>696</v>
      </c>
      <c r="F19" s="1093"/>
      <c r="G19" s="1094" t="s">
        <v>528</v>
      </c>
      <c r="H19" s="1095"/>
      <c r="I19" s="1096"/>
      <c r="J19" s="451" t="s">
        <v>326</v>
      </c>
      <c r="K19" s="346">
        <v>1</v>
      </c>
      <c r="L19" s="346">
        <v>1</v>
      </c>
      <c r="M19" s="354">
        <f>IF(LEN(L19)=0,"",IF(L19&lt;=K19,1,0))</f>
        <v>1</v>
      </c>
      <c r="N19" s="807">
        <f t="shared" si="0"/>
        <v>0.15</v>
      </c>
    </row>
    <row r="20" spans="2:17" ht="51.95" customHeight="1">
      <c r="B20" s="86">
        <v>5</v>
      </c>
      <c r="C20" s="470" t="s">
        <v>461</v>
      </c>
      <c r="D20" s="348">
        <v>0.2</v>
      </c>
      <c r="E20" s="1092" t="s">
        <v>413</v>
      </c>
      <c r="F20" s="1093"/>
      <c r="G20" s="1190" t="s">
        <v>471</v>
      </c>
      <c r="H20" s="1191"/>
      <c r="I20" s="1192"/>
      <c r="J20" s="451" t="s">
        <v>414</v>
      </c>
      <c r="K20" s="364">
        <v>0</v>
      </c>
      <c r="L20" s="364">
        <v>0</v>
      </c>
      <c r="M20" s="365">
        <f>IF(LEN(L20)=0,"",IF(L20=K20,1,0))</f>
        <v>1</v>
      </c>
      <c r="N20" s="807">
        <f t="shared" si="0"/>
        <v>0.2</v>
      </c>
    </row>
    <row r="21" spans="2:17" ht="21" customHeight="1">
      <c r="B21" s="430" t="s">
        <v>40</v>
      </c>
      <c r="C21" s="459" t="s">
        <v>233</v>
      </c>
      <c r="D21" s="359">
        <v>0.1</v>
      </c>
      <c r="E21" s="1156"/>
      <c r="F21" s="1157"/>
      <c r="G21" s="1156"/>
      <c r="H21" s="1158"/>
      <c r="I21" s="1157"/>
      <c r="J21" s="1159"/>
      <c r="K21" s="1159"/>
      <c r="L21" s="433"/>
      <c r="M21" s="430"/>
      <c r="N21" s="434">
        <f>MIN(10%, MAX(0, D21+SUM(N22)))</f>
        <v>0.1</v>
      </c>
    </row>
    <row r="22" spans="2:17" ht="23.25" customHeight="1">
      <c r="B22" s="86"/>
      <c r="C22" s="389" t="s">
        <v>710</v>
      </c>
      <c r="D22" s="351"/>
      <c r="E22" s="1093"/>
      <c r="F22" s="1093"/>
      <c r="G22" s="1160"/>
      <c r="H22" s="1161"/>
      <c r="I22" s="1162"/>
      <c r="J22" s="395"/>
      <c r="K22" s="461"/>
      <c r="L22" s="462">
        <v>0</v>
      </c>
      <c r="M22" s="345">
        <f>L22*-50%</f>
        <v>0</v>
      </c>
      <c r="N22" s="346">
        <f>M22*$D$21</f>
        <v>0</v>
      </c>
    </row>
    <row r="23" spans="2:17" ht="29.1" hidden="1" customHeight="1">
      <c r="B23" s="86"/>
      <c r="C23" s="389"/>
      <c r="D23" s="351"/>
      <c r="E23" s="1181"/>
      <c r="F23" s="1182"/>
      <c r="G23" s="1160"/>
      <c r="H23" s="1161"/>
      <c r="I23" s="1162"/>
      <c r="J23" s="395"/>
      <c r="K23" s="461"/>
      <c r="L23" s="462"/>
      <c r="M23" s="345"/>
      <c r="N23" s="346"/>
    </row>
    <row r="24" spans="2:17" ht="16.5">
      <c r="B24" s="214"/>
      <c r="C24" s="214" t="s">
        <v>4</v>
      </c>
      <c r="D24" s="338"/>
      <c r="E24" s="1156"/>
      <c r="F24" s="1157"/>
      <c r="G24" s="1156"/>
      <c r="H24" s="1158"/>
      <c r="I24" s="1157"/>
      <c r="J24" s="338"/>
      <c r="K24" s="463"/>
      <c r="L24" s="464"/>
      <c r="M24" s="338"/>
      <c r="N24" s="466">
        <f>N11+N13+N21</f>
        <v>1.0024500000000001</v>
      </c>
      <c r="O24" s="1143"/>
      <c r="P24" s="1143"/>
    </row>
    <row r="25" spans="2:17" ht="17.100000000000001" customHeight="1">
      <c r="B25" s="5"/>
      <c r="C25" s="5"/>
      <c r="D25" s="5"/>
      <c r="E25" s="6"/>
      <c r="F25" s="6"/>
      <c r="G25" s="6"/>
      <c r="H25" s="6"/>
      <c r="I25" s="5"/>
      <c r="J25" s="5"/>
      <c r="K25" s="35"/>
      <c r="L25" s="36"/>
      <c r="M25" s="5"/>
      <c r="N25" s="5"/>
    </row>
    <row r="26" spans="2:17" s="51" customFormat="1" ht="23.25" customHeight="1">
      <c r="B26" s="1079" t="s">
        <v>539</v>
      </c>
      <c r="C26" s="975"/>
      <c r="D26" s="1079" t="s">
        <v>537</v>
      </c>
      <c r="E26" s="975"/>
      <c r="F26" s="975"/>
      <c r="G26" s="975"/>
      <c r="H26" s="975"/>
      <c r="I26" s="471"/>
      <c r="J26" s="1079" t="s">
        <v>540</v>
      </c>
      <c r="K26" s="1079"/>
      <c r="L26" s="1079"/>
      <c r="M26" s="1079"/>
      <c r="N26" s="1079"/>
      <c r="O26" s="471"/>
      <c r="P26" s="471"/>
      <c r="Q26" s="471"/>
    </row>
    <row r="27" spans="2:17">
      <c r="B27" s="6"/>
      <c r="C27" s="5"/>
      <c r="D27" s="6"/>
      <c r="E27" s="5"/>
      <c r="F27" s="5"/>
      <c r="G27" s="58"/>
      <c r="I27" s="6"/>
      <c r="J27" s="6"/>
      <c r="K27" s="6"/>
      <c r="L27" s="5"/>
      <c r="M27" s="5"/>
      <c r="N27" s="5"/>
      <c r="O27" s="5"/>
      <c r="P27" s="5"/>
      <c r="Q27" s="5"/>
    </row>
    <row r="28" spans="2:17">
      <c r="B28" s="6"/>
      <c r="C28" s="5"/>
      <c r="D28" s="6"/>
      <c r="E28" s="5"/>
      <c r="F28" s="5"/>
      <c r="G28" s="58"/>
      <c r="I28" s="6"/>
      <c r="J28" s="6"/>
      <c r="K28" s="6"/>
      <c r="L28" s="5"/>
      <c r="M28" s="5"/>
      <c r="N28" s="5"/>
      <c r="O28" s="5"/>
      <c r="P28" s="5"/>
      <c r="Q28" s="5"/>
    </row>
    <row r="29" spans="2:17">
      <c r="B29" s="6"/>
      <c r="C29" s="5"/>
      <c r="D29" s="6"/>
      <c r="E29" s="5"/>
      <c r="F29" s="5"/>
      <c r="G29" s="58"/>
      <c r="I29" s="5" t="s">
        <v>681</v>
      </c>
      <c r="J29" s="6"/>
      <c r="K29" s="6"/>
      <c r="L29" s="5"/>
      <c r="M29" s="5"/>
      <c r="N29" s="5"/>
      <c r="O29" s="5"/>
      <c r="P29" s="5"/>
      <c r="Q29" s="6"/>
    </row>
    <row r="30" spans="2:17">
      <c r="B30" s="6"/>
      <c r="C30" s="5"/>
      <c r="D30" s="6"/>
      <c r="E30" s="5"/>
      <c r="F30" s="5"/>
      <c r="G30" s="58"/>
      <c r="I30" s="5"/>
      <c r="J30" s="6"/>
      <c r="K30" s="6"/>
      <c r="L30" s="5"/>
      <c r="M30" s="5"/>
      <c r="N30" s="5"/>
      <c r="O30" s="5"/>
      <c r="P30" s="5"/>
      <c r="Q30" s="6"/>
    </row>
    <row r="31" spans="2:17">
      <c r="B31" s="6"/>
      <c r="C31" s="5"/>
      <c r="D31" s="6"/>
      <c r="E31" s="5"/>
      <c r="F31" s="5"/>
      <c r="G31" s="58"/>
      <c r="I31" s="5"/>
      <c r="J31" s="6"/>
      <c r="K31" s="6"/>
      <c r="L31" s="5"/>
      <c r="M31" s="5"/>
      <c r="N31" s="5"/>
      <c r="O31" s="5"/>
      <c r="P31" s="5"/>
      <c r="Q31" s="6"/>
    </row>
    <row r="32" spans="2:17">
      <c r="B32" s="6"/>
      <c r="C32" s="5"/>
      <c r="D32" s="6"/>
      <c r="E32" s="5"/>
      <c r="F32" s="5"/>
      <c r="G32" s="58"/>
      <c r="I32" s="5"/>
      <c r="J32" s="6"/>
      <c r="K32" s="6"/>
      <c r="L32" s="5"/>
      <c r="M32" s="5"/>
      <c r="N32" s="5"/>
      <c r="O32" s="5"/>
      <c r="P32" s="5"/>
      <c r="Q32" s="6"/>
    </row>
    <row r="33" spans="2:17" hidden="1">
      <c r="B33" s="6"/>
      <c r="C33" s="5"/>
      <c r="D33" s="6"/>
      <c r="E33" s="5"/>
      <c r="F33" s="5"/>
      <c r="G33" s="58"/>
      <c r="I33" s="5"/>
      <c r="J33" s="6"/>
      <c r="K33" s="6"/>
      <c r="L33" s="5"/>
      <c r="M33" s="5"/>
      <c r="N33" s="5"/>
      <c r="O33" s="5"/>
      <c r="P33" s="5"/>
      <c r="Q33" s="6"/>
    </row>
    <row r="34" spans="2:17">
      <c r="B34" s="972" t="s">
        <v>29</v>
      </c>
      <c r="C34" s="972"/>
      <c r="D34" s="972" t="s">
        <v>29</v>
      </c>
      <c r="E34" s="972"/>
      <c r="F34" s="972"/>
      <c r="G34" s="972"/>
      <c r="H34" s="972"/>
      <c r="I34" s="5"/>
      <c r="J34" s="972" t="s">
        <v>29</v>
      </c>
      <c r="K34" s="972"/>
      <c r="L34" s="972"/>
      <c r="M34" s="972"/>
      <c r="N34" s="972"/>
      <c r="O34" s="5"/>
      <c r="P34" s="5"/>
      <c r="Q34" s="5"/>
    </row>
    <row r="35" spans="2:17">
      <c r="B35" s="6"/>
      <c r="C35" s="5"/>
      <c r="D35" s="5"/>
      <c r="E35" s="5"/>
      <c r="F35" s="5"/>
      <c r="G35" s="6"/>
      <c r="I35" s="5"/>
      <c r="J35" s="6"/>
      <c r="K35" s="5"/>
      <c r="L35" s="5"/>
      <c r="M35" s="5"/>
      <c r="N35" s="5"/>
      <c r="O35" s="5"/>
      <c r="P35" s="5"/>
      <c r="Q35" s="6"/>
    </row>
    <row r="36" spans="2:17">
      <c r="B36" s="37"/>
      <c r="C36" s="47"/>
      <c r="D36" s="38"/>
      <c r="E36" s="38"/>
      <c r="F36" s="38"/>
      <c r="G36" s="37"/>
      <c r="I36" s="38"/>
      <c r="J36" s="37"/>
      <c r="K36" s="38"/>
      <c r="L36" s="38"/>
      <c r="M36" s="38"/>
      <c r="N36" s="38"/>
      <c r="O36" s="38"/>
      <c r="P36" s="38"/>
      <c r="Q36" s="37"/>
    </row>
    <row r="37" spans="2:17" ht="24" customHeight="1">
      <c r="B37" s="1080"/>
      <c r="C37" s="972"/>
      <c r="D37" s="1080"/>
      <c r="E37" s="972"/>
      <c r="F37" s="972"/>
      <c r="G37" s="972"/>
      <c r="H37" s="972"/>
      <c r="I37" s="245"/>
      <c r="J37" s="972"/>
      <c r="K37" s="972"/>
      <c r="L37" s="972"/>
      <c r="M37" s="972"/>
      <c r="N37" s="245"/>
      <c r="O37" s="1080"/>
      <c r="P37" s="972"/>
      <c r="Q37" s="972"/>
    </row>
    <row r="38" spans="2:17">
      <c r="B38" s="6"/>
      <c r="C38" s="5"/>
      <c r="D38" s="5"/>
      <c r="E38" s="5"/>
      <c r="F38" s="5"/>
      <c r="G38" s="6"/>
      <c r="I38" s="6"/>
      <c r="J38" s="6"/>
      <c r="K38" s="6"/>
      <c r="L38" s="5"/>
      <c r="M38" s="5"/>
      <c r="N38" s="5"/>
      <c r="O38" s="5"/>
      <c r="P38" s="5"/>
      <c r="Q38" s="5"/>
    </row>
    <row r="39" spans="2:17">
      <c r="B39" s="6"/>
      <c r="C39" s="5"/>
      <c r="D39" s="5"/>
      <c r="E39" s="5"/>
      <c r="F39" s="5"/>
      <c r="G39" s="6"/>
      <c r="I39" s="5"/>
      <c r="J39" s="6"/>
      <c r="K39" s="5"/>
      <c r="L39" s="5"/>
      <c r="M39" s="5"/>
      <c r="N39" s="5"/>
      <c r="O39" s="5"/>
      <c r="P39" s="5"/>
      <c r="Q39" s="6"/>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972"/>
      <c r="C44" s="972"/>
      <c r="D44" s="972"/>
      <c r="E44" s="972"/>
      <c r="F44" s="972"/>
      <c r="G44" s="972"/>
      <c r="H44" s="972"/>
      <c r="I44" s="5"/>
      <c r="J44" s="972"/>
      <c r="K44" s="972"/>
      <c r="L44" s="972"/>
      <c r="M44" s="972"/>
      <c r="N44" s="5"/>
      <c r="O44" s="972"/>
      <c r="P44" s="972"/>
      <c r="Q44" s="972"/>
    </row>
  </sheetData>
  <mergeCells count="45">
    <mergeCell ref="E12:F12"/>
    <mergeCell ref="E13:F13"/>
    <mergeCell ref="G13:I13"/>
    <mergeCell ref="C6:I6"/>
    <mergeCell ref="E10:F10"/>
    <mergeCell ref="G10:I10"/>
    <mergeCell ref="E11:F11"/>
    <mergeCell ref="G11:I11"/>
    <mergeCell ref="J13:K13"/>
    <mergeCell ref="E14:F14"/>
    <mergeCell ref="E15:F15"/>
    <mergeCell ref="E17:F17"/>
    <mergeCell ref="G17:I17"/>
    <mergeCell ref="E16:F16"/>
    <mergeCell ref="G16:I16"/>
    <mergeCell ref="E18:F18"/>
    <mergeCell ref="G18:I18"/>
    <mergeCell ref="E19:F19"/>
    <mergeCell ref="G19:I19"/>
    <mergeCell ref="B26:C26"/>
    <mergeCell ref="D26:H26"/>
    <mergeCell ref="E20:F20"/>
    <mergeCell ref="G20:I20"/>
    <mergeCell ref="E21:F21"/>
    <mergeCell ref="G21:I21"/>
    <mergeCell ref="E24:F24"/>
    <mergeCell ref="G24:I24"/>
    <mergeCell ref="J21:K21"/>
    <mergeCell ref="E22:F22"/>
    <mergeCell ref="G22:I22"/>
    <mergeCell ref="E23:F23"/>
    <mergeCell ref="G23:I23"/>
    <mergeCell ref="O24:P24"/>
    <mergeCell ref="J26:N26"/>
    <mergeCell ref="B44:C44"/>
    <mergeCell ref="D44:H44"/>
    <mergeCell ref="J44:M44"/>
    <mergeCell ref="O44:Q44"/>
    <mergeCell ref="B34:C34"/>
    <mergeCell ref="D34:H34"/>
    <mergeCell ref="B37:C37"/>
    <mergeCell ref="D37:H37"/>
    <mergeCell ref="J37:M37"/>
    <mergeCell ref="O37:Q37"/>
    <mergeCell ref="J34:N34"/>
  </mergeCells>
  <pageMargins left="0.17" right="0.18" top="0.17" bottom="0.17" header="0.17" footer="0.17"/>
  <pageSetup paperSize="9" scale="83"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FE3F6-6C21-409F-9CC2-3670B5B80654}">
  <dimension ref="B1:Q45"/>
  <sheetViews>
    <sheetView showGridLines="0" topLeftCell="A5" zoomScaleNormal="100" workbookViewId="0">
      <selection activeCell="S10" sqref="S10"/>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18.875" style="2" customWidth="1"/>
    <col min="7" max="7" width="5.125" style="2" customWidth="1"/>
    <col min="8" max="8" width="3.875" style="2" customWidth="1"/>
    <col min="9" max="9" width="10.125" style="1" customWidth="1"/>
    <col min="10" max="10" width="11.625" style="1" customWidth="1"/>
    <col min="11" max="11" width="13.875" style="39" customWidth="1"/>
    <col min="12" max="12" width="9.875" style="40" customWidth="1"/>
    <col min="13" max="13" width="12.37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4" hidden="1"/>
    <row r="2" spans="2:14" s="375" customFormat="1" hidden="1">
      <c r="B2" s="407" t="s">
        <v>464</v>
      </c>
      <c r="C2" s="140" t="s">
        <v>132</v>
      </c>
      <c r="D2" s="140"/>
    </row>
    <row r="3" spans="2:14" s="375" customFormat="1" hidden="1">
      <c r="B3" s="407" t="s">
        <v>465</v>
      </c>
      <c r="C3" s="209" t="s">
        <v>255</v>
      </c>
      <c r="D3" s="209"/>
    </row>
    <row r="4" spans="2:14" s="375" customFormat="1" hidden="1">
      <c r="B4" s="407" t="s">
        <v>466</v>
      </c>
      <c r="C4" s="140" t="s">
        <v>133</v>
      </c>
      <c r="D4" s="140"/>
    </row>
    <row r="5" spans="2:14" s="31" customFormat="1" ht="6.95" customHeight="1">
      <c r="B5" s="30"/>
      <c r="C5" s="30"/>
      <c r="E5" s="30"/>
      <c r="J5" s="30"/>
      <c r="K5" s="32"/>
      <c r="L5" s="33"/>
    </row>
    <row r="6" spans="2:14" s="98" customFormat="1" ht="26.1" customHeight="1">
      <c r="B6" s="99" t="s">
        <v>81</v>
      </c>
      <c r="C6" s="1121" t="s">
        <v>680</v>
      </c>
      <c r="D6" s="1121"/>
      <c r="E6" s="1121"/>
      <c r="F6" s="1121"/>
      <c r="G6" s="1121"/>
      <c r="H6" s="1121"/>
      <c r="I6" s="1121"/>
      <c r="J6" s="145"/>
      <c r="K6" s="145"/>
      <c r="L6" s="145"/>
      <c r="M6" s="145"/>
      <c r="N6" s="145"/>
    </row>
    <row r="7" spans="2:14" s="3" customFormat="1" ht="20.100000000000001" customHeight="1">
      <c r="B7" s="213" t="s">
        <v>404</v>
      </c>
      <c r="C7" s="213" t="s">
        <v>571</v>
      </c>
      <c r="D7" s="211"/>
      <c r="E7" s="211"/>
      <c r="F7" s="211"/>
      <c r="G7" s="211"/>
      <c r="H7" s="211"/>
      <c r="I7" s="212" t="s">
        <v>278</v>
      </c>
      <c r="J7" s="212" t="s">
        <v>441</v>
      </c>
      <c r="K7" s="212"/>
      <c r="L7" s="212"/>
      <c r="M7" s="212"/>
      <c r="N7" s="31"/>
    </row>
    <row r="8" spans="2:14" s="3" customFormat="1" ht="18.95" customHeight="1">
      <c r="B8" s="213" t="s">
        <v>280</v>
      </c>
      <c r="C8" s="472" t="s">
        <v>572</v>
      </c>
      <c r="D8" s="211"/>
      <c r="E8" s="211"/>
      <c r="F8" s="211"/>
      <c r="G8" s="211"/>
      <c r="H8" s="211"/>
      <c r="I8" s="211" t="s">
        <v>477</v>
      </c>
      <c r="J8" s="212" t="s">
        <v>471</v>
      </c>
      <c r="K8" s="212"/>
      <c r="L8" s="212"/>
      <c r="M8" s="212"/>
      <c r="N8" s="31"/>
    </row>
    <row r="9" spans="2:14" s="3" customFormat="1" ht="6.95" customHeight="1">
      <c r="D9" s="85"/>
      <c r="E9" s="85"/>
      <c r="F9" s="85"/>
      <c r="G9" s="85"/>
      <c r="H9" s="85"/>
      <c r="I9" s="85"/>
      <c r="J9" s="85"/>
      <c r="K9" s="85"/>
      <c r="L9" s="85"/>
      <c r="M9" s="85"/>
      <c r="N9" s="85"/>
    </row>
    <row r="10" spans="2:14"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4" ht="21" customHeight="1">
      <c r="B11" s="430" t="s">
        <v>21</v>
      </c>
      <c r="C11" s="431" t="s">
        <v>478</v>
      </c>
      <c r="D11" s="868">
        <v>0.1</v>
      </c>
      <c r="E11" s="1179"/>
      <c r="F11" s="1180"/>
      <c r="G11" s="1156"/>
      <c r="H11" s="1158"/>
      <c r="I11" s="1157"/>
      <c r="J11" s="214"/>
      <c r="K11" s="214"/>
      <c r="L11" s="433"/>
      <c r="M11" s="430"/>
      <c r="N11" s="466">
        <f>N12</f>
        <v>0.10245</v>
      </c>
    </row>
    <row r="12" spans="2:14" ht="21" customHeight="1">
      <c r="B12" s="418"/>
      <c r="C12" s="435" t="s">
        <v>469</v>
      </c>
      <c r="D12" s="421"/>
      <c r="E12" s="1174"/>
      <c r="F12" s="1174"/>
      <c r="G12" s="436"/>
      <c r="H12" s="436"/>
      <c r="I12" s="437"/>
      <c r="J12" s="396"/>
      <c r="K12" s="438">
        <v>1</v>
      </c>
      <c r="L12" s="810">
        <f>'A7.9.KPI Ban HCNS Quy 2.26'!M26</f>
        <v>1.0245</v>
      </c>
      <c r="M12" s="811">
        <f>L12/K12*100%</f>
        <v>1.0245</v>
      </c>
      <c r="N12" s="496">
        <f>M12*D11</f>
        <v>0.10245</v>
      </c>
    </row>
    <row r="13" spans="2:14" ht="21" customHeight="1">
      <c r="B13" s="430" t="s">
        <v>22</v>
      </c>
      <c r="C13" s="440" t="s">
        <v>23</v>
      </c>
      <c r="D13" s="869">
        <v>0.8</v>
      </c>
      <c r="E13" s="1169"/>
      <c r="F13" s="1170"/>
      <c r="G13" s="1156"/>
      <c r="H13" s="1158"/>
      <c r="I13" s="1157"/>
      <c r="J13" s="1171"/>
      <c r="K13" s="1172"/>
      <c r="L13" s="443"/>
      <c r="M13" s="442"/>
      <c r="N13" s="467">
        <f>SUM(N15:N20)*D13</f>
        <v>0.82400000000000007</v>
      </c>
    </row>
    <row r="14" spans="2:14" ht="21" customHeight="1">
      <c r="B14" s="418" t="s">
        <v>245</v>
      </c>
      <c r="C14" s="444" t="s">
        <v>24</v>
      </c>
      <c r="D14" s="446"/>
      <c r="E14" s="1173"/>
      <c r="F14" s="1173"/>
      <c r="G14" s="446"/>
      <c r="H14" s="446"/>
      <c r="I14" s="446"/>
      <c r="J14" s="445"/>
      <c r="K14" s="447"/>
      <c r="L14" s="447"/>
      <c r="M14" s="445"/>
      <c r="N14" s="448"/>
    </row>
    <row r="15" spans="2:14" ht="40.5" customHeight="1">
      <c r="B15" s="86">
        <v>1</v>
      </c>
      <c r="C15" s="453" t="str">
        <f>'A7.9.KPI Ban HCNS Quy 1.26'!C20</f>
        <v>Không quá 1 lần/ người/ quý phàn nàn của khách hàng về thái độ tiếp xúc, chăm sóc khách hàng của Bộ phận Call Center</v>
      </c>
      <c r="D15" s="888">
        <v>0.2</v>
      </c>
      <c r="E15" s="1092" t="str">
        <f>'A7.9.KPI Ban HCNS Quy 2.26'!F18</f>
        <v>TH ≤ KH: KPI = 100%
TH &gt; KH: KPI = 0%</v>
      </c>
      <c r="F15" s="1093"/>
      <c r="G15" s="1190" t="str">
        <f>'A7.9.KPI Ban HCNS Quy 2.26'!H18</f>
        <v>Ban HCNS xác nhận</v>
      </c>
      <c r="H15" s="1191"/>
      <c r="I15" s="1192"/>
      <c r="J15" s="451" t="str">
        <f>'A7.9.KPI Ban HCNS Quy 2.26'!I18</f>
        <v>Lần</v>
      </c>
      <c r="K15" s="364">
        <f>'A7.9.KPI Ban HCNS Quy 2.26'!J18</f>
        <v>1</v>
      </c>
      <c r="L15" s="364">
        <v>0</v>
      </c>
      <c r="M15" s="365">
        <f>IF(LEN(L15)=0,"",IF(L15&lt;=K15,1,0))</f>
        <v>1</v>
      </c>
      <c r="N15" s="807">
        <f t="shared" ref="N15:N16" si="0">IFERROR(M15*D15,"")</f>
        <v>0.2</v>
      </c>
    </row>
    <row r="16" spans="2:14" ht="45.75" customHeight="1">
      <c r="B16" s="86">
        <v>2</v>
      </c>
      <c r="C16" s="453" t="str">
        <f>'A7.9.KPI Ban HCNS Quy 2.26'!C21</f>
        <v>Tỷ lệ phản ánh về chất lượng dịch vụ giảm 5% so với tổng phản ánh quý 2 năm trước</v>
      </c>
      <c r="D16" s="888">
        <v>0.15</v>
      </c>
      <c r="E16" s="1092" t="str">
        <f>'A7.9.KPI Ban HCNS Quy 2.26'!F21</f>
        <v>TH ≥ 80%KH: KPI = TH/KH*100%
TH &lt; 80%KH: KPI = 0% 
Max KPI = 120%</v>
      </c>
      <c r="F16" s="1093"/>
      <c r="G16" s="1188" t="str">
        <f>'A7.9.KPI Ban HCNS Quy 2.26'!H21</f>
        <v>HCNS báo cáo, các XN liên quan xác nhận</v>
      </c>
      <c r="H16" s="1095"/>
      <c r="I16" s="1096"/>
      <c r="J16" s="451" t="str">
        <f>'A7.9.KPI Ban HCNS Quy 2.26'!I21</f>
        <v>%</v>
      </c>
      <c r="K16" s="346">
        <f>'A7.9.KPI Ban HCNS Quy 2.26'!J21</f>
        <v>0.05</v>
      </c>
      <c r="L16" s="346">
        <f>'A7.9.KPI Ban HCNS Quy 2.26'!K21</f>
        <v>0.37</v>
      </c>
      <c r="M16" s="345">
        <f>IF(LEN(L16)=0,"",IF(L16&lt;K16*80%,0,MIN(120%,L16/K16*100%)))</f>
        <v>1.2</v>
      </c>
      <c r="N16" s="807">
        <f t="shared" si="0"/>
        <v>0.18</v>
      </c>
    </row>
    <row r="17" spans="2:17" ht="21" customHeight="1">
      <c r="B17" s="418" t="s">
        <v>245</v>
      </c>
      <c r="C17" s="444" t="s">
        <v>128</v>
      </c>
      <c r="D17" s="446"/>
      <c r="E17" s="1166"/>
      <c r="F17" s="1166"/>
      <c r="G17" s="454"/>
      <c r="H17" s="454"/>
      <c r="I17" s="455"/>
      <c r="J17" s="445"/>
      <c r="K17" s="447"/>
      <c r="L17" s="447"/>
      <c r="M17" s="445"/>
      <c r="N17" s="814"/>
    </row>
    <row r="18" spans="2:17" ht="41.25" customHeight="1">
      <c r="B18" s="86">
        <v>1</v>
      </c>
      <c r="C18" s="470" t="s">
        <v>462</v>
      </c>
      <c r="D18" s="888">
        <v>0.25</v>
      </c>
      <c r="E18" s="1092" t="s">
        <v>413</v>
      </c>
      <c r="F18" s="1093"/>
      <c r="G18" s="1190" t="s">
        <v>471</v>
      </c>
      <c r="H18" s="1191"/>
      <c r="I18" s="1192"/>
      <c r="J18" s="451" t="s">
        <v>414</v>
      </c>
      <c r="K18" s="364">
        <v>0</v>
      </c>
      <c r="L18" s="364">
        <v>0</v>
      </c>
      <c r="M18" s="365">
        <f>IF(LEN(L18)=0,"",IF(L18=K18,1,0))</f>
        <v>1</v>
      </c>
      <c r="N18" s="807">
        <f t="shared" ref="N18:N20" si="1">IFERROR(M18*D18,"")</f>
        <v>0.25</v>
      </c>
    </row>
    <row r="19" spans="2:17" ht="30" customHeight="1">
      <c r="B19" s="86">
        <v>2</v>
      </c>
      <c r="C19" s="470" t="s">
        <v>463</v>
      </c>
      <c r="D19" s="888">
        <v>0.2</v>
      </c>
      <c r="E19" s="1092" t="s">
        <v>413</v>
      </c>
      <c r="F19" s="1093"/>
      <c r="G19" s="1190" t="s">
        <v>471</v>
      </c>
      <c r="H19" s="1191"/>
      <c r="I19" s="1192"/>
      <c r="J19" s="451" t="s">
        <v>414</v>
      </c>
      <c r="K19" s="364">
        <v>0</v>
      </c>
      <c r="L19" s="364">
        <v>0</v>
      </c>
      <c r="M19" s="365">
        <f>IF(LEN(L19)=0,"",IF(L19=K19,1,0))</f>
        <v>1</v>
      </c>
      <c r="N19" s="807">
        <f t="shared" si="1"/>
        <v>0.2</v>
      </c>
    </row>
    <row r="20" spans="2:17" ht="75.75" customHeight="1">
      <c r="B20" s="86">
        <v>3</v>
      </c>
      <c r="C20" s="511" t="s">
        <v>697</v>
      </c>
      <c r="D20" s="888">
        <v>0.2</v>
      </c>
      <c r="E20" s="1092" t="s">
        <v>589</v>
      </c>
      <c r="F20" s="1093"/>
      <c r="G20" s="1190" t="s">
        <v>698</v>
      </c>
      <c r="H20" s="1191"/>
      <c r="I20" s="1192"/>
      <c r="J20" s="451" t="s">
        <v>414</v>
      </c>
      <c r="K20" s="364">
        <v>1</v>
      </c>
      <c r="L20" s="364">
        <v>0</v>
      </c>
      <c r="M20" s="365">
        <f>IF(LEN(L20)=0,"",IF(L20&lt;=K20,1,0))</f>
        <v>1</v>
      </c>
      <c r="N20" s="807">
        <f t="shared" si="1"/>
        <v>0.2</v>
      </c>
    </row>
    <row r="21" spans="2:17" ht="21" customHeight="1">
      <c r="B21" s="430" t="s">
        <v>40</v>
      </c>
      <c r="C21" s="459" t="s">
        <v>233</v>
      </c>
      <c r="D21" s="359">
        <v>0.1</v>
      </c>
      <c r="E21" s="1156"/>
      <c r="F21" s="1157"/>
      <c r="G21" s="1156"/>
      <c r="H21" s="1158"/>
      <c r="I21" s="1157"/>
      <c r="J21" s="1159"/>
      <c r="K21" s="1159"/>
      <c r="L21" s="433"/>
      <c r="M21" s="430"/>
      <c r="N21" s="434">
        <f>MIN(10%, MAX(0, D21+SUM(N22)))</f>
        <v>0.05</v>
      </c>
    </row>
    <row r="22" spans="2:17" ht="24.75" customHeight="1">
      <c r="B22" s="86"/>
      <c r="C22" s="389" t="s">
        <v>719</v>
      </c>
      <c r="D22" s="351"/>
      <c r="E22" s="1093"/>
      <c r="F22" s="1093"/>
      <c r="G22" s="1160"/>
      <c r="H22" s="1161"/>
      <c r="I22" s="1162"/>
      <c r="J22" s="395"/>
      <c r="K22" s="461"/>
      <c r="L22" s="462">
        <v>1</v>
      </c>
      <c r="M22" s="345">
        <f>L22*-50%</f>
        <v>-0.5</v>
      </c>
      <c r="N22" s="346">
        <f>M22*$D$21</f>
        <v>-0.05</v>
      </c>
    </row>
    <row r="23" spans="2:17" ht="21.75" hidden="1" customHeight="1">
      <c r="B23" s="86"/>
      <c r="C23" s="389"/>
      <c r="D23" s="351"/>
      <c r="E23" s="1181"/>
      <c r="F23" s="1182"/>
      <c r="G23" s="1160"/>
      <c r="H23" s="1161"/>
      <c r="I23" s="1162"/>
      <c r="J23" s="395"/>
      <c r="K23" s="461"/>
      <c r="L23" s="462"/>
      <c r="M23" s="345"/>
      <c r="N23" s="346"/>
    </row>
    <row r="24" spans="2:17" ht="16.5">
      <c r="B24" s="214"/>
      <c r="C24" s="214" t="s">
        <v>4</v>
      </c>
      <c r="D24" s="338"/>
      <c r="E24" s="1156"/>
      <c r="F24" s="1157"/>
      <c r="G24" s="1156"/>
      <c r="H24" s="1158"/>
      <c r="I24" s="1157"/>
      <c r="J24" s="338"/>
      <c r="K24" s="463"/>
      <c r="L24" s="464"/>
      <c r="M24" s="338"/>
      <c r="N24" s="466">
        <f>N11+N13+N21</f>
        <v>0.97645000000000015</v>
      </c>
      <c r="O24" s="1143"/>
      <c r="P24" s="1143"/>
    </row>
    <row r="25" spans="2:17" ht="17.100000000000001" customHeight="1">
      <c r="B25" s="5"/>
      <c r="C25" s="5"/>
      <c r="D25" s="5"/>
      <c r="E25" s="6"/>
      <c r="F25" s="6"/>
      <c r="G25" s="6"/>
      <c r="H25" s="6"/>
      <c r="I25" s="5"/>
      <c r="J25" s="5"/>
      <c r="K25" s="35"/>
      <c r="L25" s="36"/>
      <c r="M25" s="5"/>
      <c r="N25" s="5"/>
    </row>
    <row r="26" spans="2:17" ht="12.95" customHeight="1">
      <c r="B26" s="37"/>
      <c r="C26" s="47"/>
      <c r="D26" s="38"/>
      <c r="E26" s="38"/>
      <c r="F26" s="38"/>
      <c r="G26" s="37"/>
      <c r="H26" s="37"/>
      <c r="I26" s="38"/>
      <c r="J26" s="38"/>
      <c r="K26" s="38"/>
      <c r="L26" s="38"/>
      <c r="M26" s="38"/>
      <c r="N26" s="38"/>
      <c r="O26" s="38"/>
      <c r="P26" s="38"/>
      <c r="Q26" s="37"/>
    </row>
    <row r="27" spans="2:17" s="51" customFormat="1" ht="23.25" customHeight="1">
      <c r="B27" s="1079" t="s">
        <v>539</v>
      </c>
      <c r="C27" s="975"/>
      <c r="D27" s="1079" t="s">
        <v>537</v>
      </c>
      <c r="E27" s="975"/>
      <c r="F27" s="975"/>
      <c r="G27" s="975"/>
      <c r="H27" s="975"/>
      <c r="I27" s="471"/>
      <c r="J27" s="1079" t="s">
        <v>540</v>
      </c>
      <c r="K27" s="1079"/>
      <c r="L27" s="1079"/>
      <c r="M27" s="1079"/>
      <c r="N27" s="1079"/>
      <c r="O27" s="471"/>
      <c r="P27" s="471"/>
      <c r="Q27" s="471"/>
    </row>
    <row r="28" spans="2:17" s="51" customFormat="1" ht="23.25" customHeight="1">
      <c r="B28" s="944"/>
      <c r="C28" s="37"/>
      <c r="D28" s="944"/>
      <c r="E28" s="37"/>
      <c r="F28" s="37"/>
      <c r="G28" s="37"/>
      <c r="H28" s="37"/>
      <c r="I28" s="471"/>
      <c r="J28" s="944"/>
      <c r="K28" s="944"/>
      <c r="L28" s="944"/>
      <c r="M28" s="944"/>
      <c r="N28" s="944"/>
      <c r="O28" s="471"/>
      <c r="P28" s="471"/>
      <c r="Q28" s="471"/>
    </row>
    <row r="29" spans="2:17">
      <c r="B29" s="6"/>
      <c r="C29" s="5"/>
      <c r="D29" s="6"/>
      <c r="E29" s="5"/>
      <c r="F29" s="5"/>
      <c r="G29" s="58"/>
      <c r="I29" s="6"/>
      <c r="J29" s="6"/>
      <c r="K29" s="6"/>
      <c r="L29" s="5"/>
      <c r="M29" s="5"/>
      <c r="N29" s="5"/>
      <c r="O29" s="5"/>
      <c r="P29" s="5"/>
      <c r="Q29" s="5"/>
    </row>
    <row r="30" spans="2:17">
      <c r="B30" s="6"/>
      <c r="C30" s="5"/>
      <c r="D30" s="6"/>
      <c r="E30" s="5"/>
      <c r="F30" s="5"/>
      <c r="G30" s="58"/>
      <c r="I30" s="5" t="s">
        <v>681</v>
      </c>
      <c r="J30" s="6"/>
      <c r="K30" s="6"/>
      <c r="L30" s="5"/>
      <c r="M30" s="5"/>
      <c r="N30" s="5"/>
      <c r="O30" s="5"/>
      <c r="P30" s="5"/>
      <c r="Q30" s="6"/>
    </row>
    <row r="31" spans="2:17">
      <c r="B31" s="6"/>
      <c r="C31" s="5"/>
      <c r="D31" s="6"/>
      <c r="E31" s="5"/>
      <c r="F31" s="5"/>
      <c r="G31" s="58"/>
      <c r="I31" s="5"/>
      <c r="J31" s="6"/>
      <c r="K31" s="6"/>
      <c r="L31" s="5"/>
      <c r="M31" s="5"/>
      <c r="N31" s="5"/>
      <c r="O31" s="5"/>
      <c r="P31" s="5"/>
      <c r="Q31" s="6"/>
    </row>
    <row r="32" spans="2:17">
      <c r="B32" s="6"/>
      <c r="C32" s="5"/>
      <c r="D32" s="6"/>
      <c r="E32" s="5"/>
      <c r="F32" s="5"/>
      <c r="G32" s="58"/>
      <c r="I32" s="5"/>
      <c r="J32" s="6"/>
      <c r="K32" s="6"/>
      <c r="L32" s="5"/>
      <c r="M32" s="5"/>
      <c r="N32" s="5"/>
      <c r="O32" s="5"/>
      <c r="P32" s="5"/>
      <c r="Q32" s="6"/>
    </row>
    <row r="33" spans="2:17">
      <c r="B33" s="6"/>
      <c r="C33" s="5"/>
      <c r="D33" s="6"/>
      <c r="E33" s="5"/>
      <c r="F33" s="5"/>
      <c r="G33" s="58"/>
      <c r="I33" s="5"/>
      <c r="J33" s="6"/>
      <c r="K33" s="6"/>
      <c r="L33" s="5"/>
      <c r="M33" s="5"/>
      <c r="N33" s="5"/>
      <c r="O33" s="5"/>
      <c r="P33" s="5"/>
      <c r="Q33" s="6"/>
    </row>
    <row r="34" spans="2:17" hidden="1">
      <c r="B34" s="6"/>
      <c r="C34" s="5"/>
      <c r="D34" s="6"/>
      <c r="E34" s="5"/>
      <c r="F34" s="5"/>
      <c r="G34" s="58"/>
      <c r="I34" s="5"/>
      <c r="J34" s="6"/>
      <c r="K34" s="6"/>
      <c r="L34" s="5"/>
      <c r="M34" s="5"/>
      <c r="N34" s="5"/>
      <c r="O34" s="5"/>
      <c r="P34" s="5"/>
      <c r="Q34" s="6"/>
    </row>
    <row r="35" spans="2:17">
      <c r="B35" s="972" t="s">
        <v>29</v>
      </c>
      <c r="C35" s="972"/>
      <c r="D35" s="972" t="s">
        <v>29</v>
      </c>
      <c r="E35" s="972"/>
      <c r="F35" s="972"/>
      <c r="G35" s="972"/>
      <c r="H35" s="972"/>
      <c r="I35" s="5"/>
      <c r="J35" s="972" t="s">
        <v>29</v>
      </c>
      <c r="K35" s="972"/>
      <c r="L35" s="972"/>
      <c r="M35" s="972"/>
      <c r="N35" s="972"/>
      <c r="O35" s="5"/>
      <c r="P35" s="5"/>
      <c r="Q35" s="5"/>
    </row>
    <row r="36" spans="2:17">
      <c r="B36" s="6"/>
      <c r="C36" s="5"/>
      <c r="D36" s="5"/>
      <c r="E36" s="5"/>
      <c r="F36" s="5"/>
      <c r="G36" s="6"/>
      <c r="I36" s="5"/>
      <c r="J36" s="6"/>
      <c r="K36" s="5"/>
      <c r="L36" s="5"/>
      <c r="M36" s="5"/>
      <c r="N36" s="5"/>
      <c r="O36" s="5"/>
      <c r="P36" s="5"/>
      <c r="Q36" s="6"/>
    </row>
    <row r="37" spans="2:17">
      <c r="B37" s="37"/>
      <c r="C37" s="47"/>
      <c r="D37" s="38"/>
      <c r="E37" s="38"/>
      <c r="F37" s="38"/>
      <c r="G37" s="37"/>
      <c r="I37" s="38"/>
      <c r="J37" s="37"/>
      <c r="K37" s="38"/>
      <c r="L37" s="38"/>
      <c r="M37" s="38"/>
      <c r="N37" s="38"/>
      <c r="O37" s="38"/>
      <c r="P37" s="38"/>
      <c r="Q37" s="37"/>
    </row>
    <row r="38" spans="2:17" ht="24" customHeight="1">
      <c r="B38" s="1080"/>
      <c r="C38" s="972"/>
      <c r="D38" s="1080"/>
      <c r="E38" s="972"/>
      <c r="F38" s="972"/>
      <c r="G38" s="972"/>
      <c r="H38" s="972"/>
      <c r="I38" s="245"/>
      <c r="J38" s="972"/>
      <c r="K38" s="972"/>
      <c r="L38" s="972"/>
      <c r="M38" s="972"/>
      <c r="N38" s="245"/>
      <c r="O38" s="1080"/>
      <c r="P38" s="972"/>
      <c r="Q38" s="972"/>
    </row>
    <row r="39" spans="2:17">
      <c r="B39" s="6"/>
      <c r="C39" s="5"/>
      <c r="D39" s="5"/>
      <c r="E39" s="5"/>
      <c r="F39" s="5"/>
      <c r="G39" s="6"/>
      <c r="I39" s="6"/>
      <c r="J39" s="6"/>
      <c r="K39" s="6"/>
      <c r="L39" s="5"/>
      <c r="M39" s="5"/>
      <c r="N39" s="5"/>
      <c r="O39" s="5"/>
      <c r="P39" s="5"/>
      <c r="Q39" s="5"/>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972"/>
      <c r="C45" s="972"/>
      <c r="D45" s="972"/>
      <c r="E45" s="972"/>
      <c r="F45" s="972"/>
      <c r="G45" s="972"/>
      <c r="H45" s="972"/>
      <c r="I45" s="5"/>
      <c r="J45" s="972"/>
      <c r="K45" s="972"/>
      <c r="L45" s="972"/>
      <c r="M45" s="972"/>
      <c r="N45" s="5"/>
      <c r="O45" s="972"/>
      <c r="P45" s="972"/>
      <c r="Q45" s="972"/>
    </row>
  </sheetData>
  <mergeCells count="45">
    <mergeCell ref="E19:F19"/>
    <mergeCell ref="G19:I19"/>
    <mergeCell ref="E21:F21"/>
    <mergeCell ref="G21:I21"/>
    <mergeCell ref="E13:F13"/>
    <mergeCell ref="E16:F16"/>
    <mergeCell ref="G16:I16"/>
    <mergeCell ref="E17:F17"/>
    <mergeCell ref="E18:F18"/>
    <mergeCell ref="G18:I18"/>
    <mergeCell ref="E20:F20"/>
    <mergeCell ref="G20:I20"/>
    <mergeCell ref="J13:K13"/>
    <mergeCell ref="E14:F14"/>
    <mergeCell ref="E15:F15"/>
    <mergeCell ref="G15:I15"/>
    <mergeCell ref="E12:F12"/>
    <mergeCell ref="G13:I13"/>
    <mergeCell ref="C6:I6"/>
    <mergeCell ref="E10:F10"/>
    <mergeCell ref="G10:I10"/>
    <mergeCell ref="E11:F11"/>
    <mergeCell ref="G11:I11"/>
    <mergeCell ref="J21:K21"/>
    <mergeCell ref="E22:F22"/>
    <mergeCell ref="G22:I22"/>
    <mergeCell ref="E24:F24"/>
    <mergeCell ref="G24:I24"/>
    <mergeCell ref="E23:F23"/>
    <mergeCell ref="G23:I23"/>
    <mergeCell ref="O24:P24"/>
    <mergeCell ref="B27:C27"/>
    <mergeCell ref="D27:H27"/>
    <mergeCell ref="B45:C45"/>
    <mergeCell ref="D45:H45"/>
    <mergeCell ref="J45:M45"/>
    <mergeCell ref="J27:N27"/>
    <mergeCell ref="J35:N35"/>
    <mergeCell ref="O45:Q45"/>
    <mergeCell ref="B35:C35"/>
    <mergeCell ref="D35:H35"/>
    <mergeCell ref="B38:C38"/>
    <mergeCell ref="D38:H38"/>
    <mergeCell ref="J38:M38"/>
    <mergeCell ref="O38:Q38"/>
  </mergeCells>
  <pageMargins left="0.28000000000000003" right="0.17" top="0.17" bottom="0.17" header="0.3" footer="0.3"/>
  <pageSetup paperSize="9" scale="83"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D94C3-DA59-482F-A923-95932CDC64E2}">
  <dimension ref="B1:Q45"/>
  <sheetViews>
    <sheetView showGridLines="0" topLeftCell="A7" zoomScaleNormal="100" workbookViewId="0">
      <selection activeCell="T18" sqref="T18"/>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18.875" style="2" customWidth="1"/>
    <col min="7" max="7" width="5.125" style="2" customWidth="1"/>
    <col min="8" max="8" width="3.875" style="2" customWidth="1"/>
    <col min="9" max="9" width="10.125" style="1" customWidth="1"/>
    <col min="10" max="10" width="11.625" style="1" customWidth="1"/>
    <col min="11" max="11" width="13.875" style="39" customWidth="1"/>
    <col min="12" max="12" width="9.875" style="40" customWidth="1"/>
    <col min="13" max="13" width="12.37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4" hidden="1"/>
    <row r="2" spans="2:14" s="375" customFormat="1" hidden="1">
      <c r="B2" s="407" t="s">
        <v>464</v>
      </c>
      <c r="C2" s="140" t="s">
        <v>132</v>
      </c>
      <c r="D2" s="140"/>
    </row>
    <row r="3" spans="2:14" s="375" customFormat="1" hidden="1">
      <c r="B3" s="407" t="s">
        <v>465</v>
      </c>
      <c r="C3" s="209" t="s">
        <v>255</v>
      </c>
      <c r="D3" s="209"/>
    </row>
    <row r="4" spans="2:14" s="375" customFormat="1" hidden="1">
      <c r="B4" s="407" t="s">
        <v>466</v>
      </c>
      <c r="C4" s="140" t="s">
        <v>133</v>
      </c>
      <c r="D4" s="140"/>
    </row>
    <row r="5" spans="2:14" s="31" customFormat="1" ht="6.95" customHeight="1">
      <c r="B5" s="30"/>
      <c r="C5" s="30"/>
      <c r="E5" s="30"/>
      <c r="J5" s="30"/>
      <c r="K5" s="32"/>
      <c r="L5" s="33"/>
    </row>
    <row r="6" spans="2:14" s="98" customFormat="1" ht="26.1" customHeight="1">
      <c r="B6" s="99" t="s">
        <v>81</v>
      </c>
      <c r="C6" s="1121" t="s">
        <v>680</v>
      </c>
      <c r="D6" s="1121"/>
      <c r="E6" s="1121"/>
      <c r="F6" s="1121"/>
      <c r="G6" s="1121"/>
      <c r="H6" s="1121"/>
      <c r="I6" s="1121"/>
      <c r="J6" s="145"/>
      <c r="K6" s="145"/>
      <c r="L6" s="145"/>
      <c r="M6" s="145"/>
      <c r="N6" s="145"/>
    </row>
    <row r="7" spans="2:14" s="3" customFormat="1" ht="20.100000000000001" customHeight="1">
      <c r="B7" s="213" t="s">
        <v>404</v>
      </c>
      <c r="C7" s="213" t="s">
        <v>556</v>
      </c>
      <c r="D7" s="211"/>
      <c r="E7" s="211"/>
      <c r="F7" s="211"/>
      <c r="G7" s="211"/>
      <c r="H7" s="211"/>
      <c r="I7" s="212" t="s">
        <v>278</v>
      </c>
      <c r="J7" s="212" t="s">
        <v>441</v>
      </c>
      <c r="K7" s="212"/>
      <c r="L7" s="212"/>
      <c r="M7" s="212"/>
      <c r="N7" s="31"/>
    </row>
    <row r="8" spans="2:14" s="3" customFormat="1" ht="18.95" customHeight="1">
      <c r="B8" s="213" t="s">
        <v>280</v>
      </c>
      <c r="C8" s="472" t="s">
        <v>557</v>
      </c>
      <c r="D8" s="211"/>
      <c r="E8" s="211"/>
      <c r="F8" s="211"/>
      <c r="G8" s="211"/>
      <c r="H8" s="211"/>
      <c r="I8" s="211" t="s">
        <v>477</v>
      </c>
      <c r="J8" s="212" t="s">
        <v>471</v>
      </c>
      <c r="K8" s="212"/>
      <c r="L8" s="212"/>
      <c r="M8" s="212"/>
      <c r="N8" s="31"/>
    </row>
    <row r="9" spans="2:14" s="3" customFormat="1" ht="6.95" customHeight="1">
      <c r="D9" s="85"/>
      <c r="E9" s="85"/>
      <c r="F9" s="85"/>
      <c r="G9" s="85"/>
      <c r="H9" s="85"/>
      <c r="I9" s="85"/>
      <c r="J9" s="85"/>
      <c r="K9" s="85"/>
      <c r="L9" s="85"/>
      <c r="M9" s="85"/>
      <c r="N9" s="85"/>
    </row>
    <row r="10" spans="2:14"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4" ht="21" customHeight="1">
      <c r="B11" s="430" t="s">
        <v>21</v>
      </c>
      <c r="C11" s="431" t="s">
        <v>478</v>
      </c>
      <c r="D11" s="868">
        <v>0.1</v>
      </c>
      <c r="E11" s="1179"/>
      <c r="F11" s="1180"/>
      <c r="G11" s="1156"/>
      <c r="H11" s="1158"/>
      <c r="I11" s="1157"/>
      <c r="J11" s="214"/>
      <c r="K11" s="214"/>
      <c r="L11" s="433"/>
      <c r="M11" s="430"/>
      <c r="N11" s="466">
        <f>N12</f>
        <v>0.10245</v>
      </c>
    </row>
    <row r="12" spans="2:14" ht="21" customHeight="1">
      <c r="B12" s="418"/>
      <c r="C12" s="435" t="s">
        <v>469</v>
      </c>
      <c r="D12" s="421"/>
      <c r="E12" s="1174"/>
      <c r="F12" s="1174"/>
      <c r="G12" s="436"/>
      <c r="H12" s="436"/>
      <c r="I12" s="437"/>
      <c r="J12" s="396"/>
      <c r="K12" s="438">
        <v>1</v>
      </c>
      <c r="L12" s="810">
        <f>'A7.9.KPI Ban HCNS Quy 2.26'!M26</f>
        <v>1.0245</v>
      </c>
      <c r="M12" s="811">
        <f>L12/K12*100%</f>
        <v>1.0245</v>
      </c>
      <c r="N12" s="496">
        <f>M12*D11</f>
        <v>0.10245</v>
      </c>
    </row>
    <row r="13" spans="2:14" ht="21" customHeight="1">
      <c r="B13" s="430" t="s">
        <v>22</v>
      </c>
      <c r="C13" s="440" t="s">
        <v>23</v>
      </c>
      <c r="D13" s="869">
        <v>0.8</v>
      </c>
      <c r="E13" s="1169"/>
      <c r="F13" s="1170"/>
      <c r="G13" s="1156"/>
      <c r="H13" s="1158"/>
      <c r="I13" s="1157"/>
      <c r="J13" s="1171"/>
      <c r="K13" s="1172"/>
      <c r="L13" s="443"/>
      <c r="M13" s="442"/>
      <c r="N13" s="467">
        <f>SUM(N15:N20)*D13</f>
        <v>0.82400000000000007</v>
      </c>
    </row>
    <row r="14" spans="2:14" ht="21" customHeight="1">
      <c r="B14" s="418" t="s">
        <v>245</v>
      </c>
      <c r="C14" s="444" t="s">
        <v>24</v>
      </c>
      <c r="D14" s="446"/>
      <c r="E14" s="1173"/>
      <c r="F14" s="1173"/>
      <c r="G14" s="446"/>
      <c r="H14" s="446"/>
      <c r="I14" s="446"/>
      <c r="J14" s="445"/>
      <c r="K14" s="447"/>
      <c r="L14" s="447"/>
      <c r="M14" s="445"/>
      <c r="N14" s="448"/>
    </row>
    <row r="15" spans="2:14" ht="40.5" customHeight="1">
      <c r="B15" s="86">
        <v>1</v>
      </c>
      <c r="C15" s="453" t="str">
        <f>'A7.9.KPI Ban HCNS Quy 1.26'!C20</f>
        <v>Không quá 1 lần/ người/ quý phàn nàn của khách hàng về thái độ tiếp xúc, chăm sóc khách hàng của Bộ phận Call Center</v>
      </c>
      <c r="D15" s="888">
        <v>0.2</v>
      </c>
      <c r="E15" s="1092" t="str">
        <f>'A7.9.KPI Ban HCNS Quy 2.26'!F18</f>
        <v>TH ≤ KH: KPI = 100%
TH &gt; KH: KPI = 0%</v>
      </c>
      <c r="F15" s="1093"/>
      <c r="G15" s="1190" t="str">
        <f>'A7.9.KPI Ban HCNS Quy 2.26'!H18</f>
        <v>Ban HCNS xác nhận</v>
      </c>
      <c r="H15" s="1191"/>
      <c r="I15" s="1192"/>
      <c r="J15" s="451" t="str">
        <f>'A7.9.KPI Ban HCNS Quy 2.26'!I18</f>
        <v>Lần</v>
      </c>
      <c r="K15" s="364">
        <f>'A7.9.KPI Ban HCNS Quy 2.26'!J18</f>
        <v>1</v>
      </c>
      <c r="L15" s="364">
        <v>0</v>
      </c>
      <c r="M15" s="365">
        <f>IF(LEN(L15)=0,"",IF(L15&lt;=K15,1,0))</f>
        <v>1</v>
      </c>
      <c r="N15" s="807">
        <f t="shared" ref="N15:N16" si="0">IFERROR(M15*D15,"")</f>
        <v>0.2</v>
      </c>
    </row>
    <row r="16" spans="2:14" ht="45.75" customHeight="1">
      <c r="B16" s="86">
        <v>2</v>
      </c>
      <c r="C16" s="453" t="str">
        <f>'A7.9.KPI Ban HCNS Quy 2.26'!C21</f>
        <v>Tỷ lệ phản ánh về chất lượng dịch vụ giảm 5% so với tổng phản ánh quý 2 năm trước</v>
      </c>
      <c r="D16" s="888">
        <v>0.15</v>
      </c>
      <c r="E16" s="1092" t="str">
        <f>'A7.9.KPI Ban HCNS Quy 2.26'!F21</f>
        <v>TH ≥ 80%KH: KPI = TH/KH*100%
TH &lt; 80%KH: KPI = 0% 
Max KPI = 120%</v>
      </c>
      <c r="F16" s="1093"/>
      <c r="G16" s="1188" t="str">
        <f>'A7.9.KPI Ban HCNS Quy 2.26'!H21</f>
        <v>HCNS báo cáo, các XN liên quan xác nhận</v>
      </c>
      <c r="H16" s="1095"/>
      <c r="I16" s="1096"/>
      <c r="J16" s="451" t="str">
        <f>'A7.9.KPI Ban HCNS Quy 2.26'!I21</f>
        <v>%</v>
      </c>
      <c r="K16" s="346">
        <f>'A7.9.KPI Ban HCNS Quy 2.26'!J21</f>
        <v>0.05</v>
      </c>
      <c r="L16" s="346">
        <f>'A7.9.KPI Ban HCNS Quy 2.26'!K21</f>
        <v>0.37</v>
      </c>
      <c r="M16" s="345">
        <f>IF(LEN(L16)=0,"",IF(L16&lt;K16*80%,0,MIN(120%,L16/K16*100%)))</f>
        <v>1.2</v>
      </c>
      <c r="N16" s="807">
        <f t="shared" si="0"/>
        <v>0.18</v>
      </c>
    </row>
    <row r="17" spans="2:17" ht="21" customHeight="1">
      <c r="B17" s="418" t="s">
        <v>245</v>
      </c>
      <c r="C17" s="444" t="s">
        <v>128</v>
      </c>
      <c r="D17" s="446"/>
      <c r="E17" s="1166"/>
      <c r="F17" s="1166"/>
      <c r="G17" s="454"/>
      <c r="H17" s="454"/>
      <c r="I17" s="455"/>
      <c r="J17" s="445"/>
      <c r="K17" s="447"/>
      <c r="L17" s="447"/>
      <c r="M17" s="445"/>
      <c r="N17" s="814"/>
    </row>
    <row r="18" spans="2:17" ht="41.25" customHeight="1">
      <c r="B18" s="86">
        <v>1</v>
      </c>
      <c r="C18" s="470" t="s">
        <v>462</v>
      </c>
      <c r="D18" s="888">
        <v>0.25</v>
      </c>
      <c r="E18" s="1092" t="s">
        <v>413</v>
      </c>
      <c r="F18" s="1093"/>
      <c r="G18" s="1190" t="s">
        <v>471</v>
      </c>
      <c r="H18" s="1191"/>
      <c r="I18" s="1192"/>
      <c r="J18" s="451" t="s">
        <v>414</v>
      </c>
      <c r="K18" s="364">
        <v>0</v>
      </c>
      <c r="L18" s="364">
        <v>0</v>
      </c>
      <c r="M18" s="365">
        <f>IF(LEN(L18)=0,"",IF(L18=K18,1,0))</f>
        <v>1</v>
      </c>
      <c r="N18" s="807">
        <f t="shared" ref="N18:N20" si="1">IFERROR(M18*D18,"")</f>
        <v>0.25</v>
      </c>
    </row>
    <row r="19" spans="2:17" ht="30" customHeight="1">
      <c r="B19" s="86">
        <v>2</v>
      </c>
      <c r="C19" s="470" t="s">
        <v>463</v>
      </c>
      <c r="D19" s="888">
        <v>0.2</v>
      </c>
      <c r="E19" s="1092" t="s">
        <v>413</v>
      </c>
      <c r="F19" s="1093"/>
      <c r="G19" s="1190" t="s">
        <v>471</v>
      </c>
      <c r="H19" s="1191"/>
      <c r="I19" s="1192"/>
      <c r="J19" s="451" t="s">
        <v>414</v>
      </c>
      <c r="K19" s="364">
        <v>0</v>
      </c>
      <c r="L19" s="364">
        <v>0</v>
      </c>
      <c r="M19" s="365">
        <f>IF(LEN(L19)=0,"",IF(L19=K19,1,0))</f>
        <v>1</v>
      </c>
      <c r="N19" s="807">
        <f t="shared" si="1"/>
        <v>0.2</v>
      </c>
    </row>
    <row r="20" spans="2:17" ht="75.75" customHeight="1">
      <c r="B20" s="86">
        <v>3</v>
      </c>
      <c r="C20" s="511" t="s">
        <v>697</v>
      </c>
      <c r="D20" s="888">
        <v>0.2</v>
      </c>
      <c r="E20" s="1092" t="s">
        <v>589</v>
      </c>
      <c r="F20" s="1093"/>
      <c r="G20" s="1190" t="s">
        <v>698</v>
      </c>
      <c r="H20" s="1191"/>
      <c r="I20" s="1192"/>
      <c r="J20" s="451" t="s">
        <v>414</v>
      </c>
      <c r="K20" s="364">
        <v>1</v>
      </c>
      <c r="L20" s="364">
        <v>0</v>
      </c>
      <c r="M20" s="365">
        <f>IF(LEN(L20)=0,"",IF(L20&lt;=K20,1,0))</f>
        <v>1</v>
      </c>
      <c r="N20" s="807">
        <f t="shared" si="1"/>
        <v>0.2</v>
      </c>
    </row>
    <row r="21" spans="2:17" ht="21" customHeight="1">
      <c r="B21" s="430" t="s">
        <v>40</v>
      </c>
      <c r="C21" s="459" t="s">
        <v>233</v>
      </c>
      <c r="D21" s="359">
        <v>0.1</v>
      </c>
      <c r="E21" s="1156"/>
      <c r="F21" s="1157"/>
      <c r="G21" s="1156"/>
      <c r="H21" s="1158"/>
      <c r="I21" s="1157"/>
      <c r="J21" s="1159"/>
      <c r="K21" s="1159"/>
      <c r="L21" s="433"/>
      <c r="M21" s="430"/>
      <c r="N21" s="434">
        <f>MIN(10%, MAX(0, D21+SUM(N22)))</f>
        <v>0.05</v>
      </c>
    </row>
    <row r="22" spans="2:17" ht="17.100000000000001" customHeight="1">
      <c r="B22" s="86"/>
      <c r="C22" s="389" t="s">
        <v>719</v>
      </c>
      <c r="D22" s="351"/>
      <c r="E22" s="1093"/>
      <c r="F22" s="1093"/>
      <c r="G22" s="1160"/>
      <c r="H22" s="1161"/>
      <c r="I22" s="1162"/>
      <c r="J22" s="395"/>
      <c r="K22" s="461"/>
      <c r="L22" s="462">
        <v>1</v>
      </c>
      <c r="M22" s="345">
        <f>L22*-50%</f>
        <v>-0.5</v>
      </c>
      <c r="N22" s="346">
        <f>M22*$D$21</f>
        <v>-0.05</v>
      </c>
    </row>
    <row r="23" spans="2:17" ht="21.75" customHeight="1">
      <c r="B23" s="86"/>
      <c r="C23" s="389"/>
      <c r="D23" s="351"/>
      <c r="E23" s="1181"/>
      <c r="F23" s="1182"/>
      <c r="G23" s="1160"/>
      <c r="H23" s="1161"/>
      <c r="I23" s="1162"/>
      <c r="J23" s="395"/>
      <c r="K23" s="461"/>
      <c r="L23" s="462"/>
      <c r="M23" s="345"/>
      <c r="N23" s="346"/>
    </row>
    <row r="24" spans="2:17" ht="16.5">
      <c r="B24" s="214"/>
      <c r="C24" s="214" t="s">
        <v>4</v>
      </c>
      <c r="D24" s="338"/>
      <c r="E24" s="1156"/>
      <c r="F24" s="1157"/>
      <c r="G24" s="1156"/>
      <c r="H24" s="1158"/>
      <c r="I24" s="1157"/>
      <c r="J24" s="338"/>
      <c r="K24" s="463"/>
      <c r="L24" s="464"/>
      <c r="M24" s="338"/>
      <c r="N24" s="466">
        <f>N11+N13+N21</f>
        <v>0.97645000000000015</v>
      </c>
      <c r="O24" s="1143"/>
      <c r="P24" s="1143"/>
    </row>
    <row r="25" spans="2:17" ht="17.100000000000001" customHeight="1">
      <c r="B25" s="5"/>
      <c r="C25" s="5"/>
      <c r="D25" s="5"/>
      <c r="E25" s="6"/>
      <c r="F25" s="6"/>
      <c r="G25" s="6"/>
      <c r="H25" s="6"/>
      <c r="I25" s="5"/>
      <c r="J25" s="5"/>
      <c r="K25" s="35"/>
      <c r="L25" s="36"/>
      <c r="M25" s="5"/>
      <c r="N25" s="5"/>
    </row>
    <row r="26" spans="2:17" ht="12.95" customHeight="1">
      <c r="B26" s="37"/>
      <c r="C26" s="47"/>
      <c r="D26" s="38"/>
      <c r="E26" s="38"/>
      <c r="F26" s="38"/>
      <c r="G26" s="37"/>
      <c r="H26" s="37"/>
      <c r="I26" s="38"/>
      <c r="J26" s="38"/>
      <c r="K26" s="38"/>
      <c r="L26" s="38"/>
      <c r="M26" s="38"/>
      <c r="N26" s="38"/>
      <c r="O26" s="38"/>
      <c r="P26" s="38"/>
      <c r="Q26" s="37"/>
    </row>
    <row r="27" spans="2:17" s="51" customFormat="1" ht="23.25" customHeight="1">
      <c r="B27" s="1079" t="s">
        <v>539</v>
      </c>
      <c r="C27" s="975"/>
      <c r="D27" s="1079" t="s">
        <v>537</v>
      </c>
      <c r="E27" s="975"/>
      <c r="F27" s="975"/>
      <c r="G27" s="975"/>
      <c r="H27" s="975"/>
      <c r="I27" s="471"/>
      <c r="J27" s="1079" t="s">
        <v>540</v>
      </c>
      <c r="K27" s="1079"/>
      <c r="L27" s="1079"/>
      <c r="M27" s="1079"/>
      <c r="N27" s="1079"/>
      <c r="O27" s="471"/>
      <c r="P27" s="471"/>
      <c r="Q27" s="471"/>
    </row>
    <row r="28" spans="2:17">
      <c r="B28" s="6"/>
      <c r="C28" s="5"/>
      <c r="D28" s="6"/>
      <c r="E28" s="5"/>
      <c r="F28" s="5"/>
      <c r="G28" s="58"/>
      <c r="I28" s="6"/>
      <c r="J28" s="6"/>
      <c r="K28" s="6"/>
      <c r="L28" s="5"/>
      <c r="M28" s="5"/>
      <c r="N28" s="5"/>
      <c r="O28" s="5"/>
      <c r="P28" s="5"/>
      <c r="Q28" s="5"/>
    </row>
    <row r="29" spans="2:17">
      <c r="B29" s="6"/>
      <c r="C29" s="5"/>
      <c r="D29" s="6"/>
      <c r="E29" s="5"/>
      <c r="F29" s="5"/>
      <c r="G29" s="58"/>
      <c r="I29" s="6"/>
      <c r="J29" s="6"/>
      <c r="K29" s="6"/>
      <c r="L29" s="5"/>
      <c r="M29" s="5"/>
      <c r="N29" s="5"/>
      <c r="O29" s="5"/>
      <c r="P29" s="5"/>
      <c r="Q29" s="5"/>
    </row>
    <row r="30" spans="2:17">
      <c r="B30" s="6"/>
      <c r="C30" s="5"/>
      <c r="D30" s="6"/>
      <c r="E30" s="5"/>
      <c r="F30" s="5"/>
      <c r="G30" s="58"/>
      <c r="I30" s="5" t="s">
        <v>681</v>
      </c>
      <c r="J30" s="6"/>
      <c r="K30" s="6"/>
      <c r="L30" s="5"/>
      <c r="M30" s="5"/>
      <c r="N30" s="5"/>
      <c r="O30" s="5"/>
      <c r="P30" s="5"/>
      <c r="Q30" s="6"/>
    </row>
    <row r="31" spans="2:17">
      <c r="B31" s="6"/>
      <c r="C31" s="5"/>
      <c r="D31" s="6"/>
      <c r="E31" s="5"/>
      <c r="F31" s="5"/>
      <c r="G31" s="58"/>
      <c r="I31" s="5"/>
      <c r="J31" s="6"/>
      <c r="K31" s="6"/>
      <c r="L31" s="5"/>
      <c r="M31" s="5"/>
      <c r="N31" s="5"/>
      <c r="O31" s="5"/>
      <c r="P31" s="5"/>
      <c r="Q31" s="6"/>
    </row>
    <row r="32" spans="2:17">
      <c r="B32" s="6"/>
      <c r="C32" s="5"/>
      <c r="D32" s="6"/>
      <c r="E32" s="5"/>
      <c r="F32" s="5"/>
      <c r="G32" s="58"/>
      <c r="I32" s="5"/>
      <c r="J32" s="6"/>
      <c r="K32" s="6"/>
      <c r="L32" s="5"/>
      <c r="M32" s="5"/>
      <c r="N32" s="5"/>
      <c r="O32" s="5"/>
      <c r="P32" s="5"/>
      <c r="Q32" s="6"/>
    </row>
    <row r="33" spans="2:17">
      <c r="B33" s="6"/>
      <c r="C33" s="5"/>
      <c r="D33" s="6"/>
      <c r="E33" s="5"/>
      <c r="F33" s="5"/>
      <c r="G33" s="58"/>
      <c r="I33" s="5"/>
      <c r="J33" s="6"/>
      <c r="K33" s="6"/>
      <c r="L33" s="5"/>
      <c r="M33" s="5"/>
      <c r="N33" s="5"/>
      <c r="O33" s="5"/>
      <c r="P33" s="5"/>
      <c r="Q33" s="6"/>
    </row>
    <row r="34" spans="2:17" hidden="1">
      <c r="B34" s="6"/>
      <c r="C34" s="5"/>
      <c r="D34" s="6"/>
      <c r="E34" s="5"/>
      <c r="F34" s="5"/>
      <c r="G34" s="58"/>
      <c r="I34" s="5"/>
      <c r="J34" s="6"/>
      <c r="K34" s="6"/>
      <c r="L34" s="5"/>
      <c r="M34" s="5"/>
      <c r="N34" s="5"/>
      <c r="O34" s="5"/>
      <c r="P34" s="5"/>
      <c r="Q34" s="6"/>
    </row>
    <row r="35" spans="2:17">
      <c r="B35" s="972" t="s">
        <v>29</v>
      </c>
      <c r="C35" s="972"/>
      <c r="D35" s="972" t="s">
        <v>29</v>
      </c>
      <c r="E35" s="972"/>
      <c r="F35" s="972"/>
      <c r="G35" s="972"/>
      <c r="H35" s="972"/>
      <c r="I35" s="5"/>
      <c r="J35" s="972" t="s">
        <v>29</v>
      </c>
      <c r="K35" s="972"/>
      <c r="L35" s="972"/>
      <c r="M35" s="972"/>
      <c r="N35" s="972"/>
      <c r="O35" s="5"/>
      <c r="P35" s="5"/>
      <c r="Q35" s="5"/>
    </row>
    <row r="36" spans="2:17">
      <c r="B36" s="6"/>
      <c r="C36" s="5"/>
      <c r="D36" s="5"/>
      <c r="E36" s="5"/>
      <c r="F36" s="5"/>
      <c r="G36" s="6"/>
      <c r="I36" s="5"/>
      <c r="J36" s="6"/>
      <c r="K36" s="5"/>
      <c r="L36" s="5"/>
      <c r="M36" s="5"/>
      <c r="N36" s="5"/>
      <c r="O36" s="5"/>
      <c r="P36" s="5"/>
      <c r="Q36" s="6"/>
    </row>
    <row r="37" spans="2:17">
      <c r="B37" s="37"/>
      <c r="C37" s="47"/>
      <c r="D37" s="38"/>
      <c r="E37" s="38"/>
      <c r="F37" s="38"/>
      <c r="G37" s="37"/>
      <c r="I37" s="38"/>
      <c r="J37" s="37"/>
      <c r="K37" s="38"/>
      <c r="L37" s="38"/>
      <c r="M37" s="38"/>
      <c r="N37" s="38"/>
      <c r="O37" s="38"/>
      <c r="P37" s="38"/>
      <c r="Q37" s="37"/>
    </row>
    <row r="38" spans="2:17" ht="24" customHeight="1">
      <c r="B38" s="1080"/>
      <c r="C38" s="972"/>
      <c r="D38" s="1080"/>
      <c r="E38" s="972"/>
      <c r="F38" s="972"/>
      <c r="G38" s="972"/>
      <c r="H38" s="972"/>
      <c r="I38" s="245"/>
      <c r="J38" s="972"/>
      <c r="K38" s="972"/>
      <c r="L38" s="972"/>
      <c r="M38" s="972"/>
      <c r="N38" s="245"/>
      <c r="O38" s="1080"/>
      <c r="P38" s="972"/>
      <c r="Q38" s="972"/>
    </row>
    <row r="39" spans="2:17">
      <c r="B39" s="6"/>
      <c r="C39" s="5"/>
      <c r="D39" s="5"/>
      <c r="E39" s="5"/>
      <c r="F39" s="5"/>
      <c r="G39" s="6"/>
      <c r="I39" s="6"/>
      <c r="J39" s="6"/>
      <c r="K39" s="6"/>
      <c r="L39" s="5"/>
      <c r="M39" s="5"/>
      <c r="N39" s="5"/>
      <c r="O39" s="5"/>
      <c r="P39" s="5"/>
      <c r="Q39" s="5"/>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972"/>
      <c r="C45" s="972"/>
      <c r="D45" s="972"/>
      <c r="E45" s="972"/>
      <c r="F45" s="972"/>
      <c r="G45" s="972"/>
      <c r="H45" s="972"/>
      <c r="I45" s="5"/>
      <c r="J45" s="972"/>
      <c r="K45" s="972"/>
      <c r="L45" s="972"/>
      <c r="M45" s="972"/>
      <c r="N45" s="5"/>
      <c r="O45" s="972"/>
      <c r="P45" s="972"/>
      <c r="Q45" s="972"/>
    </row>
  </sheetData>
  <mergeCells count="45">
    <mergeCell ref="B27:C27"/>
    <mergeCell ref="D27:H27"/>
    <mergeCell ref="O24:P24"/>
    <mergeCell ref="J27:N27"/>
    <mergeCell ref="B45:C45"/>
    <mergeCell ref="D45:H45"/>
    <mergeCell ref="J45:M45"/>
    <mergeCell ref="O45:Q45"/>
    <mergeCell ref="B35:C35"/>
    <mergeCell ref="D35:H35"/>
    <mergeCell ref="B38:C38"/>
    <mergeCell ref="D38:H38"/>
    <mergeCell ref="J38:M38"/>
    <mergeCell ref="O38:Q38"/>
    <mergeCell ref="J35:N35"/>
    <mergeCell ref="E24:F24"/>
    <mergeCell ref="E19:F19"/>
    <mergeCell ref="G19:I19"/>
    <mergeCell ref="J21:K21"/>
    <mergeCell ref="E20:F20"/>
    <mergeCell ref="G20:I20"/>
    <mergeCell ref="E21:F21"/>
    <mergeCell ref="G21:I21"/>
    <mergeCell ref="G24:I24"/>
    <mergeCell ref="E22:F22"/>
    <mergeCell ref="G22:I22"/>
    <mergeCell ref="E23:F23"/>
    <mergeCell ref="G23:I23"/>
    <mergeCell ref="E13:F13"/>
    <mergeCell ref="G13:I13"/>
    <mergeCell ref="J13:K13"/>
    <mergeCell ref="E14:F14"/>
    <mergeCell ref="E15:F15"/>
    <mergeCell ref="G15:I15"/>
    <mergeCell ref="E16:F16"/>
    <mergeCell ref="G16:I16"/>
    <mergeCell ref="E17:F17"/>
    <mergeCell ref="E18:F18"/>
    <mergeCell ref="G18:I18"/>
    <mergeCell ref="E12:F12"/>
    <mergeCell ref="C6:I6"/>
    <mergeCell ref="E10:F10"/>
    <mergeCell ref="G10:I10"/>
    <mergeCell ref="E11:F11"/>
    <mergeCell ref="G11:I11"/>
  </mergeCells>
  <pageMargins left="0.28000000000000003" right="0.17" top="0.17" bottom="0.17" header="0.3" footer="0.3"/>
  <pageSetup paperSize="9" scale="83"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63A41-8216-455D-9D3F-A9AC89FACD8C}">
  <dimension ref="B1:Q45"/>
  <sheetViews>
    <sheetView showGridLines="0" topLeftCell="A5" zoomScaleNormal="100" workbookViewId="0">
      <selection activeCell="Q18" sqref="Q18"/>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18.875" style="2" customWidth="1"/>
    <col min="7" max="7" width="5.125" style="2" customWidth="1"/>
    <col min="8" max="8" width="3.875" style="2" customWidth="1"/>
    <col min="9" max="9" width="10.125" style="1" customWidth="1"/>
    <col min="10" max="10" width="11.625" style="1" customWidth="1"/>
    <col min="11" max="11" width="13.875" style="39" customWidth="1"/>
    <col min="12" max="12" width="9.875" style="40" customWidth="1"/>
    <col min="13" max="13" width="12.37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4" hidden="1"/>
    <row r="2" spans="2:14" s="375" customFormat="1" hidden="1">
      <c r="B2" s="407" t="s">
        <v>464</v>
      </c>
      <c r="C2" s="140" t="s">
        <v>132</v>
      </c>
      <c r="D2" s="140"/>
    </row>
    <row r="3" spans="2:14" s="375" customFormat="1" hidden="1">
      <c r="B3" s="407" t="s">
        <v>465</v>
      </c>
      <c r="C3" s="209" t="s">
        <v>255</v>
      </c>
      <c r="D3" s="209"/>
    </row>
    <row r="4" spans="2:14" s="375" customFormat="1" hidden="1">
      <c r="B4" s="407" t="s">
        <v>466</v>
      </c>
      <c r="C4" s="140" t="s">
        <v>133</v>
      </c>
      <c r="D4" s="140"/>
    </row>
    <row r="5" spans="2:14" s="31" customFormat="1" ht="6.95" customHeight="1">
      <c r="B5" s="30"/>
      <c r="C5" s="30"/>
      <c r="E5" s="30"/>
      <c r="J5" s="30"/>
      <c r="K5" s="32"/>
      <c r="L5" s="33"/>
    </row>
    <row r="6" spans="2:14" s="98" customFormat="1" ht="26.1" customHeight="1">
      <c r="B6" s="99" t="s">
        <v>81</v>
      </c>
      <c r="C6" s="1121" t="s">
        <v>680</v>
      </c>
      <c r="D6" s="1121"/>
      <c r="E6" s="1121"/>
      <c r="F6" s="1121"/>
      <c r="G6" s="1121"/>
      <c r="H6" s="1121"/>
      <c r="I6" s="1121"/>
      <c r="J6" s="145"/>
      <c r="K6" s="145"/>
      <c r="L6" s="145"/>
      <c r="M6" s="145"/>
      <c r="N6" s="145"/>
    </row>
    <row r="7" spans="2:14" s="3" customFormat="1" ht="20.100000000000001" customHeight="1">
      <c r="B7" s="213" t="s">
        <v>404</v>
      </c>
      <c r="C7" s="213" t="s">
        <v>573</v>
      </c>
      <c r="D7" s="211"/>
      <c r="E7" s="211"/>
      <c r="F7" s="211"/>
      <c r="G7" s="211"/>
      <c r="H7" s="211"/>
      <c r="I7" s="212" t="s">
        <v>278</v>
      </c>
      <c r="J7" s="212" t="s">
        <v>441</v>
      </c>
      <c r="K7" s="212"/>
      <c r="L7" s="212"/>
      <c r="M7" s="212"/>
      <c r="N7" s="31"/>
    </row>
    <row r="8" spans="2:14" s="3" customFormat="1" ht="18.95" customHeight="1">
      <c r="B8" s="213" t="s">
        <v>280</v>
      </c>
      <c r="C8" s="472" t="s">
        <v>574</v>
      </c>
      <c r="D8" s="211"/>
      <c r="E8" s="211"/>
      <c r="F8" s="211"/>
      <c r="G8" s="211"/>
      <c r="H8" s="211"/>
      <c r="I8" s="211" t="s">
        <v>477</v>
      </c>
      <c r="J8" s="212" t="s">
        <v>471</v>
      </c>
      <c r="K8" s="212"/>
      <c r="L8" s="212"/>
      <c r="M8" s="212"/>
      <c r="N8" s="31"/>
    </row>
    <row r="9" spans="2:14" s="3" customFormat="1" ht="6.95" customHeight="1">
      <c r="D9" s="85"/>
      <c r="E9" s="85"/>
      <c r="F9" s="85"/>
      <c r="G9" s="85"/>
      <c r="H9" s="85"/>
      <c r="I9" s="85"/>
      <c r="J9" s="85"/>
      <c r="K9" s="85"/>
      <c r="L9" s="85"/>
      <c r="M9" s="85"/>
      <c r="N9" s="85"/>
    </row>
    <row r="10" spans="2:14"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4" ht="21" customHeight="1">
      <c r="B11" s="430" t="s">
        <v>21</v>
      </c>
      <c r="C11" s="431" t="s">
        <v>478</v>
      </c>
      <c r="D11" s="868">
        <v>0.1</v>
      </c>
      <c r="E11" s="1179"/>
      <c r="F11" s="1180"/>
      <c r="G11" s="1156"/>
      <c r="H11" s="1158"/>
      <c r="I11" s="1157"/>
      <c r="J11" s="214"/>
      <c r="K11" s="214"/>
      <c r="L11" s="433"/>
      <c r="M11" s="430"/>
      <c r="N11" s="466">
        <f>N12</f>
        <v>0.10245</v>
      </c>
    </row>
    <row r="12" spans="2:14" ht="21" customHeight="1">
      <c r="B12" s="418"/>
      <c r="C12" s="435" t="s">
        <v>469</v>
      </c>
      <c r="D12" s="421"/>
      <c r="E12" s="1174"/>
      <c r="F12" s="1174"/>
      <c r="G12" s="436"/>
      <c r="H12" s="436"/>
      <c r="I12" s="437"/>
      <c r="J12" s="396"/>
      <c r="K12" s="438">
        <v>1</v>
      </c>
      <c r="L12" s="810">
        <f>'A7.9.KPI Ban HCNS Quy 2.26'!M26</f>
        <v>1.0245</v>
      </c>
      <c r="M12" s="811">
        <f>L12/K12*100%</f>
        <v>1.0245</v>
      </c>
      <c r="N12" s="496">
        <f>M12*D11</f>
        <v>0.10245</v>
      </c>
    </row>
    <row r="13" spans="2:14" ht="21" customHeight="1">
      <c r="B13" s="430" t="s">
        <v>22</v>
      </c>
      <c r="C13" s="440" t="s">
        <v>23</v>
      </c>
      <c r="D13" s="869">
        <v>0.8</v>
      </c>
      <c r="E13" s="1169"/>
      <c r="F13" s="1170"/>
      <c r="G13" s="1156"/>
      <c r="H13" s="1158"/>
      <c r="I13" s="1157"/>
      <c r="J13" s="1171"/>
      <c r="K13" s="1172"/>
      <c r="L13" s="443"/>
      <c r="M13" s="442"/>
      <c r="N13" s="467">
        <f>SUM(N15:N20)*D13</f>
        <v>0.82400000000000007</v>
      </c>
    </row>
    <row r="14" spans="2:14" ht="21" customHeight="1">
      <c r="B14" s="418" t="s">
        <v>245</v>
      </c>
      <c r="C14" s="444" t="s">
        <v>24</v>
      </c>
      <c r="D14" s="446"/>
      <c r="E14" s="1173"/>
      <c r="F14" s="1173"/>
      <c r="G14" s="446"/>
      <c r="H14" s="446"/>
      <c r="I14" s="446"/>
      <c r="J14" s="445"/>
      <c r="K14" s="447"/>
      <c r="L14" s="447"/>
      <c r="M14" s="445"/>
      <c r="N14" s="448"/>
    </row>
    <row r="15" spans="2:14" ht="40.5" customHeight="1">
      <c r="B15" s="86">
        <v>1</v>
      </c>
      <c r="C15" s="453" t="str">
        <f>'A7.9.KPI Ban HCNS Quy 1.26'!C20</f>
        <v>Không quá 1 lần/ người/ quý phàn nàn của khách hàng về thái độ tiếp xúc, chăm sóc khách hàng của Bộ phận Call Center</v>
      </c>
      <c r="D15" s="888">
        <v>0.2</v>
      </c>
      <c r="E15" s="1092" t="str">
        <f>'A7.9.KPI Ban HCNS Quy 2.26'!F18</f>
        <v>TH ≤ KH: KPI = 100%
TH &gt; KH: KPI = 0%</v>
      </c>
      <c r="F15" s="1093"/>
      <c r="G15" s="1190" t="str">
        <f>'A7.9.KPI Ban HCNS Quy 2.26'!H18</f>
        <v>Ban HCNS xác nhận</v>
      </c>
      <c r="H15" s="1191"/>
      <c r="I15" s="1192"/>
      <c r="J15" s="451" t="str">
        <f>'A7.9.KPI Ban HCNS Quy 2.26'!I18</f>
        <v>Lần</v>
      </c>
      <c r="K15" s="364">
        <f>'A7.9.KPI Ban HCNS Quy 2.26'!J18</f>
        <v>1</v>
      </c>
      <c r="L15" s="364">
        <v>0</v>
      </c>
      <c r="M15" s="365">
        <f>IF(LEN(L15)=0,"",IF(L15&lt;=K15,1,0))</f>
        <v>1</v>
      </c>
      <c r="N15" s="807">
        <f t="shared" ref="N15:N16" si="0">IFERROR(M15*D15,"")</f>
        <v>0.2</v>
      </c>
    </row>
    <row r="16" spans="2:14" ht="45.75" customHeight="1">
      <c r="B16" s="86">
        <v>2</v>
      </c>
      <c r="C16" s="453" t="str">
        <f>'A7.9.KPI Ban HCNS Quy 2.26'!C21</f>
        <v>Tỷ lệ phản ánh về chất lượng dịch vụ giảm 5% so với tổng phản ánh quý 2 năm trước</v>
      </c>
      <c r="D16" s="888">
        <v>0.15</v>
      </c>
      <c r="E16" s="1092" t="str">
        <f>'A7.9.KPI Ban HCNS Quy 2.26'!F21</f>
        <v>TH ≥ 80%KH: KPI = TH/KH*100%
TH &lt; 80%KH: KPI = 0% 
Max KPI = 120%</v>
      </c>
      <c r="F16" s="1093"/>
      <c r="G16" s="1188" t="str">
        <f>'A7.9.KPI Ban HCNS Quy 2.26'!H21</f>
        <v>HCNS báo cáo, các XN liên quan xác nhận</v>
      </c>
      <c r="H16" s="1095"/>
      <c r="I16" s="1096"/>
      <c r="J16" s="451" t="str">
        <f>'A7.9.KPI Ban HCNS Quy 2.26'!I21</f>
        <v>%</v>
      </c>
      <c r="K16" s="346">
        <f>'A7.9.KPI Ban HCNS Quy 2.26'!J21</f>
        <v>0.05</v>
      </c>
      <c r="L16" s="346">
        <f>'A7.9.KPI Ban HCNS Quy 2.26'!K21</f>
        <v>0.37</v>
      </c>
      <c r="M16" s="345">
        <f>IF(LEN(L16)=0,"",IF(L16&lt;K16*80%,0,MIN(120%,L16/K16*100%)))</f>
        <v>1.2</v>
      </c>
      <c r="N16" s="807">
        <f t="shared" si="0"/>
        <v>0.18</v>
      </c>
    </row>
    <row r="17" spans="2:17" ht="21" customHeight="1">
      <c r="B17" s="418" t="s">
        <v>245</v>
      </c>
      <c r="C17" s="444" t="s">
        <v>128</v>
      </c>
      <c r="D17" s="446"/>
      <c r="E17" s="1166"/>
      <c r="F17" s="1166"/>
      <c r="G17" s="454"/>
      <c r="H17" s="454"/>
      <c r="I17" s="455"/>
      <c r="J17" s="445"/>
      <c r="K17" s="447"/>
      <c r="L17" s="447"/>
      <c r="M17" s="445"/>
      <c r="N17" s="814"/>
    </row>
    <row r="18" spans="2:17" ht="41.25" customHeight="1">
      <c r="B18" s="86">
        <v>1</v>
      </c>
      <c r="C18" s="470" t="s">
        <v>462</v>
      </c>
      <c r="D18" s="888">
        <v>0.25</v>
      </c>
      <c r="E18" s="1092" t="s">
        <v>413</v>
      </c>
      <c r="F18" s="1093"/>
      <c r="G18" s="1190" t="s">
        <v>471</v>
      </c>
      <c r="H18" s="1191"/>
      <c r="I18" s="1192"/>
      <c r="J18" s="451" t="s">
        <v>414</v>
      </c>
      <c r="K18" s="364">
        <v>0</v>
      </c>
      <c r="L18" s="364">
        <v>0</v>
      </c>
      <c r="M18" s="365">
        <f>IF(LEN(L18)=0,"",IF(L18=K18,1,0))</f>
        <v>1</v>
      </c>
      <c r="N18" s="807">
        <f t="shared" ref="N18:N20" si="1">IFERROR(M18*D18,"")</f>
        <v>0.25</v>
      </c>
    </row>
    <row r="19" spans="2:17" ht="30" customHeight="1">
      <c r="B19" s="86">
        <v>2</v>
      </c>
      <c r="C19" s="470" t="s">
        <v>463</v>
      </c>
      <c r="D19" s="888">
        <v>0.2</v>
      </c>
      <c r="E19" s="1092" t="s">
        <v>413</v>
      </c>
      <c r="F19" s="1093"/>
      <c r="G19" s="1190" t="s">
        <v>471</v>
      </c>
      <c r="H19" s="1191"/>
      <c r="I19" s="1192"/>
      <c r="J19" s="451" t="s">
        <v>414</v>
      </c>
      <c r="K19" s="364">
        <v>0</v>
      </c>
      <c r="L19" s="364">
        <v>0</v>
      </c>
      <c r="M19" s="365">
        <f>IF(LEN(L19)=0,"",IF(L19=K19,1,0))</f>
        <v>1</v>
      </c>
      <c r="N19" s="807">
        <f t="shared" si="1"/>
        <v>0.2</v>
      </c>
    </row>
    <row r="20" spans="2:17" ht="75.75" customHeight="1">
      <c r="B20" s="86">
        <v>3</v>
      </c>
      <c r="C20" s="511" t="s">
        <v>697</v>
      </c>
      <c r="D20" s="888">
        <v>0.2</v>
      </c>
      <c r="E20" s="1092" t="s">
        <v>589</v>
      </c>
      <c r="F20" s="1093"/>
      <c r="G20" s="1190" t="s">
        <v>698</v>
      </c>
      <c r="H20" s="1191"/>
      <c r="I20" s="1192"/>
      <c r="J20" s="451" t="s">
        <v>414</v>
      </c>
      <c r="K20" s="364">
        <v>1</v>
      </c>
      <c r="L20" s="364">
        <v>0</v>
      </c>
      <c r="M20" s="365">
        <f>IF(LEN(L20)=0,"",IF(L20&lt;=K20,1,0))</f>
        <v>1</v>
      </c>
      <c r="N20" s="807">
        <f t="shared" si="1"/>
        <v>0.2</v>
      </c>
    </row>
    <row r="21" spans="2:17" ht="21" customHeight="1">
      <c r="B21" s="430" t="s">
        <v>40</v>
      </c>
      <c r="C21" s="459" t="s">
        <v>233</v>
      </c>
      <c r="D21" s="359">
        <v>0.1</v>
      </c>
      <c r="E21" s="1156"/>
      <c r="F21" s="1157"/>
      <c r="G21" s="1156"/>
      <c r="H21" s="1158"/>
      <c r="I21" s="1157"/>
      <c r="J21" s="1159"/>
      <c r="K21" s="1159"/>
      <c r="L21" s="433"/>
      <c r="M21" s="430"/>
      <c r="N21" s="434">
        <f>MIN(10%, MAX(0, D21+SUM(N22)))</f>
        <v>0.05</v>
      </c>
    </row>
    <row r="22" spans="2:17" ht="17.100000000000001" customHeight="1">
      <c r="B22" s="86">
        <v>1</v>
      </c>
      <c r="C22" s="389" t="s">
        <v>719</v>
      </c>
      <c r="D22" s="351"/>
      <c r="E22" s="1093"/>
      <c r="F22" s="1093"/>
      <c r="G22" s="1160"/>
      <c r="H22" s="1161"/>
      <c r="I22" s="1162"/>
      <c r="J22" s="395"/>
      <c r="K22" s="461"/>
      <c r="L22" s="462">
        <v>1</v>
      </c>
      <c r="M22" s="345">
        <f>L22*-50%</f>
        <v>-0.5</v>
      </c>
      <c r="N22" s="346">
        <f>M22*$D$21</f>
        <v>-0.05</v>
      </c>
    </row>
    <row r="23" spans="2:17" ht="21.75" hidden="1" customHeight="1">
      <c r="B23" s="86"/>
      <c r="C23" s="389"/>
      <c r="D23" s="351"/>
      <c r="E23" s="1181"/>
      <c r="F23" s="1182"/>
      <c r="G23" s="1160"/>
      <c r="H23" s="1161"/>
      <c r="I23" s="1162"/>
      <c r="J23" s="395"/>
      <c r="K23" s="461"/>
      <c r="L23" s="462"/>
      <c r="M23" s="345"/>
      <c r="N23" s="346"/>
    </row>
    <row r="24" spans="2:17" ht="16.5">
      <c r="B24" s="214"/>
      <c r="C24" s="214" t="s">
        <v>4</v>
      </c>
      <c r="D24" s="338"/>
      <c r="E24" s="1156"/>
      <c r="F24" s="1157"/>
      <c r="G24" s="1156"/>
      <c r="H24" s="1158"/>
      <c r="I24" s="1157"/>
      <c r="J24" s="338"/>
      <c r="K24" s="463"/>
      <c r="L24" s="464"/>
      <c r="M24" s="338"/>
      <c r="N24" s="466">
        <f>N11+N13+N21</f>
        <v>0.97645000000000015</v>
      </c>
      <c r="O24" s="1143"/>
      <c r="P24" s="1143"/>
    </row>
    <row r="25" spans="2:17" ht="17.100000000000001" customHeight="1">
      <c r="B25" s="5"/>
      <c r="C25" s="5"/>
      <c r="D25" s="5"/>
      <c r="E25" s="6"/>
      <c r="F25" s="6"/>
      <c r="G25" s="6"/>
      <c r="H25" s="6"/>
      <c r="I25" s="5"/>
      <c r="J25" s="5"/>
      <c r="K25" s="35"/>
      <c r="L25" s="36"/>
      <c r="M25" s="5"/>
      <c r="N25" s="5"/>
    </row>
    <row r="26" spans="2:17" ht="12.95" customHeight="1">
      <c r="B26" s="37"/>
      <c r="C26" s="47"/>
      <c r="D26" s="38"/>
      <c r="E26" s="38"/>
      <c r="F26" s="38"/>
      <c r="G26" s="37"/>
      <c r="H26" s="37"/>
      <c r="I26" s="38"/>
      <c r="J26" s="38"/>
      <c r="K26" s="38"/>
      <c r="L26" s="38"/>
      <c r="M26" s="38"/>
      <c r="N26" s="38"/>
      <c r="O26" s="38"/>
      <c r="P26" s="38"/>
      <c r="Q26" s="37"/>
    </row>
    <row r="27" spans="2:17" s="51" customFormat="1" ht="23.25" customHeight="1">
      <c r="B27" s="1079" t="s">
        <v>539</v>
      </c>
      <c r="C27" s="975"/>
      <c r="D27" s="1079" t="s">
        <v>537</v>
      </c>
      <c r="E27" s="975"/>
      <c r="F27" s="975"/>
      <c r="G27" s="975"/>
      <c r="H27" s="975"/>
      <c r="I27" s="471"/>
      <c r="J27" s="1079" t="s">
        <v>540</v>
      </c>
      <c r="K27" s="1079"/>
      <c r="L27" s="1079"/>
      <c r="M27" s="1079"/>
      <c r="N27" s="1079"/>
      <c r="O27" s="471"/>
      <c r="P27" s="471"/>
      <c r="Q27" s="471"/>
    </row>
    <row r="28" spans="2:17">
      <c r="B28" s="6"/>
      <c r="C28" s="5"/>
      <c r="D28" s="6"/>
      <c r="E28" s="5"/>
      <c r="F28" s="5"/>
      <c r="G28" s="58"/>
      <c r="I28" s="6"/>
      <c r="J28" s="6"/>
      <c r="K28" s="6"/>
      <c r="L28" s="5"/>
      <c r="M28" s="5"/>
      <c r="N28" s="5"/>
      <c r="O28" s="5"/>
      <c r="P28" s="5"/>
      <c r="Q28" s="5"/>
    </row>
    <row r="29" spans="2:17">
      <c r="B29" s="6"/>
      <c r="C29" s="5"/>
      <c r="D29" s="6"/>
      <c r="E29" s="5"/>
      <c r="F29" s="5"/>
      <c r="G29" s="58"/>
      <c r="I29" s="6"/>
      <c r="J29" s="6"/>
      <c r="K29" s="6"/>
      <c r="L29" s="5"/>
      <c r="M29" s="5"/>
      <c r="N29" s="5"/>
      <c r="O29" s="5"/>
      <c r="P29" s="5"/>
      <c r="Q29" s="5"/>
    </row>
    <row r="30" spans="2:17">
      <c r="B30" s="6"/>
      <c r="C30" s="5"/>
      <c r="D30" s="6"/>
      <c r="E30" s="5"/>
      <c r="F30" s="5"/>
      <c r="G30" s="58"/>
      <c r="I30" s="5" t="s">
        <v>681</v>
      </c>
      <c r="J30" s="6"/>
      <c r="K30" s="6"/>
      <c r="L30" s="5"/>
      <c r="M30" s="5"/>
      <c r="N30" s="5"/>
      <c r="O30" s="5"/>
      <c r="P30" s="5"/>
      <c r="Q30" s="6"/>
    </row>
    <row r="31" spans="2:17">
      <c r="B31" s="6"/>
      <c r="C31" s="5"/>
      <c r="D31" s="6"/>
      <c r="E31" s="5"/>
      <c r="F31" s="5"/>
      <c r="G31" s="58"/>
      <c r="I31" s="5"/>
      <c r="J31" s="6"/>
      <c r="K31" s="6"/>
      <c r="L31" s="5"/>
      <c r="M31" s="5"/>
      <c r="N31" s="5"/>
      <c r="O31" s="5"/>
      <c r="P31" s="5"/>
      <c r="Q31" s="6"/>
    </row>
    <row r="32" spans="2:17">
      <c r="B32" s="6"/>
      <c r="C32" s="5"/>
      <c r="D32" s="6"/>
      <c r="E32" s="5"/>
      <c r="F32" s="5"/>
      <c r="G32" s="58"/>
      <c r="I32" s="5"/>
      <c r="J32" s="6"/>
      <c r="K32" s="6"/>
      <c r="L32" s="5"/>
      <c r="M32" s="5"/>
      <c r="N32" s="5"/>
      <c r="O32" s="5"/>
      <c r="P32" s="5"/>
      <c r="Q32" s="6"/>
    </row>
    <row r="33" spans="2:17">
      <c r="B33" s="6"/>
      <c r="C33" s="5"/>
      <c r="D33" s="6"/>
      <c r="E33" s="5"/>
      <c r="F33" s="5"/>
      <c r="G33" s="58"/>
      <c r="I33" s="5"/>
      <c r="J33" s="6"/>
      <c r="K33" s="6"/>
      <c r="L33" s="5"/>
      <c r="M33" s="5"/>
      <c r="N33" s="5"/>
      <c r="O33" s="5"/>
      <c r="P33" s="5"/>
      <c r="Q33" s="6"/>
    </row>
    <row r="34" spans="2:17" hidden="1">
      <c r="B34" s="6"/>
      <c r="C34" s="5"/>
      <c r="D34" s="6"/>
      <c r="E34" s="5"/>
      <c r="F34" s="5"/>
      <c r="G34" s="58"/>
      <c r="I34" s="5"/>
      <c r="J34" s="6"/>
      <c r="K34" s="6"/>
      <c r="L34" s="5"/>
      <c r="M34" s="5"/>
      <c r="N34" s="5"/>
      <c r="O34" s="5"/>
      <c r="P34" s="5"/>
      <c r="Q34" s="6"/>
    </row>
    <row r="35" spans="2:17">
      <c r="B35" s="972" t="s">
        <v>29</v>
      </c>
      <c r="C35" s="972"/>
      <c r="D35" s="972" t="s">
        <v>29</v>
      </c>
      <c r="E35" s="972"/>
      <c r="F35" s="972"/>
      <c r="G35" s="972"/>
      <c r="H35" s="972"/>
      <c r="I35" s="5"/>
      <c r="J35" s="972" t="s">
        <v>29</v>
      </c>
      <c r="K35" s="972"/>
      <c r="L35" s="972"/>
      <c r="M35" s="972"/>
      <c r="N35" s="972"/>
      <c r="O35" s="5"/>
      <c r="P35" s="5"/>
      <c r="Q35" s="5"/>
    </row>
    <row r="36" spans="2:17">
      <c r="B36" s="6"/>
      <c r="C36" s="5"/>
      <c r="D36" s="5"/>
      <c r="E36" s="5"/>
      <c r="F36" s="5"/>
      <c r="G36" s="6"/>
      <c r="I36" s="5"/>
      <c r="J36" s="6"/>
      <c r="K36" s="5"/>
      <c r="L36" s="5"/>
      <c r="M36" s="5"/>
      <c r="N36" s="5"/>
      <c r="O36" s="5"/>
      <c r="P36" s="5"/>
      <c r="Q36" s="6"/>
    </row>
    <row r="37" spans="2:17">
      <c r="B37" s="37"/>
      <c r="C37" s="47"/>
      <c r="D37" s="38"/>
      <c r="E37" s="38"/>
      <c r="F37" s="38"/>
      <c r="G37" s="37"/>
      <c r="I37" s="38"/>
      <c r="J37" s="37"/>
      <c r="K37" s="38"/>
      <c r="L37" s="38"/>
      <c r="M37" s="38"/>
      <c r="N37" s="38"/>
      <c r="O37" s="38"/>
      <c r="P37" s="38"/>
      <c r="Q37" s="37"/>
    </row>
    <row r="38" spans="2:17" ht="24" customHeight="1">
      <c r="B38" s="1080"/>
      <c r="C38" s="972"/>
      <c r="D38" s="1080"/>
      <c r="E38" s="972"/>
      <c r="F38" s="972"/>
      <c r="G38" s="972"/>
      <c r="H38" s="972"/>
      <c r="I38" s="245"/>
      <c r="J38" s="972"/>
      <c r="K38" s="972"/>
      <c r="L38" s="972"/>
      <c r="M38" s="972"/>
      <c r="N38" s="245"/>
      <c r="O38" s="1080"/>
      <c r="P38" s="972"/>
      <c r="Q38" s="972"/>
    </row>
    <row r="39" spans="2:17">
      <c r="B39" s="6"/>
      <c r="C39" s="5"/>
      <c r="D39" s="5"/>
      <c r="E39" s="5"/>
      <c r="F39" s="5"/>
      <c r="G39" s="6"/>
      <c r="I39" s="6"/>
      <c r="J39" s="6"/>
      <c r="K39" s="6"/>
      <c r="L39" s="5"/>
      <c r="M39" s="5"/>
      <c r="N39" s="5"/>
      <c r="O39" s="5"/>
      <c r="P39" s="5"/>
      <c r="Q39" s="5"/>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972"/>
      <c r="C45" s="972"/>
      <c r="D45" s="972"/>
      <c r="E45" s="972"/>
      <c r="F45" s="972"/>
      <c r="G45" s="972"/>
      <c r="H45" s="972"/>
      <c r="I45" s="5"/>
      <c r="J45" s="972"/>
      <c r="K45" s="972"/>
      <c r="L45" s="972"/>
      <c r="M45" s="972"/>
      <c r="N45" s="5"/>
      <c r="O45" s="972"/>
      <c r="P45" s="972"/>
      <c r="Q45" s="972"/>
    </row>
  </sheetData>
  <mergeCells count="45">
    <mergeCell ref="B27:C27"/>
    <mergeCell ref="D27:H27"/>
    <mergeCell ref="O24:P24"/>
    <mergeCell ref="J27:N27"/>
    <mergeCell ref="B45:C45"/>
    <mergeCell ref="D45:H45"/>
    <mergeCell ref="J45:M45"/>
    <mergeCell ref="O45:Q45"/>
    <mergeCell ref="B35:C35"/>
    <mergeCell ref="D35:H35"/>
    <mergeCell ref="B38:C38"/>
    <mergeCell ref="D38:H38"/>
    <mergeCell ref="J38:M38"/>
    <mergeCell ref="O38:Q38"/>
    <mergeCell ref="J35:N35"/>
    <mergeCell ref="E24:F24"/>
    <mergeCell ref="E19:F19"/>
    <mergeCell ref="G19:I19"/>
    <mergeCell ref="J21:K21"/>
    <mergeCell ref="E20:F20"/>
    <mergeCell ref="G20:I20"/>
    <mergeCell ref="E21:F21"/>
    <mergeCell ref="G21:I21"/>
    <mergeCell ref="G24:I24"/>
    <mergeCell ref="E22:F22"/>
    <mergeCell ref="G22:I22"/>
    <mergeCell ref="E23:F23"/>
    <mergeCell ref="G23:I23"/>
    <mergeCell ref="E13:F13"/>
    <mergeCell ref="G13:I13"/>
    <mergeCell ref="J13:K13"/>
    <mergeCell ref="E14:F14"/>
    <mergeCell ref="E15:F15"/>
    <mergeCell ref="G15:I15"/>
    <mergeCell ref="E16:F16"/>
    <mergeCell ref="G16:I16"/>
    <mergeCell ref="E17:F17"/>
    <mergeCell ref="E18:F18"/>
    <mergeCell ref="G18:I18"/>
    <mergeCell ref="E12:F12"/>
    <mergeCell ref="C6:I6"/>
    <mergeCell ref="E10:F10"/>
    <mergeCell ref="G10:I10"/>
    <mergeCell ref="E11:F11"/>
    <mergeCell ref="G11:I11"/>
  </mergeCells>
  <pageMargins left="0.28000000000000003" right="0.17" top="0.17" bottom="0.17" header="0.3" footer="0.3"/>
  <pageSetup paperSize="9" scale="83"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438B3-BF7C-495A-9D86-37A4F88DC75B}">
  <dimension ref="B1:Q45"/>
  <sheetViews>
    <sheetView showGridLines="0" topLeftCell="A5" zoomScaleNormal="100" workbookViewId="0">
      <selection activeCell="L18" sqref="L18"/>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18.875" style="2" customWidth="1"/>
    <col min="7" max="7" width="5.125" style="2" customWidth="1"/>
    <col min="8" max="8" width="3.875" style="2" customWidth="1"/>
    <col min="9" max="9" width="10.125" style="1" customWidth="1"/>
    <col min="10" max="10" width="11.625" style="1" customWidth="1"/>
    <col min="11" max="11" width="13.875" style="39" customWidth="1"/>
    <col min="12" max="12" width="9.875" style="40" customWidth="1"/>
    <col min="13" max="13" width="12.37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4" hidden="1"/>
    <row r="2" spans="2:14" s="375" customFormat="1" hidden="1">
      <c r="B2" s="407" t="s">
        <v>464</v>
      </c>
      <c r="C2" s="140" t="s">
        <v>132</v>
      </c>
      <c r="D2" s="140"/>
    </row>
    <row r="3" spans="2:14" s="375" customFormat="1" hidden="1">
      <c r="B3" s="407" t="s">
        <v>465</v>
      </c>
      <c r="C3" s="209" t="s">
        <v>255</v>
      </c>
      <c r="D3" s="209"/>
    </row>
    <row r="4" spans="2:14" s="375" customFormat="1" hidden="1">
      <c r="B4" s="407" t="s">
        <v>466</v>
      </c>
      <c r="C4" s="140" t="s">
        <v>133</v>
      </c>
      <c r="D4" s="140"/>
    </row>
    <row r="5" spans="2:14" s="31" customFormat="1" ht="6.95" customHeight="1">
      <c r="B5" s="30"/>
      <c r="C5" s="30"/>
      <c r="E5" s="30"/>
      <c r="J5" s="30"/>
      <c r="K5" s="32"/>
      <c r="L5" s="33"/>
    </row>
    <row r="6" spans="2:14" s="98" customFormat="1" ht="26.1" customHeight="1">
      <c r="B6" s="99" t="s">
        <v>81</v>
      </c>
      <c r="C6" s="1121" t="s">
        <v>680</v>
      </c>
      <c r="D6" s="1121"/>
      <c r="E6" s="1121"/>
      <c r="F6" s="1121"/>
      <c r="G6" s="1121"/>
      <c r="H6" s="1121"/>
      <c r="I6" s="1121"/>
      <c r="J6" s="145"/>
      <c r="K6" s="145"/>
      <c r="L6" s="145"/>
      <c r="M6" s="145"/>
      <c r="N6" s="145"/>
    </row>
    <row r="7" spans="2:14" s="3" customFormat="1" ht="20.100000000000001" customHeight="1">
      <c r="B7" s="213" t="s">
        <v>404</v>
      </c>
      <c r="C7" s="213" t="s">
        <v>575</v>
      </c>
      <c r="D7" s="211"/>
      <c r="E7" s="211"/>
      <c r="F7" s="211"/>
      <c r="G7" s="211"/>
      <c r="H7" s="211"/>
      <c r="I7" s="212" t="s">
        <v>278</v>
      </c>
      <c r="J7" s="212" t="s">
        <v>441</v>
      </c>
      <c r="K7" s="212"/>
      <c r="L7" s="212"/>
      <c r="M7" s="212"/>
      <c r="N7" s="31"/>
    </row>
    <row r="8" spans="2:14" s="3" customFormat="1" ht="18.95" customHeight="1">
      <c r="B8" s="213" t="s">
        <v>280</v>
      </c>
      <c r="C8" s="472" t="s">
        <v>576</v>
      </c>
      <c r="D8" s="211"/>
      <c r="E8" s="211"/>
      <c r="F8" s="211"/>
      <c r="G8" s="211"/>
      <c r="H8" s="211"/>
      <c r="I8" s="211" t="s">
        <v>477</v>
      </c>
      <c r="J8" s="212" t="s">
        <v>471</v>
      </c>
      <c r="K8" s="212"/>
      <c r="L8" s="212"/>
      <c r="M8" s="212"/>
      <c r="N8" s="31"/>
    </row>
    <row r="9" spans="2:14" s="3" customFormat="1" ht="6.95" customHeight="1">
      <c r="D9" s="85"/>
      <c r="E9" s="85"/>
      <c r="F9" s="85"/>
      <c r="G9" s="85"/>
      <c r="H9" s="85"/>
      <c r="I9" s="85"/>
      <c r="J9" s="85"/>
      <c r="K9" s="85"/>
      <c r="L9" s="85"/>
      <c r="M9" s="85"/>
      <c r="N9" s="85"/>
    </row>
    <row r="10" spans="2:14"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4" ht="21" customHeight="1">
      <c r="B11" s="430" t="s">
        <v>21</v>
      </c>
      <c r="C11" s="431" t="s">
        <v>478</v>
      </c>
      <c r="D11" s="868">
        <v>0.1</v>
      </c>
      <c r="E11" s="1179"/>
      <c r="F11" s="1180"/>
      <c r="G11" s="1156"/>
      <c r="H11" s="1158"/>
      <c r="I11" s="1157"/>
      <c r="J11" s="214"/>
      <c r="K11" s="214"/>
      <c r="L11" s="433"/>
      <c r="M11" s="430"/>
      <c r="N11" s="466">
        <f>N12</f>
        <v>0.10245</v>
      </c>
    </row>
    <row r="12" spans="2:14" ht="21" customHeight="1">
      <c r="B12" s="418"/>
      <c r="C12" s="435" t="s">
        <v>469</v>
      </c>
      <c r="D12" s="421"/>
      <c r="E12" s="1174"/>
      <c r="F12" s="1174"/>
      <c r="G12" s="436"/>
      <c r="H12" s="436"/>
      <c r="I12" s="437"/>
      <c r="J12" s="396"/>
      <c r="K12" s="438">
        <v>1</v>
      </c>
      <c r="L12" s="810">
        <f>'A7.9.KPI Ban HCNS Quy 2.26'!M26</f>
        <v>1.0245</v>
      </c>
      <c r="M12" s="811">
        <f>L12/K12*100%</f>
        <v>1.0245</v>
      </c>
      <c r="N12" s="496">
        <f>M12*D11</f>
        <v>0.10245</v>
      </c>
    </row>
    <row r="13" spans="2:14" ht="21" customHeight="1">
      <c r="B13" s="430" t="s">
        <v>22</v>
      </c>
      <c r="C13" s="440" t="s">
        <v>23</v>
      </c>
      <c r="D13" s="869">
        <v>0.8</v>
      </c>
      <c r="E13" s="1169"/>
      <c r="F13" s="1170"/>
      <c r="G13" s="1156"/>
      <c r="H13" s="1158"/>
      <c r="I13" s="1157"/>
      <c r="J13" s="1171"/>
      <c r="K13" s="1172"/>
      <c r="L13" s="443"/>
      <c r="M13" s="442"/>
      <c r="N13" s="467">
        <f>SUM(N15:N20)*D13</f>
        <v>0.82400000000000007</v>
      </c>
    </row>
    <row r="14" spans="2:14" ht="21" customHeight="1">
      <c r="B14" s="418" t="s">
        <v>245</v>
      </c>
      <c r="C14" s="444" t="s">
        <v>24</v>
      </c>
      <c r="D14" s="446"/>
      <c r="E14" s="1173"/>
      <c r="F14" s="1173"/>
      <c r="G14" s="446"/>
      <c r="H14" s="446"/>
      <c r="I14" s="446"/>
      <c r="J14" s="445"/>
      <c r="K14" s="447"/>
      <c r="L14" s="447"/>
      <c r="M14" s="445"/>
      <c r="N14" s="448"/>
    </row>
    <row r="15" spans="2:14" ht="40.5" customHeight="1">
      <c r="B15" s="86">
        <v>1</v>
      </c>
      <c r="C15" s="453" t="str">
        <f>'A7.9.KPI Ban HCNS Quy 1.26'!C20</f>
        <v>Không quá 1 lần/ người/ quý phàn nàn của khách hàng về thái độ tiếp xúc, chăm sóc khách hàng của Bộ phận Call Center</v>
      </c>
      <c r="D15" s="888">
        <v>0.2</v>
      </c>
      <c r="E15" s="1092" t="str">
        <f>'A7.9.KPI Ban HCNS Quy 2.26'!F18</f>
        <v>TH ≤ KH: KPI = 100%
TH &gt; KH: KPI = 0%</v>
      </c>
      <c r="F15" s="1093"/>
      <c r="G15" s="1190" t="str">
        <f>'A7.9.KPI Ban HCNS Quy 2.26'!H18</f>
        <v>Ban HCNS xác nhận</v>
      </c>
      <c r="H15" s="1191"/>
      <c r="I15" s="1192"/>
      <c r="J15" s="451" t="str">
        <f>'A7.9.KPI Ban HCNS Quy 2.26'!I18</f>
        <v>Lần</v>
      </c>
      <c r="K15" s="364">
        <f>'A7.9.KPI Ban HCNS Quy 2.26'!J18</f>
        <v>1</v>
      </c>
      <c r="L15" s="364">
        <v>0</v>
      </c>
      <c r="M15" s="365">
        <f>IF(LEN(L15)=0,"",IF(L15&lt;=K15,1,0))</f>
        <v>1</v>
      </c>
      <c r="N15" s="807">
        <f t="shared" ref="N15:N16" si="0">IFERROR(M15*D15,"")</f>
        <v>0.2</v>
      </c>
    </row>
    <row r="16" spans="2:14" ht="45.75" customHeight="1">
      <c r="B16" s="86">
        <v>2</v>
      </c>
      <c r="C16" s="453" t="str">
        <f>'A7.9.KPI Ban HCNS Quy 2.26'!C21</f>
        <v>Tỷ lệ phản ánh về chất lượng dịch vụ giảm 5% so với tổng phản ánh quý 2 năm trước</v>
      </c>
      <c r="D16" s="888">
        <v>0.15</v>
      </c>
      <c r="E16" s="1092" t="str">
        <f>'A7.9.KPI Ban HCNS Quy 2.26'!F21</f>
        <v>TH ≥ 80%KH: KPI = TH/KH*100%
TH &lt; 80%KH: KPI = 0% 
Max KPI = 120%</v>
      </c>
      <c r="F16" s="1093"/>
      <c r="G16" s="1188" t="str">
        <f>'A7.9.KPI Ban HCNS Quy 2.26'!H21</f>
        <v>HCNS báo cáo, các XN liên quan xác nhận</v>
      </c>
      <c r="H16" s="1095"/>
      <c r="I16" s="1096"/>
      <c r="J16" s="451" t="str">
        <f>'A7.9.KPI Ban HCNS Quy 2.26'!I21</f>
        <v>%</v>
      </c>
      <c r="K16" s="346">
        <f>'A7.9.KPI Ban HCNS Quy 2.26'!J21</f>
        <v>0.05</v>
      </c>
      <c r="L16" s="346">
        <f>'A7.9.KPI Ban HCNS Quy 2.26'!K21</f>
        <v>0.37</v>
      </c>
      <c r="M16" s="345">
        <f>IF(LEN(L16)=0,"",IF(L16&lt;K16*80%,0,MIN(120%,L16/K16*100%)))</f>
        <v>1.2</v>
      </c>
      <c r="N16" s="807">
        <f t="shared" si="0"/>
        <v>0.18</v>
      </c>
    </row>
    <row r="17" spans="2:17" ht="21" customHeight="1">
      <c r="B17" s="418" t="s">
        <v>245</v>
      </c>
      <c r="C17" s="444" t="s">
        <v>128</v>
      </c>
      <c r="D17" s="446"/>
      <c r="E17" s="1166"/>
      <c r="F17" s="1166"/>
      <c r="G17" s="454"/>
      <c r="H17" s="454"/>
      <c r="I17" s="455"/>
      <c r="J17" s="445"/>
      <c r="K17" s="447"/>
      <c r="L17" s="447"/>
      <c r="M17" s="445"/>
      <c r="N17" s="814"/>
    </row>
    <row r="18" spans="2:17" ht="41.25" customHeight="1">
      <c r="B18" s="86">
        <v>1</v>
      </c>
      <c r="C18" s="470" t="s">
        <v>462</v>
      </c>
      <c r="D18" s="888">
        <v>0.25</v>
      </c>
      <c r="E18" s="1092" t="s">
        <v>413</v>
      </c>
      <c r="F18" s="1093"/>
      <c r="G18" s="1190" t="s">
        <v>471</v>
      </c>
      <c r="H18" s="1191"/>
      <c r="I18" s="1192"/>
      <c r="J18" s="451" t="s">
        <v>414</v>
      </c>
      <c r="K18" s="364">
        <v>0</v>
      </c>
      <c r="L18" s="364">
        <v>0</v>
      </c>
      <c r="M18" s="365">
        <f>IF(LEN(L18)=0,"",IF(L18=K18,1,0))</f>
        <v>1</v>
      </c>
      <c r="N18" s="807">
        <f t="shared" ref="N18:N20" si="1">IFERROR(M18*D18,"")</f>
        <v>0.25</v>
      </c>
    </row>
    <row r="19" spans="2:17" ht="30" customHeight="1">
      <c r="B19" s="86">
        <v>2</v>
      </c>
      <c r="C19" s="470" t="s">
        <v>463</v>
      </c>
      <c r="D19" s="888">
        <v>0.2</v>
      </c>
      <c r="E19" s="1092" t="s">
        <v>413</v>
      </c>
      <c r="F19" s="1093"/>
      <c r="G19" s="1190" t="s">
        <v>471</v>
      </c>
      <c r="H19" s="1191"/>
      <c r="I19" s="1192"/>
      <c r="J19" s="451" t="s">
        <v>414</v>
      </c>
      <c r="K19" s="364">
        <v>0</v>
      </c>
      <c r="L19" s="364">
        <v>0</v>
      </c>
      <c r="M19" s="365">
        <f>IF(LEN(L19)=0,"",IF(L19=K19,1,0))</f>
        <v>1</v>
      </c>
      <c r="N19" s="807">
        <f t="shared" si="1"/>
        <v>0.2</v>
      </c>
    </row>
    <row r="20" spans="2:17" ht="75.75" customHeight="1">
      <c r="B20" s="86">
        <v>3</v>
      </c>
      <c r="C20" s="511" t="s">
        <v>697</v>
      </c>
      <c r="D20" s="888">
        <v>0.2</v>
      </c>
      <c r="E20" s="1092" t="s">
        <v>589</v>
      </c>
      <c r="F20" s="1093"/>
      <c r="G20" s="1190" t="s">
        <v>698</v>
      </c>
      <c r="H20" s="1191"/>
      <c r="I20" s="1192"/>
      <c r="J20" s="451" t="s">
        <v>414</v>
      </c>
      <c r="K20" s="364">
        <v>1</v>
      </c>
      <c r="L20" s="364">
        <v>0</v>
      </c>
      <c r="M20" s="365">
        <f>IF(LEN(L20)=0,"",IF(L20&lt;=K20,1,0))</f>
        <v>1</v>
      </c>
      <c r="N20" s="807">
        <f t="shared" si="1"/>
        <v>0.2</v>
      </c>
    </row>
    <row r="21" spans="2:17" ht="21" customHeight="1">
      <c r="B21" s="430" t="s">
        <v>40</v>
      </c>
      <c r="C21" s="459" t="s">
        <v>233</v>
      </c>
      <c r="D21" s="359">
        <v>0.1</v>
      </c>
      <c r="E21" s="1156"/>
      <c r="F21" s="1157"/>
      <c r="G21" s="1156"/>
      <c r="H21" s="1158"/>
      <c r="I21" s="1157"/>
      <c r="J21" s="1159"/>
      <c r="K21" s="1159"/>
      <c r="L21" s="433"/>
      <c r="M21" s="430"/>
      <c r="N21" s="434">
        <f>MIN(10%, MAX(0, D21+SUM(N22)))</f>
        <v>0.05</v>
      </c>
    </row>
    <row r="22" spans="2:17" ht="24.75" customHeight="1">
      <c r="B22" s="86">
        <v>1</v>
      </c>
      <c r="C22" s="389" t="s">
        <v>719</v>
      </c>
      <c r="D22" s="351"/>
      <c r="E22" s="1093"/>
      <c r="F22" s="1093"/>
      <c r="G22" s="1160"/>
      <c r="H22" s="1161"/>
      <c r="I22" s="1162"/>
      <c r="J22" s="395"/>
      <c r="K22" s="461"/>
      <c r="L22" s="462">
        <v>1</v>
      </c>
      <c r="M22" s="345">
        <f>L22*-50%</f>
        <v>-0.5</v>
      </c>
      <c r="N22" s="346">
        <f>M22*$D$21</f>
        <v>-0.05</v>
      </c>
    </row>
    <row r="23" spans="2:17" ht="21.75" hidden="1" customHeight="1">
      <c r="B23" s="86"/>
      <c r="C23" s="389"/>
      <c r="D23" s="351"/>
      <c r="E23" s="1181"/>
      <c r="F23" s="1182"/>
      <c r="G23" s="1160"/>
      <c r="H23" s="1161"/>
      <c r="I23" s="1162"/>
      <c r="J23" s="395"/>
      <c r="K23" s="461"/>
      <c r="L23" s="462"/>
      <c r="M23" s="345"/>
      <c r="N23" s="346"/>
    </row>
    <row r="24" spans="2:17" ht="16.5">
      <c r="B24" s="214"/>
      <c r="C24" s="214" t="s">
        <v>4</v>
      </c>
      <c r="D24" s="338"/>
      <c r="E24" s="1156"/>
      <c r="F24" s="1157"/>
      <c r="G24" s="1156"/>
      <c r="H24" s="1158"/>
      <c r="I24" s="1157"/>
      <c r="J24" s="338"/>
      <c r="K24" s="463"/>
      <c r="L24" s="464"/>
      <c r="M24" s="338"/>
      <c r="N24" s="466">
        <f>N11+N13+N21</f>
        <v>0.97645000000000015</v>
      </c>
      <c r="O24" s="1143"/>
      <c r="P24" s="1143"/>
    </row>
    <row r="25" spans="2:17" ht="17.100000000000001" customHeight="1">
      <c r="B25" s="5"/>
      <c r="C25" s="5"/>
      <c r="D25" s="5"/>
      <c r="E25" s="6"/>
      <c r="F25" s="6"/>
      <c r="G25" s="6"/>
      <c r="H25" s="6"/>
      <c r="I25" s="5"/>
      <c r="J25" s="5"/>
      <c r="K25" s="35"/>
      <c r="L25" s="36"/>
      <c r="M25" s="5"/>
      <c r="N25" s="5"/>
    </row>
    <row r="26" spans="2:17" ht="12.95" customHeight="1">
      <c r="B26" s="37"/>
      <c r="C26" s="47"/>
      <c r="D26" s="38"/>
      <c r="E26" s="38"/>
      <c r="F26" s="38"/>
      <c r="G26" s="37"/>
      <c r="H26" s="37"/>
      <c r="I26" s="38"/>
      <c r="J26" s="38"/>
      <c r="K26" s="38"/>
      <c r="L26" s="38"/>
      <c r="M26" s="38"/>
      <c r="N26" s="38"/>
      <c r="O26" s="38"/>
      <c r="P26" s="38"/>
      <c r="Q26" s="37"/>
    </row>
    <row r="27" spans="2:17" s="51" customFormat="1" ht="23.25" customHeight="1">
      <c r="B27" s="1079" t="s">
        <v>539</v>
      </c>
      <c r="C27" s="975"/>
      <c r="D27" s="1079" t="s">
        <v>537</v>
      </c>
      <c r="E27" s="975"/>
      <c r="F27" s="975"/>
      <c r="G27" s="975"/>
      <c r="H27" s="975"/>
      <c r="I27" s="471"/>
      <c r="J27" s="1079" t="s">
        <v>540</v>
      </c>
      <c r="K27" s="1079"/>
      <c r="L27" s="1079"/>
      <c r="M27" s="1079"/>
      <c r="N27" s="1079"/>
      <c r="O27" s="471"/>
      <c r="P27" s="471"/>
      <c r="Q27" s="471"/>
    </row>
    <row r="28" spans="2:17">
      <c r="B28" s="6"/>
      <c r="C28" s="5"/>
      <c r="D28" s="6"/>
      <c r="E28" s="5"/>
      <c r="F28" s="5"/>
      <c r="G28" s="58"/>
      <c r="I28" s="6"/>
      <c r="J28" s="6"/>
      <c r="K28" s="6"/>
      <c r="L28" s="5"/>
      <c r="M28" s="5"/>
      <c r="N28" s="5"/>
      <c r="O28" s="5"/>
      <c r="P28" s="5"/>
      <c r="Q28" s="5"/>
    </row>
    <row r="29" spans="2:17">
      <c r="B29" s="6"/>
      <c r="C29" s="5"/>
      <c r="D29" s="6"/>
      <c r="E29" s="5"/>
      <c r="F29" s="5"/>
      <c r="G29" s="58"/>
      <c r="I29" s="5" t="s">
        <v>681</v>
      </c>
      <c r="J29" s="6"/>
      <c r="K29" s="6"/>
      <c r="L29" s="5"/>
      <c r="M29" s="5"/>
      <c r="N29" s="5"/>
      <c r="O29" s="5"/>
      <c r="P29" s="5"/>
      <c r="Q29" s="6"/>
    </row>
    <row r="30" spans="2:17">
      <c r="B30" s="6"/>
      <c r="C30" s="5"/>
      <c r="D30" s="6"/>
      <c r="E30" s="5"/>
      <c r="F30" s="5"/>
      <c r="G30" s="58"/>
      <c r="I30" s="5"/>
      <c r="J30" s="6"/>
      <c r="K30" s="6"/>
      <c r="L30" s="5"/>
      <c r="M30" s="5"/>
      <c r="N30" s="5"/>
      <c r="O30" s="5"/>
      <c r="P30" s="5"/>
      <c r="Q30" s="6"/>
    </row>
    <row r="31" spans="2:17">
      <c r="B31" s="6"/>
      <c r="C31" s="5"/>
      <c r="D31" s="6"/>
      <c r="E31" s="5"/>
      <c r="F31" s="5"/>
      <c r="G31" s="58"/>
      <c r="I31" s="5"/>
      <c r="J31" s="6"/>
      <c r="K31" s="6"/>
      <c r="L31" s="5"/>
      <c r="M31" s="5"/>
      <c r="N31" s="5"/>
      <c r="O31" s="5"/>
      <c r="P31" s="5"/>
      <c r="Q31" s="6"/>
    </row>
    <row r="32" spans="2:17">
      <c r="B32" s="6"/>
      <c r="C32" s="5"/>
      <c r="D32" s="6"/>
      <c r="E32" s="5"/>
      <c r="F32" s="5"/>
      <c r="G32" s="58"/>
      <c r="I32" s="5"/>
      <c r="J32" s="6"/>
      <c r="K32" s="6"/>
      <c r="L32" s="5"/>
      <c r="M32" s="5"/>
      <c r="N32" s="5"/>
      <c r="O32" s="5"/>
      <c r="P32" s="5"/>
      <c r="Q32" s="6"/>
    </row>
    <row r="33" spans="2:17">
      <c r="B33" s="6"/>
      <c r="C33" s="5"/>
      <c r="D33" s="6"/>
      <c r="E33" s="5"/>
      <c r="F33" s="5"/>
      <c r="G33" s="58"/>
      <c r="I33" s="5"/>
      <c r="J33" s="6"/>
      <c r="K33" s="6"/>
      <c r="L33" s="5"/>
      <c r="M33" s="5"/>
      <c r="N33" s="5"/>
      <c r="O33" s="5"/>
      <c r="P33" s="5"/>
      <c r="Q33" s="6"/>
    </row>
    <row r="34" spans="2:17" hidden="1">
      <c r="B34" s="6"/>
      <c r="C34" s="5"/>
      <c r="D34" s="6"/>
      <c r="E34" s="5"/>
      <c r="F34" s="5"/>
      <c r="G34" s="58"/>
      <c r="I34" s="5"/>
      <c r="J34" s="6"/>
      <c r="K34" s="6"/>
      <c r="L34" s="5"/>
      <c r="M34" s="5"/>
      <c r="N34" s="5"/>
      <c r="O34" s="5"/>
      <c r="P34" s="5"/>
      <c r="Q34" s="6"/>
    </row>
    <row r="35" spans="2:17">
      <c r="B35" s="972" t="s">
        <v>29</v>
      </c>
      <c r="C35" s="972"/>
      <c r="D35" s="972" t="s">
        <v>29</v>
      </c>
      <c r="E35" s="972"/>
      <c r="F35" s="972"/>
      <c r="G35" s="972"/>
      <c r="H35" s="972"/>
      <c r="I35" s="5"/>
      <c r="J35" s="972" t="s">
        <v>29</v>
      </c>
      <c r="K35" s="972"/>
      <c r="L35" s="972"/>
      <c r="M35" s="972"/>
      <c r="N35" s="972"/>
      <c r="O35" s="5"/>
      <c r="P35" s="5"/>
      <c r="Q35" s="5"/>
    </row>
    <row r="36" spans="2:17">
      <c r="B36" s="6"/>
      <c r="C36" s="5"/>
      <c r="D36" s="5"/>
      <c r="E36" s="5"/>
      <c r="F36" s="5"/>
      <c r="G36" s="6"/>
      <c r="I36" s="5"/>
      <c r="J36" s="6"/>
      <c r="K36" s="5"/>
      <c r="L36" s="5"/>
      <c r="M36" s="5"/>
      <c r="N36" s="5"/>
      <c r="O36" s="5"/>
      <c r="P36" s="5"/>
      <c r="Q36" s="6"/>
    </row>
    <row r="37" spans="2:17">
      <c r="B37" s="37"/>
      <c r="C37" s="47"/>
      <c r="D37" s="38"/>
      <c r="E37" s="38"/>
      <c r="F37" s="38"/>
      <c r="G37" s="37"/>
      <c r="I37" s="38"/>
      <c r="J37" s="37"/>
      <c r="K37" s="38"/>
      <c r="L37" s="38"/>
      <c r="M37" s="38"/>
      <c r="N37" s="38"/>
      <c r="O37" s="38"/>
      <c r="P37" s="38"/>
      <c r="Q37" s="37"/>
    </row>
    <row r="38" spans="2:17" ht="24" customHeight="1">
      <c r="B38" s="1080"/>
      <c r="C38" s="972"/>
      <c r="D38" s="1080"/>
      <c r="E38" s="972"/>
      <c r="F38" s="972"/>
      <c r="G38" s="972"/>
      <c r="H38" s="972"/>
      <c r="I38" s="245"/>
      <c r="J38" s="972"/>
      <c r="K38" s="972"/>
      <c r="L38" s="972"/>
      <c r="M38" s="972"/>
      <c r="N38" s="245"/>
      <c r="O38" s="1080"/>
      <c r="P38" s="972"/>
      <c r="Q38" s="972"/>
    </row>
    <row r="39" spans="2:17">
      <c r="B39" s="6"/>
      <c r="C39" s="5"/>
      <c r="D39" s="5"/>
      <c r="E39" s="5"/>
      <c r="F39" s="5"/>
      <c r="G39" s="6"/>
      <c r="I39" s="6"/>
      <c r="J39" s="6"/>
      <c r="K39" s="6"/>
      <c r="L39" s="5"/>
      <c r="M39" s="5"/>
      <c r="N39" s="5"/>
      <c r="O39" s="5"/>
      <c r="P39" s="5"/>
      <c r="Q39" s="5"/>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972"/>
      <c r="C45" s="972"/>
      <c r="D45" s="972"/>
      <c r="E45" s="972"/>
      <c r="F45" s="972"/>
      <c r="G45" s="972"/>
      <c r="H45" s="972"/>
      <c r="I45" s="5"/>
      <c r="J45" s="972"/>
      <c r="K45" s="972"/>
      <c r="L45" s="972"/>
      <c r="M45" s="972"/>
      <c r="N45" s="5"/>
      <c r="O45" s="972"/>
      <c r="P45" s="972"/>
      <c r="Q45" s="972"/>
    </row>
  </sheetData>
  <mergeCells count="45">
    <mergeCell ref="B27:C27"/>
    <mergeCell ref="D27:H27"/>
    <mergeCell ref="O24:P24"/>
    <mergeCell ref="J27:N27"/>
    <mergeCell ref="B45:C45"/>
    <mergeCell ref="D45:H45"/>
    <mergeCell ref="J45:M45"/>
    <mergeCell ref="O45:Q45"/>
    <mergeCell ref="B35:C35"/>
    <mergeCell ref="D35:H35"/>
    <mergeCell ref="B38:C38"/>
    <mergeCell ref="D38:H38"/>
    <mergeCell ref="J38:M38"/>
    <mergeCell ref="O38:Q38"/>
    <mergeCell ref="J35:N35"/>
    <mergeCell ref="E24:F24"/>
    <mergeCell ref="E19:F19"/>
    <mergeCell ref="G19:I19"/>
    <mergeCell ref="J21:K21"/>
    <mergeCell ref="E20:F20"/>
    <mergeCell ref="G20:I20"/>
    <mergeCell ref="E21:F21"/>
    <mergeCell ref="G21:I21"/>
    <mergeCell ref="G24:I24"/>
    <mergeCell ref="E22:F22"/>
    <mergeCell ref="G22:I22"/>
    <mergeCell ref="E23:F23"/>
    <mergeCell ref="G23:I23"/>
    <mergeCell ref="E13:F13"/>
    <mergeCell ref="G13:I13"/>
    <mergeCell ref="J13:K13"/>
    <mergeCell ref="E14:F14"/>
    <mergeCell ref="E15:F15"/>
    <mergeCell ref="G15:I15"/>
    <mergeCell ref="E16:F16"/>
    <mergeCell ref="G16:I16"/>
    <mergeCell ref="E17:F17"/>
    <mergeCell ref="E18:F18"/>
    <mergeCell ref="G18:I18"/>
    <mergeCell ref="E12:F12"/>
    <mergeCell ref="C6:I6"/>
    <mergeCell ref="E10:F10"/>
    <mergeCell ref="G10:I10"/>
    <mergeCell ref="E11:F11"/>
    <mergeCell ref="G11:I11"/>
  </mergeCells>
  <pageMargins left="0.28000000000000003" right="0.17" top="0.17" bottom="0.17" header="0.3" footer="0.3"/>
  <pageSetup paperSize="9" scale="83"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2"/>
  <dimension ref="B2:R49"/>
  <sheetViews>
    <sheetView showGridLines="0" zoomScaleNormal="10" workbookViewId="0">
      <selection activeCell="C37" sqref="C37"/>
    </sheetView>
  </sheetViews>
  <sheetFormatPr defaultColWidth="8.875" defaultRowHeight="12.75"/>
  <cols>
    <col min="1" max="1" width="3" style="1" customWidth="1"/>
    <col min="2" max="2" width="12.375" style="2" bestFit="1" customWidth="1"/>
    <col min="3" max="3" width="20.375" style="1" customWidth="1"/>
    <col min="4" max="4" width="8.5" style="1" customWidth="1"/>
    <col min="5" max="6" width="7.5" style="1" customWidth="1"/>
    <col min="7" max="7" width="12" style="2" bestFit="1" customWidth="1"/>
    <col min="8" max="8" width="26.375" style="2" customWidth="1"/>
    <col min="9" max="10" width="3.875" style="1" customWidth="1"/>
    <col min="11" max="11" width="6.875" style="1" customWidth="1"/>
    <col min="12" max="12" width="7.625" style="1" customWidth="1"/>
    <col min="13" max="13" width="8.375" style="1" customWidth="1"/>
    <col min="14" max="14" width="10" style="1" customWidth="1"/>
    <col min="15" max="15" width="11.375" style="1" customWidth="1"/>
    <col min="16" max="16" width="10.5" style="1" customWidth="1"/>
    <col min="17" max="17" width="12" style="2" customWidth="1"/>
    <col min="18" max="18" width="11.375" style="1" customWidth="1"/>
    <col min="19" max="19" width="72.5" style="1" customWidth="1"/>
    <col min="20" max="238" width="8.875" style="1"/>
    <col min="239" max="239" width="5" style="1" customWidth="1"/>
    <col min="240" max="240" width="33.375" style="1" customWidth="1"/>
    <col min="241" max="241" width="6.5" style="1" customWidth="1"/>
    <col min="242" max="242" width="29.5" style="1" customWidth="1"/>
    <col min="243" max="243" width="23.625" style="1" customWidth="1"/>
    <col min="244" max="244" width="8" style="1" customWidth="1"/>
    <col min="245" max="245" width="9.125" style="1" customWidth="1"/>
    <col min="246" max="246" width="13.875" style="1" customWidth="1"/>
    <col min="247" max="247" width="13.5" style="1" customWidth="1"/>
    <col min="248" max="494" width="8.875" style="1"/>
    <col min="495" max="495" width="5" style="1" customWidth="1"/>
    <col min="496" max="496" width="33.375" style="1" customWidth="1"/>
    <col min="497" max="497" width="6.5" style="1" customWidth="1"/>
    <col min="498" max="498" width="29.5" style="1" customWidth="1"/>
    <col min="499" max="499" width="23.625" style="1" customWidth="1"/>
    <col min="500" max="500" width="8" style="1" customWidth="1"/>
    <col min="501" max="501" width="9.125" style="1" customWidth="1"/>
    <col min="502" max="502" width="13.875" style="1" customWidth="1"/>
    <col min="503" max="503" width="13.5" style="1" customWidth="1"/>
    <col min="504" max="750" width="8.875" style="1"/>
    <col min="751" max="751" width="5" style="1" customWidth="1"/>
    <col min="752" max="752" width="33.375" style="1" customWidth="1"/>
    <col min="753" max="753" width="6.5" style="1" customWidth="1"/>
    <col min="754" max="754" width="29.5" style="1" customWidth="1"/>
    <col min="755" max="755" width="23.625" style="1" customWidth="1"/>
    <col min="756" max="756" width="8" style="1" customWidth="1"/>
    <col min="757" max="757" width="9.125" style="1" customWidth="1"/>
    <col min="758" max="758" width="13.875" style="1" customWidth="1"/>
    <col min="759" max="759" width="13.5" style="1" customWidth="1"/>
    <col min="760" max="1006" width="8.875" style="1"/>
    <col min="1007" max="1007" width="5" style="1" customWidth="1"/>
    <col min="1008" max="1008" width="33.375" style="1" customWidth="1"/>
    <col min="1009" max="1009" width="6.5" style="1" customWidth="1"/>
    <col min="1010" max="1010" width="29.5" style="1" customWidth="1"/>
    <col min="1011" max="1011" width="23.625" style="1" customWidth="1"/>
    <col min="1012" max="1012" width="8" style="1" customWidth="1"/>
    <col min="1013" max="1013" width="9.125" style="1" customWidth="1"/>
    <col min="1014" max="1014" width="13.875" style="1" customWidth="1"/>
    <col min="1015" max="1015" width="13.5" style="1" customWidth="1"/>
    <col min="1016" max="1262" width="8.875" style="1"/>
    <col min="1263" max="1263" width="5" style="1" customWidth="1"/>
    <col min="1264" max="1264" width="33.375" style="1" customWidth="1"/>
    <col min="1265" max="1265" width="6.5" style="1" customWidth="1"/>
    <col min="1266" max="1266" width="29.5" style="1" customWidth="1"/>
    <col min="1267" max="1267" width="23.625" style="1" customWidth="1"/>
    <col min="1268" max="1268" width="8" style="1" customWidth="1"/>
    <col min="1269" max="1269" width="9.125" style="1" customWidth="1"/>
    <col min="1270" max="1270" width="13.875" style="1" customWidth="1"/>
    <col min="1271" max="1271" width="13.5" style="1" customWidth="1"/>
    <col min="1272" max="1518" width="8.875" style="1"/>
    <col min="1519" max="1519" width="5" style="1" customWidth="1"/>
    <col min="1520" max="1520" width="33.375" style="1" customWidth="1"/>
    <col min="1521" max="1521" width="6.5" style="1" customWidth="1"/>
    <col min="1522" max="1522" width="29.5" style="1" customWidth="1"/>
    <col min="1523" max="1523" width="23.625" style="1" customWidth="1"/>
    <col min="1524" max="1524" width="8" style="1" customWidth="1"/>
    <col min="1525" max="1525" width="9.125" style="1" customWidth="1"/>
    <col min="1526" max="1526" width="13.875" style="1" customWidth="1"/>
    <col min="1527" max="1527" width="13.5" style="1" customWidth="1"/>
    <col min="1528" max="1774" width="8.875" style="1"/>
    <col min="1775" max="1775" width="5" style="1" customWidth="1"/>
    <col min="1776" max="1776" width="33.375" style="1" customWidth="1"/>
    <col min="1777" max="1777" width="6.5" style="1" customWidth="1"/>
    <col min="1778" max="1778" width="29.5" style="1" customWidth="1"/>
    <col min="1779" max="1779" width="23.625" style="1" customWidth="1"/>
    <col min="1780" max="1780" width="8" style="1" customWidth="1"/>
    <col min="1781" max="1781" width="9.125" style="1" customWidth="1"/>
    <col min="1782" max="1782" width="13.875" style="1" customWidth="1"/>
    <col min="1783" max="1783" width="13.5" style="1" customWidth="1"/>
    <col min="1784" max="2030" width="8.875" style="1"/>
    <col min="2031" max="2031" width="5" style="1" customWidth="1"/>
    <col min="2032" max="2032" width="33.375" style="1" customWidth="1"/>
    <col min="2033" max="2033" width="6.5" style="1" customWidth="1"/>
    <col min="2034" max="2034" width="29.5" style="1" customWidth="1"/>
    <col min="2035" max="2035" width="23.625" style="1" customWidth="1"/>
    <col min="2036" max="2036" width="8" style="1" customWidth="1"/>
    <col min="2037" max="2037" width="9.125" style="1" customWidth="1"/>
    <col min="2038" max="2038" width="13.875" style="1" customWidth="1"/>
    <col min="2039" max="2039" width="13.5" style="1" customWidth="1"/>
    <col min="2040" max="2286" width="8.875" style="1"/>
    <col min="2287" max="2287" width="5" style="1" customWidth="1"/>
    <col min="2288" max="2288" width="33.375" style="1" customWidth="1"/>
    <col min="2289" max="2289" width="6.5" style="1" customWidth="1"/>
    <col min="2290" max="2290" width="29.5" style="1" customWidth="1"/>
    <col min="2291" max="2291" width="23.625" style="1" customWidth="1"/>
    <col min="2292" max="2292" width="8" style="1" customWidth="1"/>
    <col min="2293" max="2293" width="9.125" style="1" customWidth="1"/>
    <col min="2294" max="2294" width="13.875" style="1" customWidth="1"/>
    <col min="2295" max="2295" width="13.5" style="1" customWidth="1"/>
    <col min="2296" max="2542" width="8.875" style="1"/>
    <col min="2543" max="2543" width="5" style="1" customWidth="1"/>
    <col min="2544" max="2544" width="33.375" style="1" customWidth="1"/>
    <col min="2545" max="2545" width="6.5" style="1" customWidth="1"/>
    <col min="2546" max="2546" width="29.5" style="1" customWidth="1"/>
    <col min="2547" max="2547" width="23.625" style="1" customWidth="1"/>
    <col min="2548" max="2548" width="8" style="1" customWidth="1"/>
    <col min="2549" max="2549" width="9.125" style="1" customWidth="1"/>
    <col min="2550" max="2550" width="13.875" style="1" customWidth="1"/>
    <col min="2551" max="2551" width="13.5" style="1" customWidth="1"/>
    <col min="2552" max="2798" width="8.875" style="1"/>
    <col min="2799" max="2799" width="5" style="1" customWidth="1"/>
    <col min="2800" max="2800" width="33.375" style="1" customWidth="1"/>
    <col min="2801" max="2801" width="6.5" style="1" customWidth="1"/>
    <col min="2802" max="2802" width="29.5" style="1" customWidth="1"/>
    <col min="2803" max="2803" width="23.625" style="1" customWidth="1"/>
    <col min="2804" max="2804" width="8" style="1" customWidth="1"/>
    <col min="2805" max="2805" width="9.125" style="1" customWidth="1"/>
    <col min="2806" max="2806" width="13.875" style="1" customWidth="1"/>
    <col min="2807" max="2807" width="13.5" style="1" customWidth="1"/>
    <col min="2808" max="3054" width="8.875" style="1"/>
    <col min="3055" max="3055" width="5" style="1" customWidth="1"/>
    <col min="3056" max="3056" width="33.375" style="1" customWidth="1"/>
    <col min="3057" max="3057" width="6.5" style="1" customWidth="1"/>
    <col min="3058" max="3058" width="29.5" style="1" customWidth="1"/>
    <col min="3059" max="3059" width="23.625" style="1" customWidth="1"/>
    <col min="3060" max="3060" width="8" style="1" customWidth="1"/>
    <col min="3061" max="3061" width="9.125" style="1" customWidth="1"/>
    <col min="3062" max="3062" width="13.875" style="1" customWidth="1"/>
    <col min="3063" max="3063" width="13.5" style="1" customWidth="1"/>
    <col min="3064" max="3310" width="8.875" style="1"/>
    <col min="3311" max="3311" width="5" style="1" customWidth="1"/>
    <col min="3312" max="3312" width="33.375" style="1" customWidth="1"/>
    <col min="3313" max="3313" width="6.5" style="1" customWidth="1"/>
    <col min="3314" max="3314" width="29.5" style="1" customWidth="1"/>
    <col min="3315" max="3315" width="23.625" style="1" customWidth="1"/>
    <col min="3316" max="3316" width="8" style="1" customWidth="1"/>
    <col min="3317" max="3317" width="9.125" style="1" customWidth="1"/>
    <col min="3318" max="3318" width="13.875" style="1" customWidth="1"/>
    <col min="3319" max="3319" width="13.5" style="1" customWidth="1"/>
    <col min="3320" max="3566" width="8.875" style="1"/>
    <col min="3567" max="3567" width="5" style="1" customWidth="1"/>
    <col min="3568" max="3568" width="33.375" style="1" customWidth="1"/>
    <col min="3569" max="3569" width="6.5" style="1" customWidth="1"/>
    <col min="3570" max="3570" width="29.5" style="1" customWidth="1"/>
    <col min="3571" max="3571" width="23.625" style="1" customWidth="1"/>
    <col min="3572" max="3572" width="8" style="1" customWidth="1"/>
    <col min="3573" max="3573" width="9.125" style="1" customWidth="1"/>
    <col min="3574" max="3574" width="13.875" style="1" customWidth="1"/>
    <col min="3575" max="3575" width="13.5" style="1" customWidth="1"/>
    <col min="3576" max="3822" width="8.875" style="1"/>
    <col min="3823" max="3823" width="5" style="1" customWidth="1"/>
    <col min="3824" max="3824" width="33.375" style="1" customWidth="1"/>
    <col min="3825" max="3825" width="6.5" style="1" customWidth="1"/>
    <col min="3826" max="3826" width="29.5" style="1" customWidth="1"/>
    <col min="3827" max="3827" width="23.625" style="1" customWidth="1"/>
    <col min="3828" max="3828" width="8" style="1" customWidth="1"/>
    <col min="3829" max="3829" width="9.125" style="1" customWidth="1"/>
    <col min="3830" max="3830" width="13.875" style="1" customWidth="1"/>
    <col min="3831" max="3831" width="13.5" style="1" customWidth="1"/>
    <col min="3832" max="4078" width="8.875" style="1"/>
    <col min="4079" max="4079" width="5" style="1" customWidth="1"/>
    <col min="4080" max="4080" width="33.375" style="1" customWidth="1"/>
    <col min="4081" max="4081" width="6.5" style="1" customWidth="1"/>
    <col min="4082" max="4082" width="29.5" style="1" customWidth="1"/>
    <col min="4083" max="4083" width="23.625" style="1" customWidth="1"/>
    <col min="4084" max="4084" width="8" style="1" customWidth="1"/>
    <col min="4085" max="4085" width="9.125" style="1" customWidth="1"/>
    <col min="4086" max="4086" width="13.875" style="1" customWidth="1"/>
    <col min="4087" max="4087" width="13.5" style="1" customWidth="1"/>
    <col min="4088" max="4334" width="8.875" style="1"/>
    <col min="4335" max="4335" width="5" style="1" customWidth="1"/>
    <col min="4336" max="4336" width="33.375" style="1" customWidth="1"/>
    <col min="4337" max="4337" width="6.5" style="1" customWidth="1"/>
    <col min="4338" max="4338" width="29.5" style="1" customWidth="1"/>
    <col min="4339" max="4339" width="23.625" style="1" customWidth="1"/>
    <col min="4340" max="4340" width="8" style="1" customWidth="1"/>
    <col min="4341" max="4341" width="9.125" style="1" customWidth="1"/>
    <col min="4342" max="4342" width="13.875" style="1" customWidth="1"/>
    <col min="4343" max="4343" width="13.5" style="1" customWidth="1"/>
    <col min="4344" max="4590" width="8.875" style="1"/>
    <col min="4591" max="4591" width="5" style="1" customWidth="1"/>
    <col min="4592" max="4592" width="33.375" style="1" customWidth="1"/>
    <col min="4593" max="4593" width="6.5" style="1" customWidth="1"/>
    <col min="4594" max="4594" width="29.5" style="1" customWidth="1"/>
    <col min="4595" max="4595" width="23.625" style="1" customWidth="1"/>
    <col min="4596" max="4596" width="8" style="1" customWidth="1"/>
    <col min="4597" max="4597" width="9.125" style="1" customWidth="1"/>
    <col min="4598" max="4598" width="13.875" style="1" customWidth="1"/>
    <col min="4599" max="4599" width="13.5" style="1" customWidth="1"/>
    <col min="4600" max="4846" width="8.875" style="1"/>
    <col min="4847" max="4847" width="5" style="1" customWidth="1"/>
    <col min="4848" max="4848" width="33.375" style="1" customWidth="1"/>
    <col min="4849" max="4849" width="6.5" style="1" customWidth="1"/>
    <col min="4850" max="4850" width="29.5" style="1" customWidth="1"/>
    <col min="4851" max="4851" width="23.625" style="1" customWidth="1"/>
    <col min="4852" max="4852" width="8" style="1" customWidth="1"/>
    <col min="4853" max="4853" width="9.125" style="1" customWidth="1"/>
    <col min="4854" max="4854" width="13.875" style="1" customWidth="1"/>
    <col min="4855" max="4855" width="13.5" style="1" customWidth="1"/>
    <col min="4856" max="5102" width="8.875" style="1"/>
    <col min="5103" max="5103" width="5" style="1" customWidth="1"/>
    <col min="5104" max="5104" width="33.375" style="1" customWidth="1"/>
    <col min="5105" max="5105" width="6.5" style="1" customWidth="1"/>
    <col min="5106" max="5106" width="29.5" style="1" customWidth="1"/>
    <col min="5107" max="5107" width="23.625" style="1" customWidth="1"/>
    <col min="5108" max="5108" width="8" style="1" customWidth="1"/>
    <col min="5109" max="5109" width="9.125" style="1" customWidth="1"/>
    <col min="5110" max="5110" width="13.875" style="1" customWidth="1"/>
    <col min="5111" max="5111" width="13.5" style="1" customWidth="1"/>
    <col min="5112" max="5358" width="8.875" style="1"/>
    <col min="5359" max="5359" width="5" style="1" customWidth="1"/>
    <col min="5360" max="5360" width="33.375" style="1" customWidth="1"/>
    <col min="5361" max="5361" width="6.5" style="1" customWidth="1"/>
    <col min="5362" max="5362" width="29.5" style="1" customWidth="1"/>
    <col min="5363" max="5363" width="23.625" style="1" customWidth="1"/>
    <col min="5364" max="5364" width="8" style="1" customWidth="1"/>
    <col min="5365" max="5365" width="9.125" style="1" customWidth="1"/>
    <col min="5366" max="5366" width="13.875" style="1" customWidth="1"/>
    <col min="5367" max="5367" width="13.5" style="1" customWidth="1"/>
    <col min="5368" max="5614" width="8.875" style="1"/>
    <col min="5615" max="5615" width="5" style="1" customWidth="1"/>
    <col min="5616" max="5616" width="33.375" style="1" customWidth="1"/>
    <col min="5617" max="5617" width="6.5" style="1" customWidth="1"/>
    <col min="5618" max="5618" width="29.5" style="1" customWidth="1"/>
    <col min="5619" max="5619" width="23.625" style="1" customWidth="1"/>
    <col min="5620" max="5620" width="8" style="1" customWidth="1"/>
    <col min="5621" max="5621" width="9.125" style="1" customWidth="1"/>
    <col min="5622" max="5622" width="13.875" style="1" customWidth="1"/>
    <col min="5623" max="5623" width="13.5" style="1" customWidth="1"/>
    <col min="5624" max="5870" width="8.875" style="1"/>
    <col min="5871" max="5871" width="5" style="1" customWidth="1"/>
    <col min="5872" max="5872" width="33.375" style="1" customWidth="1"/>
    <col min="5873" max="5873" width="6.5" style="1" customWidth="1"/>
    <col min="5874" max="5874" width="29.5" style="1" customWidth="1"/>
    <col min="5875" max="5875" width="23.625" style="1" customWidth="1"/>
    <col min="5876" max="5876" width="8" style="1" customWidth="1"/>
    <col min="5877" max="5877" width="9.125" style="1" customWidth="1"/>
    <col min="5878" max="5878" width="13.875" style="1" customWidth="1"/>
    <col min="5879" max="5879" width="13.5" style="1" customWidth="1"/>
    <col min="5880" max="6126" width="8.875" style="1"/>
    <col min="6127" max="6127" width="5" style="1" customWidth="1"/>
    <col min="6128" max="6128" width="33.375" style="1" customWidth="1"/>
    <col min="6129" max="6129" width="6.5" style="1" customWidth="1"/>
    <col min="6130" max="6130" width="29.5" style="1" customWidth="1"/>
    <col min="6131" max="6131" width="23.625" style="1" customWidth="1"/>
    <col min="6132" max="6132" width="8" style="1" customWidth="1"/>
    <col min="6133" max="6133" width="9.125" style="1" customWidth="1"/>
    <col min="6134" max="6134" width="13.875" style="1" customWidth="1"/>
    <col min="6135" max="6135" width="13.5" style="1" customWidth="1"/>
    <col min="6136" max="6382" width="8.875" style="1"/>
    <col min="6383" max="6383" width="5" style="1" customWidth="1"/>
    <col min="6384" max="6384" width="33.375" style="1" customWidth="1"/>
    <col min="6385" max="6385" width="6.5" style="1" customWidth="1"/>
    <col min="6386" max="6386" width="29.5" style="1" customWidth="1"/>
    <col min="6387" max="6387" width="23.625" style="1" customWidth="1"/>
    <col min="6388" max="6388" width="8" style="1" customWidth="1"/>
    <col min="6389" max="6389" width="9.125" style="1" customWidth="1"/>
    <col min="6390" max="6390" width="13.875" style="1" customWidth="1"/>
    <col min="6391" max="6391" width="13.5" style="1" customWidth="1"/>
    <col min="6392" max="6638" width="8.875" style="1"/>
    <col min="6639" max="6639" width="5" style="1" customWidth="1"/>
    <col min="6640" max="6640" width="33.375" style="1" customWidth="1"/>
    <col min="6641" max="6641" width="6.5" style="1" customWidth="1"/>
    <col min="6642" max="6642" width="29.5" style="1" customWidth="1"/>
    <col min="6643" max="6643" width="23.625" style="1" customWidth="1"/>
    <col min="6644" max="6644" width="8" style="1" customWidth="1"/>
    <col min="6645" max="6645" width="9.125" style="1" customWidth="1"/>
    <col min="6646" max="6646" width="13.875" style="1" customWidth="1"/>
    <col min="6647" max="6647" width="13.5" style="1" customWidth="1"/>
    <col min="6648" max="6894" width="8.875" style="1"/>
    <col min="6895" max="6895" width="5" style="1" customWidth="1"/>
    <col min="6896" max="6896" width="33.375" style="1" customWidth="1"/>
    <col min="6897" max="6897" width="6.5" style="1" customWidth="1"/>
    <col min="6898" max="6898" width="29.5" style="1" customWidth="1"/>
    <col min="6899" max="6899" width="23.625" style="1" customWidth="1"/>
    <col min="6900" max="6900" width="8" style="1" customWidth="1"/>
    <col min="6901" max="6901" width="9.125" style="1" customWidth="1"/>
    <col min="6902" max="6902" width="13.875" style="1" customWidth="1"/>
    <col min="6903" max="6903" width="13.5" style="1" customWidth="1"/>
    <col min="6904" max="7150" width="8.875" style="1"/>
    <col min="7151" max="7151" width="5" style="1" customWidth="1"/>
    <col min="7152" max="7152" width="33.375" style="1" customWidth="1"/>
    <col min="7153" max="7153" width="6.5" style="1" customWidth="1"/>
    <col min="7154" max="7154" width="29.5" style="1" customWidth="1"/>
    <col min="7155" max="7155" width="23.625" style="1" customWidth="1"/>
    <col min="7156" max="7156" width="8" style="1" customWidth="1"/>
    <col min="7157" max="7157" width="9.125" style="1" customWidth="1"/>
    <col min="7158" max="7158" width="13.875" style="1" customWidth="1"/>
    <col min="7159" max="7159" width="13.5" style="1" customWidth="1"/>
    <col min="7160" max="7406" width="8.875" style="1"/>
    <col min="7407" max="7407" width="5" style="1" customWidth="1"/>
    <col min="7408" max="7408" width="33.375" style="1" customWidth="1"/>
    <col min="7409" max="7409" width="6.5" style="1" customWidth="1"/>
    <col min="7410" max="7410" width="29.5" style="1" customWidth="1"/>
    <col min="7411" max="7411" width="23.625" style="1" customWidth="1"/>
    <col min="7412" max="7412" width="8" style="1" customWidth="1"/>
    <col min="7413" max="7413" width="9.125" style="1" customWidth="1"/>
    <col min="7414" max="7414" width="13.875" style="1" customWidth="1"/>
    <col min="7415" max="7415" width="13.5" style="1" customWidth="1"/>
    <col min="7416" max="7662" width="8.875" style="1"/>
    <col min="7663" max="7663" width="5" style="1" customWidth="1"/>
    <col min="7664" max="7664" width="33.375" style="1" customWidth="1"/>
    <col min="7665" max="7665" width="6.5" style="1" customWidth="1"/>
    <col min="7666" max="7666" width="29.5" style="1" customWidth="1"/>
    <col min="7667" max="7667" width="23.625" style="1" customWidth="1"/>
    <col min="7668" max="7668" width="8" style="1" customWidth="1"/>
    <col min="7669" max="7669" width="9.125" style="1" customWidth="1"/>
    <col min="7670" max="7670" width="13.875" style="1" customWidth="1"/>
    <col min="7671" max="7671" width="13.5" style="1" customWidth="1"/>
    <col min="7672" max="7918" width="8.875" style="1"/>
    <col min="7919" max="7919" width="5" style="1" customWidth="1"/>
    <col min="7920" max="7920" width="33.375" style="1" customWidth="1"/>
    <col min="7921" max="7921" width="6.5" style="1" customWidth="1"/>
    <col min="7922" max="7922" width="29.5" style="1" customWidth="1"/>
    <col min="7923" max="7923" width="23.625" style="1" customWidth="1"/>
    <col min="7924" max="7924" width="8" style="1" customWidth="1"/>
    <col min="7925" max="7925" width="9.125" style="1" customWidth="1"/>
    <col min="7926" max="7926" width="13.875" style="1" customWidth="1"/>
    <col min="7927" max="7927" width="13.5" style="1" customWidth="1"/>
    <col min="7928" max="8174" width="8.875" style="1"/>
    <col min="8175" max="8175" width="5" style="1" customWidth="1"/>
    <col min="8176" max="8176" width="33.375" style="1" customWidth="1"/>
    <col min="8177" max="8177" width="6.5" style="1" customWidth="1"/>
    <col min="8178" max="8178" width="29.5" style="1" customWidth="1"/>
    <col min="8179" max="8179" width="23.625" style="1" customWidth="1"/>
    <col min="8180" max="8180" width="8" style="1" customWidth="1"/>
    <col min="8181" max="8181" width="9.125" style="1" customWidth="1"/>
    <col min="8182" max="8182" width="13.875" style="1" customWidth="1"/>
    <col min="8183" max="8183" width="13.5" style="1" customWidth="1"/>
    <col min="8184" max="8430" width="8.875" style="1"/>
    <col min="8431" max="8431" width="5" style="1" customWidth="1"/>
    <col min="8432" max="8432" width="33.375" style="1" customWidth="1"/>
    <col min="8433" max="8433" width="6.5" style="1" customWidth="1"/>
    <col min="8434" max="8434" width="29.5" style="1" customWidth="1"/>
    <col min="8435" max="8435" width="23.625" style="1" customWidth="1"/>
    <col min="8436" max="8436" width="8" style="1" customWidth="1"/>
    <col min="8437" max="8437" width="9.125" style="1" customWidth="1"/>
    <col min="8438" max="8438" width="13.875" style="1" customWidth="1"/>
    <col min="8439" max="8439" width="13.5" style="1" customWidth="1"/>
    <col min="8440" max="8686" width="8.875" style="1"/>
    <col min="8687" max="8687" width="5" style="1" customWidth="1"/>
    <col min="8688" max="8688" width="33.375" style="1" customWidth="1"/>
    <col min="8689" max="8689" width="6.5" style="1" customWidth="1"/>
    <col min="8690" max="8690" width="29.5" style="1" customWidth="1"/>
    <col min="8691" max="8691" width="23.625" style="1" customWidth="1"/>
    <col min="8692" max="8692" width="8" style="1" customWidth="1"/>
    <col min="8693" max="8693" width="9.125" style="1" customWidth="1"/>
    <col min="8694" max="8694" width="13.875" style="1" customWidth="1"/>
    <col min="8695" max="8695" width="13.5" style="1" customWidth="1"/>
    <col min="8696" max="8942" width="8.875" style="1"/>
    <col min="8943" max="8943" width="5" style="1" customWidth="1"/>
    <col min="8944" max="8944" width="33.375" style="1" customWidth="1"/>
    <col min="8945" max="8945" width="6.5" style="1" customWidth="1"/>
    <col min="8946" max="8946" width="29.5" style="1" customWidth="1"/>
    <col min="8947" max="8947" width="23.625" style="1" customWidth="1"/>
    <col min="8948" max="8948" width="8" style="1" customWidth="1"/>
    <col min="8949" max="8949" width="9.125" style="1" customWidth="1"/>
    <col min="8950" max="8950" width="13.875" style="1" customWidth="1"/>
    <col min="8951" max="8951" width="13.5" style="1" customWidth="1"/>
    <col min="8952" max="9198" width="8.875" style="1"/>
    <col min="9199" max="9199" width="5" style="1" customWidth="1"/>
    <col min="9200" max="9200" width="33.375" style="1" customWidth="1"/>
    <col min="9201" max="9201" width="6.5" style="1" customWidth="1"/>
    <col min="9202" max="9202" width="29.5" style="1" customWidth="1"/>
    <col min="9203" max="9203" width="23.625" style="1" customWidth="1"/>
    <col min="9204" max="9204" width="8" style="1" customWidth="1"/>
    <col min="9205" max="9205" width="9.125" style="1" customWidth="1"/>
    <col min="9206" max="9206" width="13.875" style="1" customWidth="1"/>
    <col min="9207" max="9207" width="13.5" style="1" customWidth="1"/>
    <col min="9208" max="9454" width="8.875" style="1"/>
    <col min="9455" max="9455" width="5" style="1" customWidth="1"/>
    <col min="9456" max="9456" width="33.375" style="1" customWidth="1"/>
    <col min="9457" max="9457" width="6.5" style="1" customWidth="1"/>
    <col min="9458" max="9458" width="29.5" style="1" customWidth="1"/>
    <col min="9459" max="9459" width="23.625" style="1" customWidth="1"/>
    <col min="9460" max="9460" width="8" style="1" customWidth="1"/>
    <col min="9461" max="9461" width="9.125" style="1" customWidth="1"/>
    <col min="9462" max="9462" width="13.875" style="1" customWidth="1"/>
    <col min="9463" max="9463" width="13.5" style="1" customWidth="1"/>
    <col min="9464" max="9710" width="8.875" style="1"/>
    <col min="9711" max="9711" width="5" style="1" customWidth="1"/>
    <col min="9712" max="9712" width="33.375" style="1" customWidth="1"/>
    <col min="9713" max="9713" width="6.5" style="1" customWidth="1"/>
    <col min="9714" max="9714" width="29.5" style="1" customWidth="1"/>
    <col min="9715" max="9715" width="23.625" style="1" customWidth="1"/>
    <col min="9716" max="9716" width="8" style="1" customWidth="1"/>
    <col min="9717" max="9717" width="9.125" style="1" customWidth="1"/>
    <col min="9718" max="9718" width="13.875" style="1" customWidth="1"/>
    <col min="9719" max="9719" width="13.5" style="1" customWidth="1"/>
    <col min="9720" max="9966" width="8.875" style="1"/>
    <col min="9967" max="9967" width="5" style="1" customWidth="1"/>
    <col min="9968" max="9968" width="33.375" style="1" customWidth="1"/>
    <col min="9969" max="9969" width="6.5" style="1" customWidth="1"/>
    <col min="9970" max="9970" width="29.5" style="1" customWidth="1"/>
    <col min="9971" max="9971" width="23.625" style="1" customWidth="1"/>
    <col min="9972" max="9972" width="8" style="1" customWidth="1"/>
    <col min="9973" max="9973" width="9.125" style="1" customWidth="1"/>
    <col min="9974" max="9974" width="13.875" style="1" customWidth="1"/>
    <col min="9975" max="9975" width="13.5" style="1" customWidth="1"/>
    <col min="9976" max="10222" width="8.875" style="1"/>
    <col min="10223" max="10223" width="5" style="1" customWidth="1"/>
    <col min="10224" max="10224" width="33.375" style="1" customWidth="1"/>
    <col min="10225" max="10225" width="6.5" style="1" customWidth="1"/>
    <col min="10226" max="10226" width="29.5" style="1" customWidth="1"/>
    <col min="10227" max="10227" width="23.625" style="1" customWidth="1"/>
    <col min="10228" max="10228" width="8" style="1" customWidth="1"/>
    <col min="10229" max="10229" width="9.125" style="1" customWidth="1"/>
    <col min="10230" max="10230" width="13.875" style="1" customWidth="1"/>
    <col min="10231" max="10231" width="13.5" style="1" customWidth="1"/>
    <col min="10232" max="10478" width="8.875" style="1"/>
    <col min="10479" max="10479" width="5" style="1" customWidth="1"/>
    <col min="10480" max="10480" width="33.375" style="1" customWidth="1"/>
    <col min="10481" max="10481" width="6.5" style="1" customWidth="1"/>
    <col min="10482" max="10482" width="29.5" style="1" customWidth="1"/>
    <col min="10483" max="10483" width="23.625" style="1" customWidth="1"/>
    <col min="10484" max="10484" width="8" style="1" customWidth="1"/>
    <col min="10485" max="10485" width="9.125" style="1" customWidth="1"/>
    <col min="10486" max="10486" width="13.875" style="1" customWidth="1"/>
    <col min="10487" max="10487" width="13.5" style="1" customWidth="1"/>
    <col min="10488" max="10734" width="8.875" style="1"/>
    <col min="10735" max="10735" width="5" style="1" customWidth="1"/>
    <col min="10736" max="10736" width="33.375" style="1" customWidth="1"/>
    <col min="10737" max="10737" width="6.5" style="1" customWidth="1"/>
    <col min="10738" max="10738" width="29.5" style="1" customWidth="1"/>
    <col min="10739" max="10739" width="23.625" style="1" customWidth="1"/>
    <col min="10740" max="10740" width="8" style="1" customWidth="1"/>
    <col min="10741" max="10741" width="9.125" style="1" customWidth="1"/>
    <col min="10742" max="10742" width="13.875" style="1" customWidth="1"/>
    <col min="10743" max="10743" width="13.5" style="1" customWidth="1"/>
    <col min="10744" max="10990" width="8.875" style="1"/>
    <col min="10991" max="10991" width="5" style="1" customWidth="1"/>
    <col min="10992" max="10992" width="33.375" style="1" customWidth="1"/>
    <col min="10993" max="10993" width="6.5" style="1" customWidth="1"/>
    <col min="10994" max="10994" width="29.5" style="1" customWidth="1"/>
    <col min="10995" max="10995" width="23.625" style="1" customWidth="1"/>
    <col min="10996" max="10996" width="8" style="1" customWidth="1"/>
    <col min="10997" max="10997" width="9.125" style="1" customWidth="1"/>
    <col min="10998" max="10998" width="13.875" style="1" customWidth="1"/>
    <col min="10999" max="10999" width="13.5" style="1" customWidth="1"/>
    <col min="11000" max="11246" width="8.875" style="1"/>
    <col min="11247" max="11247" width="5" style="1" customWidth="1"/>
    <col min="11248" max="11248" width="33.375" style="1" customWidth="1"/>
    <col min="11249" max="11249" width="6.5" style="1" customWidth="1"/>
    <col min="11250" max="11250" width="29.5" style="1" customWidth="1"/>
    <col min="11251" max="11251" width="23.625" style="1" customWidth="1"/>
    <col min="11252" max="11252" width="8" style="1" customWidth="1"/>
    <col min="11253" max="11253" width="9.125" style="1" customWidth="1"/>
    <col min="11254" max="11254" width="13.875" style="1" customWidth="1"/>
    <col min="11255" max="11255" width="13.5" style="1" customWidth="1"/>
    <col min="11256" max="11502" width="8.875" style="1"/>
    <col min="11503" max="11503" width="5" style="1" customWidth="1"/>
    <col min="11504" max="11504" width="33.375" style="1" customWidth="1"/>
    <col min="11505" max="11505" width="6.5" style="1" customWidth="1"/>
    <col min="11506" max="11506" width="29.5" style="1" customWidth="1"/>
    <col min="11507" max="11507" width="23.625" style="1" customWidth="1"/>
    <col min="11508" max="11508" width="8" style="1" customWidth="1"/>
    <col min="11509" max="11509" width="9.125" style="1" customWidth="1"/>
    <col min="11510" max="11510" width="13.875" style="1" customWidth="1"/>
    <col min="11511" max="11511" width="13.5" style="1" customWidth="1"/>
    <col min="11512" max="11758" width="8.875" style="1"/>
    <col min="11759" max="11759" width="5" style="1" customWidth="1"/>
    <col min="11760" max="11760" width="33.375" style="1" customWidth="1"/>
    <col min="11761" max="11761" width="6.5" style="1" customWidth="1"/>
    <col min="11762" max="11762" width="29.5" style="1" customWidth="1"/>
    <col min="11763" max="11763" width="23.625" style="1" customWidth="1"/>
    <col min="11764" max="11764" width="8" style="1" customWidth="1"/>
    <col min="11765" max="11765" width="9.125" style="1" customWidth="1"/>
    <col min="11766" max="11766" width="13.875" style="1" customWidth="1"/>
    <col min="11767" max="11767" width="13.5" style="1" customWidth="1"/>
    <col min="11768" max="12014" width="8.875" style="1"/>
    <col min="12015" max="12015" width="5" style="1" customWidth="1"/>
    <col min="12016" max="12016" width="33.375" style="1" customWidth="1"/>
    <col min="12017" max="12017" width="6.5" style="1" customWidth="1"/>
    <col min="12018" max="12018" width="29.5" style="1" customWidth="1"/>
    <col min="12019" max="12019" width="23.625" style="1" customWidth="1"/>
    <col min="12020" max="12020" width="8" style="1" customWidth="1"/>
    <col min="12021" max="12021" width="9.125" style="1" customWidth="1"/>
    <col min="12022" max="12022" width="13.875" style="1" customWidth="1"/>
    <col min="12023" max="12023" width="13.5" style="1" customWidth="1"/>
    <col min="12024" max="12270" width="8.875" style="1"/>
    <col min="12271" max="12271" width="5" style="1" customWidth="1"/>
    <col min="12272" max="12272" width="33.375" style="1" customWidth="1"/>
    <col min="12273" max="12273" width="6.5" style="1" customWidth="1"/>
    <col min="12274" max="12274" width="29.5" style="1" customWidth="1"/>
    <col min="12275" max="12275" width="23.625" style="1" customWidth="1"/>
    <col min="12276" max="12276" width="8" style="1" customWidth="1"/>
    <col min="12277" max="12277" width="9.125" style="1" customWidth="1"/>
    <col min="12278" max="12278" width="13.875" style="1" customWidth="1"/>
    <col min="12279" max="12279" width="13.5" style="1" customWidth="1"/>
    <col min="12280" max="12526" width="8.875" style="1"/>
    <col min="12527" max="12527" width="5" style="1" customWidth="1"/>
    <col min="12528" max="12528" width="33.375" style="1" customWidth="1"/>
    <col min="12529" max="12529" width="6.5" style="1" customWidth="1"/>
    <col min="12530" max="12530" width="29.5" style="1" customWidth="1"/>
    <col min="12531" max="12531" width="23.625" style="1" customWidth="1"/>
    <col min="12532" max="12532" width="8" style="1" customWidth="1"/>
    <col min="12533" max="12533" width="9.125" style="1" customWidth="1"/>
    <col min="12534" max="12534" width="13.875" style="1" customWidth="1"/>
    <col min="12535" max="12535" width="13.5" style="1" customWidth="1"/>
    <col min="12536" max="12782" width="8.875" style="1"/>
    <col min="12783" max="12783" width="5" style="1" customWidth="1"/>
    <col min="12784" max="12784" width="33.375" style="1" customWidth="1"/>
    <col min="12785" max="12785" width="6.5" style="1" customWidth="1"/>
    <col min="12786" max="12786" width="29.5" style="1" customWidth="1"/>
    <col min="12787" max="12787" width="23.625" style="1" customWidth="1"/>
    <col min="12788" max="12788" width="8" style="1" customWidth="1"/>
    <col min="12789" max="12789" width="9.125" style="1" customWidth="1"/>
    <col min="12790" max="12790" width="13.875" style="1" customWidth="1"/>
    <col min="12791" max="12791" width="13.5" style="1" customWidth="1"/>
    <col min="12792" max="13038" width="8.875" style="1"/>
    <col min="13039" max="13039" width="5" style="1" customWidth="1"/>
    <col min="13040" max="13040" width="33.375" style="1" customWidth="1"/>
    <col min="13041" max="13041" width="6.5" style="1" customWidth="1"/>
    <col min="13042" max="13042" width="29.5" style="1" customWidth="1"/>
    <col min="13043" max="13043" width="23.625" style="1" customWidth="1"/>
    <col min="13044" max="13044" width="8" style="1" customWidth="1"/>
    <col min="13045" max="13045" width="9.125" style="1" customWidth="1"/>
    <col min="13046" max="13046" width="13.875" style="1" customWidth="1"/>
    <col min="13047" max="13047" width="13.5" style="1" customWidth="1"/>
    <col min="13048" max="13294" width="8.875" style="1"/>
    <col min="13295" max="13295" width="5" style="1" customWidth="1"/>
    <col min="13296" max="13296" width="33.375" style="1" customWidth="1"/>
    <col min="13297" max="13297" width="6.5" style="1" customWidth="1"/>
    <col min="13298" max="13298" width="29.5" style="1" customWidth="1"/>
    <col min="13299" max="13299" width="23.625" style="1" customWidth="1"/>
    <col min="13300" max="13300" width="8" style="1" customWidth="1"/>
    <col min="13301" max="13301" width="9.125" style="1" customWidth="1"/>
    <col min="13302" max="13302" width="13.875" style="1" customWidth="1"/>
    <col min="13303" max="13303" width="13.5" style="1" customWidth="1"/>
    <col min="13304" max="13550" width="8.875" style="1"/>
    <col min="13551" max="13551" width="5" style="1" customWidth="1"/>
    <col min="13552" max="13552" width="33.375" style="1" customWidth="1"/>
    <col min="13553" max="13553" width="6.5" style="1" customWidth="1"/>
    <col min="13554" max="13554" width="29.5" style="1" customWidth="1"/>
    <col min="13555" max="13555" width="23.625" style="1" customWidth="1"/>
    <col min="13556" max="13556" width="8" style="1" customWidth="1"/>
    <col min="13557" max="13557" width="9.125" style="1" customWidth="1"/>
    <col min="13558" max="13558" width="13.875" style="1" customWidth="1"/>
    <col min="13559" max="13559" width="13.5" style="1" customWidth="1"/>
    <col min="13560" max="13806" width="8.875" style="1"/>
    <col min="13807" max="13807" width="5" style="1" customWidth="1"/>
    <col min="13808" max="13808" width="33.375" style="1" customWidth="1"/>
    <col min="13809" max="13809" width="6.5" style="1" customWidth="1"/>
    <col min="13810" max="13810" width="29.5" style="1" customWidth="1"/>
    <col min="13811" max="13811" width="23.625" style="1" customWidth="1"/>
    <col min="13812" max="13812" width="8" style="1" customWidth="1"/>
    <col min="13813" max="13813" width="9.125" style="1" customWidth="1"/>
    <col min="13814" max="13814" width="13.875" style="1" customWidth="1"/>
    <col min="13815" max="13815" width="13.5" style="1" customWidth="1"/>
    <col min="13816" max="14062" width="8.875" style="1"/>
    <col min="14063" max="14063" width="5" style="1" customWidth="1"/>
    <col min="14064" max="14064" width="33.375" style="1" customWidth="1"/>
    <col min="14065" max="14065" width="6.5" style="1" customWidth="1"/>
    <col min="14066" max="14066" width="29.5" style="1" customWidth="1"/>
    <col min="14067" max="14067" width="23.625" style="1" customWidth="1"/>
    <col min="14068" max="14068" width="8" style="1" customWidth="1"/>
    <col min="14069" max="14069" width="9.125" style="1" customWidth="1"/>
    <col min="14070" max="14070" width="13.875" style="1" customWidth="1"/>
    <col min="14071" max="14071" width="13.5" style="1" customWidth="1"/>
    <col min="14072" max="14318" width="8.875" style="1"/>
    <col min="14319" max="14319" width="5" style="1" customWidth="1"/>
    <col min="14320" max="14320" width="33.375" style="1" customWidth="1"/>
    <col min="14321" max="14321" width="6.5" style="1" customWidth="1"/>
    <col min="14322" max="14322" width="29.5" style="1" customWidth="1"/>
    <col min="14323" max="14323" width="23.625" style="1" customWidth="1"/>
    <col min="14324" max="14324" width="8" style="1" customWidth="1"/>
    <col min="14325" max="14325" width="9.125" style="1" customWidth="1"/>
    <col min="14326" max="14326" width="13.875" style="1" customWidth="1"/>
    <col min="14327" max="14327" width="13.5" style="1" customWidth="1"/>
    <col min="14328" max="14574" width="8.875" style="1"/>
    <col min="14575" max="14575" width="5" style="1" customWidth="1"/>
    <col min="14576" max="14576" width="33.375" style="1" customWidth="1"/>
    <col min="14577" max="14577" width="6.5" style="1" customWidth="1"/>
    <col min="14578" max="14578" width="29.5" style="1" customWidth="1"/>
    <col min="14579" max="14579" width="23.625" style="1" customWidth="1"/>
    <col min="14580" max="14580" width="8" style="1" customWidth="1"/>
    <col min="14581" max="14581" width="9.125" style="1" customWidth="1"/>
    <col min="14582" max="14582" width="13.875" style="1" customWidth="1"/>
    <col min="14583" max="14583" width="13.5" style="1" customWidth="1"/>
    <col min="14584" max="14830" width="8.875" style="1"/>
    <col min="14831" max="14831" width="5" style="1" customWidth="1"/>
    <col min="14832" max="14832" width="33.375" style="1" customWidth="1"/>
    <col min="14833" max="14833" width="6.5" style="1" customWidth="1"/>
    <col min="14834" max="14834" width="29.5" style="1" customWidth="1"/>
    <col min="14835" max="14835" width="23.625" style="1" customWidth="1"/>
    <col min="14836" max="14836" width="8" style="1" customWidth="1"/>
    <col min="14837" max="14837" width="9.125" style="1" customWidth="1"/>
    <col min="14838" max="14838" width="13.875" style="1" customWidth="1"/>
    <col min="14839" max="14839" width="13.5" style="1" customWidth="1"/>
    <col min="14840" max="15086" width="8.875" style="1"/>
    <col min="15087" max="15087" width="5" style="1" customWidth="1"/>
    <col min="15088" max="15088" width="33.375" style="1" customWidth="1"/>
    <col min="15089" max="15089" width="6.5" style="1" customWidth="1"/>
    <col min="15090" max="15090" width="29.5" style="1" customWidth="1"/>
    <col min="15091" max="15091" width="23.625" style="1" customWidth="1"/>
    <col min="15092" max="15092" width="8" style="1" customWidth="1"/>
    <col min="15093" max="15093" width="9.125" style="1" customWidth="1"/>
    <col min="15094" max="15094" width="13.875" style="1" customWidth="1"/>
    <col min="15095" max="15095" width="13.5" style="1" customWidth="1"/>
    <col min="15096" max="15342" width="8.875" style="1"/>
    <col min="15343" max="15343" width="5" style="1" customWidth="1"/>
    <col min="15344" max="15344" width="33.375" style="1" customWidth="1"/>
    <col min="15345" max="15345" width="6.5" style="1" customWidth="1"/>
    <col min="15346" max="15346" width="29.5" style="1" customWidth="1"/>
    <col min="15347" max="15347" width="23.625" style="1" customWidth="1"/>
    <col min="15348" max="15348" width="8" style="1" customWidth="1"/>
    <col min="15349" max="15349" width="9.125" style="1" customWidth="1"/>
    <col min="15350" max="15350" width="13.875" style="1" customWidth="1"/>
    <col min="15351" max="15351" width="13.5" style="1" customWidth="1"/>
    <col min="15352" max="15598" width="8.875" style="1"/>
    <col min="15599" max="15599" width="5" style="1" customWidth="1"/>
    <col min="15600" max="15600" width="33.375" style="1" customWidth="1"/>
    <col min="15601" max="15601" width="6.5" style="1" customWidth="1"/>
    <col min="15602" max="15602" width="29.5" style="1" customWidth="1"/>
    <col min="15603" max="15603" width="23.625" style="1" customWidth="1"/>
    <col min="15604" max="15604" width="8" style="1" customWidth="1"/>
    <col min="15605" max="15605" width="9.125" style="1" customWidth="1"/>
    <col min="15606" max="15606" width="13.875" style="1" customWidth="1"/>
    <col min="15607" max="15607" width="13.5" style="1" customWidth="1"/>
    <col min="15608" max="15854" width="8.875" style="1"/>
    <col min="15855" max="15855" width="5" style="1" customWidth="1"/>
    <col min="15856" max="15856" width="33.375" style="1" customWidth="1"/>
    <col min="15857" max="15857" width="6.5" style="1" customWidth="1"/>
    <col min="15858" max="15858" width="29.5" style="1" customWidth="1"/>
    <col min="15859" max="15859" width="23.625" style="1" customWidth="1"/>
    <col min="15860" max="15860" width="8" style="1" customWidth="1"/>
    <col min="15861" max="15861" width="9.125" style="1" customWidth="1"/>
    <col min="15862" max="15862" width="13.875" style="1" customWidth="1"/>
    <col min="15863" max="15863" width="13.5" style="1" customWidth="1"/>
    <col min="15864" max="16384" width="8.875" style="1"/>
  </cols>
  <sheetData>
    <row r="2" spans="2:18" s="375" customFormat="1">
      <c r="B2" s="407" t="s">
        <v>464</v>
      </c>
      <c r="C2" s="140" t="s">
        <v>132</v>
      </c>
    </row>
    <row r="3" spans="2:18" s="375" customFormat="1">
      <c r="B3" s="407" t="s">
        <v>465</v>
      </c>
      <c r="C3" s="209" t="s">
        <v>255</v>
      </c>
    </row>
    <row r="4" spans="2:18" s="375" customFormat="1">
      <c r="B4" s="407" t="s">
        <v>466</v>
      </c>
      <c r="C4" s="140" t="s">
        <v>133</v>
      </c>
    </row>
    <row r="5" spans="2:18" s="31" customFormat="1" ht="9" customHeight="1">
      <c r="B5" s="30"/>
      <c r="C5" s="30"/>
      <c r="G5" s="30"/>
      <c r="J5" s="30"/>
      <c r="K5" s="30"/>
      <c r="L5" s="30"/>
      <c r="M5" s="30"/>
      <c r="N5" s="30"/>
      <c r="O5" s="30"/>
      <c r="Q5" s="30"/>
    </row>
    <row r="6" spans="2:18" s="3" customFormat="1" ht="23.25">
      <c r="B6" s="92" t="s">
        <v>69</v>
      </c>
      <c r="C6" s="1201" t="s">
        <v>475</v>
      </c>
      <c r="D6" s="1202"/>
      <c r="E6" s="1202"/>
      <c r="F6" s="1202"/>
      <c r="G6" s="1202"/>
      <c r="H6" s="1202"/>
      <c r="I6" s="7"/>
      <c r="J6" s="7"/>
      <c r="K6" s="7"/>
      <c r="L6" s="7"/>
      <c r="M6" s="7"/>
      <c r="N6" s="7"/>
      <c r="O6" s="7"/>
      <c r="P6" s="7"/>
      <c r="Q6" s="7"/>
    </row>
    <row r="7" spans="2:18" s="3" customFormat="1" ht="11.1" customHeight="1">
      <c r="B7" s="44"/>
      <c r="Q7" s="44"/>
    </row>
    <row r="8" spans="2:18" s="3" customFormat="1" ht="20.100000000000001" customHeight="1">
      <c r="B8" s="213" t="s">
        <v>279</v>
      </c>
      <c r="C8" s="213"/>
      <c r="D8" s="1144"/>
      <c r="E8" s="1144"/>
      <c r="F8" s="1144"/>
      <c r="G8" s="212" t="s">
        <v>278</v>
      </c>
      <c r="H8" s="212" t="s">
        <v>476</v>
      </c>
      <c r="I8" s="212"/>
      <c r="J8" s="212"/>
      <c r="K8" s="212"/>
      <c r="L8" s="212"/>
      <c r="M8" s="31"/>
    </row>
    <row r="9" spans="2:18" s="3" customFormat="1" ht="18.95" customHeight="1">
      <c r="B9" s="213" t="s">
        <v>280</v>
      </c>
      <c r="C9" s="213"/>
      <c r="D9" s="1144"/>
      <c r="E9" s="1144"/>
      <c r="F9" s="1144"/>
      <c r="G9" s="212" t="s">
        <v>467</v>
      </c>
      <c r="H9" s="212" t="s">
        <v>471</v>
      </c>
      <c r="I9" s="212"/>
      <c r="J9" s="212"/>
      <c r="K9" s="212"/>
      <c r="L9" s="212"/>
      <c r="M9" s="31"/>
    </row>
    <row r="10" spans="2:18" s="3" customFormat="1" ht="11.1" customHeight="1">
      <c r="B10" s="44"/>
      <c r="Q10" s="44"/>
    </row>
    <row r="11" spans="2:18" ht="20.100000000000001" customHeight="1">
      <c r="B11" s="377" t="s">
        <v>21</v>
      </c>
      <c r="C11" s="408" t="s">
        <v>472</v>
      </c>
      <c r="D11" s="409"/>
      <c r="E11" s="410"/>
      <c r="F11" s="410"/>
      <c r="G11" s="411"/>
      <c r="H11" s="411"/>
      <c r="I11" s="380"/>
      <c r="J11" s="380"/>
      <c r="K11" s="380"/>
      <c r="L11" s="1090"/>
      <c r="M11" s="1090"/>
      <c r="N11" s="1090"/>
      <c r="O11" s="383"/>
      <c r="P11" s="384"/>
      <c r="Q11" s="412">
        <f>Q13+Q14</f>
        <v>0</v>
      </c>
    </row>
    <row r="12" spans="2:18" s="49" customFormat="1" ht="24.95" customHeight="1">
      <c r="B12" s="413"/>
      <c r="C12" s="414" t="s">
        <v>8</v>
      </c>
      <c r="D12" s="415"/>
      <c r="E12" s="415"/>
      <c r="F12" s="415"/>
      <c r="G12" s="415"/>
      <c r="H12" s="416"/>
      <c r="I12" s="1204" t="s">
        <v>154</v>
      </c>
      <c r="J12" s="1205"/>
      <c r="K12" s="1205"/>
      <c r="L12" s="1103" t="s">
        <v>174</v>
      </c>
      <c r="M12" s="1103"/>
      <c r="N12" s="417" t="s">
        <v>173</v>
      </c>
      <c r="O12" s="398" t="s">
        <v>32</v>
      </c>
      <c r="P12" s="398" t="s">
        <v>2</v>
      </c>
      <c r="Q12" s="398" t="s">
        <v>20</v>
      </c>
    </row>
    <row r="13" spans="2:18" ht="30" customHeight="1">
      <c r="B13" s="418">
        <v>1</v>
      </c>
      <c r="C13" s="419" t="s">
        <v>225</v>
      </c>
      <c r="D13" s="1206"/>
      <c r="E13" s="1206"/>
      <c r="F13" s="1206"/>
      <c r="G13" s="1206"/>
      <c r="H13" s="1207"/>
      <c r="I13" s="1208">
        <v>0.2</v>
      </c>
      <c r="J13" s="1085"/>
      <c r="K13" s="1085"/>
      <c r="L13" s="1086">
        <v>1</v>
      </c>
      <c r="M13" s="1086"/>
      <c r="N13" s="390"/>
      <c r="O13" s="390">
        <f>N13/L13*100%</f>
        <v>0</v>
      </c>
      <c r="P13" s="390"/>
      <c r="Q13" s="391">
        <f>O13*I13</f>
        <v>0</v>
      </c>
      <c r="R13" s="69"/>
    </row>
    <row r="14" spans="2:18" ht="33" customHeight="1">
      <c r="B14" s="418">
        <v>2</v>
      </c>
      <c r="C14" s="420" t="s">
        <v>473</v>
      </c>
      <c r="D14" s="1209"/>
      <c r="E14" s="1209"/>
      <c r="F14" s="1209"/>
      <c r="G14" s="1209"/>
      <c r="H14" s="1210"/>
      <c r="I14" s="1200">
        <v>0.8</v>
      </c>
      <c r="J14" s="1088"/>
      <c r="K14" s="1088"/>
      <c r="L14" s="1089">
        <v>1</v>
      </c>
      <c r="M14" s="1089"/>
      <c r="N14" s="392"/>
      <c r="O14" s="392">
        <f>N14/L14*100%</f>
        <v>0</v>
      </c>
      <c r="P14" s="392"/>
      <c r="Q14" s="391">
        <f>O14*I14</f>
        <v>0</v>
      </c>
    </row>
    <row r="15" spans="2:18" ht="18.75" customHeight="1">
      <c r="B15" s="377" t="s">
        <v>22</v>
      </c>
      <c r="C15" s="422" t="s">
        <v>224</v>
      </c>
      <c r="D15" s="423"/>
      <c r="E15" s="424"/>
      <c r="F15" s="424"/>
      <c r="G15" s="425"/>
      <c r="H15" s="425"/>
      <c r="I15" s="380"/>
      <c r="J15" s="380"/>
      <c r="K15" s="380"/>
      <c r="L15" s="1090"/>
      <c r="M15" s="1090"/>
      <c r="N15" s="1090"/>
      <c r="O15" s="383"/>
      <c r="P15" s="384"/>
      <c r="Q15" s="426" t="e">
        <f>SUM(Q18:Q22)/5</f>
        <v>#DIV/0!</v>
      </c>
    </row>
    <row r="16" spans="2:18" ht="29.1" customHeight="1">
      <c r="B16" s="1098"/>
      <c r="C16" s="1081" t="s">
        <v>8</v>
      </c>
      <c r="D16" s="1081"/>
      <c r="E16" s="1081"/>
      <c r="F16" s="1081"/>
      <c r="G16" s="1081"/>
      <c r="H16" s="1081"/>
      <c r="I16" s="1100" t="s">
        <v>118</v>
      </c>
      <c r="J16" s="1100"/>
      <c r="K16" s="1100"/>
      <c r="L16" s="1100"/>
      <c r="M16" s="1100"/>
      <c r="N16" s="1100"/>
      <c r="O16" s="1101" t="s">
        <v>123</v>
      </c>
      <c r="P16" s="1100" t="s">
        <v>124</v>
      </c>
      <c r="Q16" s="1098" t="s">
        <v>102</v>
      </c>
    </row>
    <row r="17" spans="2:17" s="49" customFormat="1" ht="30.95" customHeight="1">
      <c r="B17" s="1098"/>
      <c r="C17" s="1099"/>
      <c r="D17" s="1099"/>
      <c r="E17" s="1099"/>
      <c r="F17" s="1099"/>
      <c r="G17" s="1099"/>
      <c r="H17" s="1099"/>
      <c r="I17" s="1104" t="s">
        <v>119</v>
      </c>
      <c r="J17" s="1104"/>
      <c r="K17" s="398" t="s">
        <v>120</v>
      </c>
      <c r="L17" s="398" t="s">
        <v>153</v>
      </c>
      <c r="M17" s="398" t="s">
        <v>121</v>
      </c>
      <c r="N17" s="398" t="s">
        <v>122</v>
      </c>
      <c r="O17" s="1102"/>
      <c r="P17" s="1103"/>
      <c r="Q17" s="1098"/>
    </row>
    <row r="18" spans="2:17" s="45" customFormat="1" ht="39" customHeight="1">
      <c r="B18" s="86">
        <v>1</v>
      </c>
      <c r="C18" s="1105" t="s">
        <v>62</v>
      </c>
      <c r="D18" s="1105"/>
      <c r="E18" s="1105"/>
      <c r="F18" s="1105"/>
      <c r="G18" s="1105"/>
      <c r="H18" s="1105"/>
      <c r="I18" s="1106">
        <v>1</v>
      </c>
      <c r="J18" s="1106"/>
      <c r="K18" s="400">
        <v>2</v>
      </c>
      <c r="L18" s="399">
        <v>3</v>
      </c>
      <c r="M18" s="400">
        <v>4</v>
      </c>
      <c r="N18" s="399">
        <v>5</v>
      </c>
      <c r="O18" s="401"/>
      <c r="P18" s="399"/>
      <c r="Q18" s="391" t="e">
        <f>P18/O18</f>
        <v>#DIV/0!</v>
      </c>
    </row>
    <row r="19" spans="2:17" s="45" customFormat="1" ht="39" customHeight="1">
      <c r="B19" s="86">
        <f>B18+1</f>
        <v>2</v>
      </c>
      <c r="C19" s="1105" t="s">
        <v>63</v>
      </c>
      <c r="D19" s="1105"/>
      <c r="E19" s="1105"/>
      <c r="F19" s="1105"/>
      <c r="G19" s="1105"/>
      <c r="H19" s="1105"/>
      <c r="I19" s="1106">
        <v>1</v>
      </c>
      <c r="J19" s="1106"/>
      <c r="K19" s="400">
        <v>2</v>
      </c>
      <c r="L19" s="399">
        <v>3</v>
      </c>
      <c r="M19" s="400">
        <v>4</v>
      </c>
      <c r="N19" s="399">
        <v>5</v>
      </c>
      <c r="O19" s="401"/>
      <c r="P19" s="399"/>
      <c r="Q19" s="391" t="e">
        <f>P19/O19</f>
        <v>#DIV/0!</v>
      </c>
    </row>
    <row r="20" spans="2:17" s="45" customFormat="1" ht="39" customHeight="1">
      <c r="B20" s="86">
        <v>3</v>
      </c>
      <c r="C20" s="1105" t="s">
        <v>64</v>
      </c>
      <c r="D20" s="1105"/>
      <c r="E20" s="1105"/>
      <c r="F20" s="1105"/>
      <c r="G20" s="1105"/>
      <c r="H20" s="1105"/>
      <c r="I20" s="1106">
        <v>1</v>
      </c>
      <c r="J20" s="1106"/>
      <c r="K20" s="400">
        <v>2</v>
      </c>
      <c r="L20" s="399">
        <v>3</v>
      </c>
      <c r="M20" s="400">
        <v>4</v>
      </c>
      <c r="N20" s="399">
        <v>5</v>
      </c>
      <c r="O20" s="401"/>
      <c r="P20" s="399"/>
      <c r="Q20" s="391" t="e">
        <f>P20/O20</f>
        <v>#DIV/0!</v>
      </c>
    </row>
    <row r="21" spans="2:17" s="45" customFormat="1" ht="39" customHeight="1">
      <c r="B21" s="86">
        <f t="shared" ref="B21" si="0">B20+1</f>
        <v>4</v>
      </c>
      <c r="C21" s="1105" t="s">
        <v>65</v>
      </c>
      <c r="D21" s="1105"/>
      <c r="E21" s="1105"/>
      <c r="F21" s="1105"/>
      <c r="G21" s="1105"/>
      <c r="H21" s="1105"/>
      <c r="I21" s="1106">
        <v>1</v>
      </c>
      <c r="J21" s="1106"/>
      <c r="K21" s="400">
        <v>2</v>
      </c>
      <c r="L21" s="399">
        <v>3</v>
      </c>
      <c r="M21" s="400">
        <v>4</v>
      </c>
      <c r="N21" s="399">
        <v>5</v>
      </c>
      <c r="O21" s="401"/>
      <c r="P21" s="399"/>
      <c r="Q21" s="391" t="e">
        <f>P21/O21</f>
        <v>#DIV/0!</v>
      </c>
    </row>
    <row r="22" spans="2:17" s="45" customFormat="1" ht="39" customHeight="1">
      <c r="B22" s="86">
        <v>5</v>
      </c>
      <c r="C22" s="1107" t="s">
        <v>66</v>
      </c>
      <c r="D22" s="1107"/>
      <c r="E22" s="1107"/>
      <c r="F22" s="1107"/>
      <c r="G22" s="1107"/>
      <c r="H22" s="1107"/>
      <c r="I22" s="1108">
        <v>1</v>
      </c>
      <c r="J22" s="1108"/>
      <c r="K22" s="403">
        <v>2</v>
      </c>
      <c r="L22" s="402">
        <v>3</v>
      </c>
      <c r="M22" s="403">
        <v>4</v>
      </c>
      <c r="N22" s="402">
        <v>5</v>
      </c>
      <c r="O22" s="404"/>
      <c r="P22" s="402"/>
      <c r="Q22" s="391" t="e">
        <f>P22/O22</f>
        <v>#DIV/0!</v>
      </c>
    </row>
    <row r="23" spans="2:17" ht="20.100000000000001" customHeight="1">
      <c r="B23" s="377" t="s">
        <v>40</v>
      </c>
      <c r="C23" s="378" t="s">
        <v>42</v>
      </c>
      <c r="D23" s="379"/>
      <c r="E23" s="380"/>
      <c r="F23" s="380"/>
      <c r="G23" s="381"/>
      <c r="H23" s="381"/>
      <c r="I23" s="380"/>
      <c r="J23" s="380"/>
      <c r="K23" s="380"/>
      <c r="L23" s="1090"/>
      <c r="M23" s="1090"/>
      <c r="N23" s="1090"/>
      <c r="O23" s="383"/>
      <c r="P23" s="384"/>
      <c r="Q23" s="412" t="e">
        <f>N25+N26</f>
        <v>#DIV/0!</v>
      </c>
    </row>
    <row r="24" spans="2:17" s="49" customFormat="1" ht="30" customHeight="1">
      <c r="B24" s="427"/>
      <c r="C24" s="1199" t="s">
        <v>8</v>
      </c>
      <c r="D24" s="1199"/>
      <c r="E24" s="1199"/>
      <c r="F24" s="1199"/>
      <c r="G24" s="1199"/>
      <c r="H24" s="1199"/>
      <c r="I24" s="1100" t="s">
        <v>43</v>
      </c>
      <c r="J24" s="1100"/>
      <c r="K24" s="1100"/>
      <c r="L24" s="1100" t="s">
        <v>154</v>
      </c>
      <c r="M24" s="1100"/>
      <c r="N24" s="397" t="s">
        <v>20</v>
      </c>
      <c r="O24" s="1100" t="s">
        <v>44</v>
      </c>
      <c r="P24" s="1100"/>
      <c r="Q24" s="1103"/>
    </row>
    <row r="25" spans="2:17" s="45" customFormat="1" ht="30.95" customHeight="1">
      <c r="B25" s="86">
        <v>1</v>
      </c>
      <c r="C25" s="1109" t="s">
        <v>474</v>
      </c>
      <c r="D25" s="1109"/>
      <c r="E25" s="1109"/>
      <c r="F25" s="1109"/>
      <c r="G25" s="1109"/>
      <c r="H25" s="1109"/>
      <c r="I25" s="1085">
        <f>Q11</f>
        <v>0</v>
      </c>
      <c r="J25" s="1085"/>
      <c r="K25" s="1085"/>
      <c r="L25" s="1086">
        <v>0.9</v>
      </c>
      <c r="M25" s="1086"/>
      <c r="N25" s="390">
        <f>I25*L25</f>
        <v>0</v>
      </c>
      <c r="O25" s="1193" t="str">
        <f>IF(Q30=0,"",IF(Q30&gt;100%,"XUẤT SẮC",IF(Q30&gt;=90%,"TỐT",IF(Q30&gt;=80%,"HOÀN THÀNH","KHÔNG HOÀN THÀNH"))))</f>
        <v/>
      </c>
      <c r="P25" s="1194"/>
      <c r="Q25" s="1195"/>
    </row>
    <row r="26" spans="2:17" s="45" customFormat="1" ht="30.95" customHeight="1">
      <c r="B26" s="86">
        <v>2</v>
      </c>
      <c r="C26" s="1114" t="s">
        <v>226</v>
      </c>
      <c r="D26" s="1114"/>
      <c r="E26" s="1114"/>
      <c r="F26" s="1114"/>
      <c r="G26" s="1114"/>
      <c r="H26" s="1114"/>
      <c r="I26" s="1088" t="e">
        <f>Q15</f>
        <v>#DIV/0!</v>
      </c>
      <c r="J26" s="1088"/>
      <c r="K26" s="1088"/>
      <c r="L26" s="1088">
        <v>0.1</v>
      </c>
      <c r="M26" s="1088"/>
      <c r="N26" s="392" t="e">
        <f>I26*L26</f>
        <v>#DIV/0!</v>
      </c>
      <c r="O26" s="1196"/>
      <c r="P26" s="1197"/>
      <c r="Q26" s="1198"/>
    </row>
    <row r="27" spans="2:17" ht="20.100000000000001" customHeight="1">
      <c r="B27" s="377" t="s">
        <v>41</v>
      </c>
      <c r="C27" s="393" t="s">
        <v>46</v>
      </c>
      <c r="D27" s="380"/>
      <c r="E27" s="380"/>
      <c r="F27" s="380"/>
      <c r="G27" s="381"/>
      <c r="H27" s="381"/>
      <c r="I27" s="410"/>
      <c r="J27" s="410"/>
      <c r="K27" s="410"/>
      <c r="L27" s="410"/>
      <c r="M27" s="410"/>
      <c r="N27" s="380"/>
      <c r="O27" s="380"/>
      <c r="P27" s="380"/>
      <c r="Q27" s="405"/>
    </row>
    <row r="28" spans="2:17" ht="77.099999999999994" customHeight="1">
      <c r="B28" s="406">
        <v>1</v>
      </c>
      <c r="C28" s="1116" t="s">
        <v>47</v>
      </c>
      <c r="D28" s="1116"/>
      <c r="E28" s="1116"/>
      <c r="F28" s="1116"/>
      <c r="G28" s="1116"/>
      <c r="H28" s="1211"/>
      <c r="I28" s="1212" t="s">
        <v>55</v>
      </c>
      <c r="J28" s="1213"/>
      <c r="K28" s="1213"/>
      <c r="L28" s="1213"/>
      <c r="M28" s="428"/>
      <c r="N28" s="1214" t="s">
        <v>56</v>
      </c>
      <c r="O28" s="1118"/>
      <c r="P28" s="1118" t="s">
        <v>57</v>
      </c>
      <c r="Q28" s="1118"/>
    </row>
    <row r="29" spans="2:17" ht="57" customHeight="1">
      <c r="B29" s="406">
        <v>2</v>
      </c>
      <c r="C29" s="1119" t="s">
        <v>51</v>
      </c>
      <c r="D29" s="1119"/>
      <c r="E29" s="1119"/>
      <c r="F29" s="1119"/>
      <c r="G29" s="1119"/>
      <c r="H29" s="1119"/>
      <c r="I29" s="1215" t="s">
        <v>52</v>
      </c>
      <c r="J29" s="1216"/>
      <c r="K29" s="1216"/>
      <c r="L29" s="1216"/>
      <c r="M29" s="1216"/>
      <c r="N29" s="1093"/>
      <c r="O29" s="1093"/>
      <c r="P29" s="1093"/>
      <c r="Q29" s="1093"/>
    </row>
    <row r="30" spans="2:17">
      <c r="B30" s="6"/>
      <c r="C30" s="5"/>
      <c r="D30" s="5"/>
      <c r="E30" s="5"/>
      <c r="F30" s="5"/>
      <c r="G30" s="6"/>
      <c r="H30" s="6"/>
      <c r="I30" s="5"/>
      <c r="J30" s="5"/>
      <c r="K30" s="5"/>
      <c r="L30" s="5"/>
      <c r="M30" s="5"/>
      <c r="N30" s="5"/>
      <c r="O30" s="5"/>
      <c r="P30" s="5"/>
      <c r="Q30" s="6"/>
    </row>
    <row r="31" spans="2:17" s="51" customFormat="1">
      <c r="B31" s="37"/>
      <c r="C31" s="47" t="s">
        <v>58</v>
      </c>
      <c r="D31" s="38"/>
      <c r="E31" s="38"/>
      <c r="F31" s="38"/>
      <c r="G31" s="37"/>
      <c r="H31" s="37"/>
      <c r="I31" s="38"/>
      <c r="J31" s="38"/>
      <c r="K31" s="38"/>
      <c r="L31" s="38"/>
      <c r="M31" s="38"/>
      <c r="N31" s="38"/>
      <c r="O31" s="38"/>
      <c r="P31" s="38"/>
      <c r="Q31" s="37"/>
    </row>
    <row r="32" spans="2:17" ht="27.75" customHeight="1">
      <c r="B32" s="1080" t="s">
        <v>59</v>
      </c>
      <c r="C32" s="972"/>
      <c r="D32" s="972"/>
      <c r="E32" s="972"/>
      <c r="F32" s="972"/>
      <c r="G32" s="972"/>
      <c r="H32" s="1203" t="s">
        <v>76</v>
      </c>
      <c r="I32" s="1203"/>
      <c r="J32" s="1203"/>
      <c r="K32" s="1203"/>
      <c r="L32" s="1203"/>
      <c r="M32" s="1203"/>
      <c r="N32" s="1203"/>
      <c r="O32" s="1080" t="s">
        <v>74</v>
      </c>
      <c r="P32" s="972"/>
      <c r="Q32" s="972"/>
    </row>
    <row r="33" spans="2:17" ht="15.95" customHeight="1">
      <c r="B33" s="6"/>
      <c r="C33" s="5"/>
      <c r="D33" s="5"/>
      <c r="E33" s="5"/>
      <c r="F33" s="5"/>
      <c r="G33" s="6"/>
      <c r="H33" s="6"/>
      <c r="I33" s="6"/>
      <c r="J33" s="6"/>
      <c r="K33" s="6"/>
      <c r="L33" s="5"/>
      <c r="M33" s="5"/>
      <c r="N33" s="5"/>
      <c r="O33" s="5"/>
      <c r="P33" s="5"/>
      <c r="Q33" s="5"/>
    </row>
    <row r="34" spans="2:17">
      <c r="B34" s="6"/>
      <c r="C34" s="5"/>
      <c r="D34" s="5"/>
      <c r="E34" s="5"/>
      <c r="F34" s="5"/>
      <c r="G34" s="6"/>
      <c r="H34" s="6"/>
      <c r="I34" s="5"/>
      <c r="J34" s="5"/>
      <c r="K34" s="5"/>
      <c r="L34" s="5"/>
      <c r="M34" s="5"/>
      <c r="N34" s="5"/>
      <c r="O34" s="5"/>
      <c r="P34" s="5"/>
      <c r="Q34" s="6"/>
    </row>
    <row r="35" spans="2:17">
      <c r="B35" s="6"/>
      <c r="C35" s="5"/>
      <c r="D35" s="5"/>
      <c r="E35" s="5"/>
      <c r="F35" s="5"/>
      <c r="G35" s="6"/>
      <c r="H35" s="6"/>
      <c r="I35" s="5"/>
      <c r="J35" s="5"/>
      <c r="K35" s="5"/>
      <c r="L35" s="5"/>
      <c r="M35" s="5"/>
      <c r="N35" s="5"/>
      <c r="O35" s="5"/>
      <c r="P35" s="5"/>
      <c r="Q35" s="6"/>
    </row>
    <row r="36" spans="2:17">
      <c r="B36" s="6"/>
      <c r="C36" s="5"/>
      <c r="D36" s="5"/>
      <c r="E36" s="5"/>
      <c r="F36" s="5"/>
      <c r="G36" s="6"/>
      <c r="H36" s="6"/>
      <c r="I36" s="5"/>
      <c r="J36" s="5"/>
      <c r="K36" s="5"/>
      <c r="L36" s="5"/>
      <c r="M36" s="5"/>
      <c r="N36" s="5"/>
      <c r="O36" s="5"/>
      <c r="P36" s="5"/>
      <c r="Q36" s="6"/>
    </row>
    <row r="37" spans="2:17">
      <c r="B37" s="6"/>
      <c r="C37" s="5"/>
      <c r="D37" s="5"/>
      <c r="E37" s="5"/>
      <c r="F37" s="5"/>
      <c r="G37" s="6"/>
      <c r="H37" s="6"/>
      <c r="I37" s="5"/>
      <c r="J37" s="5"/>
      <c r="K37" s="5"/>
      <c r="L37" s="5"/>
      <c r="M37" s="5"/>
      <c r="N37" s="5"/>
      <c r="O37" s="5"/>
      <c r="P37" s="5"/>
      <c r="Q37" s="6"/>
    </row>
    <row r="38" spans="2:17">
      <c r="B38" s="6"/>
      <c r="C38" s="5"/>
      <c r="D38" s="5"/>
      <c r="E38" s="5"/>
      <c r="F38" s="5"/>
      <c r="G38" s="6"/>
      <c r="H38" s="6"/>
      <c r="I38" s="5"/>
      <c r="J38" s="5"/>
      <c r="K38" s="5"/>
      <c r="L38" s="5"/>
      <c r="M38" s="5"/>
      <c r="N38" s="5"/>
      <c r="O38" s="5"/>
      <c r="P38" s="5"/>
      <c r="Q38" s="6"/>
    </row>
    <row r="39" spans="2:17" ht="15" customHeight="1">
      <c r="B39" s="972" t="s">
        <v>29</v>
      </c>
      <c r="C39" s="972"/>
      <c r="D39" s="972"/>
      <c r="E39" s="972"/>
      <c r="F39" s="972"/>
      <c r="G39" s="972"/>
      <c r="H39" s="977" t="s">
        <v>29</v>
      </c>
      <c r="I39" s="977"/>
      <c r="J39" s="977"/>
      <c r="K39" s="977"/>
      <c r="L39" s="977"/>
      <c r="M39" s="977"/>
      <c r="N39" s="977"/>
      <c r="O39" s="972" t="s">
        <v>29</v>
      </c>
      <c r="P39" s="972"/>
      <c r="Q39" s="972"/>
    </row>
    <row r="40" spans="2:17">
      <c r="B40" s="6"/>
      <c r="C40" s="5"/>
      <c r="D40" s="5"/>
      <c r="E40" s="5"/>
      <c r="F40" s="5"/>
      <c r="G40" s="6"/>
      <c r="H40" s="58"/>
      <c r="I40" s="58"/>
      <c r="J40" s="58"/>
      <c r="K40" s="58"/>
      <c r="L40" s="58"/>
      <c r="M40" s="58"/>
      <c r="N40" s="58"/>
      <c r="O40" s="5"/>
      <c r="P40" s="5"/>
      <c r="Q40" s="6"/>
    </row>
    <row r="41" spans="2:17" s="51" customFormat="1">
      <c r="B41" s="37"/>
      <c r="C41" s="47" t="s">
        <v>60</v>
      </c>
      <c r="D41" s="38"/>
      <c r="E41" s="38"/>
      <c r="F41" s="38"/>
      <c r="G41" s="37"/>
      <c r="H41" s="47"/>
      <c r="I41" s="47"/>
      <c r="J41" s="47"/>
      <c r="K41" s="47"/>
      <c r="L41" s="47"/>
      <c r="M41" s="47"/>
      <c r="N41" s="47"/>
      <c r="O41" s="38"/>
      <c r="P41" s="38"/>
      <c r="Q41" s="37"/>
    </row>
    <row r="42" spans="2:17" ht="31.5" customHeight="1">
      <c r="B42" s="1080" t="s">
        <v>59</v>
      </c>
      <c r="C42" s="972"/>
      <c r="D42" s="972"/>
      <c r="E42" s="972"/>
      <c r="F42" s="972"/>
      <c r="G42" s="972"/>
      <c r="H42" s="1203" t="s">
        <v>75</v>
      </c>
      <c r="I42" s="1203"/>
      <c r="J42" s="1203"/>
      <c r="K42" s="1203"/>
      <c r="L42" s="1203"/>
      <c r="M42" s="1203"/>
      <c r="N42" s="1203"/>
      <c r="O42" s="1080" t="s">
        <v>74</v>
      </c>
      <c r="P42" s="972"/>
      <c r="Q42" s="972"/>
    </row>
    <row r="43" spans="2:17" ht="15.95" customHeight="1">
      <c r="B43" s="6"/>
      <c r="C43" s="5"/>
      <c r="D43" s="5"/>
      <c r="E43" s="5"/>
      <c r="F43" s="5"/>
      <c r="G43" s="6"/>
      <c r="H43" s="6"/>
      <c r="I43" s="6"/>
      <c r="J43" s="6"/>
      <c r="K43" s="6"/>
      <c r="L43" s="5"/>
      <c r="M43" s="5"/>
      <c r="N43" s="5"/>
      <c r="O43" s="5"/>
      <c r="P43" s="5"/>
      <c r="Q43" s="5"/>
    </row>
    <row r="44" spans="2:17">
      <c r="B44" s="6"/>
      <c r="C44" s="5"/>
      <c r="D44" s="5"/>
      <c r="E44" s="5"/>
      <c r="F44" s="5"/>
      <c r="G44" s="6"/>
      <c r="H44" s="6"/>
      <c r="I44" s="5"/>
      <c r="J44" s="5"/>
      <c r="K44" s="5"/>
      <c r="L44" s="5"/>
      <c r="M44" s="5"/>
      <c r="N44" s="5"/>
      <c r="O44" s="5"/>
      <c r="P44" s="5"/>
      <c r="Q44" s="6"/>
    </row>
    <row r="45" spans="2:17">
      <c r="B45" s="6"/>
      <c r="C45" s="5"/>
      <c r="D45" s="5"/>
      <c r="E45" s="5"/>
      <c r="F45" s="5"/>
      <c r="G45" s="6"/>
      <c r="H45" s="6"/>
      <c r="I45" s="5"/>
      <c r="J45" s="5"/>
      <c r="K45" s="5"/>
      <c r="L45" s="5"/>
      <c r="M45" s="5"/>
      <c r="N45" s="5"/>
      <c r="O45" s="5"/>
      <c r="P45" s="5"/>
      <c r="Q45" s="6"/>
    </row>
    <row r="46" spans="2:17">
      <c r="B46" s="6"/>
      <c r="C46" s="5"/>
      <c r="D46" s="5"/>
      <c r="E46" s="5"/>
      <c r="F46" s="5"/>
      <c r="G46" s="6"/>
      <c r="H46" s="6"/>
      <c r="I46" s="5"/>
      <c r="J46" s="5"/>
      <c r="K46" s="5"/>
      <c r="L46" s="5"/>
      <c r="M46" s="5"/>
      <c r="N46" s="5"/>
      <c r="O46" s="5"/>
      <c r="P46" s="5"/>
      <c r="Q46" s="6"/>
    </row>
    <row r="47" spans="2:17">
      <c r="B47" s="6"/>
      <c r="C47" s="5"/>
      <c r="D47" s="5"/>
      <c r="E47" s="5"/>
      <c r="F47" s="5"/>
      <c r="G47" s="6"/>
      <c r="H47" s="6"/>
      <c r="I47" s="5"/>
      <c r="J47" s="5"/>
      <c r="K47" s="5"/>
      <c r="L47" s="5"/>
      <c r="M47" s="5"/>
      <c r="N47" s="5"/>
      <c r="O47" s="5"/>
      <c r="P47" s="5"/>
      <c r="Q47" s="6"/>
    </row>
    <row r="48" spans="2:17">
      <c r="B48" s="6"/>
      <c r="C48" s="5"/>
      <c r="D48" s="5"/>
      <c r="E48" s="5"/>
      <c r="F48" s="5"/>
      <c r="G48" s="6"/>
      <c r="H48" s="6"/>
      <c r="I48" s="5"/>
      <c r="J48" s="5"/>
      <c r="K48" s="5"/>
      <c r="L48" s="5"/>
      <c r="M48" s="5"/>
      <c r="N48" s="5"/>
      <c r="O48" s="5"/>
      <c r="P48" s="5"/>
      <c r="Q48" s="6"/>
    </row>
    <row r="49" spans="2:17" ht="15" customHeight="1">
      <c r="B49" s="972" t="s">
        <v>29</v>
      </c>
      <c r="C49" s="972"/>
      <c r="D49" s="972"/>
      <c r="E49" s="972"/>
      <c r="F49" s="972"/>
      <c r="G49" s="972"/>
      <c r="H49" s="977" t="s">
        <v>29</v>
      </c>
      <c r="I49" s="977"/>
      <c r="J49" s="977"/>
      <c r="K49" s="977"/>
      <c r="L49" s="977"/>
      <c r="M49" s="977"/>
      <c r="N49" s="977"/>
      <c r="O49" s="972" t="s">
        <v>29</v>
      </c>
      <c r="P49" s="972"/>
      <c r="Q49" s="972"/>
    </row>
  </sheetData>
  <mergeCells count="64">
    <mergeCell ref="O16:O17"/>
    <mergeCell ref="P16:P17"/>
    <mergeCell ref="Q16:Q17"/>
    <mergeCell ref="C18:H18"/>
    <mergeCell ref="I18:J18"/>
    <mergeCell ref="O32:Q32"/>
    <mergeCell ref="C28:H28"/>
    <mergeCell ref="I28:L28"/>
    <mergeCell ref="N28:O28"/>
    <mergeCell ref="P28:Q28"/>
    <mergeCell ref="C29:H29"/>
    <mergeCell ref="I29:Q29"/>
    <mergeCell ref="O49:Q49"/>
    <mergeCell ref="B42:C42"/>
    <mergeCell ref="B39:C39"/>
    <mergeCell ref="D39:G39"/>
    <mergeCell ref="H39:N39"/>
    <mergeCell ref="O39:Q39"/>
    <mergeCell ref="D42:G42"/>
    <mergeCell ref="H42:N42"/>
    <mergeCell ref="O42:Q42"/>
    <mergeCell ref="C6:H6"/>
    <mergeCell ref="D8:F8"/>
    <mergeCell ref="D9:F9"/>
    <mergeCell ref="B49:C49"/>
    <mergeCell ref="D49:G49"/>
    <mergeCell ref="H49:N49"/>
    <mergeCell ref="B32:C32"/>
    <mergeCell ref="D32:G32"/>
    <mergeCell ref="H32:N32"/>
    <mergeCell ref="L11:N11"/>
    <mergeCell ref="I12:K12"/>
    <mergeCell ref="L12:M12"/>
    <mergeCell ref="D13:H13"/>
    <mergeCell ref="I13:K13"/>
    <mergeCell ref="L13:M13"/>
    <mergeCell ref="D14:H14"/>
    <mergeCell ref="I14:K14"/>
    <mergeCell ref="L14:M14"/>
    <mergeCell ref="L15:N15"/>
    <mergeCell ref="B16:B17"/>
    <mergeCell ref="C16:H17"/>
    <mergeCell ref="I16:N16"/>
    <mergeCell ref="I17:J17"/>
    <mergeCell ref="C19:H19"/>
    <mergeCell ref="I19:J19"/>
    <mergeCell ref="C20:H20"/>
    <mergeCell ref="I20:J20"/>
    <mergeCell ref="C21:H21"/>
    <mergeCell ref="I21:J21"/>
    <mergeCell ref="C22:H22"/>
    <mergeCell ref="I22:J22"/>
    <mergeCell ref="L23:N23"/>
    <mergeCell ref="C24:H24"/>
    <mergeCell ref="I24:K24"/>
    <mergeCell ref="L24:M24"/>
    <mergeCell ref="O24:Q24"/>
    <mergeCell ref="C25:H25"/>
    <mergeCell ref="I25:K25"/>
    <mergeCell ref="L25:M25"/>
    <mergeCell ref="O25:Q26"/>
    <mergeCell ref="C26:H26"/>
    <mergeCell ref="I26:K26"/>
    <mergeCell ref="L26:M26"/>
  </mergeCells>
  <phoneticPr fontId="6" type="noConversion"/>
  <pageMargins left="0.7" right="0.7" top="0.75" bottom="0.75" header="0.3" footer="0.3"/>
  <pageSetup paperSize="9" orientation="portrait" horizontalDpi="0" verticalDpi="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3">
    <tabColor theme="0"/>
  </sheetPr>
  <dimension ref="B2:P27"/>
  <sheetViews>
    <sheetView showGridLines="0" zoomScale="110" zoomScaleNormal="100" workbookViewId="0">
      <selection activeCell="J9" sqref="J9"/>
    </sheetView>
  </sheetViews>
  <sheetFormatPr defaultColWidth="8.875" defaultRowHeight="12.75"/>
  <cols>
    <col min="1" max="1" width="2.125" style="1" customWidth="1"/>
    <col min="2" max="2" width="12.375" style="1" bestFit="1" customWidth="1"/>
    <col min="3" max="3" width="23.5" style="1" customWidth="1"/>
    <col min="4" max="4" width="11.5" style="1" customWidth="1"/>
    <col min="5" max="5" width="6.625" style="2" customWidth="1"/>
    <col min="6" max="6" width="13.5" style="2" customWidth="1"/>
    <col min="7" max="7" width="8.625" style="1" customWidth="1"/>
    <col min="8" max="8" width="5.125" style="1" customWidth="1"/>
    <col min="9" max="9" width="5.625" style="1" customWidth="1"/>
    <col min="10" max="10" width="10.125" style="1" customWidth="1"/>
    <col min="11" max="11" width="9.375" style="39" customWidth="1"/>
    <col min="12" max="12" width="9.875" style="40" customWidth="1"/>
    <col min="13" max="13" width="12.37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2" spans="2:16" s="11" customFormat="1">
      <c r="B2" s="140" t="s">
        <v>253</v>
      </c>
      <c r="C2" s="140" t="s">
        <v>132</v>
      </c>
    </row>
    <row r="3" spans="2:16" s="11" customFormat="1">
      <c r="B3" s="209" t="s">
        <v>254</v>
      </c>
      <c r="C3" s="209" t="s">
        <v>255</v>
      </c>
    </row>
    <row r="4" spans="2:16" s="11" customFormat="1">
      <c r="B4" s="140" t="s">
        <v>256</v>
      </c>
      <c r="C4" s="140" t="s">
        <v>133</v>
      </c>
    </row>
    <row r="5" spans="2:16" s="31" customFormat="1" ht="6.95" customHeight="1">
      <c r="B5" s="30"/>
      <c r="C5" s="30"/>
      <c r="E5" s="30"/>
      <c r="I5" s="30"/>
      <c r="J5" s="30"/>
      <c r="K5" s="32"/>
      <c r="L5" s="33"/>
    </row>
    <row r="6" spans="2:16" s="98" customFormat="1" ht="26.1" customHeight="1">
      <c r="B6" s="99" t="s">
        <v>80</v>
      </c>
      <c r="C6" s="1121" t="s">
        <v>479</v>
      </c>
      <c r="D6" s="1121"/>
      <c r="E6" s="1121"/>
      <c r="F6" s="1121"/>
      <c r="G6" s="1121"/>
      <c r="H6" s="145"/>
      <c r="I6" s="145"/>
      <c r="J6" s="145"/>
      <c r="K6" s="145"/>
      <c r="L6" s="145"/>
      <c r="M6" s="145"/>
      <c r="N6" s="145"/>
    </row>
    <row r="7" spans="2:16" s="3" customFormat="1" ht="20.100000000000001" customHeight="1">
      <c r="B7" s="213" t="s">
        <v>279</v>
      </c>
      <c r="C7" s="213"/>
      <c r="D7" s="1144"/>
      <c r="E7" s="1144"/>
      <c r="F7" s="1144"/>
      <c r="G7" s="1144"/>
      <c r="H7" s="212" t="s">
        <v>278</v>
      </c>
      <c r="I7" s="211"/>
      <c r="J7" s="212" t="s">
        <v>476</v>
      </c>
      <c r="K7" s="211"/>
      <c r="L7" s="211"/>
      <c r="M7" s="211"/>
      <c r="N7" s="31"/>
    </row>
    <row r="8" spans="2:16" s="3" customFormat="1" ht="18.95" customHeight="1">
      <c r="B8" s="213" t="s">
        <v>280</v>
      </c>
      <c r="C8" s="213"/>
      <c r="D8" s="1144"/>
      <c r="E8" s="1144"/>
      <c r="F8" s="1144"/>
      <c r="G8" s="1144"/>
      <c r="H8" s="212" t="s">
        <v>477</v>
      </c>
      <c r="I8" s="211"/>
      <c r="J8" s="212" t="s">
        <v>471</v>
      </c>
      <c r="K8" s="211"/>
      <c r="L8" s="211"/>
      <c r="M8" s="211"/>
      <c r="N8" s="31"/>
    </row>
    <row r="9" spans="2:16" s="3" customFormat="1" ht="6.95" customHeight="1">
      <c r="D9" s="85"/>
      <c r="E9" s="85"/>
      <c r="F9" s="85"/>
      <c r="G9" s="85"/>
      <c r="H9" s="85"/>
      <c r="I9" s="85"/>
      <c r="J9" s="85"/>
      <c r="K9" s="85"/>
      <c r="L9" s="85"/>
      <c r="M9" s="85"/>
      <c r="N9" s="85"/>
    </row>
    <row r="10" spans="2:16" s="4" customFormat="1" ht="26.25" thickBot="1">
      <c r="B10" s="163" t="s">
        <v>0</v>
      </c>
      <c r="C10" s="164" t="s">
        <v>16</v>
      </c>
      <c r="D10" s="164" t="s">
        <v>246</v>
      </c>
      <c r="E10" s="1145" t="s">
        <v>17</v>
      </c>
      <c r="F10" s="1146"/>
      <c r="G10" s="1147" t="s">
        <v>18</v>
      </c>
      <c r="H10" s="1148"/>
      <c r="I10" s="1149"/>
      <c r="J10" s="164" t="s">
        <v>19</v>
      </c>
      <c r="K10" s="164" t="s">
        <v>172</v>
      </c>
      <c r="L10" s="163" t="s">
        <v>164</v>
      </c>
      <c r="M10" s="164" t="s">
        <v>32</v>
      </c>
      <c r="N10" s="164" t="s">
        <v>20</v>
      </c>
    </row>
    <row r="11" spans="2:16" ht="37.5" customHeight="1" thickTop="1" thickBot="1">
      <c r="B11" s="52" t="s">
        <v>21</v>
      </c>
      <c r="C11" s="184" t="s">
        <v>478</v>
      </c>
      <c r="D11" s="185">
        <v>0.9</v>
      </c>
      <c r="E11" s="54"/>
      <c r="F11" s="54"/>
      <c r="G11" s="53"/>
      <c r="H11" s="53"/>
      <c r="I11" s="53"/>
      <c r="J11" s="1150"/>
      <c r="K11" s="1150"/>
      <c r="L11" s="111"/>
      <c r="M11" s="55"/>
      <c r="N11" s="56">
        <f>N12</f>
        <v>0</v>
      </c>
    </row>
    <row r="12" spans="2:16" ht="37.5" customHeight="1" thickBot="1">
      <c r="B12" s="328"/>
      <c r="C12" s="329" t="s">
        <v>469</v>
      </c>
      <c r="D12" s="330"/>
      <c r="E12" s="1151"/>
      <c r="F12" s="1152"/>
      <c r="G12" s="1153"/>
      <c r="H12" s="1154"/>
      <c r="I12" s="1155"/>
      <c r="J12" s="331"/>
      <c r="K12" s="332">
        <v>1</v>
      </c>
      <c r="L12" s="333"/>
      <c r="M12" s="332">
        <f>L12/K12*100%</f>
        <v>0</v>
      </c>
      <c r="N12" s="334">
        <f>M12*D11</f>
        <v>0</v>
      </c>
    </row>
    <row r="13" spans="2:16" ht="37.5" customHeight="1" thickTop="1" thickBot="1">
      <c r="B13" s="52" t="s">
        <v>22</v>
      </c>
      <c r="C13" s="184" t="s">
        <v>233</v>
      </c>
      <c r="D13" s="185">
        <v>0.1</v>
      </c>
      <c r="E13" s="54"/>
      <c r="F13" s="54"/>
      <c r="G13" s="53"/>
      <c r="H13" s="53"/>
      <c r="I13" s="53"/>
      <c r="J13" s="1150"/>
      <c r="K13" s="1150"/>
      <c r="L13" s="111"/>
      <c r="M13" s="55"/>
      <c r="N13" s="56">
        <f>D13+N14</f>
        <v>0.1</v>
      </c>
    </row>
    <row r="14" spans="2:16" ht="37.5" customHeight="1" thickBot="1">
      <c r="B14" s="328"/>
      <c r="C14" s="329"/>
      <c r="D14" s="330"/>
      <c r="E14" s="1151"/>
      <c r="F14" s="1152"/>
      <c r="G14" s="1153"/>
      <c r="H14" s="1154"/>
      <c r="I14" s="1155"/>
      <c r="J14" s="331"/>
      <c r="K14" s="335"/>
      <c r="L14" s="336"/>
      <c r="M14" s="332"/>
      <c r="N14" s="334">
        <f>M14*D13</f>
        <v>0</v>
      </c>
    </row>
    <row r="15" spans="2:16" ht="37.5" customHeight="1" thickTop="1">
      <c r="B15" s="112"/>
      <c r="C15" s="113" t="s">
        <v>4</v>
      </c>
      <c r="D15" s="114"/>
      <c r="E15" s="115"/>
      <c r="F15" s="115"/>
      <c r="G15" s="114"/>
      <c r="H15" s="114"/>
      <c r="I15" s="114"/>
      <c r="J15" s="114"/>
      <c r="K15" s="116"/>
      <c r="L15" s="117"/>
      <c r="M15" s="114"/>
      <c r="N15" s="186">
        <f>N11+N13</f>
        <v>0.1</v>
      </c>
      <c r="O15" s="1142"/>
      <c r="P15" s="1143"/>
    </row>
    <row r="16" spans="2:16" ht="17.100000000000001" customHeight="1">
      <c r="B16" s="5"/>
      <c r="C16" s="5"/>
      <c r="D16" s="5"/>
      <c r="E16" s="6"/>
      <c r="F16" s="6"/>
      <c r="G16" s="5"/>
      <c r="H16" s="5"/>
      <c r="I16" s="5"/>
      <c r="J16" s="5"/>
      <c r="K16" s="35"/>
      <c r="L16" s="36"/>
      <c r="M16" s="5"/>
      <c r="N16" s="5"/>
    </row>
    <row r="17" spans="2:14" ht="29.1" customHeight="1">
      <c r="B17" s="5"/>
      <c r="C17" s="975" t="s">
        <v>25</v>
      </c>
      <c r="D17" s="975"/>
      <c r="E17" s="37"/>
      <c r="F17" s="37"/>
      <c r="G17" s="37" t="s">
        <v>26</v>
      </c>
      <c r="H17" s="37"/>
      <c r="I17" s="37"/>
      <c r="J17" s="38"/>
      <c r="K17" s="975" t="s">
        <v>27</v>
      </c>
      <c r="L17" s="975"/>
      <c r="M17" s="975"/>
      <c r="N17" s="975"/>
    </row>
    <row r="18" spans="2:14" ht="17.100000000000001" customHeight="1">
      <c r="B18" s="5"/>
      <c r="C18" s="972" t="s">
        <v>28</v>
      </c>
      <c r="D18" s="972"/>
      <c r="E18" s="6"/>
      <c r="F18" s="972" t="s">
        <v>28</v>
      </c>
      <c r="G18" s="972"/>
      <c r="H18" s="972"/>
      <c r="I18" s="6"/>
      <c r="J18" s="5"/>
      <c r="K18" s="972" t="s">
        <v>28</v>
      </c>
      <c r="L18" s="972"/>
      <c r="M18" s="972"/>
      <c r="N18" s="972"/>
    </row>
    <row r="19" spans="2:14" ht="17.100000000000001" customHeight="1">
      <c r="B19" s="5"/>
      <c r="C19" s="5"/>
      <c r="D19" s="5"/>
      <c r="E19" s="6"/>
      <c r="F19" s="6"/>
      <c r="G19" s="5"/>
      <c r="H19" s="5"/>
      <c r="I19" s="5"/>
      <c r="J19" s="5"/>
      <c r="K19" s="35"/>
      <c r="L19" s="36"/>
      <c r="M19" s="5"/>
      <c r="N19" s="5"/>
    </row>
    <row r="20" spans="2:14" ht="17.100000000000001" customHeight="1">
      <c r="B20" s="5"/>
      <c r="C20" s="5"/>
      <c r="D20" s="5"/>
      <c r="E20" s="6"/>
      <c r="F20" s="6"/>
      <c r="G20" s="5"/>
      <c r="H20" s="5"/>
      <c r="I20" s="5"/>
      <c r="J20" s="5"/>
      <c r="K20" s="35"/>
      <c r="L20" s="36"/>
      <c r="M20" s="5"/>
      <c r="N20" s="5"/>
    </row>
    <row r="21" spans="2:14" ht="17.100000000000001" customHeight="1">
      <c r="B21" s="5"/>
      <c r="C21" s="5"/>
      <c r="D21" s="5"/>
      <c r="E21" s="6"/>
      <c r="F21" s="6"/>
      <c r="G21" s="5"/>
      <c r="H21" s="5"/>
      <c r="I21" s="5"/>
      <c r="J21" s="5"/>
      <c r="K21" s="35"/>
      <c r="L21" s="36"/>
      <c r="M21" s="5"/>
      <c r="N21" s="5"/>
    </row>
    <row r="22" spans="2:14" ht="17.100000000000001" customHeight="1">
      <c r="B22" s="5"/>
      <c r="C22" s="5"/>
      <c r="D22" s="5"/>
      <c r="E22" s="6"/>
      <c r="F22" s="6"/>
      <c r="G22" s="5"/>
      <c r="H22" s="5"/>
      <c r="I22" s="5"/>
      <c r="J22" s="5"/>
      <c r="K22" s="35"/>
      <c r="L22" s="36"/>
      <c r="M22" s="5"/>
      <c r="N22" s="5"/>
    </row>
    <row r="23" spans="2:14" ht="17.100000000000001" customHeight="1">
      <c r="B23" s="5"/>
      <c r="C23" s="5"/>
      <c r="D23" s="5"/>
      <c r="E23" s="6"/>
      <c r="F23" s="6"/>
      <c r="G23" s="5"/>
      <c r="H23" s="5"/>
      <c r="I23" s="5"/>
      <c r="J23" s="5"/>
      <c r="K23" s="35"/>
      <c r="L23" s="36"/>
      <c r="M23" s="5"/>
      <c r="N23" s="5"/>
    </row>
    <row r="24" spans="2:14" ht="17.100000000000001" customHeight="1">
      <c r="B24" s="5"/>
      <c r="C24" s="972" t="s">
        <v>29</v>
      </c>
      <c r="D24" s="972"/>
      <c r="E24" s="6"/>
      <c r="F24" s="6"/>
      <c r="G24" s="6" t="s">
        <v>29</v>
      </c>
      <c r="H24" s="6"/>
      <c r="I24" s="6"/>
      <c r="J24" s="5"/>
      <c r="K24" s="972" t="s">
        <v>29</v>
      </c>
      <c r="L24" s="972"/>
      <c r="M24" s="972"/>
      <c r="N24" s="972"/>
    </row>
    <row r="25" spans="2:14" ht="17.100000000000001" customHeight="1">
      <c r="B25" s="5"/>
      <c r="C25" s="5"/>
      <c r="D25" s="5"/>
      <c r="E25" s="6"/>
      <c r="F25" s="6"/>
      <c r="G25" s="5"/>
      <c r="H25" s="5"/>
      <c r="I25" s="5"/>
      <c r="J25" s="5"/>
      <c r="K25" s="35"/>
      <c r="L25" s="36"/>
      <c r="M25" s="5"/>
      <c r="N25" s="5"/>
    </row>
    <row r="26" spans="2:14" ht="17.100000000000001" customHeight="1"/>
    <row r="27" spans="2:14" ht="17.100000000000001" customHeight="1"/>
  </sheetData>
  <mergeCells count="19">
    <mergeCell ref="C24:D24"/>
    <mergeCell ref="K24:N24"/>
    <mergeCell ref="C17:D17"/>
    <mergeCell ref="K17:N17"/>
    <mergeCell ref="C18:D18"/>
    <mergeCell ref="F18:H18"/>
    <mergeCell ref="K18:N18"/>
    <mergeCell ref="J11:K11"/>
    <mergeCell ref="J13:K13"/>
    <mergeCell ref="E14:F14"/>
    <mergeCell ref="G14:I14"/>
    <mergeCell ref="O15:P15"/>
    <mergeCell ref="C6:G6"/>
    <mergeCell ref="D7:G7"/>
    <mergeCell ref="E12:F12"/>
    <mergeCell ref="G12:I12"/>
    <mergeCell ref="D8:G8"/>
    <mergeCell ref="E10:F10"/>
    <mergeCell ref="G10:I10"/>
  </mergeCells>
  <pageMargins left="0.7" right="0.7" top="0.75" bottom="0.75" header="0.3" footer="0.3"/>
  <pageSetup paperSize="9" orientation="portrait" horizontalDpi="0" verticalDpi="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5"/>
  <dimension ref="B1:Q45"/>
  <sheetViews>
    <sheetView showGridLines="0" topLeftCell="A5" zoomScale="111" zoomScaleNormal="111" workbookViewId="0">
      <selection activeCell="C16" sqref="C16"/>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17.875" style="2" customWidth="1"/>
    <col min="7" max="7" width="5.125" style="2" customWidth="1"/>
    <col min="8" max="8" width="3.875" style="2" customWidth="1"/>
    <col min="9" max="10" width="10.125" style="1" customWidth="1"/>
    <col min="11" max="11" width="9.375" style="39" customWidth="1"/>
    <col min="12" max="12" width="9.875" style="40" customWidth="1"/>
    <col min="13" max="13" width="12.37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5" hidden="1"/>
    <row r="2" spans="2:15" s="375" customFormat="1" hidden="1">
      <c r="B2" s="407" t="s">
        <v>464</v>
      </c>
      <c r="C2" s="140" t="s">
        <v>132</v>
      </c>
      <c r="D2" s="140"/>
    </row>
    <row r="3" spans="2:15" s="375" customFormat="1" hidden="1">
      <c r="B3" s="407" t="s">
        <v>465</v>
      </c>
      <c r="C3" s="209" t="s">
        <v>255</v>
      </c>
      <c r="D3" s="209"/>
    </row>
    <row r="4" spans="2:15" s="375" customFormat="1" hidden="1">
      <c r="B4" s="407" t="s">
        <v>466</v>
      </c>
      <c r="C4" s="140" t="s">
        <v>133</v>
      </c>
      <c r="D4" s="140"/>
    </row>
    <row r="5" spans="2:15" s="31" customFormat="1" ht="6.95" customHeight="1">
      <c r="B5" s="30"/>
      <c r="C5" s="30"/>
      <c r="E5" s="30"/>
      <c r="J5" s="30"/>
      <c r="K5" s="32"/>
      <c r="L5" s="33"/>
    </row>
    <row r="6" spans="2:15" s="98" customFormat="1" ht="26.1" customHeight="1">
      <c r="B6" s="99" t="s">
        <v>81</v>
      </c>
      <c r="C6" s="1121" t="s">
        <v>480</v>
      </c>
      <c r="D6" s="1121"/>
      <c r="E6" s="1121"/>
      <c r="F6" s="1121"/>
      <c r="G6" s="1121"/>
      <c r="H6" s="1121"/>
      <c r="I6" s="1121"/>
      <c r="J6" s="145"/>
      <c r="K6" s="145"/>
      <c r="L6" s="145"/>
      <c r="M6" s="145"/>
      <c r="N6" s="145"/>
    </row>
    <row r="7" spans="2:15" s="3" customFormat="1" ht="20.100000000000001" customHeight="1">
      <c r="B7" s="213" t="s">
        <v>404</v>
      </c>
      <c r="C7" s="213" t="s">
        <v>541</v>
      </c>
      <c r="D7" s="211"/>
      <c r="F7" s="211" t="s">
        <v>278</v>
      </c>
      <c r="G7" s="212" t="s">
        <v>438</v>
      </c>
      <c r="H7" s="211"/>
      <c r="K7" s="212"/>
      <c r="L7" s="212"/>
      <c r="M7" s="212"/>
      <c r="N7" s="31"/>
    </row>
    <row r="8" spans="2:15" s="3" customFormat="1" ht="18.95" customHeight="1">
      <c r="B8" s="213" t="s">
        <v>280</v>
      </c>
      <c r="C8" s="472" t="s">
        <v>542</v>
      </c>
      <c r="D8" s="211"/>
      <c r="F8" s="211" t="s">
        <v>477</v>
      </c>
      <c r="G8" s="212" t="s">
        <v>471</v>
      </c>
      <c r="H8" s="211"/>
      <c r="K8" s="212"/>
      <c r="L8" s="212"/>
      <c r="M8" s="212"/>
      <c r="N8" s="31"/>
    </row>
    <row r="9" spans="2:15" s="3" customFormat="1" ht="6.95" customHeight="1">
      <c r="D9" s="85"/>
      <c r="E9" s="85"/>
      <c r="F9" s="85"/>
      <c r="G9" s="85"/>
      <c r="H9" s="85"/>
      <c r="I9" s="85"/>
      <c r="J9" s="85"/>
      <c r="K9" s="85"/>
      <c r="L9" s="85"/>
      <c r="M9" s="85"/>
      <c r="N9" s="85"/>
    </row>
    <row r="10" spans="2:15"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5" ht="21" customHeight="1">
      <c r="B11" s="430" t="s">
        <v>21</v>
      </c>
      <c r="C11" s="431" t="s">
        <v>478</v>
      </c>
      <c r="D11" s="432">
        <v>0.1</v>
      </c>
      <c r="E11" s="1179"/>
      <c r="F11" s="1180"/>
      <c r="G11" s="1156"/>
      <c r="H11" s="1158"/>
      <c r="I11" s="1157"/>
      <c r="J11" s="214"/>
      <c r="K11" s="214"/>
      <c r="L11" s="433"/>
      <c r="M11" s="430"/>
      <c r="N11" s="466">
        <f>N12</f>
        <v>0</v>
      </c>
    </row>
    <row r="12" spans="2:15" ht="21" customHeight="1">
      <c r="B12" s="418"/>
      <c r="C12" s="435" t="s">
        <v>469</v>
      </c>
      <c r="D12" s="421"/>
      <c r="E12" s="1174"/>
      <c r="F12" s="1174"/>
      <c r="G12" s="436"/>
      <c r="H12" s="436"/>
      <c r="I12" s="437"/>
      <c r="J12" s="396"/>
      <c r="K12" s="438">
        <v>1</v>
      </c>
      <c r="L12" s="439"/>
      <c r="M12" s="345">
        <f>L12/K12*100%</f>
        <v>0</v>
      </c>
      <c r="N12" s="346">
        <f>M12*D11</f>
        <v>0</v>
      </c>
    </row>
    <row r="13" spans="2:15" ht="21" customHeight="1">
      <c r="B13" s="430" t="s">
        <v>22</v>
      </c>
      <c r="C13" s="440" t="s">
        <v>23</v>
      </c>
      <c r="D13" s="441">
        <v>0.8</v>
      </c>
      <c r="E13" s="1169"/>
      <c r="F13" s="1170"/>
      <c r="G13" s="1156"/>
      <c r="H13" s="1158"/>
      <c r="I13" s="1157"/>
      <c r="J13" s="1171"/>
      <c r="K13" s="1172"/>
      <c r="L13" s="443"/>
      <c r="M13" s="442"/>
      <c r="N13" s="467">
        <f>SUM(N15:N21)*D13</f>
        <v>0.48000000000000009</v>
      </c>
    </row>
    <row r="14" spans="2:15" ht="21" customHeight="1">
      <c r="B14" s="418" t="s">
        <v>245</v>
      </c>
      <c r="C14" s="444" t="s">
        <v>24</v>
      </c>
      <c r="D14" s="445"/>
      <c r="E14" s="1173"/>
      <c r="F14" s="1173"/>
      <c r="G14" s="446"/>
      <c r="H14" s="446"/>
      <c r="I14" s="446"/>
      <c r="J14" s="445"/>
      <c r="K14" s="447"/>
      <c r="L14" s="447"/>
      <c r="M14" s="445"/>
      <c r="N14" s="448"/>
    </row>
    <row r="15" spans="2:15" ht="42" customHeight="1">
      <c r="B15" s="86">
        <v>1</v>
      </c>
      <c r="C15" s="449" t="s">
        <v>411</v>
      </c>
      <c r="D15" s="450">
        <v>0.15</v>
      </c>
      <c r="E15" s="1092" t="s">
        <v>330</v>
      </c>
      <c r="F15" s="1093"/>
      <c r="G15" s="1094" t="s">
        <v>521</v>
      </c>
      <c r="H15" s="1095"/>
      <c r="I15" s="1096"/>
      <c r="J15" s="451" t="s">
        <v>326</v>
      </c>
      <c r="K15" s="346">
        <v>0.95</v>
      </c>
      <c r="L15" s="346">
        <v>0.95</v>
      </c>
      <c r="M15" s="352">
        <f>IF(LEN(L15)=0,"",IF(L15&gt;=K15,100%,0%))</f>
        <v>1</v>
      </c>
      <c r="N15" s="452">
        <f t="shared" ref="N15:N21" si="0">IFERROR(M15*D15,"")</f>
        <v>0.15</v>
      </c>
      <c r="O15" s="13"/>
    </row>
    <row r="16" spans="2:15" ht="60" customHeight="1">
      <c r="B16" s="86">
        <v>2</v>
      </c>
      <c r="C16" s="453" t="s">
        <v>416</v>
      </c>
      <c r="D16" s="450">
        <v>0.15</v>
      </c>
      <c r="E16" s="1092" t="s">
        <v>330</v>
      </c>
      <c r="F16" s="1093"/>
      <c r="G16" s="1094" t="s">
        <v>521</v>
      </c>
      <c r="H16" s="1095"/>
      <c r="I16" s="1096"/>
      <c r="J16" s="451" t="s">
        <v>326</v>
      </c>
      <c r="K16" s="346">
        <v>0.95</v>
      </c>
      <c r="L16" s="346">
        <v>0.95</v>
      </c>
      <c r="M16" s="352">
        <f>IF(LEN(L16)=0,"",IF(L16&gt;=K16,100%,0%))</f>
        <v>1</v>
      </c>
      <c r="N16" s="358">
        <f t="shared" si="0"/>
        <v>0.15</v>
      </c>
      <c r="O16" s="13"/>
    </row>
    <row r="17" spans="2:17" ht="42" customHeight="1">
      <c r="B17" s="86">
        <v>3</v>
      </c>
      <c r="C17" s="453" t="s">
        <v>451</v>
      </c>
      <c r="D17" s="450">
        <v>0.2</v>
      </c>
      <c r="E17" s="1092" t="s">
        <v>341</v>
      </c>
      <c r="F17" s="1093"/>
      <c r="G17" s="1094" t="s">
        <v>523</v>
      </c>
      <c r="H17" s="1095"/>
      <c r="I17" s="1096"/>
      <c r="J17" s="451" t="s">
        <v>326</v>
      </c>
      <c r="K17" s="369">
        <v>0.05</v>
      </c>
      <c r="L17" s="369">
        <v>0.03</v>
      </c>
      <c r="M17" s="345">
        <f>IF(LEN(L17)=0,"",IF(L17&lt;K17,0,MIN(120%,L17/K17*100%)))</f>
        <v>0</v>
      </c>
      <c r="N17" s="358">
        <f t="shared" si="0"/>
        <v>0</v>
      </c>
      <c r="O17" s="13"/>
    </row>
    <row r="18" spans="2:17" ht="21" customHeight="1">
      <c r="B18" s="418" t="s">
        <v>245</v>
      </c>
      <c r="C18" s="444" t="s">
        <v>128</v>
      </c>
      <c r="D18" s="445"/>
      <c r="E18" s="1166"/>
      <c r="F18" s="1166"/>
      <c r="G18" s="454"/>
      <c r="H18" s="454"/>
      <c r="I18" s="455"/>
      <c r="J18" s="445"/>
      <c r="K18" s="447"/>
      <c r="L18" s="447"/>
      <c r="M18" s="445"/>
      <c r="N18" s="448"/>
    </row>
    <row r="19" spans="2:17" ht="39.950000000000003" customHeight="1">
      <c r="B19" s="86">
        <v>1</v>
      </c>
      <c r="C19" s="456" t="s">
        <v>531</v>
      </c>
      <c r="D19" s="457">
        <v>0.2</v>
      </c>
      <c r="E19" s="1092" t="s">
        <v>342</v>
      </c>
      <c r="F19" s="1093"/>
      <c r="G19" s="1094" t="s">
        <v>512</v>
      </c>
      <c r="H19" s="1095"/>
      <c r="I19" s="1096"/>
      <c r="J19" s="458" t="s">
        <v>343</v>
      </c>
      <c r="K19" s="353">
        <v>45991</v>
      </c>
      <c r="L19" s="353">
        <v>46022</v>
      </c>
      <c r="M19" s="354">
        <f>IF(LEN(L19)=0,"",IF(L19&lt;=K19,1,0))</f>
        <v>0</v>
      </c>
      <c r="N19" s="358">
        <f t="shared" si="0"/>
        <v>0</v>
      </c>
    </row>
    <row r="20" spans="2:17" ht="39.950000000000003" customHeight="1">
      <c r="B20" s="86">
        <v>2</v>
      </c>
      <c r="C20" s="456" t="s">
        <v>443</v>
      </c>
      <c r="D20" s="457">
        <v>0.1</v>
      </c>
      <c r="E20" s="1092" t="s">
        <v>413</v>
      </c>
      <c r="F20" s="1093"/>
      <c r="G20" s="1094" t="s">
        <v>522</v>
      </c>
      <c r="H20" s="1095"/>
      <c r="I20" s="1096"/>
      <c r="J20" s="458" t="s">
        <v>414</v>
      </c>
      <c r="K20" s="364">
        <v>0</v>
      </c>
      <c r="L20" s="364">
        <v>0</v>
      </c>
      <c r="M20" s="365">
        <f>IF(LEN(L20)=0,"",IF(L20=K20,1,0))</f>
        <v>1</v>
      </c>
      <c r="N20" s="358">
        <f t="shared" si="0"/>
        <v>0.1</v>
      </c>
    </row>
    <row r="21" spans="2:17" ht="39.950000000000003" customHeight="1">
      <c r="B21" s="86">
        <v>3</v>
      </c>
      <c r="C21" s="456" t="s">
        <v>452</v>
      </c>
      <c r="D21" s="457">
        <v>0.2</v>
      </c>
      <c r="E21" s="1092" t="s">
        <v>413</v>
      </c>
      <c r="F21" s="1093"/>
      <c r="G21" s="1094" t="s">
        <v>522</v>
      </c>
      <c r="H21" s="1095"/>
      <c r="I21" s="1096"/>
      <c r="J21" s="458" t="s">
        <v>414</v>
      </c>
      <c r="K21" s="364">
        <v>0</v>
      </c>
      <c r="L21" s="364">
        <v>0</v>
      </c>
      <c r="M21" s="365">
        <f>IF(LEN(L21)=0,"",IF(L21=K21,1,0))</f>
        <v>1</v>
      </c>
      <c r="N21" s="358">
        <f t="shared" si="0"/>
        <v>0.2</v>
      </c>
    </row>
    <row r="22" spans="2:17" ht="21" customHeight="1">
      <c r="B22" s="430" t="s">
        <v>40</v>
      </c>
      <c r="C22" s="459" t="s">
        <v>233</v>
      </c>
      <c r="D22" s="460">
        <v>0.1</v>
      </c>
      <c r="E22" s="1156"/>
      <c r="F22" s="1157"/>
      <c r="G22" s="1156"/>
      <c r="H22" s="1158"/>
      <c r="I22" s="1157"/>
      <c r="J22" s="1159"/>
      <c r="K22" s="1159"/>
      <c r="L22" s="433"/>
      <c r="M22" s="430"/>
      <c r="N22" s="434">
        <f>D22+SUM(N23:N24)</f>
        <v>0.1</v>
      </c>
    </row>
    <row r="23" spans="2:17" ht="17.100000000000001" customHeight="1">
      <c r="B23" s="86"/>
      <c r="C23" s="389"/>
      <c r="D23" s="351"/>
      <c r="E23" s="1093"/>
      <c r="F23" s="1093"/>
      <c r="G23" s="1160"/>
      <c r="H23" s="1161"/>
      <c r="I23" s="1162"/>
      <c r="J23" s="395"/>
      <c r="K23" s="461"/>
      <c r="L23" s="462"/>
      <c r="M23" s="345">
        <f>L23*-50%</f>
        <v>0</v>
      </c>
      <c r="N23" s="346">
        <f>M23*$D$22</f>
        <v>0</v>
      </c>
    </row>
    <row r="24" spans="2:17" ht="20.25" customHeight="1">
      <c r="B24" s="86"/>
      <c r="C24" s="389"/>
      <c r="D24" s="351"/>
      <c r="E24" s="1093"/>
      <c r="F24" s="1093"/>
      <c r="G24" s="1160"/>
      <c r="H24" s="1161"/>
      <c r="I24" s="1162"/>
      <c r="J24" s="395"/>
      <c r="K24" s="461"/>
      <c r="L24" s="462"/>
      <c r="M24" s="345">
        <f>L24*-30%</f>
        <v>0</v>
      </c>
      <c r="N24" s="346">
        <f>M24*$D$22</f>
        <v>0</v>
      </c>
    </row>
    <row r="25" spans="2:17" ht="16.5">
      <c r="B25" s="214"/>
      <c r="C25" s="214" t="s">
        <v>4</v>
      </c>
      <c r="D25" s="338"/>
      <c r="E25" s="1156"/>
      <c r="F25" s="1157"/>
      <c r="G25" s="1156"/>
      <c r="H25" s="1158"/>
      <c r="I25" s="1157"/>
      <c r="J25" s="338"/>
      <c r="K25" s="463"/>
      <c r="L25" s="464"/>
      <c r="M25" s="338"/>
      <c r="N25" s="466">
        <f>N11+N13+N22</f>
        <v>0.58000000000000007</v>
      </c>
      <c r="O25" s="1143"/>
      <c r="P25" s="1143"/>
    </row>
    <row r="26" spans="2:17" ht="17.100000000000001" customHeight="1">
      <c r="B26" s="5"/>
      <c r="C26" s="5"/>
      <c r="D26" s="5"/>
      <c r="E26" s="6"/>
      <c r="F26" s="6"/>
      <c r="G26" s="6"/>
      <c r="H26" s="6"/>
      <c r="I26" s="5"/>
      <c r="J26" s="5"/>
      <c r="K26" s="35"/>
      <c r="L26" s="36"/>
      <c r="M26" s="5"/>
      <c r="N26" s="5"/>
    </row>
    <row r="27" spans="2:17" ht="12.95" hidden="1" customHeight="1">
      <c r="B27" s="37"/>
      <c r="C27" s="47"/>
      <c r="D27" s="38"/>
      <c r="E27" s="38"/>
      <c r="F27" s="38"/>
      <c r="G27" s="37"/>
      <c r="H27" s="37"/>
      <c r="I27" s="38"/>
      <c r="J27" s="38"/>
      <c r="K27" s="38"/>
      <c r="L27" s="38"/>
      <c r="M27" s="38"/>
      <c r="N27" s="38"/>
      <c r="O27" s="38"/>
      <c r="P27" s="38"/>
      <c r="Q27" s="37"/>
    </row>
    <row r="28" spans="2:17" s="51" customFormat="1" ht="23.25" customHeight="1">
      <c r="B28" s="1079" t="s">
        <v>539</v>
      </c>
      <c r="C28" s="975"/>
      <c r="D28" s="1079" t="s">
        <v>537</v>
      </c>
      <c r="E28" s="975"/>
      <c r="F28" s="975"/>
      <c r="G28" s="975"/>
      <c r="H28" s="975"/>
      <c r="I28" s="471"/>
      <c r="J28" s="1079" t="s">
        <v>540</v>
      </c>
      <c r="K28" s="1079"/>
      <c r="L28" s="1079"/>
      <c r="M28" s="1079"/>
      <c r="N28" s="1079"/>
      <c r="O28" s="1079"/>
      <c r="P28" s="1079"/>
      <c r="Q28" s="1079"/>
    </row>
    <row r="29" spans="2:17">
      <c r="B29" s="6"/>
      <c r="C29" s="5"/>
      <c r="D29" s="5"/>
      <c r="E29" s="5"/>
      <c r="F29" s="5"/>
      <c r="G29" s="6"/>
      <c r="I29" s="6"/>
      <c r="J29" s="6"/>
      <c r="K29" s="6"/>
      <c r="L29" s="5"/>
      <c r="M29" s="5"/>
      <c r="N29" s="5"/>
      <c r="O29" s="5"/>
      <c r="P29" s="5"/>
      <c r="Q29" s="5"/>
    </row>
    <row r="30" spans="2:17">
      <c r="B30" s="6"/>
      <c r="C30" s="5"/>
      <c r="D30" s="5"/>
      <c r="E30" s="5"/>
      <c r="F30" s="5"/>
      <c r="G30" s="6"/>
      <c r="I30" s="5"/>
      <c r="J30" s="6"/>
      <c r="K30" s="5"/>
      <c r="L30" s="5"/>
      <c r="M30" s="5"/>
      <c r="N30" s="5"/>
      <c r="O30" s="5"/>
      <c r="P30" s="5"/>
      <c r="Q30" s="6"/>
    </row>
    <row r="31" spans="2:17">
      <c r="B31" s="6"/>
      <c r="C31" s="5"/>
      <c r="D31" s="5"/>
      <c r="E31" s="5"/>
      <c r="F31" s="5"/>
      <c r="G31" s="6"/>
      <c r="I31" s="5"/>
      <c r="J31" s="6"/>
      <c r="K31" s="5"/>
      <c r="L31" s="5"/>
      <c r="M31" s="5"/>
      <c r="N31" s="5"/>
      <c r="O31" s="5"/>
      <c r="P31" s="5"/>
      <c r="Q31" s="6"/>
    </row>
    <row r="32" spans="2:17">
      <c r="B32" s="6"/>
      <c r="C32" s="5"/>
      <c r="D32" s="5"/>
      <c r="E32" s="5"/>
      <c r="F32" s="5"/>
      <c r="G32" s="6"/>
      <c r="I32" s="5"/>
      <c r="J32" s="6"/>
      <c r="K32" s="5"/>
      <c r="L32" s="5"/>
      <c r="M32" s="5"/>
      <c r="N32" s="5"/>
      <c r="O32" s="5"/>
      <c r="P32" s="5"/>
      <c r="Q32" s="6"/>
    </row>
    <row r="33" spans="2:17">
      <c r="B33" s="6"/>
      <c r="C33" s="5"/>
      <c r="D33" s="5"/>
      <c r="E33" s="5"/>
      <c r="F33" s="5"/>
      <c r="G33" s="6"/>
      <c r="I33" s="5"/>
      <c r="J33" s="6"/>
      <c r="K33" s="5"/>
      <c r="L33" s="5"/>
      <c r="M33" s="5"/>
      <c r="N33" s="5"/>
      <c r="O33" s="5"/>
      <c r="P33" s="5"/>
      <c r="Q33" s="6"/>
    </row>
    <row r="34" spans="2:17" hidden="1">
      <c r="B34" s="6"/>
      <c r="C34" s="5"/>
      <c r="D34" s="5"/>
      <c r="E34" s="5"/>
      <c r="F34" s="5"/>
      <c r="G34" s="6"/>
      <c r="I34" s="5"/>
      <c r="J34" s="6"/>
      <c r="K34" s="5"/>
      <c r="L34" s="5"/>
      <c r="M34" s="5"/>
      <c r="N34" s="5"/>
      <c r="O34" s="5"/>
      <c r="P34" s="5"/>
      <c r="Q34" s="6"/>
    </row>
    <row r="35" spans="2:17">
      <c r="B35" s="972" t="s">
        <v>29</v>
      </c>
      <c r="C35" s="972"/>
      <c r="D35" s="972" t="s">
        <v>29</v>
      </c>
      <c r="E35" s="972"/>
      <c r="F35" s="972"/>
      <c r="G35" s="972"/>
      <c r="H35" s="972"/>
      <c r="I35" s="5"/>
      <c r="J35" s="972" t="s">
        <v>29</v>
      </c>
      <c r="K35" s="972"/>
      <c r="L35" s="972"/>
      <c r="M35" s="972"/>
      <c r="N35" s="972"/>
      <c r="O35" s="972"/>
      <c r="P35" s="972"/>
      <c r="Q35" s="972"/>
    </row>
    <row r="36" spans="2:17">
      <c r="B36" s="6"/>
      <c r="C36" s="5"/>
      <c r="D36" s="5"/>
      <c r="E36" s="5"/>
      <c r="F36" s="5"/>
      <c r="G36" s="6"/>
      <c r="I36" s="5"/>
      <c r="J36" s="6"/>
      <c r="K36" s="5"/>
      <c r="L36" s="5"/>
      <c r="M36" s="5"/>
      <c r="N36" s="5"/>
      <c r="O36" s="5"/>
      <c r="P36" s="5"/>
      <c r="Q36" s="6"/>
    </row>
    <row r="37" spans="2:17">
      <c r="B37" s="37"/>
      <c r="C37" s="47"/>
      <c r="D37" s="38"/>
      <c r="E37" s="38"/>
      <c r="F37" s="38"/>
      <c r="G37" s="37"/>
      <c r="I37" s="38"/>
      <c r="J37" s="37"/>
      <c r="K37" s="38"/>
      <c r="L37" s="38"/>
      <c r="M37" s="38"/>
      <c r="N37" s="38"/>
      <c r="O37" s="38"/>
      <c r="P37" s="38"/>
      <c r="Q37" s="37"/>
    </row>
    <row r="38" spans="2:17" ht="24" customHeight="1">
      <c r="B38" s="1080"/>
      <c r="C38" s="972"/>
      <c r="D38" s="1080"/>
      <c r="E38" s="972"/>
      <c r="F38" s="972"/>
      <c r="G38" s="972"/>
      <c r="H38" s="972"/>
      <c r="I38" s="245"/>
      <c r="J38" s="972"/>
      <c r="K38" s="972"/>
      <c r="L38" s="972"/>
      <c r="M38" s="972"/>
      <c r="N38" s="245"/>
      <c r="O38" s="1080"/>
      <c r="P38" s="972"/>
      <c r="Q38" s="972"/>
    </row>
    <row r="39" spans="2:17">
      <c r="B39" s="6"/>
      <c r="C39" s="5"/>
      <c r="D39" s="5"/>
      <c r="E39" s="5"/>
      <c r="F39" s="5"/>
      <c r="G39" s="6"/>
      <c r="I39" s="6"/>
      <c r="J39" s="6"/>
      <c r="K39" s="6"/>
      <c r="L39" s="5"/>
      <c r="M39" s="5"/>
      <c r="N39" s="5"/>
      <c r="O39" s="5"/>
      <c r="P39" s="5"/>
      <c r="Q39" s="5"/>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972"/>
      <c r="C45" s="972"/>
      <c r="D45" s="972"/>
      <c r="E45" s="972"/>
      <c r="F45" s="972"/>
      <c r="G45" s="972"/>
      <c r="H45" s="972"/>
      <c r="I45" s="5"/>
      <c r="J45" s="972"/>
      <c r="K45" s="972"/>
      <c r="L45" s="972"/>
      <c r="M45" s="972"/>
      <c r="N45" s="5"/>
      <c r="O45" s="972"/>
      <c r="P45" s="972"/>
      <c r="Q45" s="972"/>
    </row>
  </sheetData>
  <mergeCells count="47">
    <mergeCell ref="B28:C28"/>
    <mergeCell ref="D28:H28"/>
    <mergeCell ref="J28:Q28"/>
    <mergeCell ref="O25:P25"/>
    <mergeCell ref="E17:F17"/>
    <mergeCell ref="G17:I17"/>
    <mergeCell ref="E19:F19"/>
    <mergeCell ref="G19:I19"/>
    <mergeCell ref="E20:F20"/>
    <mergeCell ref="G20:I20"/>
    <mergeCell ref="E21:F21"/>
    <mergeCell ref="G21:I21"/>
    <mergeCell ref="E18:F18"/>
    <mergeCell ref="E23:F23"/>
    <mergeCell ref="G23:I23"/>
    <mergeCell ref="E24:F24"/>
    <mergeCell ref="E25:F25"/>
    <mergeCell ref="G25:I25"/>
    <mergeCell ref="E13:F13"/>
    <mergeCell ref="G22:I22"/>
    <mergeCell ref="J13:K13"/>
    <mergeCell ref="G24:I24"/>
    <mergeCell ref="J22:K22"/>
    <mergeCell ref="E22:F22"/>
    <mergeCell ref="C6:I6"/>
    <mergeCell ref="E16:F16"/>
    <mergeCell ref="G16:I16"/>
    <mergeCell ref="E10:F10"/>
    <mergeCell ref="G10:I10"/>
    <mergeCell ref="E12:F12"/>
    <mergeCell ref="G13:I13"/>
    <mergeCell ref="E14:F14"/>
    <mergeCell ref="E15:F15"/>
    <mergeCell ref="G15:I15"/>
    <mergeCell ref="E11:F11"/>
    <mergeCell ref="G11:I11"/>
    <mergeCell ref="B45:C45"/>
    <mergeCell ref="D45:H45"/>
    <mergeCell ref="J45:M45"/>
    <mergeCell ref="O45:Q45"/>
    <mergeCell ref="B35:C35"/>
    <mergeCell ref="D35:H35"/>
    <mergeCell ref="J35:Q35"/>
    <mergeCell ref="B38:C38"/>
    <mergeCell ref="D38:H38"/>
    <mergeCell ref="J38:M38"/>
    <mergeCell ref="O38:Q38"/>
  </mergeCells>
  <pageMargins left="0.17" right="0.17" top="0.19" bottom="0.17" header="0.17" footer="0.17"/>
  <pageSetup paperSize="9" scale="85"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6"/>
  <dimension ref="B1:Q45"/>
  <sheetViews>
    <sheetView showGridLines="0" topLeftCell="A17" zoomScaleNormal="100" workbookViewId="0">
      <selection activeCell="C16" sqref="C16"/>
    </sheetView>
  </sheetViews>
  <sheetFormatPr defaultColWidth="8.875" defaultRowHeight="12.75"/>
  <cols>
    <col min="1" max="1" width="2.125" style="1" customWidth="1"/>
    <col min="2" max="2" width="11.625" style="1" customWidth="1"/>
    <col min="3" max="3" width="32" style="1" customWidth="1"/>
    <col min="4" max="4" width="8.875" style="1"/>
    <col min="5" max="5" width="6.625" style="2" customWidth="1"/>
    <col min="6" max="6" width="22.875" style="2" customWidth="1"/>
    <col min="7" max="7" width="5.125" style="2" customWidth="1"/>
    <col min="8" max="8" width="3.875" style="2" customWidth="1"/>
    <col min="9" max="10" width="10.125" style="1" customWidth="1"/>
    <col min="11" max="11" width="13.875" style="39" customWidth="1"/>
    <col min="12" max="12" width="9.875" style="40" customWidth="1"/>
    <col min="13" max="13" width="12.37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5" hidden="1"/>
    <row r="2" spans="2:15" s="375" customFormat="1" hidden="1">
      <c r="B2" s="407" t="s">
        <v>464</v>
      </c>
      <c r="C2" s="140" t="s">
        <v>132</v>
      </c>
      <c r="D2" s="140"/>
    </row>
    <row r="3" spans="2:15" s="375" customFormat="1" hidden="1">
      <c r="B3" s="407" t="s">
        <v>465</v>
      </c>
      <c r="C3" s="209" t="s">
        <v>255</v>
      </c>
      <c r="D3" s="209"/>
    </row>
    <row r="4" spans="2:15" s="375" customFormat="1" hidden="1">
      <c r="B4" s="407" t="s">
        <v>466</v>
      </c>
      <c r="C4" s="140" t="s">
        <v>133</v>
      </c>
      <c r="D4" s="140"/>
    </row>
    <row r="5" spans="2:15" s="31" customFormat="1" ht="6.95" customHeight="1">
      <c r="B5" s="30"/>
      <c r="C5" s="30"/>
      <c r="E5" s="30"/>
      <c r="J5" s="30"/>
      <c r="K5" s="32"/>
      <c r="L5" s="33"/>
    </row>
    <row r="6" spans="2:15" s="98" customFormat="1" ht="26.1" customHeight="1">
      <c r="B6" s="99" t="s">
        <v>81</v>
      </c>
      <c r="C6" s="1121" t="s">
        <v>480</v>
      </c>
      <c r="D6" s="1121"/>
      <c r="E6" s="1121"/>
      <c r="F6" s="1121"/>
      <c r="G6" s="1121"/>
      <c r="H6" s="1121"/>
      <c r="I6" s="1121"/>
      <c r="J6" s="145"/>
      <c r="K6" s="145"/>
      <c r="L6" s="145"/>
      <c r="M6" s="145"/>
      <c r="N6" s="145"/>
    </row>
    <row r="7" spans="2:15" s="3" customFormat="1" ht="20.100000000000001" customHeight="1">
      <c r="B7" s="213" t="s">
        <v>404</v>
      </c>
      <c r="C7" s="213" t="s">
        <v>543</v>
      </c>
      <c r="D7" s="211"/>
      <c r="E7" s="211"/>
      <c r="F7" s="211"/>
      <c r="G7" s="211"/>
      <c r="H7" s="211"/>
      <c r="I7" s="211" t="s">
        <v>278</v>
      </c>
      <c r="J7" s="212" t="s">
        <v>439</v>
      </c>
      <c r="K7" s="212"/>
      <c r="L7" s="212"/>
      <c r="M7" s="212"/>
      <c r="N7" s="31"/>
    </row>
    <row r="8" spans="2:15" s="3" customFormat="1" ht="18.95" customHeight="1">
      <c r="B8" s="213" t="s">
        <v>280</v>
      </c>
      <c r="C8" s="472" t="s">
        <v>544</v>
      </c>
      <c r="D8" s="211"/>
      <c r="E8" s="211"/>
      <c r="F8" s="211"/>
      <c r="G8" s="211"/>
      <c r="H8" s="211"/>
      <c r="I8" s="211" t="s">
        <v>477</v>
      </c>
      <c r="J8" s="212" t="s">
        <v>471</v>
      </c>
      <c r="K8" s="212"/>
      <c r="L8" s="212"/>
      <c r="M8" s="212"/>
      <c r="N8" s="31"/>
    </row>
    <row r="9" spans="2:15" s="3" customFormat="1" ht="6.95" customHeight="1">
      <c r="D9" s="85"/>
      <c r="E9" s="85"/>
      <c r="F9" s="85"/>
      <c r="G9" s="85"/>
      <c r="H9" s="85"/>
      <c r="I9" s="85"/>
      <c r="J9" s="85"/>
      <c r="K9" s="85"/>
      <c r="L9" s="85"/>
      <c r="M9" s="85"/>
      <c r="N9" s="85"/>
    </row>
    <row r="10" spans="2:15"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5" ht="21" customHeight="1">
      <c r="B11" s="430" t="s">
        <v>21</v>
      </c>
      <c r="C11" s="431" t="s">
        <v>478</v>
      </c>
      <c r="D11" s="432">
        <v>0.1</v>
      </c>
      <c r="E11" s="1179"/>
      <c r="F11" s="1180"/>
      <c r="G11" s="1156"/>
      <c r="H11" s="1158"/>
      <c r="I11" s="1157"/>
      <c r="J11" s="214"/>
      <c r="K11" s="214"/>
      <c r="L11" s="433"/>
      <c r="M11" s="430"/>
      <c r="N11" s="466">
        <f>N12</f>
        <v>0</v>
      </c>
    </row>
    <row r="12" spans="2:15" ht="21" customHeight="1">
      <c r="B12" s="418"/>
      <c r="C12" s="435" t="s">
        <v>469</v>
      </c>
      <c r="D12" s="421"/>
      <c r="E12" s="1174"/>
      <c r="F12" s="1174"/>
      <c r="G12" s="436"/>
      <c r="H12" s="436"/>
      <c r="I12" s="437"/>
      <c r="J12" s="396"/>
      <c r="K12" s="438">
        <v>1</v>
      </c>
      <c r="L12" s="439"/>
      <c r="M12" s="345">
        <f>L12/K12*100%</f>
        <v>0</v>
      </c>
      <c r="N12" s="346">
        <f>M12*D11</f>
        <v>0</v>
      </c>
    </row>
    <row r="13" spans="2:15" ht="21" customHeight="1">
      <c r="B13" s="430" t="s">
        <v>22</v>
      </c>
      <c r="C13" s="440" t="s">
        <v>23</v>
      </c>
      <c r="D13" s="441">
        <v>0.8</v>
      </c>
      <c r="E13" s="1169"/>
      <c r="F13" s="1170"/>
      <c r="G13" s="1156"/>
      <c r="H13" s="1158"/>
      <c r="I13" s="1157"/>
      <c r="J13" s="1171"/>
      <c r="K13" s="1172"/>
      <c r="L13" s="443"/>
      <c r="M13" s="442"/>
      <c r="N13" s="467">
        <f>SUM(N15:N21)*D13</f>
        <v>0</v>
      </c>
    </row>
    <row r="14" spans="2:15" ht="21" customHeight="1">
      <c r="B14" s="418" t="s">
        <v>245</v>
      </c>
      <c r="C14" s="444" t="s">
        <v>24</v>
      </c>
      <c r="D14" s="445"/>
      <c r="E14" s="1173"/>
      <c r="F14" s="1173"/>
      <c r="G14" s="446"/>
      <c r="H14" s="446"/>
      <c r="I14" s="446"/>
      <c r="J14" s="445"/>
      <c r="K14" s="447"/>
      <c r="L14" s="447"/>
      <c r="M14" s="445"/>
      <c r="N14" s="448"/>
    </row>
    <row r="15" spans="2:15" ht="49.5" customHeight="1">
      <c r="B15" s="86">
        <v>1</v>
      </c>
      <c r="C15" s="449" t="s">
        <v>418</v>
      </c>
      <c r="D15" s="450">
        <v>0.15</v>
      </c>
      <c r="E15" s="1092" t="s">
        <v>413</v>
      </c>
      <c r="F15" s="1093"/>
      <c r="G15" s="1094" t="s">
        <v>524</v>
      </c>
      <c r="H15" s="1095"/>
      <c r="I15" s="1096"/>
      <c r="J15" s="451" t="s">
        <v>414</v>
      </c>
      <c r="K15" s="364">
        <v>0</v>
      </c>
      <c r="L15" s="364"/>
      <c r="M15" s="365" t="str">
        <f>IF(LEN(L15)=0,"",IF(L15=K15,1,0))</f>
        <v/>
      </c>
      <c r="N15" s="452" t="str">
        <f t="shared" ref="N15:N21" si="0">IFERROR(M15*D15,"")</f>
        <v/>
      </c>
      <c r="O15" s="13"/>
    </row>
    <row r="16" spans="2:15" ht="38.25">
      <c r="B16" s="86">
        <v>2</v>
      </c>
      <c r="C16" s="453" t="s">
        <v>449</v>
      </c>
      <c r="D16" s="450">
        <v>0.2</v>
      </c>
      <c r="E16" s="1092" t="s">
        <v>342</v>
      </c>
      <c r="F16" s="1093"/>
      <c r="G16" s="1094" t="s">
        <v>471</v>
      </c>
      <c r="H16" s="1095"/>
      <c r="I16" s="1096"/>
      <c r="J16" s="451" t="s">
        <v>343</v>
      </c>
      <c r="K16" s="353">
        <v>45991</v>
      </c>
      <c r="L16" s="353"/>
      <c r="M16" s="354" t="str">
        <f>IF(LEN(L16)=0,"",IF(L16&lt;=K16,1,0))</f>
        <v/>
      </c>
      <c r="N16" s="358" t="str">
        <f t="shared" si="0"/>
        <v/>
      </c>
      <c r="O16" s="13"/>
    </row>
    <row r="17" spans="2:17" ht="25.5">
      <c r="B17" s="86">
        <v>3</v>
      </c>
      <c r="C17" s="453" t="s">
        <v>392</v>
      </c>
      <c r="D17" s="450">
        <v>0.15</v>
      </c>
      <c r="E17" s="1092" t="s">
        <v>319</v>
      </c>
      <c r="F17" s="1093"/>
      <c r="G17" s="1094" t="s">
        <v>471</v>
      </c>
      <c r="H17" s="1095"/>
      <c r="I17" s="1096"/>
      <c r="J17" s="451" t="s">
        <v>326</v>
      </c>
      <c r="K17" s="346">
        <v>0.05</v>
      </c>
      <c r="L17" s="346"/>
      <c r="M17" s="345" t="str">
        <f>IF(LEN(L17)=0,"",IF(L17&lt;K17*80%,0,MIN(120%,L17/K17*100%)))</f>
        <v/>
      </c>
      <c r="N17" s="452" t="str">
        <f t="shared" si="0"/>
        <v/>
      </c>
      <c r="O17" s="13"/>
    </row>
    <row r="18" spans="2:17" ht="25.5">
      <c r="B18" s="86">
        <v>4</v>
      </c>
      <c r="C18" s="453" t="s">
        <v>396</v>
      </c>
      <c r="D18" s="450">
        <v>0.25</v>
      </c>
      <c r="E18" s="1092" t="s">
        <v>342</v>
      </c>
      <c r="F18" s="1093"/>
      <c r="G18" s="1094" t="s">
        <v>471</v>
      </c>
      <c r="H18" s="1095"/>
      <c r="I18" s="1096"/>
      <c r="J18" s="451" t="s">
        <v>343</v>
      </c>
      <c r="K18" s="353">
        <v>46022</v>
      </c>
      <c r="L18" s="353"/>
      <c r="M18" s="354" t="str">
        <f>IF(LEN(L18)=0,"",IF(L18&lt;=K18,1,0))</f>
        <v/>
      </c>
      <c r="N18" s="452" t="str">
        <f t="shared" si="0"/>
        <v/>
      </c>
      <c r="O18" s="13"/>
    </row>
    <row r="19" spans="2:17" ht="51">
      <c r="B19" s="86">
        <v>5</v>
      </c>
      <c r="C19" s="453" t="s">
        <v>426</v>
      </c>
      <c r="D19" s="450">
        <v>0.15</v>
      </c>
      <c r="E19" s="1092" t="s">
        <v>342</v>
      </c>
      <c r="F19" s="1093"/>
      <c r="G19" s="1094" t="s">
        <v>525</v>
      </c>
      <c r="H19" s="1095"/>
      <c r="I19" s="1096"/>
      <c r="J19" s="451" t="s">
        <v>343</v>
      </c>
      <c r="K19" s="353">
        <v>46022</v>
      </c>
      <c r="L19" s="353"/>
      <c r="M19" s="354" t="str">
        <f>IF(LEN(L19)=0,"",IF(L19&lt;=K19,1,0))</f>
        <v/>
      </c>
      <c r="N19" s="452" t="str">
        <f t="shared" ref="N19" si="1">IFERROR(M19*D19,"")</f>
        <v/>
      </c>
      <c r="O19" s="13"/>
    </row>
    <row r="20" spans="2:17">
      <c r="B20" s="418" t="s">
        <v>245</v>
      </c>
      <c r="C20" s="444" t="s">
        <v>128</v>
      </c>
      <c r="D20" s="445"/>
      <c r="E20" s="1166"/>
      <c r="F20" s="1166"/>
      <c r="G20" s="454"/>
      <c r="H20" s="454"/>
      <c r="I20" s="455"/>
      <c r="J20" s="445"/>
      <c r="K20" s="447"/>
      <c r="L20" s="447"/>
      <c r="M20" s="445"/>
      <c r="N20" s="448"/>
    </row>
    <row r="21" spans="2:17" ht="63.75">
      <c r="B21" s="86">
        <v>1</v>
      </c>
      <c r="C21" s="453" t="s">
        <v>481</v>
      </c>
      <c r="D21" s="450">
        <v>0.1</v>
      </c>
      <c r="E21" s="1092" t="s">
        <v>342</v>
      </c>
      <c r="F21" s="1093"/>
      <c r="G21" s="1094" t="s">
        <v>524</v>
      </c>
      <c r="H21" s="1095"/>
      <c r="I21" s="1096"/>
      <c r="J21" s="458" t="s">
        <v>414</v>
      </c>
      <c r="K21" s="465">
        <v>1</v>
      </c>
      <c r="L21" s="465"/>
      <c r="M21" s="354" t="str">
        <f>IF(LEN(L21)=0,"",IF(L21&lt;=K21,1,0))</f>
        <v/>
      </c>
      <c r="N21" s="358" t="str">
        <f t="shared" si="0"/>
        <v/>
      </c>
    </row>
    <row r="22" spans="2:17" ht="21" customHeight="1">
      <c r="B22" s="430" t="s">
        <v>40</v>
      </c>
      <c r="C22" s="459" t="s">
        <v>233</v>
      </c>
      <c r="D22" s="460">
        <v>0.1</v>
      </c>
      <c r="E22" s="1156"/>
      <c r="F22" s="1157"/>
      <c r="G22" s="1156"/>
      <c r="H22" s="1158"/>
      <c r="I22" s="1157"/>
      <c r="J22" s="1159"/>
      <c r="K22" s="1159"/>
      <c r="L22" s="433"/>
      <c r="M22" s="430"/>
      <c r="N22" s="434">
        <f>D22+SUM(N23:N24)</f>
        <v>0.1</v>
      </c>
    </row>
    <row r="23" spans="2:17">
      <c r="B23" s="86"/>
      <c r="C23" s="389"/>
      <c r="D23" s="351"/>
      <c r="E23" s="1093"/>
      <c r="F23" s="1093"/>
      <c r="G23" s="1160"/>
      <c r="H23" s="1161"/>
      <c r="I23" s="1162"/>
      <c r="J23" s="395"/>
      <c r="K23" s="461"/>
      <c r="L23" s="462"/>
      <c r="M23" s="345">
        <f>L23*-50%</f>
        <v>0</v>
      </c>
      <c r="N23" s="346">
        <f>M23*$D$22</f>
        <v>0</v>
      </c>
    </row>
    <row r="24" spans="2:17">
      <c r="B24" s="86"/>
      <c r="C24" s="389"/>
      <c r="D24" s="351"/>
      <c r="E24" s="1093"/>
      <c r="F24" s="1093"/>
      <c r="G24" s="1160"/>
      <c r="H24" s="1161"/>
      <c r="I24" s="1162"/>
      <c r="J24" s="395"/>
      <c r="K24" s="461"/>
      <c r="L24" s="462"/>
      <c r="M24" s="345">
        <f>L24*-30%</f>
        <v>0</v>
      </c>
      <c r="N24" s="346">
        <f>M24*$D$22</f>
        <v>0</v>
      </c>
    </row>
    <row r="25" spans="2:17" ht="16.5">
      <c r="B25" s="214"/>
      <c r="C25" s="214" t="s">
        <v>4</v>
      </c>
      <c r="D25" s="338"/>
      <c r="E25" s="1156"/>
      <c r="F25" s="1157"/>
      <c r="G25" s="1156"/>
      <c r="H25" s="1158"/>
      <c r="I25" s="1157"/>
      <c r="J25" s="338"/>
      <c r="K25" s="463"/>
      <c r="L25" s="464"/>
      <c r="M25" s="338"/>
      <c r="N25" s="466">
        <f>N11+N13+N22</f>
        <v>0.1</v>
      </c>
      <c r="O25" s="1143"/>
      <c r="P25" s="1143"/>
    </row>
    <row r="26" spans="2:17" ht="17.100000000000001" customHeight="1">
      <c r="B26" s="5"/>
      <c r="C26" s="5"/>
      <c r="D26" s="5"/>
      <c r="E26" s="6"/>
      <c r="F26" s="6"/>
      <c r="G26" s="6"/>
      <c r="H26" s="6"/>
      <c r="I26" s="5"/>
      <c r="J26" s="5"/>
      <c r="K26" s="35"/>
      <c r="L26" s="36"/>
      <c r="M26" s="5"/>
      <c r="N26" s="5"/>
    </row>
    <row r="27" spans="2:17" ht="12.95" hidden="1" customHeight="1">
      <c r="B27" s="37"/>
      <c r="C27" s="47"/>
      <c r="D27" s="38"/>
      <c r="E27" s="38"/>
      <c r="F27" s="38"/>
      <c r="G27" s="37"/>
      <c r="H27" s="37"/>
      <c r="I27" s="38"/>
      <c r="J27" s="38"/>
      <c r="K27" s="38"/>
      <c r="L27" s="38"/>
      <c r="M27" s="38"/>
      <c r="N27" s="38"/>
      <c r="O27" s="38"/>
      <c r="P27" s="38"/>
      <c r="Q27" s="37"/>
    </row>
    <row r="28" spans="2:17" s="51" customFormat="1" ht="32.1" customHeight="1">
      <c r="B28" s="1079" t="s">
        <v>539</v>
      </c>
      <c r="C28" s="975"/>
      <c r="D28" s="1079" t="s">
        <v>537</v>
      </c>
      <c r="E28" s="1079"/>
      <c r="F28" s="1079"/>
      <c r="G28" s="1079"/>
      <c r="H28" s="1079"/>
      <c r="I28" s="1079"/>
      <c r="J28" s="1079" t="s">
        <v>540</v>
      </c>
      <c r="K28" s="1079"/>
      <c r="L28" s="1079"/>
      <c r="M28" s="1079"/>
      <c r="N28" s="1079"/>
      <c r="O28" s="1079"/>
      <c r="P28" s="1079"/>
      <c r="Q28" s="1079"/>
    </row>
    <row r="29" spans="2:17">
      <c r="B29" s="6"/>
      <c r="C29" s="5"/>
      <c r="D29" s="5"/>
      <c r="E29" s="5"/>
      <c r="F29" s="5"/>
      <c r="G29" s="6"/>
      <c r="I29" s="6"/>
      <c r="J29" s="6"/>
      <c r="K29" s="6"/>
      <c r="L29" s="5"/>
      <c r="M29" s="5"/>
      <c r="N29" s="5"/>
      <c r="O29" s="5"/>
      <c r="P29" s="5"/>
      <c r="Q29" s="5"/>
    </row>
    <row r="30" spans="2:17">
      <c r="B30" s="6"/>
      <c r="C30" s="5"/>
      <c r="D30" s="5"/>
      <c r="E30" s="5"/>
      <c r="F30" s="5"/>
      <c r="G30" s="6"/>
      <c r="I30" s="5"/>
      <c r="J30" s="6"/>
      <c r="K30" s="5"/>
      <c r="L30" s="5"/>
      <c r="M30" s="5"/>
      <c r="N30" s="5"/>
      <c r="O30" s="5"/>
      <c r="P30" s="5"/>
      <c r="Q30" s="6"/>
    </row>
    <row r="31" spans="2:17">
      <c r="B31" s="6"/>
      <c r="C31" s="5"/>
      <c r="D31" s="5"/>
      <c r="E31" s="5"/>
      <c r="F31" s="5"/>
      <c r="G31" s="6"/>
      <c r="I31" s="5"/>
      <c r="J31" s="6"/>
      <c r="K31" s="5"/>
      <c r="L31" s="5"/>
      <c r="M31" s="5"/>
      <c r="N31" s="5"/>
      <c r="O31" s="5"/>
      <c r="P31" s="5"/>
      <c r="Q31" s="6"/>
    </row>
    <row r="32" spans="2:17">
      <c r="B32" s="6"/>
      <c r="C32" s="5"/>
      <c r="D32" s="5"/>
      <c r="E32" s="5"/>
      <c r="F32" s="5"/>
      <c r="G32" s="6"/>
      <c r="I32" s="5"/>
      <c r="J32" s="6"/>
      <c r="K32" s="5"/>
      <c r="L32" s="5"/>
      <c r="M32" s="5"/>
      <c r="N32" s="5"/>
      <c r="O32" s="5"/>
      <c r="P32" s="5"/>
      <c r="Q32" s="6"/>
    </row>
    <row r="33" spans="2:17">
      <c r="B33" s="6"/>
      <c r="C33" s="5"/>
      <c r="D33" s="5"/>
      <c r="E33" s="5"/>
      <c r="F33" s="5"/>
      <c r="G33" s="6"/>
      <c r="I33" s="5"/>
      <c r="J33" s="6"/>
      <c r="K33" s="5"/>
      <c r="L33" s="5"/>
      <c r="M33" s="5"/>
      <c r="N33" s="5"/>
      <c r="O33" s="5"/>
      <c r="P33" s="5"/>
      <c r="Q33" s="6"/>
    </row>
    <row r="34" spans="2:17" ht="15.75" customHeight="1">
      <c r="B34" s="6"/>
      <c r="C34" s="5"/>
      <c r="D34" s="972" t="s">
        <v>29</v>
      </c>
      <c r="E34" s="972"/>
      <c r="F34" s="972"/>
      <c r="G34" s="972"/>
      <c r="H34" s="972"/>
      <c r="I34" s="972"/>
      <c r="J34" s="6"/>
      <c r="K34" s="5"/>
      <c r="L34" s="5"/>
      <c r="M34" s="5"/>
      <c r="N34" s="5"/>
      <c r="O34" s="5"/>
      <c r="P34" s="5"/>
      <c r="Q34" s="6"/>
    </row>
    <row r="35" spans="2:17">
      <c r="B35" s="972" t="s">
        <v>29</v>
      </c>
      <c r="C35" s="972"/>
      <c r="D35" s="972"/>
      <c r="E35" s="972"/>
      <c r="F35" s="972"/>
      <c r="G35" s="972"/>
      <c r="H35" s="972"/>
      <c r="I35" s="972"/>
      <c r="J35" s="972" t="s">
        <v>29</v>
      </c>
      <c r="K35" s="972"/>
      <c r="L35" s="972"/>
      <c r="M35" s="972"/>
      <c r="N35" s="972"/>
      <c r="O35" s="972"/>
      <c r="P35" s="972"/>
      <c r="Q35" s="972"/>
    </row>
    <row r="36" spans="2:17">
      <c r="B36" s="6"/>
      <c r="C36" s="5"/>
      <c r="D36" s="5"/>
      <c r="E36" s="5"/>
      <c r="F36" s="5"/>
      <c r="G36" s="6"/>
      <c r="I36" s="5"/>
      <c r="J36" s="6"/>
      <c r="K36" s="5"/>
      <c r="L36" s="5"/>
      <c r="M36" s="5"/>
      <c r="N36" s="5"/>
      <c r="O36" s="5"/>
      <c r="P36" s="5"/>
      <c r="Q36" s="6"/>
    </row>
    <row r="37" spans="2:17">
      <c r="B37" s="37"/>
      <c r="C37" s="47"/>
      <c r="D37" s="38"/>
      <c r="E37" s="38"/>
      <c r="F37" s="38"/>
      <c r="G37" s="37"/>
      <c r="I37" s="38"/>
      <c r="J37" s="37"/>
      <c r="K37" s="38"/>
      <c r="L37" s="38"/>
      <c r="M37" s="38"/>
      <c r="N37" s="38"/>
      <c r="O37" s="38"/>
      <c r="P37" s="38"/>
      <c r="Q37" s="37"/>
    </row>
    <row r="38" spans="2:17" ht="24" customHeight="1">
      <c r="B38" s="1080"/>
      <c r="C38" s="972"/>
      <c r="D38" s="1080"/>
      <c r="E38" s="972"/>
      <c r="F38" s="972"/>
      <c r="G38" s="972"/>
      <c r="H38" s="972"/>
      <c r="I38" s="245"/>
      <c r="J38" s="972"/>
      <c r="K38" s="972"/>
      <c r="L38" s="972"/>
      <c r="M38" s="972"/>
      <c r="N38" s="245"/>
      <c r="O38" s="1080"/>
      <c r="P38" s="972"/>
      <c r="Q38" s="972"/>
    </row>
    <row r="39" spans="2:17">
      <c r="B39" s="6"/>
      <c r="C39" s="5"/>
      <c r="D39" s="5"/>
      <c r="E39" s="5"/>
      <c r="F39" s="5"/>
      <c r="G39" s="6"/>
      <c r="I39" s="6"/>
      <c r="J39" s="6"/>
      <c r="K39" s="6"/>
      <c r="L39" s="5"/>
      <c r="M39" s="5"/>
      <c r="N39" s="5"/>
      <c r="O39" s="5"/>
      <c r="P39" s="5"/>
      <c r="Q39" s="5"/>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972"/>
      <c r="C45" s="972"/>
      <c r="D45" s="972"/>
      <c r="E45" s="972"/>
      <c r="F45" s="972"/>
      <c r="G45" s="972"/>
      <c r="H45" s="972"/>
      <c r="I45" s="5"/>
      <c r="J45" s="972"/>
      <c r="K45" s="972"/>
      <c r="L45" s="972"/>
      <c r="M45" s="972"/>
      <c r="N45" s="5"/>
      <c r="O45" s="972"/>
      <c r="P45" s="972"/>
      <c r="Q45" s="972"/>
    </row>
  </sheetData>
  <mergeCells count="47">
    <mergeCell ref="J22:K22"/>
    <mergeCell ref="O25:P25"/>
    <mergeCell ref="E23:F23"/>
    <mergeCell ref="G23:I23"/>
    <mergeCell ref="E24:F24"/>
    <mergeCell ref="G24:I24"/>
    <mergeCell ref="E25:F25"/>
    <mergeCell ref="G25:I25"/>
    <mergeCell ref="E21:F21"/>
    <mergeCell ref="G21:I21"/>
    <mergeCell ref="E22:F22"/>
    <mergeCell ref="G22:I22"/>
    <mergeCell ref="E16:F16"/>
    <mergeCell ref="G16:I16"/>
    <mergeCell ref="E19:F19"/>
    <mergeCell ref="E20:F20"/>
    <mergeCell ref="E17:F17"/>
    <mergeCell ref="E18:F18"/>
    <mergeCell ref="G17:I17"/>
    <mergeCell ref="G18:I18"/>
    <mergeCell ref="G19:I19"/>
    <mergeCell ref="E13:F13"/>
    <mergeCell ref="G13:I13"/>
    <mergeCell ref="J13:K13"/>
    <mergeCell ref="E14:F14"/>
    <mergeCell ref="E15:F15"/>
    <mergeCell ref="G15:I15"/>
    <mergeCell ref="E12:F12"/>
    <mergeCell ref="C6:I6"/>
    <mergeCell ref="E10:F10"/>
    <mergeCell ref="G10:I10"/>
    <mergeCell ref="E11:F11"/>
    <mergeCell ref="G11:I11"/>
    <mergeCell ref="B45:C45"/>
    <mergeCell ref="D45:H45"/>
    <mergeCell ref="J45:M45"/>
    <mergeCell ref="O45:Q45"/>
    <mergeCell ref="J28:Q28"/>
    <mergeCell ref="B35:C35"/>
    <mergeCell ref="J35:Q35"/>
    <mergeCell ref="B38:C38"/>
    <mergeCell ref="D38:H38"/>
    <mergeCell ref="J38:M38"/>
    <mergeCell ref="O38:Q38"/>
    <mergeCell ref="B28:C28"/>
    <mergeCell ref="D28:I28"/>
    <mergeCell ref="D34:I35"/>
  </mergeCells>
  <pageMargins left="0.17" right="0.17" top="0.28000000000000003" bottom="0.17" header="0.3" footer="0.3"/>
  <pageSetup paperSize="9" scale="83"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7"/>
  <dimension ref="B1:Q45"/>
  <sheetViews>
    <sheetView showGridLines="0" topLeftCell="A5" zoomScaleNormal="100" workbookViewId="0">
      <selection activeCell="C16" sqref="C16"/>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22.875" style="2" customWidth="1"/>
    <col min="7" max="7" width="5.125" style="2" customWidth="1"/>
    <col min="8" max="8" width="3.875" style="2" customWidth="1"/>
    <col min="9" max="10" width="10.125" style="1" customWidth="1"/>
    <col min="11" max="11" width="13.875" style="39" customWidth="1"/>
    <col min="12" max="12" width="9.875" style="40" customWidth="1"/>
    <col min="13" max="13" width="10.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5" hidden="1"/>
    <row r="2" spans="2:15" s="375" customFormat="1" hidden="1">
      <c r="B2" s="407" t="s">
        <v>464</v>
      </c>
      <c r="C2" s="140" t="s">
        <v>132</v>
      </c>
      <c r="D2" s="140"/>
    </row>
    <row r="3" spans="2:15" s="375" customFormat="1" hidden="1">
      <c r="B3" s="407" t="s">
        <v>465</v>
      </c>
      <c r="C3" s="209" t="s">
        <v>255</v>
      </c>
      <c r="D3" s="209"/>
    </row>
    <row r="4" spans="2:15" s="375" customFormat="1" hidden="1">
      <c r="B4" s="407" t="s">
        <v>466</v>
      </c>
      <c r="C4" s="140" t="s">
        <v>133</v>
      </c>
      <c r="D4" s="140"/>
    </row>
    <row r="5" spans="2:15" s="31" customFormat="1" ht="6.95" customHeight="1">
      <c r="B5" s="30"/>
      <c r="C5" s="30"/>
      <c r="E5" s="30"/>
      <c r="J5" s="30"/>
      <c r="K5" s="32"/>
      <c r="L5" s="33"/>
    </row>
    <row r="6" spans="2:15" s="98" customFormat="1" ht="26.1" customHeight="1">
      <c r="B6" s="99" t="s">
        <v>81</v>
      </c>
      <c r="C6" s="1121" t="s">
        <v>480</v>
      </c>
      <c r="D6" s="1121"/>
      <c r="E6" s="1121"/>
      <c r="F6" s="1121"/>
      <c r="G6" s="1121"/>
      <c r="H6" s="1121"/>
      <c r="I6" s="1121"/>
      <c r="J6" s="145"/>
      <c r="K6" s="145"/>
      <c r="L6" s="145"/>
      <c r="M6" s="145"/>
      <c r="N6" s="145"/>
    </row>
    <row r="7" spans="2:15" s="3" customFormat="1" ht="20.100000000000001" customHeight="1">
      <c r="B7" s="213" t="s">
        <v>404</v>
      </c>
      <c r="C7" s="213" t="s">
        <v>545</v>
      </c>
      <c r="D7" s="211"/>
      <c r="E7" s="211"/>
      <c r="F7" s="211"/>
      <c r="G7" s="211"/>
      <c r="H7" s="211"/>
      <c r="I7" s="211" t="s">
        <v>278</v>
      </c>
      <c r="J7" s="212" t="s">
        <v>440</v>
      </c>
      <c r="K7" s="212"/>
      <c r="L7" s="212"/>
      <c r="M7" s="212"/>
      <c r="N7" s="31"/>
    </row>
    <row r="8" spans="2:15" s="3" customFormat="1" ht="18.95" customHeight="1">
      <c r="B8" s="213" t="s">
        <v>280</v>
      </c>
      <c r="C8" s="472" t="s">
        <v>546</v>
      </c>
      <c r="D8" s="211"/>
      <c r="E8" s="211"/>
      <c r="F8" s="211"/>
      <c r="G8" s="211"/>
      <c r="H8" s="211"/>
      <c r="I8" s="211" t="s">
        <v>477</v>
      </c>
      <c r="J8" s="212" t="s">
        <v>471</v>
      </c>
      <c r="K8" s="212"/>
      <c r="L8" s="212"/>
      <c r="M8" s="212"/>
      <c r="N8" s="31"/>
    </row>
    <row r="9" spans="2:15" s="3" customFormat="1" ht="6.95" customHeight="1">
      <c r="D9" s="85"/>
      <c r="E9" s="85"/>
      <c r="F9" s="85"/>
      <c r="G9" s="85"/>
      <c r="H9" s="85"/>
      <c r="I9" s="85"/>
      <c r="J9" s="85"/>
      <c r="K9" s="85"/>
      <c r="L9" s="85"/>
      <c r="M9" s="85"/>
      <c r="N9" s="85"/>
    </row>
    <row r="10" spans="2:15"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5" ht="21" customHeight="1">
      <c r="B11" s="430" t="s">
        <v>21</v>
      </c>
      <c r="C11" s="431" t="s">
        <v>478</v>
      </c>
      <c r="D11" s="432">
        <v>0.1</v>
      </c>
      <c r="E11" s="1179"/>
      <c r="F11" s="1180"/>
      <c r="G11" s="1156"/>
      <c r="H11" s="1158"/>
      <c r="I11" s="1157"/>
      <c r="J11" s="214"/>
      <c r="K11" s="214"/>
      <c r="L11" s="433"/>
      <c r="M11" s="430"/>
      <c r="N11" s="466">
        <f>N12</f>
        <v>0</v>
      </c>
    </row>
    <row r="12" spans="2:15" ht="21" customHeight="1">
      <c r="B12" s="418"/>
      <c r="C12" s="435" t="s">
        <v>469</v>
      </c>
      <c r="D12" s="421"/>
      <c r="E12" s="1174"/>
      <c r="F12" s="1174"/>
      <c r="G12" s="436"/>
      <c r="H12" s="436"/>
      <c r="I12" s="437"/>
      <c r="J12" s="396"/>
      <c r="K12" s="438">
        <v>1</v>
      </c>
      <c r="L12" s="439"/>
      <c r="M12" s="345">
        <f>L12/K12*100%</f>
        <v>0</v>
      </c>
      <c r="N12" s="346">
        <f>M12*D11</f>
        <v>0</v>
      </c>
    </row>
    <row r="13" spans="2:15" ht="21" customHeight="1">
      <c r="B13" s="430" t="s">
        <v>22</v>
      </c>
      <c r="C13" s="440" t="s">
        <v>23</v>
      </c>
      <c r="D13" s="441">
        <v>0.8</v>
      </c>
      <c r="E13" s="1169"/>
      <c r="F13" s="1170"/>
      <c r="G13" s="1156"/>
      <c r="H13" s="1158"/>
      <c r="I13" s="1157"/>
      <c r="J13" s="1171"/>
      <c r="K13" s="1172"/>
      <c r="L13" s="443"/>
      <c r="M13" s="442"/>
      <c r="N13" s="467">
        <f>SUM(N15:N21)*D13</f>
        <v>0.72</v>
      </c>
    </row>
    <row r="14" spans="2:15" ht="21" customHeight="1">
      <c r="B14" s="418" t="s">
        <v>245</v>
      </c>
      <c r="C14" s="444" t="s">
        <v>24</v>
      </c>
      <c r="D14" s="445"/>
      <c r="E14" s="1173"/>
      <c r="F14" s="1173"/>
      <c r="G14" s="446"/>
      <c r="H14" s="446"/>
      <c r="I14" s="446"/>
      <c r="J14" s="445"/>
      <c r="K14" s="447"/>
      <c r="L14" s="447"/>
      <c r="M14" s="445"/>
      <c r="N14" s="448"/>
    </row>
    <row r="15" spans="2:15" ht="38.25">
      <c r="B15" s="86">
        <v>1</v>
      </c>
      <c r="C15" s="449" t="s">
        <v>411</v>
      </c>
      <c r="D15" s="450">
        <v>0.15</v>
      </c>
      <c r="E15" s="1092" t="s">
        <v>330</v>
      </c>
      <c r="F15" s="1093"/>
      <c r="G15" s="1094" t="s">
        <v>521</v>
      </c>
      <c r="H15" s="1095"/>
      <c r="I15" s="1096"/>
      <c r="J15" s="451" t="s">
        <v>326</v>
      </c>
      <c r="K15" s="346">
        <v>0.95</v>
      </c>
      <c r="L15" s="346">
        <v>0.9</v>
      </c>
      <c r="M15" s="352">
        <f>IF(LEN(L15)=0,"",IF(L15&gt;=K15,100%,0%))</f>
        <v>0</v>
      </c>
      <c r="N15" s="452">
        <f t="shared" ref="N15:N21" si="0">IFERROR(M15*D15,"")</f>
        <v>0</v>
      </c>
      <c r="O15" s="13"/>
    </row>
    <row r="16" spans="2:15" ht="51">
      <c r="B16" s="86">
        <v>2</v>
      </c>
      <c r="C16" s="453" t="s">
        <v>416</v>
      </c>
      <c r="D16" s="450">
        <v>0.15</v>
      </c>
      <c r="E16" s="1092" t="s">
        <v>330</v>
      </c>
      <c r="F16" s="1093"/>
      <c r="G16" s="1094" t="s">
        <v>524</v>
      </c>
      <c r="H16" s="1095"/>
      <c r="I16" s="1096"/>
      <c r="J16" s="451" t="s">
        <v>326</v>
      </c>
      <c r="K16" s="346">
        <v>0.95</v>
      </c>
      <c r="L16" s="346">
        <v>0.8</v>
      </c>
      <c r="M16" s="352">
        <f>IF(LEN(L16)=0,"",IF(L16&gt;=K16,100%,0%))</f>
        <v>0</v>
      </c>
      <c r="N16" s="358">
        <f t="shared" si="0"/>
        <v>0</v>
      </c>
      <c r="O16" s="13"/>
    </row>
    <row r="17" spans="2:17" ht="25.5">
      <c r="B17" s="86">
        <v>3</v>
      </c>
      <c r="C17" s="453" t="s">
        <v>421</v>
      </c>
      <c r="D17" s="450">
        <v>0.2</v>
      </c>
      <c r="E17" s="1092" t="s">
        <v>435</v>
      </c>
      <c r="F17" s="1093"/>
      <c r="G17" s="1094" t="s">
        <v>521</v>
      </c>
      <c r="H17" s="1095"/>
      <c r="I17" s="1096"/>
      <c r="J17" s="451" t="s">
        <v>326</v>
      </c>
      <c r="K17" s="346">
        <v>1</v>
      </c>
      <c r="L17" s="346">
        <v>0.9</v>
      </c>
      <c r="M17" s="354">
        <f>IF(LEN(L17)=0,"",IF(L17&lt;=K17,1,0))</f>
        <v>1</v>
      </c>
      <c r="N17" s="452">
        <f t="shared" si="0"/>
        <v>0.2</v>
      </c>
      <c r="O17" s="13"/>
    </row>
    <row r="18" spans="2:17" ht="51">
      <c r="B18" s="86">
        <v>4</v>
      </c>
      <c r="C18" s="453" t="s">
        <v>391</v>
      </c>
      <c r="D18" s="450">
        <v>0.15</v>
      </c>
      <c r="E18" s="1092" t="s">
        <v>333</v>
      </c>
      <c r="F18" s="1093"/>
      <c r="G18" s="1094" t="s">
        <v>521</v>
      </c>
      <c r="H18" s="1095"/>
      <c r="I18" s="1096"/>
      <c r="J18" s="451" t="s">
        <v>343</v>
      </c>
      <c r="K18" s="357">
        <v>5</v>
      </c>
      <c r="L18" s="357">
        <v>5</v>
      </c>
      <c r="M18" s="345">
        <f>IF(LEN(L18)=0,"",IF(L18&gt;K18,0,MIN(120%,K18/L18*100%)))</f>
        <v>1</v>
      </c>
      <c r="N18" s="452">
        <f t="shared" si="0"/>
        <v>0.15</v>
      </c>
      <c r="O18" s="13"/>
    </row>
    <row r="19" spans="2:17" ht="25.5">
      <c r="B19" s="86">
        <v>5</v>
      </c>
      <c r="C19" s="453" t="s">
        <v>396</v>
      </c>
      <c r="D19" s="450">
        <v>0.35</v>
      </c>
      <c r="E19" s="1092" t="s">
        <v>342</v>
      </c>
      <c r="F19" s="1093"/>
      <c r="G19" s="1094" t="s">
        <v>521</v>
      </c>
      <c r="H19" s="1095"/>
      <c r="I19" s="1096"/>
      <c r="J19" s="451" t="s">
        <v>343</v>
      </c>
      <c r="K19" s="353">
        <v>46022</v>
      </c>
      <c r="L19" s="353">
        <v>46022</v>
      </c>
      <c r="M19" s="354">
        <f>IF(LEN(L19)=0,"",IF(L19&lt;=K19,1,0))</f>
        <v>1</v>
      </c>
      <c r="N19" s="452">
        <f t="shared" si="0"/>
        <v>0.35</v>
      </c>
      <c r="O19" s="13"/>
    </row>
    <row r="20" spans="2:17" ht="21" customHeight="1">
      <c r="B20" s="418" t="s">
        <v>245</v>
      </c>
      <c r="C20" s="444" t="s">
        <v>128</v>
      </c>
      <c r="D20" s="445"/>
      <c r="E20" s="1166"/>
      <c r="F20" s="1166"/>
      <c r="G20" s="454"/>
      <c r="H20" s="454"/>
      <c r="I20" s="455"/>
      <c r="J20" s="445"/>
      <c r="K20" s="447"/>
      <c r="L20" s="447"/>
      <c r="M20" s="445"/>
      <c r="N20" s="448"/>
    </row>
    <row r="21" spans="2:17" ht="39.75" customHeight="1">
      <c r="B21" s="86">
        <v>1</v>
      </c>
      <c r="C21" s="389" t="s">
        <v>519</v>
      </c>
      <c r="D21" s="362">
        <v>0.2</v>
      </c>
      <c r="E21" s="1092" t="s">
        <v>330</v>
      </c>
      <c r="F21" s="1093"/>
      <c r="G21" s="1217" t="s">
        <v>554</v>
      </c>
      <c r="H21" s="1218"/>
      <c r="I21" s="1219"/>
      <c r="J21" s="458" t="s">
        <v>326</v>
      </c>
      <c r="K21" s="346">
        <v>1</v>
      </c>
      <c r="L21" s="346">
        <v>1</v>
      </c>
      <c r="M21" s="352">
        <f>IF(LEN(L21)=0,"",IF(L21&gt;=K21,100%,0%))</f>
        <v>1</v>
      </c>
      <c r="N21" s="358">
        <f t="shared" si="0"/>
        <v>0.2</v>
      </c>
      <c r="O21" s="13"/>
    </row>
    <row r="22" spans="2:17" ht="21" customHeight="1">
      <c r="B22" s="430" t="s">
        <v>40</v>
      </c>
      <c r="C22" s="459" t="s">
        <v>233</v>
      </c>
      <c r="D22" s="460">
        <v>0.1</v>
      </c>
      <c r="E22" s="1156"/>
      <c r="F22" s="1157"/>
      <c r="G22" s="1156"/>
      <c r="H22" s="1158"/>
      <c r="I22" s="1157"/>
      <c r="J22" s="1159"/>
      <c r="K22" s="1159"/>
      <c r="L22" s="433"/>
      <c r="M22" s="430"/>
      <c r="N22" s="434">
        <f>D22+SUM(N23:N24)</f>
        <v>0.1</v>
      </c>
    </row>
    <row r="23" spans="2:17" ht="17.100000000000001" customHeight="1">
      <c r="B23" s="86"/>
      <c r="C23" s="389"/>
      <c r="D23" s="351"/>
      <c r="E23" s="1093"/>
      <c r="F23" s="1093"/>
      <c r="G23" s="1160"/>
      <c r="H23" s="1161"/>
      <c r="I23" s="1162"/>
      <c r="J23" s="395"/>
      <c r="K23" s="461"/>
      <c r="L23" s="462"/>
      <c r="M23" s="345">
        <f>L23*-50%</f>
        <v>0</v>
      </c>
      <c r="N23" s="346">
        <f>M23*$D$22</f>
        <v>0</v>
      </c>
    </row>
    <row r="24" spans="2:17" ht="29.1" customHeight="1">
      <c r="B24" s="86"/>
      <c r="C24" s="389"/>
      <c r="D24" s="351"/>
      <c r="E24" s="1093"/>
      <c r="F24" s="1093"/>
      <c r="G24" s="1160"/>
      <c r="H24" s="1161"/>
      <c r="I24" s="1162"/>
      <c r="J24" s="395"/>
      <c r="K24" s="461"/>
      <c r="L24" s="462"/>
      <c r="M24" s="345">
        <f>L24*-30%</f>
        <v>0</v>
      </c>
      <c r="N24" s="346">
        <f>M24*$D$22</f>
        <v>0</v>
      </c>
    </row>
    <row r="25" spans="2:17" ht="16.5">
      <c r="B25" s="214"/>
      <c r="C25" s="214" t="s">
        <v>4</v>
      </c>
      <c r="D25" s="338"/>
      <c r="E25" s="1156"/>
      <c r="F25" s="1157"/>
      <c r="G25" s="1156"/>
      <c r="H25" s="1158"/>
      <c r="I25" s="1157"/>
      <c r="J25" s="338"/>
      <c r="K25" s="463"/>
      <c r="L25" s="464"/>
      <c r="M25" s="338"/>
      <c r="N25" s="466">
        <f>N11+N13+N22</f>
        <v>0.82</v>
      </c>
      <c r="O25" s="1143"/>
      <c r="P25" s="1143"/>
    </row>
    <row r="26" spans="2:17" ht="17.100000000000001" customHeight="1">
      <c r="B26" s="5"/>
      <c r="C26" s="5"/>
      <c r="D26" s="5"/>
      <c r="E26" s="6"/>
      <c r="F26" s="6"/>
      <c r="G26" s="6"/>
      <c r="H26" s="6"/>
      <c r="I26" s="5"/>
      <c r="J26" s="5"/>
      <c r="K26" s="35"/>
      <c r="L26" s="36"/>
      <c r="M26" s="5"/>
      <c r="N26" s="5"/>
    </row>
    <row r="27" spans="2:17" ht="12.95" customHeight="1">
      <c r="B27" s="37"/>
      <c r="C27" s="47"/>
      <c r="D27" s="38"/>
      <c r="E27" s="38"/>
      <c r="F27" s="38"/>
      <c r="G27" s="37"/>
      <c r="H27" s="37"/>
      <c r="I27" s="38"/>
      <c r="J27" s="38"/>
      <c r="K27" s="38"/>
      <c r="L27" s="38"/>
      <c r="M27" s="38"/>
      <c r="N27" s="38"/>
      <c r="O27" s="38"/>
      <c r="P27" s="38"/>
      <c r="Q27" s="37"/>
    </row>
    <row r="28" spans="2:17" s="51" customFormat="1" ht="32.1" customHeight="1">
      <c r="B28" s="1079" t="s">
        <v>539</v>
      </c>
      <c r="C28" s="975"/>
      <c r="D28" s="1079" t="s">
        <v>537</v>
      </c>
      <c r="E28" s="975"/>
      <c r="F28" s="975"/>
      <c r="G28" s="975"/>
      <c r="H28" s="975"/>
      <c r="I28" s="471"/>
      <c r="J28" s="1079" t="s">
        <v>540</v>
      </c>
      <c r="K28" s="1079"/>
      <c r="L28" s="1079"/>
      <c r="M28" s="1079"/>
      <c r="N28" s="1079"/>
      <c r="O28" s="471"/>
      <c r="P28" s="471"/>
      <c r="Q28" s="471"/>
    </row>
    <row r="29" spans="2:17">
      <c r="B29" s="6"/>
      <c r="C29" s="5"/>
      <c r="D29" s="5"/>
      <c r="E29" s="5"/>
      <c r="F29" s="5"/>
      <c r="G29" s="6"/>
      <c r="I29" s="6"/>
      <c r="J29" s="6"/>
      <c r="K29" s="6"/>
      <c r="L29" s="5"/>
      <c r="M29" s="5"/>
      <c r="N29" s="5"/>
      <c r="O29" s="5"/>
      <c r="P29" s="5"/>
      <c r="Q29" s="5"/>
    </row>
    <row r="30" spans="2:17">
      <c r="B30" s="6"/>
      <c r="C30" s="5"/>
      <c r="D30" s="5"/>
      <c r="E30" s="5"/>
      <c r="F30" s="5"/>
      <c r="G30" s="6"/>
      <c r="I30" s="5"/>
      <c r="J30" s="6"/>
      <c r="K30" s="5"/>
      <c r="L30" s="5"/>
      <c r="M30" s="5"/>
      <c r="N30" s="5"/>
      <c r="O30" s="5"/>
      <c r="P30" s="5"/>
      <c r="Q30" s="6"/>
    </row>
    <row r="31" spans="2:17">
      <c r="B31" s="6"/>
      <c r="C31" s="5"/>
      <c r="D31" s="5"/>
      <c r="E31" s="5"/>
      <c r="F31" s="5"/>
      <c r="G31" s="6"/>
      <c r="I31" s="5"/>
      <c r="J31" s="6"/>
      <c r="K31" s="5"/>
      <c r="L31" s="5"/>
      <c r="M31" s="5"/>
      <c r="N31" s="5"/>
      <c r="O31" s="5"/>
      <c r="P31" s="5"/>
      <c r="Q31" s="6"/>
    </row>
    <row r="32" spans="2:17">
      <c r="B32" s="6"/>
      <c r="C32" s="5"/>
      <c r="D32" s="5"/>
      <c r="E32" s="5"/>
      <c r="F32" s="5"/>
      <c r="G32" s="6"/>
      <c r="I32" s="5"/>
      <c r="J32" s="6"/>
      <c r="K32" s="5"/>
      <c r="L32" s="5"/>
      <c r="M32" s="5"/>
      <c r="N32" s="5"/>
      <c r="O32" s="5"/>
      <c r="P32" s="5"/>
      <c r="Q32" s="6"/>
    </row>
    <row r="33" spans="2:17">
      <c r="B33" s="6"/>
      <c r="C33" s="5"/>
      <c r="D33" s="5"/>
      <c r="E33" s="5"/>
      <c r="F33" s="5"/>
      <c r="G33" s="6"/>
      <c r="I33" s="5"/>
      <c r="J33" s="6"/>
      <c r="K33" s="5"/>
      <c r="L33" s="5"/>
      <c r="M33" s="5"/>
      <c r="N33" s="5"/>
      <c r="O33" s="5"/>
      <c r="P33" s="5"/>
      <c r="Q33" s="6"/>
    </row>
    <row r="34" spans="2:17">
      <c r="B34" s="6"/>
      <c r="C34" s="5"/>
      <c r="D34" s="5"/>
      <c r="E34" s="5"/>
      <c r="F34" s="5"/>
      <c r="G34" s="6"/>
      <c r="I34" s="5"/>
      <c r="J34" s="6"/>
      <c r="K34" s="5"/>
      <c r="L34" s="5"/>
      <c r="M34" s="5"/>
      <c r="N34" s="5"/>
      <c r="O34" s="5"/>
      <c r="P34" s="5"/>
      <c r="Q34" s="6"/>
    </row>
    <row r="35" spans="2:17">
      <c r="B35" s="972" t="s">
        <v>29</v>
      </c>
      <c r="C35" s="972"/>
      <c r="D35" s="972" t="s">
        <v>29</v>
      </c>
      <c r="E35" s="972"/>
      <c r="F35" s="972"/>
      <c r="G35" s="972"/>
      <c r="H35" s="972"/>
      <c r="I35" s="5"/>
      <c r="J35" s="972" t="s">
        <v>29</v>
      </c>
      <c r="K35" s="972"/>
      <c r="L35" s="972"/>
      <c r="M35" s="972"/>
      <c r="N35" s="972"/>
      <c r="O35" s="5"/>
      <c r="P35" s="5"/>
      <c r="Q35" s="5"/>
    </row>
    <row r="36" spans="2:17">
      <c r="B36" s="6"/>
      <c r="C36" s="5"/>
      <c r="D36" s="5"/>
      <c r="E36" s="5"/>
      <c r="F36" s="5"/>
      <c r="G36" s="6"/>
      <c r="I36" s="5"/>
      <c r="J36" s="6"/>
      <c r="K36" s="5"/>
      <c r="L36" s="5"/>
      <c r="M36" s="5"/>
      <c r="N36" s="5"/>
      <c r="O36" s="5"/>
      <c r="P36" s="5"/>
      <c r="Q36" s="6"/>
    </row>
    <row r="37" spans="2:17">
      <c r="B37" s="37"/>
      <c r="C37" s="47"/>
      <c r="D37" s="38"/>
      <c r="E37" s="38"/>
      <c r="F37" s="38"/>
      <c r="G37" s="37"/>
      <c r="I37" s="38"/>
      <c r="J37" s="37"/>
      <c r="K37" s="38"/>
      <c r="L37" s="38"/>
      <c r="M37" s="38"/>
      <c r="N37" s="38"/>
      <c r="O37" s="38"/>
      <c r="P37" s="38"/>
      <c r="Q37" s="37"/>
    </row>
    <row r="38" spans="2:17" ht="24" customHeight="1">
      <c r="B38" s="1080"/>
      <c r="C38" s="972"/>
      <c r="D38" s="1080"/>
      <c r="E38" s="972"/>
      <c r="F38" s="972"/>
      <c r="G38" s="972"/>
      <c r="H38" s="972"/>
      <c r="I38" s="245"/>
      <c r="J38" s="972"/>
      <c r="K38" s="972"/>
      <c r="L38" s="972"/>
      <c r="M38" s="972"/>
      <c r="N38" s="245"/>
      <c r="O38" s="1080"/>
      <c r="P38" s="972"/>
      <c r="Q38" s="972"/>
    </row>
    <row r="39" spans="2:17">
      <c r="B39" s="6"/>
      <c r="C39" s="5"/>
      <c r="D39" s="5"/>
      <c r="E39" s="5"/>
      <c r="F39" s="5"/>
      <c r="G39" s="6"/>
      <c r="I39" s="6"/>
      <c r="J39" s="6"/>
      <c r="K39" s="6"/>
      <c r="L39" s="5"/>
      <c r="M39" s="5"/>
      <c r="N39" s="5"/>
      <c r="O39" s="5"/>
      <c r="P39" s="5"/>
      <c r="Q39" s="5"/>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972"/>
      <c r="C45" s="972"/>
      <c r="D45" s="972"/>
      <c r="E45" s="972"/>
      <c r="F45" s="972"/>
      <c r="G45" s="972"/>
      <c r="H45" s="972"/>
      <c r="I45" s="5"/>
      <c r="J45" s="972"/>
      <c r="K45" s="972"/>
      <c r="L45" s="972"/>
      <c r="M45" s="972"/>
      <c r="N45" s="5"/>
      <c r="O45" s="972"/>
      <c r="P45" s="972"/>
      <c r="Q45" s="972"/>
    </row>
  </sheetData>
  <mergeCells count="47">
    <mergeCell ref="B28:C28"/>
    <mergeCell ref="D28:H28"/>
    <mergeCell ref="O25:P25"/>
    <mergeCell ref="G21:I21"/>
    <mergeCell ref="J28:N28"/>
    <mergeCell ref="E23:F23"/>
    <mergeCell ref="G23:I23"/>
    <mergeCell ref="E24:F24"/>
    <mergeCell ref="G24:I24"/>
    <mergeCell ref="E25:F25"/>
    <mergeCell ref="G25:I25"/>
    <mergeCell ref="J22:K22"/>
    <mergeCell ref="E16:F16"/>
    <mergeCell ref="G16:I16"/>
    <mergeCell ref="E17:F17"/>
    <mergeCell ref="G17:I17"/>
    <mergeCell ref="E18:F18"/>
    <mergeCell ref="G18:I18"/>
    <mergeCell ref="E19:F19"/>
    <mergeCell ref="E20:F20"/>
    <mergeCell ref="E21:F21"/>
    <mergeCell ref="E22:F22"/>
    <mergeCell ref="G22:I22"/>
    <mergeCell ref="G19:I19"/>
    <mergeCell ref="E13:F13"/>
    <mergeCell ref="G13:I13"/>
    <mergeCell ref="J13:K13"/>
    <mergeCell ref="E14:F14"/>
    <mergeCell ref="E15:F15"/>
    <mergeCell ref="G15:I15"/>
    <mergeCell ref="E12:F12"/>
    <mergeCell ref="C6:I6"/>
    <mergeCell ref="E10:F10"/>
    <mergeCell ref="G10:I10"/>
    <mergeCell ref="E11:F11"/>
    <mergeCell ref="G11:I11"/>
    <mergeCell ref="B45:C45"/>
    <mergeCell ref="D45:H45"/>
    <mergeCell ref="J45:M45"/>
    <mergeCell ref="O45:Q45"/>
    <mergeCell ref="B35:C35"/>
    <mergeCell ref="D35:H35"/>
    <mergeCell ref="B38:C38"/>
    <mergeCell ref="D38:H38"/>
    <mergeCell ref="J38:M38"/>
    <mergeCell ref="O38:Q38"/>
    <mergeCell ref="J35:N35"/>
  </mergeCells>
  <pageMargins left="0.17" right="0.17" top="0.17" bottom="0.17" header="0.3" footer="0.3"/>
  <pageSetup paperSize="9" scale="83" orientation="landscape" r:id="rId1"/>
  <colBreaks count="1" manualBreakCount="1">
    <brk id="14" max="1048575" man="1"/>
  </col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8"/>
  <dimension ref="B1:Q44"/>
  <sheetViews>
    <sheetView showGridLines="0" topLeftCell="A5" workbookViewId="0">
      <selection activeCell="C16" sqref="C16"/>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22.875" style="2" customWidth="1"/>
    <col min="7" max="7" width="5.125" style="2" customWidth="1"/>
    <col min="8" max="8" width="3.875" style="2" customWidth="1"/>
    <col min="9" max="10" width="10.125" style="1" customWidth="1"/>
    <col min="11" max="11" width="13.875" style="39" customWidth="1"/>
    <col min="12" max="12" width="9.875" style="40" customWidth="1"/>
    <col min="13"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5" hidden="1"/>
    <row r="2" spans="2:15" s="375" customFormat="1" hidden="1">
      <c r="B2" s="407" t="s">
        <v>464</v>
      </c>
      <c r="C2" s="140" t="s">
        <v>132</v>
      </c>
      <c r="D2" s="140"/>
    </row>
    <row r="3" spans="2:15" s="375" customFormat="1" hidden="1">
      <c r="B3" s="407" t="s">
        <v>465</v>
      </c>
      <c r="C3" s="209" t="s">
        <v>255</v>
      </c>
      <c r="D3" s="209"/>
    </row>
    <row r="4" spans="2:15" s="375" customFormat="1" hidden="1">
      <c r="B4" s="407" t="s">
        <v>466</v>
      </c>
      <c r="C4" s="140" t="s">
        <v>133</v>
      </c>
      <c r="D4" s="140"/>
    </row>
    <row r="5" spans="2:15" s="31" customFormat="1" ht="6.95" customHeight="1">
      <c r="B5" s="30"/>
      <c r="C5" s="30"/>
      <c r="E5" s="30"/>
      <c r="J5" s="30"/>
      <c r="K5" s="32"/>
      <c r="L5" s="33"/>
    </row>
    <row r="6" spans="2:15" s="98" customFormat="1" ht="26.1" customHeight="1">
      <c r="B6" s="99" t="s">
        <v>81</v>
      </c>
      <c r="C6" s="1121" t="s">
        <v>480</v>
      </c>
      <c r="D6" s="1121"/>
      <c r="E6" s="1121"/>
      <c r="F6" s="1121"/>
      <c r="G6" s="1121"/>
      <c r="H6" s="1121"/>
      <c r="I6" s="1121"/>
      <c r="J6" s="145"/>
      <c r="K6" s="145"/>
      <c r="L6" s="145"/>
      <c r="M6" s="145"/>
      <c r="N6" s="145"/>
    </row>
    <row r="7" spans="2:15" s="3" customFormat="1" ht="20.100000000000001" customHeight="1">
      <c r="B7" s="213" t="s">
        <v>404</v>
      </c>
      <c r="C7" s="213" t="s">
        <v>547</v>
      </c>
      <c r="D7" s="211"/>
      <c r="E7" s="211"/>
      <c r="F7" s="211"/>
      <c r="G7" s="211"/>
      <c r="H7" s="211"/>
      <c r="I7" s="211" t="s">
        <v>278</v>
      </c>
      <c r="J7" s="212" t="s">
        <v>490</v>
      </c>
      <c r="K7" s="212"/>
      <c r="L7" s="212"/>
      <c r="M7" s="212"/>
      <c r="N7" s="31"/>
    </row>
    <row r="8" spans="2:15" s="3" customFormat="1" ht="18.95" customHeight="1">
      <c r="B8" s="213" t="s">
        <v>280</v>
      </c>
      <c r="C8" s="472" t="s">
        <v>548</v>
      </c>
      <c r="D8" s="211"/>
      <c r="E8" s="211"/>
      <c r="F8" s="211"/>
      <c r="G8" s="211"/>
      <c r="H8" s="211"/>
      <c r="I8" s="211" t="s">
        <v>477</v>
      </c>
      <c r="J8" s="212" t="s">
        <v>471</v>
      </c>
      <c r="K8" s="212"/>
      <c r="L8" s="212"/>
      <c r="M8" s="212"/>
      <c r="N8" s="31"/>
    </row>
    <row r="9" spans="2:15" s="3" customFormat="1" ht="6.95" customHeight="1">
      <c r="D9" s="85"/>
      <c r="E9" s="85"/>
      <c r="F9" s="85"/>
      <c r="G9" s="85"/>
      <c r="H9" s="85"/>
      <c r="I9" s="85"/>
      <c r="J9" s="85"/>
      <c r="K9" s="85"/>
      <c r="L9" s="85"/>
      <c r="M9" s="85"/>
      <c r="N9" s="85"/>
    </row>
    <row r="10" spans="2:15"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5" ht="21" customHeight="1">
      <c r="B11" s="430" t="s">
        <v>21</v>
      </c>
      <c r="C11" s="431" t="s">
        <v>478</v>
      </c>
      <c r="D11" s="432">
        <v>0.1</v>
      </c>
      <c r="E11" s="1179"/>
      <c r="F11" s="1180"/>
      <c r="G11" s="1156"/>
      <c r="H11" s="1158"/>
      <c r="I11" s="1157"/>
      <c r="J11" s="214"/>
      <c r="K11" s="214"/>
      <c r="L11" s="433"/>
      <c r="M11" s="430"/>
      <c r="N11" s="466">
        <f>N12</f>
        <v>0</v>
      </c>
    </row>
    <row r="12" spans="2:15" ht="21" customHeight="1">
      <c r="B12" s="418"/>
      <c r="C12" s="435" t="s">
        <v>469</v>
      </c>
      <c r="D12" s="421"/>
      <c r="E12" s="1174"/>
      <c r="F12" s="1174"/>
      <c r="G12" s="436"/>
      <c r="H12" s="436"/>
      <c r="I12" s="437"/>
      <c r="J12" s="396"/>
      <c r="K12" s="438">
        <v>1</v>
      </c>
      <c r="L12" s="439"/>
      <c r="M12" s="345">
        <f>L12/K12*100%</f>
        <v>0</v>
      </c>
      <c r="N12" s="346">
        <f>M12*D11</f>
        <v>0</v>
      </c>
    </row>
    <row r="13" spans="2:15" ht="21" customHeight="1">
      <c r="B13" s="430" t="s">
        <v>22</v>
      </c>
      <c r="C13" s="440" t="s">
        <v>23</v>
      </c>
      <c r="D13" s="441">
        <v>0.8</v>
      </c>
      <c r="E13" s="1169"/>
      <c r="F13" s="1170"/>
      <c r="G13" s="1156"/>
      <c r="H13" s="1158"/>
      <c r="I13" s="1157"/>
      <c r="J13" s="1171"/>
      <c r="K13" s="1172"/>
      <c r="L13" s="443"/>
      <c r="M13" s="442"/>
      <c r="N13" s="467">
        <f>SUM(N15:N20)*D13</f>
        <v>0.48</v>
      </c>
    </row>
    <row r="14" spans="2:15" ht="21" customHeight="1">
      <c r="B14" s="418" t="s">
        <v>245</v>
      </c>
      <c r="C14" s="444" t="s">
        <v>24</v>
      </c>
      <c r="D14" s="445"/>
      <c r="E14" s="1173"/>
      <c r="F14" s="1173"/>
      <c r="G14" s="446"/>
      <c r="H14" s="446"/>
      <c r="I14" s="446"/>
      <c r="J14" s="445"/>
      <c r="K14" s="447"/>
      <c r="L14" s="447"/>
      <c r="M14" s="445"/>
      <c r="N14" s="448"/>
    </row>
    <row r="15" spans="2:15" ht="57.95" customHeight="1">
      <c r="B15" s="86">
        <v>1</v>
      </c>
      <c r="C15" s="449" t="s">
        <v>425</v>
      </c>
      <c r="D15" s="450">
        <v>0.25</v>
      </c>
      <c r="E15" s="1092" t="s">
        <v>330</v>
      </c>
      <c r="F15" s="1093"/>
      <c r="G15" s="1094" t="s">
        <v>526</v>
      </c>
      <c r="H15" s="1095"/>
      <c r="I15" s="1096"/>
      <c r="J15" s="451" t="s">
        <v>326</v>
      </c>
      <c r="K15" s="346">
        <v>0.4</v>
      </c>
      <c r="L15" s="346">
        <v>0.4</v>
      </c>
      <c r="M15" s="352">
        <f>IF(LEN(L15)=0,"",IF(L15&gt;=K15,100%,0%))</f>
        <v>1</v>
      </c>
      <c r="N15" s="452">
        <f t="shared" ref="N15:N20" si="0">IFERROR(M15*D15,"")</f>
        <v>0.25</v>
      </c>
      <c r="O15" s="13"/>
    </row>
    <row r="16" spans="2:15" ht="60" customHeight="1">
      <c r="B16" s="86">
        <v>2</v>
      </c>
      <c r="C16" s="453" t="s">
        <v>396</v>
      </c>
      <c r="D16" s="450">
        <v>0.25</v>
      </c>
      <c r="E16" s="1092" t="s">
        <v>330</v>
      </c>
      <c r="F16" s="1093"/>
      <c r="G16" s="1094" t="s">
        <v>471</v>
      </c>
      <c r="H16" s="1095"/>
      <c r="I16" s="1096"/>
      <c r="J16" s="451" t="s">
        <v>343</v>
      </c>
      <c r="K16" s="353">
        <v>46022</v>
      </c>
      <c r="L16" s="353">
        <v>46022</v>
      </c>
      <c r="M16" s="354">
        <f>IF(LEN(L16)=0,"",IF(L16&lt;=K16,1,0))</f>
        <v>1</v>
      </c>
      <c r="N16" s="358">
        <f t="shared" si="0"/>
        <v>0.25</v>
      </c>
      <c r="O16" s="13"/>
    </row>
    <row r="17" spans="2:17" ht="60" customHeight="1">
      <c r="B17" s="86">
        <v>3</v>
      </c>
      <c r="C17" s="453" t="s">
        <v>426</v>
      </c>
      <c r="D17" s="450">
        <v>0.1</v>
      </c>
      <c r="E17" s="1092" t="s">
        <v>330</v>
      </c>
      <c r="F17" s="1093"/>
      <c r="G17" s="1094" t="s">
        <v>525</v>
      </c>
      <c r="H17" s="1095"/>
      <c r="I17" s="1096"/>
      <c r="J17" s="451" t="s">
        <v>343</v>
      </c>
      <c r="K17" s="353">
        <v>46022</v>
      </c>
      <c r="L17" s="353">
        <v>46022</v>
      </c>
      <c r="M17" s="354">
        <f>IF(LEN(L17)=0,"",IF(L17&lt;=K17,1,0))</f>
        <v>1</v>
      </c>
      <c r="N17" s="452">
        <f t="shared" si="0"/>
        <v>0.1</v>
      </c>
      <c r="O17" s="13"/>
    </row>
    <row r="18" spans="2:17" ht="21" customHeight="1">
      <c r="B18" s="418" t="s">
        <v>245</v>
      </c>
      <c r="C18" s="444" t="s">
        <v>128</v>
      </c>
      <c r="D18" s="445"/>
      <c r="E18" s="1166"/>
      <c r="F18" s="1166"/>
      <c r="G18" s="454"/>
      <c r="H18" s="454"/>
      <c r="I18" s="455"/>
      <c r="J18" s="445"/>
      <c r="K18" s="447"/>
      <c r="L18" s="447"/>
      <c r="M18" s="445"/>
      <c r="N18" s="448"/>
    </row>
    <row r="19" spans="2:17" ht="51.95" customHeight="1">
      <c r="B19" s="86">
        <v>1</v>
      </c>
      <c r="C19" s="453" t="s">
        <v>453</v>
      </c>
      <c r="D19" s="450">
        <v>0.2</v>
      </c>
      <c r="E19" s="1092" t="s">
        <v>413</v>
      </c>
      <c r="F19" s="1093"/>
      <c r="G19" s="1094" t="s">
        <v>471</v>
      </c>
      <c r="H19" s="1095"/>
      <c r="I19" s="1096"/>
      <c r="J19" s="458" t="s">
        <v>414</v>
      </c>
      <c r="K19" s="364">
        <v>0</v>
      </c>
      <c r="L19" s="364">
        <v>3</v>
      </c>
      <c r="M19" s="365">
        <f>IF(LEN(L19)=0,"",IF(L19=K19,1,0))</f>
        <v>0</v>
      </c>
      <c r="N19" s="358">
        <f t="shared" ref="N19" si="1">IFERROR(M19*D19,"")</f>
        <v>0</v>
      </c>
    </row>
    <row r="20" spans="2:17" ht="51.95" customHeight="1">
      <c r="B20" s="86">
        <v>2</v>
      </c>
      <c r="C20" s="453" t="s">
        <v>482</v>
      </c>
      <c r="D20" s="450">
        <v>0.2</v>
      </c>
      <c r="E20" s="1092" t="s">
        <v>413</v>
      </c>
      <c r="F20" s="1093"/>
      <c r="G20" s="1094" t="s">
        <v>471</v>
      </c>
      <c r="H20" s="1095"/>
      <c r="I20" s="1096"/>
      <c r="J20" s="458" t="s">
        <v>414</v>
      </c>
      <c r="K20" s="364">
        <v>0</v>
      </c>
      <c r="L20" s="364">
        <v>2</v>
      </c>
      <c r="M20" s="365">
        <f>IF(LEN(L20)=0,"",IF(L20=K20,1,0))</f>
        <v>0</v>
      </c>
      <c r="N20" s="358">
        <f t="shared" si="0"/>
        <v>0</v>
      </c>
    </row>
    <row r="21" spans="2:17" ht="21" customHeight="1">
      <c r="B21" s="430" t="s">
        <v>40</v>
      </c>
      <c r="C21" s="459" t="s">
        <v>233</v>
      </c>
      <c r="D21" s="460">
        <v>0.1</v>
      </c>
      <c r="E21" s="1156"/>
      <c r="F21" s="1157"/>
      <c r="G21" s="1156"/>
      <c r="H21" s="1158"/>
      <c r="I21" s="1157"/>
      <c r="J21" s="1159"/>
      <c r="K21" s="1159"/>
      <c r="L21" s="433"/>
      <c r="M21" s="430"/>
      <c r="N21" s="434">
        <f>D21+SUM(N22:N23)</f>
        <v>0.1</v>
      </c>
    </row>
    <row r="22" spans="2:17" ht="17.100000000000001" customHeight="1">
      <c r="B22" s="86"/>
      <c r="C22" s="389"/>
      <c r="D22" s="351"/>
      <c r="E22" s="1093"/>
      <c r="F22" s="1093"/>
      <c r="G22" s="1160"/>
      <c r="H22" s="1161"/>
      <c r="I22" s="1162"/>
      <c r="J22" s="395"/>
      <c r="K22" s="461"/>
      <c r="L22" s="462"/>
      <c r="M22" s="345">
        <f>L22*-50%</f>
        <v>0</v>
      </c>
      <c r="N22" s="346">
        <f>M22*$D$21</f>
        <v>0</v>
      </c>
    </row>
    <row r="23" spans="2:17">
      <c r="B23" s="86"/>
      <c r="C23" s="389"/>
      <c r="D23" s="351"/>
      <c r="E23" s="1093"/>
      <c r="F23" s="1093"/>
      <c r="G23" s="1160"/>
      <c r="H23" s="1161"/>
      <c r="I23" s="1162"/>
      <c r="J23" s="395"/>
      <c r="K23" s="461"/>
      <c r="L23" s="462"/>
      <c r="M23" s="345">
        <f>L23*-30%</f>
        <v>0</v>
      </c>
      <c r="N23" s="346">
        <f>M23*$D$21</f>
        <v>0</v>
      </c>
    </row>
    <row r="24" spans="2:17" ht="16.5">
      <c r="B24" s="214"/>
      <c r="C24" s="214" t="s">
        <v>4</v>
      </c>
      <c r="D24" s="338"/>
      <c r="E24" s="1156"/>
      <c r="F24" s="1157"/>
      <c r="G24" s="1156"/>
      <c r="H24" s="1158"/>
      <c r="I24" s="1157"/>
      <c r="J24" s="338"/>
      <c r="K24" s="463"/>
      <c r="L24" s="464"/>
      <c r="M24" s="338"/>
      <c r="N24" s="466">
        <f>N11+N13+N21</f>
        <v>0.57999999999999996</v>
      </c>
      <c r="O24" s="1143"/>
      <c r="P24" s="1143"/>
    </row>
    <row r="25" spans="2:17" ht="17.100000000000001" customHeight="1">
      <c r="B25" s="5"/>
      <c r="C25" s="5"/>
      <c r="D25" s="5"/>
      <c r="E25" s="6"/>
      <c r="F25" s="6"/>
      <c r="G25" s="6"/>
      <c r="H25" s="6"/>
      <c r="I25" s="5"/>
      <c r="J25" s="5"/>
      <c r="K25" s="35"/>
      <c r="L25" s="36"/>
      <c r="M25" s="5"/>
      <c r="N25" s="5"/>
    </row>
    <row r="26" spans="2:17" ht="12.95" hidden="1" customHeight="1">
      <c r="B26" s="37"/>
      <c r="C26" s="47"/>
      <c r="D26" s="38"/>
      <c r="E26" s="38"/>
      <c r="F26" s="38"/>
      <c r="G26" s="37"/>
      <c r="H26" s="37"/>
      <c r="I26" s="38"/>
      <c r="J26" s="38"/>
      <c r="K26" s="38"/>
      <c r="L26" s="38"/>
      <c r="M26" s="38"/>
      <c r="N26" s="38"/>
      <c r="O26" s="38"/>
      <c r="P26" s="38"/>
      <c r="Q26" s="37"/>
    </row>
    <row r="27" spans="2:17" s="51" customFormat="1" ht="32.1" customHeight="1">
      <c r="B27" s="1079" t="s">
        <v>539</v>
      </c>
      <c r="C27" s="975"/>
      <c r="D27" s="1079" t="s">
        <v>537</v>
      </c>
      <c r="E27" s="975"/>
      <c r="F27" s="975"/>
      <c r="G27" s="975"/>
      <c r="H27" s="975"/>
      <c r="I27" s="471"/>
      <c r="J27" s="1079" t="s">
        <v>540</v>
      </c>
      <c r="K27" s="1079"/>
      <c r="L27" s="1079"/>
      <c r="M27" s="1079"/>
      <c r="N27" s="1079"/>
      <c r="O27" s="1079"/>
      <c r="P27" s="1079"/>
      <c r="Q27" s="1079"/>
    </row>
    <row r="28" spans="2:17">
      <c r="B28" s="6"/>
      <c r="C28" s="5"/>
      <c r="D28" s="5"/>
      <c r="E28" s="5"/>
      <c r="F28" s="5"/>
      <c r="G28" s="6"/>
      <c r="I28" s="6"/>
      <c r="J28" s="6"/>
      <c r="K28" s="6"/>
      <c r="L28" s="5"/>
      <c r="M28" s="5"/>
      <c r="N28" s="5"/>
      <c r="O28" s="5"/>
      <c r="P28" s="5"/>
      <c r="Q28" s="5"/>
    </row>
    <row r="29" spans="2:17">
      <c r="B29" s="6"/>
      <c r="C29" s="5"/>
      <c r="D29" s="5"/>
      <c r="E29" s="5"/>
      <c r="F29" s="5"/>
      <c r="G29" s="6"/>
      <c r="I29" s="5"/>
      <c r="J29" s="6"/>
      <c r="K29" s="5"/>
      <c r="L29" s="5"/>
      <c r="M29" s="5"/>
      <c r="N29" s="5"/>
      <c r="O29" s="5"/>
      <c r="P29" s="5"/>
      <c r="Q29" s="6"/>
    </row>
    <row r="30" spans="2:17">
      <c r="B30" s="6"/>
      <c r="C30" s="5"/>
      <c r="D30" s="5"/>
      <c r="E30" s="5"/>
      <c r="F30" s="5"/>
      <c r="G30" s="6"/>
      <c r="I30" s="5"/>
      <c r="J30" s="6"/>
      <c r="K30" s="5"/>
      <c r="L30" s="5"/>
      <c r="M30" s="5"/>
      <c r="N30" s="5"/>
      <c r="O30" s="5"/>
      <c r="P30" s="5"/>
      <c r="Q30" s="6"/>
    </row>
    <row r="31" spans="2:17">
      <c r="B31" s="6"/>
      <c r="C31" s="5"/>
      <c r="D31" s="5"/>
      <c r="E31" s="5"/>
      <c r="F31" s="5"/>
      <c r="G31" s="6"/>
      <c r="I31" s="5"/>
      <c r="J31" s="6"/>
      <c r="K31" s="5"/>
      <c r="L31" s="5"/>
      <c r="M31" s="5"/>
      <c r="N31" s="5"/>
      <c r="O31" s="5"/>
      <c r="P31" s="5"/>
      <c r="Q31" s="6"/>
    </row>
    <row r="32" spans="2:17">
      <c r="B32" s="6"/>
      <c r="C32" s="5"/>
      <c r="D32" s="5"/>
      <c r="E32" s="5"/>
      <c r="F32" s="5"/>
      <c r="G32" s="6"/>
      <c r="I32" s="5"/>
      <c r="J32" s="6"/>
      <c r="K32" s="5"/>
      <c r="L32" s="5"/>
      <c r="M32" s="5"/>
      <c r="N32" s="5"/>
      <c r="O32" s="5"/>
      <c r="P32" s="5"/>
      <c r="Q32" s="6"/>
    </row>
    <row r="33" spans="2:17" hidden="1">
      <c r="B33" s="6"/>
      <c r="C33" s="5"/>
      <c r="D33" s="5"/>
      <c r="E33" s="5"/>
      <c r="F33" s="5"/>
      <c r="G33" s="6"/>
      <c r="I33" s="5"/>
      <c r="J33" s="6"/>
      <c r="K33" s="5"/>
      <c r="L33" s="5"/>
      <c r="M33" s="5"/>
      <c r="N33" s="5"/>
      <c r="O33" s="5"/>
      <c r="P33" s="5"/>
      <c r="Q33" s="6"/>
    </row>
    <row r="34" spans="2:17">
      <c r="B34" s="972" t="s">
        <v>29</v>
      </c>
      <c r="C34" s="972"/>
      <c r="D34" s="972" t="s">
        <v>29</v>
      </c>
      <c r="E34" s="972"/>
      <c r="F34" s="972"/>
      <c r="G34" s="972"/>
      <c r="H34" s="972"/>
      <c r="I34" s="5"/>
      <c r="J34" s="972" t="s">
        <v>29</v>
      </c>
      <c r="K34" s="972"/>
      <c r="L34" s="972"/>
      <c r="M34" s="972"/>
      <c r="N34" s="972"/>
      <c r="O34" s="972"/>
      <c r="P34" s="972"/>
      <c r="Q34" s="972"/>
    </row>
    <row r="35" spans="2:17">
      <c r="B35" s="6"/>
      <c r="C35" s="5"/>
      <c r="D35" s="5"/>
      <c r="E35" s="5"/>
      <c r="F35" s="5"/>
      <c r="G35" s="6"/>
      <c r="I35" s="5"/>
      <c r="J35" s="6"/>
      <c r="K35" s="5"/>
      <c r="L35" s="5"/>
      <c r="M35" s="5"/>
      <c r="N35" s="5"/>
      <c r="O35" s="5"/>
      <c r="P35" s="5"/>
      <c r="Q35" s="6"/>
    </row>
    <row r="36" spans="2:17">
      <c r="B36" s="37"/>
      <c r="C36" s="47"/>
      <c r="D36" s="38"/>
      <c r="E36" s="38"/>
      <c r="F36" s="38"/>
      <c r="G36" s="37"/>
      <c r="I36" s="38"/>
      <c r="J36" s="37"/>
      <c r="K36" s="38"/>
      <c r="L36" s="38"/>
      <c r="M36" s="38"/>
      <c r="N36" s="38"/>
      <c r="O36" s="38"/>
      <c r="P36" s="38"/>
      <c r="Q36" s="37"/>
    </row>
    <row r="37" spans="2:17" ht="24" customHeight="1">
      <c r="B37" s="1080"/>
      <c r="C37" s="972"/>
      <c r="D37" s="1080"/>
      <c r="E37" s="972"/>
      <c r="F37" s="972"/>
      <c r="G37" s="972"/>
      <c r="H37" s="972"/>
      <c r="I37" s="245"/>
      <c r="J37" s="972"/>
      <c r="K37" s="972"/>
      <c r="L37" s="972"/>
      <c r="M37" s="972"/>
      <c r="N37" s="245"/>
      <c r="O37" s="1080"/>
      <c r="P37" s="972"/>
      <c r="Q37" s="972"/>
    </row>
    <row r="38" spans="2:17">
      <c r="B38" s="6"/>
      <c r="C38" s="5"/>
      <c r="D38" s="5"/>
      <c r="E38" s="5"/>
      <c r="F38" s="5"/>
      <c r="G38" s="6"/>
      <c r="I38" s="6"/>
      <c r="J38" s="6"/>
      <c r="K38" s="6"/>
      <c r="L38" s="5"/>
      <c r="M38" s="5"/>
      <c r="N38" s="5"/>
      <c r="O38" s="5"/>
      <c r="P38" s="5"/>
      <c r="Q38" s="5"/>
    </row>
    <row r="39" spans="2:17">
      <c r="B39" s="6"/>
      <c r="C39" s="5"/>
      <c r="D39" s="5"/>
      <c r="E39" s="5"/>
      <c r="F39" s="5"/>
      <c r="G39" s="6"/>
      <c r="I39" s="5"/>
      <c r="J39" s="6"/>
      <c r="K39" s="5"/>
      <c r="L39" s="5"/>
      <c r="M39" s="5"/>
      <c r="N39" s="5"/>
      <c r="O39" s="5"/>
      <c r="P39" s="5"/>
      <c r="Q39" s="6"/>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972"/>
      <c r="C44" s="972"/>
      <c r="D44" s="972"/>
      <c r="E44" s="972"/>
      <c r="F44" s="972"/>
      <c r="G44" s="972"/>
      <c r="H44" s="972"/>
      <c r="I44" s="5"/>
      <c r="J44" s="972"/>
      <c r="K44" s="972"/>
      <c r="L44" s="972"/>
      <c r="M44" s="972"/>
      <c r="N44" s="5"/>
      <c r="O44" s="972"/>
      <c r="P44" s="972"/>
      <c r="Q44" s="972"/>
    </row>
  </sheetData>
  <mergeCells count="45">
    <mergeCell ref="B27:C27"/>
    <mergeCell ref="D27:H27"/>
    <mergeCell ref="J27:Q27"/>
    <mergeCell ref="O24:P24"/>
    <mergeCell ref="E22:F22"/>
    <mergeCell ref="G22:I22"/>
    <mergeCell ref="E23:F23"/>
    <mergeCell ref="G23:I23"/>
    <mergeCell ref="E24:F24"/>
    <mergeCell ref="G24:I24"/>
    <mergeCell ref="J21:K21"/>
    <mergeCell ref="E19:F19"/>
    <mergeCell ref="G19:I19"/>
    <mergeCell ref="E16:F16"/>
    <mergeCell ref="G16:I16"/>
    <mergeCell ref="E17:F17"/>
    <mergeCell ref="G17:I17"/>
    <mergeCell ref="E18:F18"/>
    <mergeCell ref="E20:F20"/>
    <mergeCell ref="G20:I20"/>
    <mergeCell ref="E21:F21"/>
    <mergeCell ref="G21:I21"/>
    <mergeCell ref="E13:F13"/>
    <mergeCell ref="G13:I13"/>
    <mergeCell ref="J13:K13"/>
    <mergeCell ref="E14:F14"/>
    <mergeCell ref="E15:F15"/>
    <mergeCell ref="G15:I15"/>
    <mergeCell ref="E12:F12"/>
    <mergeCell ref="C6:I6"/>
    <mergeCell ref="E10:F10"/>
    <mergeCell ref="G10:I10"/>
    <mergeCell ref="E11:F11"/>
    <mergeCell ref="G11:I11"/>
    <mergeCell ref="B44:C44"/>
    <mergeCell ref="D44:H44"/>
    <mergeCell ref="J44:M44"/>
    <mergeCell ref="O44:Q44"/>
    <mergeCell ref="B34:C34"/>
    <mergeCell ref="D34:H34"/>
    <mergeCell ref="J34:Q34"/>
    <mergeCell ref="B37:C37"/>
    <mergeCell ref="D37:H37"/>
    <mergeCell ref="J37:M37"/>
    <mergeCell ref="O37:Q37"/>
  </mergeCells>
  <pageMargins left="0.19" right="0.17" top="0.17" bottom="0.17" header="0.3" footer="0.3"/>
  <pageSetup paperSize="9" scale="83"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9"/>
  <dimension ref="B1:Q44"/>
  <sheetViews>
    <sheetView showGridLines="0" topLeftCell="A8" zoomScale="116" workbookViewId="0">
      <selection activeCell="C16" sqref="C16"/>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14.875" style="2" customWidth="1"/>
    <col min="7" max="7" width="5.125" style="2" customWidth="1"/>
    <col min="8" max="8" width="3.875" style="2" customWidth="1"/>
    <col min="9" max="9" width="10.125" style="1" customWidth="1"/>
    <col min="10" max="10" width="11.625" style="1" customWidth="1"/>
    <col min="11" max="11" width="13.875" style="39" customWidth="1"/>
    <col min="12" max="12" width="9.875" style="40" customWidth="1"/>
    <col min="13" max="13" width="12.37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5" hidden="1"/>
    <row r="2" spans="2:15" s="375" customFormat="1" hidden="1">
      <c r="B2" s="407" t="s">
        <v>464</v>
      </c>
      <c r="C2" s="140" t="s">
        <v>132</v>
      </c>
      <c r="D2" s="140"/>
    </row>
    <row r="3" spans="2:15" s="375" customFormat="1" hidden="1">
      <c r="B3" s="407" t="s">
        <v>465</v>
      </c>
      <c r="C3" s="209" t="s">
        <v>255</v>
      </c>
      <c r="D3" s="209"/>
    </row>
    <row r="4" spans="2:15" s="375" customFormat="1" hidden="1">
      <c r="B4" s="407" t="s">
        <v>466</v>
      </c>
      <c r="C4" s="140" t="s">
        <v>133</v>
      </c>
      <c r="D4" s="140"/>
    </row>
    <row r="5" spans="2:15" s="31" customFormat="1" ht="6.95" customHeight="1">
      <c r="B5" s="30"/>
      <c r="C5" s="30"/>
      <c r="E5" s="30"/>
      <c r="J5" s="30"/>
      <c r="K5" s="32"/>
      <c r="L5" s="33"/>
    </row>
    <row r="6" spans="2:15" s="98" customFormat="1" ht="26.1" customHeight="1">
      <c r="B6" s="99" t="s">
        <v>81</v>
      </c>
      <c r="C6" s="1121" t="s">
        <v>480</v>
      </c>
      <c r="D6" s="1121"/>
      <c r="E6" s="1121"/>
      <c r="F6" s="1121"/>
      <c r="G6" s="1121"/>
      <c r="H6" s="1121"/>
      <c r="I6" s="1121"/>
      <c r="J6" s="145"/>
      <c r="K6" s="145"/>
      <c r="L6" s="145"/>
      <c r="M6" s="145"/>
      <c r="N6" s="145"/>
    </row>
    <row r="7" spans="2:15" s="3" customFormat="1" ht="20.100000000000001" customHeight="1">
      <c r="B7" s="213" t="s">
        <v>404</v>
      </c>
      <c r="C7" s="213" t="s">
        <v>549</v>
      </c>
      <c r="D7" s="211"/>
      <c r="E7" s="211"/>
      <c r="F7" s="211"/>
      <c r="G7" s="211"/>
      <c r="H7" s="211"/>
      <c r="I7" s="212" t="s">
        <v>278</v>
      </c>
      <c r="J7" s="212" t="s">
        <v>490</v>
      </c>
      <c r="K7" s="212"/>
      <c r="L7" s="212"/>
      <c r="M7" s="212"/>
      <c r="N7" s="31"/>
    </row>
    <row r="8" spans="2:15" s="3" customFormat="1" ht="18.95" customHeight="1">
      <c r="B8" s="213" t="s">
        <v>280</v>
      </c>
      <c r="C8" s="472" t="s">
        <v>550</v>
      </c>
      <c r="D8" s="211"/>
      <c r="E8" s="211"/>
      <c r="F8" s="211"/>
      <c r="G8" s="211"/>
      <c r="H8" s="211"/>
      <c r="I8" s="211" t="s">
        <v>477</v>
      </c>
      <c r="J8" s="212" t="s">
        <v>471</v>
      </c>
      <c r="K8" s="212"/>
      <c r="L8" s="212"/>
      <c r="M8" s="212"/>
      <c r="N8" s="31"/>
    </row>
    <row r="9" spans="2:15" s="3" customFormat="1" ht="6.95" customHeight="1">
      <c r="D9" s="85"/>
      <c r="E9" s="85"/>
      <c r="F9" s="85"/>
      <c r="G9" s="85"/>
      <c r="H9" s="85"/>
      <c r="I9" s="85"/>
      <c r="J9" s="85"/>
      <c r="K9" s="85"/>
      <c r="L9" s="85"/>
      <c r="M9" s="85"/>
      <c r="N9" s="85"/>
    </row>
    <row r="10" spans="2:15"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5" ht="21" customHeight="1">
      <c r="B11" s="430" t="s">
        <v>21</v>
      </c>
      <c r="C11" s="431" t="s">
        <v>478</v>
      </c>
      <c r="D11" s="432">
        <v>0.1</v>
      </c>
      <c r="E11" s="1179"/>
      <c r="F11" s="1180"/>
      <c r="G11" s="1156"/>
      <c r="H11" s="1158"/>
      <c r="I11" s="1157"/>
      <c r="J11" s="214"/>
      <c r="K11" s="214"/>
      <c r="L11" s="433"/>
      <c r="M11" s="430"/>
      <c r="N11" s="466">
        <f>N12</f>
        <v>0</v>
      </c>
    </row>
    <row r="12" spans="2:15" ht="21" customHeight="1">
      <c r="B12" s="418"/>
      <c r="C12" s="435" t="s">
        <v>469</v>
      </c>
      <c r="D12" s="421"/>
      <c r="E12" s="1174"/>
      <c r="F12" s="1174"/>
      <c r="G12" s="436"/>
      <c r="H12" s="436"/>
      <c r="I12" s="437"/>
      <c r="J12" s="396"/>
      <c r="K12" s="438">
        <v>1</v>
      </c>
      <c r="L12" s="439"/>
      <c r="M12" s="345">
        <f>L12/K12*100%</f>
        <v>0</v>
      </c>
      <c r="N12" s="346">
        <f>M12*D11</f>
        <v>0</v>
      </c>
    </row>
    <row r="13" spans="2:15" ht="21" customHeight="1">
      <c r="B13" s="430" t="s">
        <v>22</v>
      </c>
      <c r="C13" s="440" t="s">
        <v>23</v>
      </c>
      <c r="D13" s="441">
        <v>0.8</v>
      </c>
      <c r="E13" s="1169"/>
      <c r="F13" s="1170"/>
      <c r="G13" s="1156"/>
      <c r="H13" s="1158"/>
      <c r="I13" s="1157"/>
      <c r="J13" s="1171"/>
      <c r="K13" s="1172"/>
      <c r="L13" s="443"/>
      <c r="M13" s="442"/>
      <c r="N13" s="467">
        <f>SUM(N15:N20)*D13</f>
        <v>0.64000000000000012</v>
      </c>
    </row>
    <row r="14" spans="2:15" ht="21" customHeight="1">
      <c r="B14" s="418" t="s">
        <v>245</v>
      </c>
      <c r="C14" s="444" t="s">
        <v>24</v>
      </c>
      <c r="D14" s="445"/>
      <c r="E14" s="1173"/>
      <c r="F14" s="1173"/>
      <c r="G14" s="446"/>
      <c r="H14" s="446"/>
      <c r="I14" s="446"/>
      <c r="J14" s="445"/>
      <c r="K14" s="447"/>
      <c r="L14" s="447"/>
      <c r="M14" s="445"/>
      <c r="N14" s="448"/>
    </row>
    <row r="15" spans="2:15" ht="38.25">
      <c r="B15" s="86">
        <v>1</v>
      </c>
      <c r="C15" s="449" t="s">
        <v>449</v>
      </c>
      <c r="D15" s="450">
        <v>0.25</v>
      </c>
      <c r="E15" s="1092" t="s">
        <v>330</v>
      </c>
      <c r="F15" s="1093"/>
      <c r="G15" s="1094" t="s">
        <v>471</v>
      </c>
      <c r="H15" s="1095"/>
      <c r="I15" s="1096"/>
      <c r="J15" s="451" t="s">
        <v>343</v>
      </c>
      <c r="K15" s="353">
        <v>45991</v>
      </c>
      <c r="L15" s="353">
        <v>45991</v>
      </c>
      <c r="M15" s="354">
        <f>IF(LEN(L15)=0,"",IF(L15&lt;=K15,1,0))</f>
        <v>1</v>
      </c>
      <c r="N15" s="452">
        <f t="shared" ref="N15:N18" si="0">IFERROR(M15*D15,"")</f>
        <v>0.25</v>
      </c>
      <c r="O15" s="13"/>
    </row>
    <row r="16" spans="2:15" ht="25.5">
      <c r="B16" s="86">
        <v>2</v>
      </c>
      <c r="C16" s="453" t="s">
        <v>396</v>
      </c>
      <c r="D16" s="450">
        <v>0.25</v>
      </c>
      <c r="E16" s="1092" t="s">
        <v>330</v>
      </c>
      <c r="F16" s="1093"/>
      <c r="G16" s="1094" t="s">
        <v>471</v>
      </c>
      <c r="H16" s="1095"/>
      <c r="I16" s="1096"/>
      <c r="J16" s="451" t="s">
        <v>343</v>
      </c>
      <c r="K16" s="353">
        <v>46022</v>
      </c>
      <c r="L16" s="353">
        <v>46022</v>
      </c>
      <c r="M16" s="354">
        <f>IF(LEN(L16)=0,"",IF(L16&lt;=K16,1,0))</f>
        <v>1</v>
      </c>
      <c r="N16" s="358">
        <f t="shared" si="0"/>
        <v>0.25</v>
      </c>
      <c r="O16" s="13"/>
    </row>
    <row r="17" spans="2:17" ht="51">
      <c r="B17" s="86">
        <v>3</v>
      </c>
      <c r="C17" s="453" t="s">
        <v>426</v>
      </c>
      <c r="D17" s="450">
        <v>0.1</v>
      </c>
      <c r="E17" s="1092" t="s">
        <v>330</v>
      </c>
      <c r="F17" s="1093"/>
      <c r="G17" s="1094" t="s">
        <v>525</v>
      </c>
      <c r="H17" s="1095"/>
      <c r="I17" s="1096"/>
      <c r="J17" s="451" t="s">
        <v>343</v>
      </c>
      <c r="K17" s="353">
        <v>46022</v>
      </c>
      <c r="L17" s="353">
        <v>46022</v>
      </c>
      <c r="M17" s="354">
        <f>IF(LEN(L17)=0,"",IF(L17&lt;=K17,1,0))</f>
        <v>1</v>
      </c>
      <c r="N17" s="452">
        <f t="shared" ref="N17" si="1">IFERROR(M17*D17,"")</f>
        <v>0.1</v>
      </c>
      <c r="O17" s="13"/>
    </row>
    <row r="18" spans="2:17" ht="23.25" customHeight="1">
      <c r="B18" s="86">
        <v>4</v>
      </c>
      <c r="C18" s="453" t="s">
        <v>533</v>
      </c>
      <c r="D18" s="450">
        <v>0.2</v>
      </c>
      <c r="E18" s="1092" t="s">
        <v>330</v>
      </c>
      <c r="F18" s="1093"/>
      <c r="G18" s="1094" t="s">
        <v>323</v>
      </c>
      <c r="H18" s="1095"/>
      <c r="I18" s="1096"/>
      <c r="J18" s="451" t="s">
        <v>346</v>
      </c>
      <c r="K18" s="368">
        <v>1</v>
      </c>
      <c r="L18" s="368">
        <v>1</v>
      </c>
      <c r="M18" s="352">
        <f>IF(LEN(L18)=0,"",IF(L18&gt;=K18,100%,0%))</f>
        <v>1</v>
      </c>
      <c r="N18" s="452">
        <f t="shared" si="0"/>
        <v>0.2</v>
      </c>
      <c r="O18" s="13"/>
    </row>
    <row r="19" spans="2:17" ht="21" customHeight="1">
      <c r="B19" s="418" t="s">
        <v>245</v>
      </c>
      <c r="C19" s="444" t="s">
        <v>128</v>
      </c>
      <c r="D19" s="445"/>
      <c r="E19" s="1166"/>
      <c r="F19" s="1166"/>
      <c r="G19" s="454"/>
      <c r="H19" s="454"/>
      <c r="I19" s="455"/>
      <c r="J19" s="445"/>
      <c r="K19" s="447"/>
      <c r="L19" s="447"/>
      <c r="M19" s="445"/>
      <c r="N19" s="448"/>
    </row>
    <row r="20" spans="2:17" ht="38.25">
      <c r="B20" s="86">
        <v>1</v>
      </c>
      <c r="C20" s="453" t="s">
        <v>532</v>
      </c>
      <c r="D20" s="450">
        <v>0.2</v>
      </c>
      <c r="E20" s="1092" t="s">
        <v>330</v>
      </c>
      <c r="F20" s="1093"/>
      <c r="G20" s="1094" t="s">
        <v>471</v>
      </c>
      <c r="H20" s="1095"/>
      <c r="I20" s="1096"/>
      <c r="J20" s="451" t="s">
        <v>343</v>
      </c>
      <c r="K20" s="353">
        <v>46022</v>
      </c>
      <c r="L20" s="353">
        <v>46023</v>
      </c>
      <c r="M20" s="354">
        <f>IF(LEN(L20)=0,"",IF(L20&lt;=K20,1,0))</f>
        <v>0</v>
      </c>
      <c r="N20" s="358">
        <f t="shared" ref="N20" si="2">IFERROR(M20*D20,"")</f>
        <v>0</v>
      </c>
    </row>
    <row r="21" spans="2:17" ht="21" customHeight="1">
      <c r="B21" s="430" t="s">
        <v>40</v>
      </c>
      <c r="C21" s="459" t="s">
        <v>233</v>
      </c>
      <c r="D21" s="460">
        <v>0.1</v>
      </c>
      <c r="E21" s="1156"/>
      <c r="F21" s="1157"/>
      <c r="G21" s="1156"/>
      <c r="H21" s="1158"/>
      <c r="I21" s="1157"/>
      <c r="J21" s="1159"/>
      <c r="K21" s="1159"/>
      <c r="L21" s="433"/>
      <c r="M21" s="430"/>
      <c r="N21" s="434">
        <f>D21+SUM(N22:N23)</f>
        <v>0.1</v>
      </c>
    </row>
    <row r="22" spans="2:17" ht="17.100000000000001" customHeight="1">
      <c r="B22" s="86"/>
      <c r="C22" s="389"/>
      <c r="D22" s="351"/>
      <c r="E22" s="1093"/>
      <c r="F22" s="1093"/>
      <c r="G22" s="1160"/>
      <c r="H22" s="1161"/>
      <c r="I22" s="1162"/>
      <c r="J22" s="395"/>
      <c r="K22" s="461"/>
      <c r="L22" s="462"/>
      <c r="M22" s="345">
        <f>L22*-50%</f>
        <v>0</v>
      </c>
      <c r="N22" s="346">
        <f>M22*$D$21</f>
        <v>0</v>
      </c>
    </row>
    <row r="23" spans="2:17">
      <c r="B23" s="86"/>
      <c r="C23" s="389"/>
      <c r="D23" s="351"/>
      <c r="E23" s="1093"/>
      <c r="F23" s="1093"/>
      <c r="G23" s="1160"/>
      <c r="H23" s="1161"/>
      <c r="I23" s="1162"/>
      <c r="J23" s="395"/>
      <c r="K23" s="461"/>
      <c r="L23" s="462"/>
      <c r="M23" s="345">
        <f>L23*-30%</f>
        <v>0</v>
      </c>
      <c r="N23" s="346">
        <f>M23*$D$21</f>
        <v>0</v>
      </c>
    </row>
    <row r="24" spans="2:17" ht="16.5">
      <c r="B24" s="214"/>
      <c r="C24" s="214" t="s">
        <v>4</v>
      </c>
      <c r="D24" s="338"/>
      <c r="E24" s="1156"/>
      <c r="F24" s="1157"/>
      <c r="G24" s="1156"/>
      <c r="H24" s="1158"/>
      <c r="I24" s="1157"/>
      <c r="J24" s="338"/>
      <c r="K24" s="463"/>
      <c r="L24" s="464"/>
      <c r="M24" s="338"/>
      <c r="N24" s="466">
        <f>N11+N13+N21</f>
        <v>0.7400000000000001</v>
      </c>
      <c r="O24" s="1143"/>
      <c r="P24" s="1143"/>
    </row>
    <row r="25" spans="2:17" ht="17.100000000000001" customHeight="1">
      <c r="B25" s="5"/>
      <c r="C25" s="5"/>
      <c r="D25" s="5"/>
      <c r="E25" s="6"/>
      <c r="F25" s="6"/>
      <c r="G25" s="6"/>
      <c r="H25" s="6"/>
      <c r="I25" s="5"/>
      <c r="J25" s="5"/>
      <c r="K25" s="35"/>
      <c r="L25" s="36"/>
      <c r="M25" s="5"/>
      <c r="N25" s="5"/>
    </row>
    <row r="26" spans="2:17" ht="12.95" customHeight="1">
      <c r="B26" s="37"/>
      <c r="C26" s="47"/>
      <c r="D26" s="38"/>
      <c r="E26" s="38"/>
      <c r="F26" s="38"/>
      <c r="G26" s="37"/>
      <c r="H26" s="37"/>
      <c r="I26" s="38"/>
      <c r="J26" s="38"/>
      <c r="K26" s="38"/>
      <c r="L26" s="38"/>
      <c r="M26" s="38"/>
      <c r="N26" s="38"/>
      <c r="O26" s="38"/>
      <c r="P26" s="38"/>
      <c r="Q26" s="37"/>
    </row>
    <row r="27" spans="2:17" s="51" customFormat="1" ht="32.1" customHeight="1">
      <c r="B27" s="1079" t="s">
        <v>539</v>
      </c>
      <c r="C27" s="975"/>
      <c r="D27" s="1079" t="s">
        <v>537</v>
      </c>
      <c r="E27" s="975"/>
      <c r="F27" s="975"/>
      <c r="G27" s="975"/>
      <c r="H27" s="975"/>
      <c r="I27" s="471"/>
      <c r="J27" s="1079" t="s">
        <v>540</v>
      </c>
      <c r="K27" s="1079"/>
      <c r="L27" s="1079"/>
      <c r="M27" s="1079"/>
      <c r="N27" s="1079"/>
      <c r="O27" s="1079"/>
      <c r="P27" s="1079"/>
      <c r="Q27" s="1079"/>
    </row>
    <row r="28" spans="2:17">
      <c r="B28" s="6"/>
      <c r="C28" s="5"/>
      <c r="D28" s="5"/>
      <c r="E28" s="5"/>
      <c r="F28" s="5"/>
      <c r="G28" s="6"/>
      <c r="I28" s="6"/>
      <c r="J28" s="6"/>
      <c r="K28" s="6"/>
      <c r="L28" s="5"/>
      <c r="M28" s="5"/>
      <c r="N28" s="5"/>
      <c r="O28" s="5"/>
      <c r="P28" s="5"/>
      <c r="Q28" s="5"/>
    </row>
    <row r="29" spans="2:17">
      <c r="B29" s="6"/>
      <c r="C29" s="5"/>
      <c r="D29" s="5"/>
      <c r="E29" s="5"/>
      <c r="F29" s="5"/>
      <c r="G29" s="6"/>
      <c r="I29" s="5"/>
      <c r="J29" s="6"/>
      <c r="K29" s="5"/>
      <c r="L29" s="5"/>
      <c r="M29" s="5"/>
      <c r="N29" s="5"/>
      <c r="O29" s="5"/>
      <c r="P29" s="5"/>
      <c r="Q29" s="6"/>
    </row>
    <row r="30" spans="2:17">
      <c r="B30" s="6"/>
      <c r="C30" s="5"/>
      <c r="D30" s="5"/>
      <c r="E30" s="5"/>
      <c r="F30" s="5"/>
      <c r="G30" s="6"/>
      <c r="I30" s="5"/>
      <c r="J30" s="6"/>
      <c r="K30" s="5"/>
      <c r="L30" s="5"/>
      <c r="M30" s="5"/>
      <c r="N30" s="5"/>
      <c r="O30" s="5"/>
      <c r="P30" s="5"/>
      <c r="Q30" s="6"/>
    </row>
    <row r="31" spans="2:17">
      <c r="B31" s="6"/>
      <c r="C31" s="5"/>
      <c r="D31" s="5"/>
      <c r="E31" s="5"/>
      <c r="F31" s="5"/>
      <c r="G31" s="6"/>
      <c r="I31" s="5"/>
      <c r="J31" s="6"/>
      <c r="K31" s="5"/>
      <c r="L31" s="5"/>
      <c r="M31" s="5"/>
      <c r="N31" s="5"/>
      <c r="O31" s="5"/>
      <c r="P31" s="5"/>
      <c r="Q31" s="6"/>
    </row>
    <row r="32" spans="2:17">
      <c r="B32" s="6"/>
      <c r="C32" s="5"/>
      <c r="D32" s="5"/>
      <c r="E32" s="5"/>
      <c r="F32" s="5"/>
      <c r="G32" s="6"/>
      <c r="I32" s="5"/>
      <c r="J32" s="6"/>
      <c r="K32" s="5"/>
      <c r="L32" s="5"/>
      <c r="M32" s="5"/>
      <c r="N32" s="5"/>
      <c r="O32" s="5"/>
      <c r="P32" s="5"/>
      <c r="Q32" s="6"/>
    </row>
    <row r="33" spans="2:17">
      <c r="B33" s="6"/>
      <c r="C33" s="5"/>
      <c r="D33" s="5"/>
      <c r="E33" s="5"/>
      <c r="F33" s="5"/>
      <c r="G33" s="6"/>
      <c r="I33" s="5"/>
      <c r="J33" s="6"/>
      <c r="K33" s="5"/>
      <c r="L33" s="5"/>
      <c r="M33" s="5"/>
      <c r="N33" s="5"/>
      <c r="O33" s="5"/>
      <c r="P33" s="5"/>
      <c r="Q33" s="6"/>
    </row>
    <row r="34" spans="2:17">
      <c r="B34" s="972" t="s">
        <v>29</v>
      </c>
      <c r="C34" s="972"/>
      <c r="D34" s="972" t="s">
        <v>29</v>
      </c>
      <c r="E34" s="972"/>
      <c r="F34" s="972"/>
      <c r="G34" s="972"/>
      <c r="H34" s="972"/>
      <c r="I34" s="5"/>
      <c r="J34" s="972" t="s">
        <v>29</v>
      </c>
      <c r="K34" s="972"/>
      <c r="L34" s="972"/>
      <c r="M34" s="972"/>
      <c r="N34" s="972"/>
      <c r="O34" s="972"/>
      <c r="P34" s="972"/>
      <c r="Q34" s="972"/>
    </row>
    <row r="35" spans="2:17">
      <c r="B35" s="6"/>
      <c r="C35" s="5"/>
      <c r="D35" s="5"/>
      <c r="E35" s="5"/>
      <c r="F35" s="5"/>
      <c r="G35" s="6"/>
      <c r="I35" s="5"/>
      <c r="J35" s="6"/>
      <c r="K35" s="5"/>
      <c r="L35" s="5"/>
      <c r="M35" s="5"/>
      <c r="N35" s="5"/>
      <c r="O35" s="5"/>
      <c r="P35" s="5"/>
      <c r="Q35" s="6"/>
    </row>
    <row r="36" spans="2:17">
      <c r="B36" s="37"/>
      <c r="C36" s="47"/>
      <c r="D36" s="38"/>
      <c r="E36" s="38"/>
      <c r="F36" s="38"/>
      <c r="G36" s="37"/>
      <c r="I36" s="38"/>
      <c r="J36" s="37"/>
      <c r="K36" s="38"/>
      <c r="L36" s="38"/>
      <c r="M36" s="38"/>
      <c r="N36" s="38"/>
      <c r="O36" s="38"/>
      <c r="P36" s="38"/>
      <c r="Q36" s="37"/>
    </row>
    <row r="37" spans="2:17" ht="24" customHeight="1">
      <c r="B37" s="1080"/>
      <c r="C37" s="972"/>
      <c r="D37" s="1080"/>
      <c r="E37" s="972"/>
      <c r="F37" s="972"/>
      <c r="G37" s="972"/>
      <c r="H37" s="972"/>
      <c r="I37" s="245"/>
      <c r="J37" s="972"/>
      <c r="K37" s="972"/>
      <c r="L37" s="972"/>
      <c r="M37" s="972"/>
      <c r="N37" s="245"/>
      <c r="O37" s="1080"/>
      <c r="P37" s="972"/>
      <c r="Q37" s="972"/>
    </row>
    <row r="38" spans="2:17">
      <c r="B38" s="6"/>
      <c r="C38" s="5"/>
      <c r="D38" s="5"/>
      <c r="E38" s="5"/>
      <c r="F38" s="5"/>
      <c r="G38" s="6"/>
      <c r="I38" s="6"/>
      <c r="J38" s="6"/>
      <c r="K38" s="6"/>
      <c r="L38" s="5"/>
      <c r="M38" s="5"/>
      <c r="N38" s="5"/>
      <c r="O38" s="5"/>
      <c r="P38" s="5"/>
      <c r="Q38" s="5"/>
    </row>
    <row r="39" spans="2:17">
      <c r="B39" s="6"/>
      <c r="C39" s="5"/>
      <c r="D39" s="5"/>
      <c r="E39" s="5"/>
      <c r="F39" s="5"/>
      <c r="G39" s="6"/>
      <c r="I39" s="5"/>
      <c r="J39" s="6"/>
      <c r="K39" s="5"/>
      <c r="L39" s="5"/>
      <c r="M39" s="5"/>
      <c r="N39" s="5"/>
      <c r="O39" s="5"/>
      <c r="P39" s="5"/>
      <c r="Q39" s="6"/>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972"/>
      <c r="C44" s="972"/>
      <c r="D44" s="972"/>
      <c r="E44" s="972"/>
      <c r="F44" s="972"/>
      <c r="G44" s="972"/>
      <c r="H44" s="972"/>
      <c r="I44" s="5"/>
      <c r="J44" s="972"/>
      <c r="K44" s="972"/>
      <c r="L44" s="972"/>
      <c r="M44" s="972"/>
      <c r="N44" s="5"/>
      <c r="O44" s="972"/>
      <c r="P44" s="972"/>
      <c r="Q44" s="972"/>
    </row>
  </sheetData>
  <mergeCells count="45">
    <mergeCell ref="E20:F20"/>
    <mergeCell ref="G20:I20"/>
    <mergeCell ref="B27:C27"/>
    <mergeCell ref="D27:H27"/>
    <mergeCell ref="J27:Q27"/>
    <mergeCell ref="O24:P24"/>
    <mergeCell ref="E21:F21"/>
    <mergeCell ref="G21:I21"/>
    <mergeCell ref="J21:K21"/>
    <mergeCell ref="E22:F22"/>
    <mergeCell ref="G22:I22"/>
    <mergeCell ref="E23:F23"/>
    <mergeCell ref="G23:I23"/>
    <mergeCell ref="E24:F24"/>
    <mergeCell ref="G24:I24"/>
    <mergeCell ref="E16:F16"/>
    <mergeCell ref="G16:I16"/>
    <mergeCell ref="E18:F18"/>
    <mergeCell ref="G18:I18"/>
    <mergeCell ref="E19:F19"/>
    <mergeCell ref="E17:F17"/>
    <mergeCell ref="G17:I17"/>
    <mergeCell ref="E13:F13"/>
    <mergeCell ref="G13:I13"/>
    <mergeCell ref="J13:K13"/>
    <mergeCell ref="E14:F14"/>
    <mergeCell ref="E15:F15"/>
    <mergeCell ref="G15:I15"/>
    <mergeCell ref="E12:F12"/>
    <mergeCell ref="C6:I6"/>
    <mergeCell ref="E10:F10"/>
    <mergeCell ref="G10:I10"/>
    <mergeCell ref="E11:F11"/>
    <mergeCell ref="G11:I11"/>
    <mergeCell ref="B44:C44"/>
    <mergeCell ref="D44:H44"/>
    <mergeCell ref="J44:M44"/>
    <mergeCell ref="O44:Q44"/>
    <mergeCell ref="B34:C34"/>
    <mergeCell ref="D34:H34"/>
    <mergeCell ref="J34:Q34"/>
    <mergeCell ref="B37:C37"/>
    <mergeCell ref="D37:H37"/>
    <mergeCell ref="J37:M37"/>
    <mergeCell ref="O37:Q37"/>
  </mergeCells>
  <pageMargins left="0.25" right="0.17" top="0.17" bottom="0.32" header="0.3" footer="0.3"/>
  <pageSetup paperSize="9" scale="83"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0"/>
  <dimension ref="B1:Q44"/>
  <sheetViews>
    <sheetView showGridLines="0" topLeftCell="A8" zoomScale="116" workbookViewId="0">
      <selection activeCell="C16" sqref="C16"/>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17.625" style="2" customWidth="1"/>
    <col min="7" max="7" width="5.125" style="2" customWidth="1"/>
    <col min="8" max="8" width="3.875" style="2" customWidth="1"/>
    <col min="9" max="9" width="10.125" style="1" customWidth="1"/>
    <col min="10" max="10" width="11.625" style="1" customWidth="1"/>
    <col min="11" max="11" width="13.875" style="39" customWidth="1"/>
    <col min="12" max="12" width="9.875" style="40" customWidth="1"/>
    <col min="13" max="13" width="10.12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5" hidden="1"/>
    <row r="2" spans="2:15" s="375" customFormat="1" hidden="1">
      <c r="B2" s="407" t="s">
        <v>464</v>
      </c>
      <c r="C2" s="140" t="s">
        <v>132</v>
      </c>
      <c r="D2" s="140"/>
    </row>
    <row r="3" spans="2:15" s="375" customFormat="1" hidden="1">
      <c r="B3" s="407" t="s">
        <v>465</v>
      </c>
      <c r="C3" s="209" t="s">
        <v>255</v>
      </c>
      <c r="D3" s="209"/>
    </row>
    <row r="4" spans="2:15" s="375" customFormat="1" hidden="1">
      <c r="B4" s="407" t="s">
        <v>466</v>
      </c>
      <c r="C4" s="140" t="s">
        <v>133</v>
      </c>
      <c r="D4" s="140"/>
    </row>
    <row r="5" spans="2:15" s="31" customFormat="1" ht="6.95" customHeight="1">
      <c r="B5" s="30"/>
      <c r="C5" s="30"/>
      <c r="E5" s="30"/>
      <c r="J5" s="30"/>
      <c r="K5" s="32"/>
      <c r="L5" s="33"/>
    </row>
    <row r="6" spans="2:15" s="98" customFormat="1" ht="26.1" customHeight="1">
      <c r="B6" s="99" t="s">
        <v>81</v>
      </c>
      <c r="C6" s="1121" t="s">
        <v>480</v>
      </c>
      <c r="D6" s="1121"/>
      <c r="E6" s="1121"/>
      <c r="F6" s="1121"/>
      <c r="G6" s="1121"/>
      <c r="H6" s="1121"/>
      <c r="I6" s="1121"/>
      <c r="J6" s="145"/>
      <c r="K6" s="145"/>
      <c r="L6" s="145"/>
      <c r="M6" s="145"/>
      <c r="N6" s="145"/>
    </row>
    <row r="7" spans="2:15" s="3" customFormat="1" ht="20.100000000000001" customHeight="1">
      <c r="B7" s="213" t="s">
        <v>404</v>
      </c>
      <c r="C7" s="213" t="s">
        <v>551</v>
      </c>
      <c r="D7" s="211"/>
      <c r="E7" s="211"/>
      <c r="F7" s="211"/>
      <c r="G7" s="211"/>
      <c r="H7" s="211"/>
      <c r="I7" s="212" t="s">
        <v>278</v>
      </c>
      <c r="J7" s="212" t="s">
        <v>447</v>
      </c>
      <c r="K7" s="212"/>
      <c r="L7" s="212"/>
      <c r="M7" s="212"/>
      <c r="N7" s="31"/>
    </row>
    <row r="8" spans="2:15" s="3" customFormat="1" ht="18.95" customHeight="1">
      <c r="B8" s="213" t="s">
        <v>280</v>
      </c>
      <c r="C8" s="472" t="s">
        <v>552</v>
      </c>
      <c r="D8" s="211"/>
      <c r="E8" s="211"/>
      <c r="F8" s="211"/>
      <c r="G8" s="211"/>
      <c r="H8" s="211"/>
      <c r="I8" s="211" t="s">
        <v>477</v>
      </c>
      <c r="J8" s="212" t="s">
        <v>471</v>
      </c>
      <c r="K8" s="212"/>
      <c r="L8" s="212"/>
      <c r="M8" s="212"/>
      <c r="N8" s="31"/>
    </row>
    <row r="9" spans="2:15" s="3" customFormat="1" ht="6.95" customHeight="1">
      <c r="D9" s="85"/>
      <c r="E9" s="85"/>
      <c r="F9" s="85"/>
      <c r="G9" s="85"/>
      <c r="H9" s="85"/>
      <c r="I9" s="85"/>
      <c r="J9" s="85"/>
      <c r="K9" s="85"/>
      <c r="L9" s="85"/>
      <c r="M9" s="85"/>
      <c r="N9" s="85"/>
    </row>
    <row r="10" spans="2:15"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5" ht="21" customHeight="1">
      <c r="B11" s="430" t="s">
        <v>21</v>
      </c>
      <c r="C11" s="431" t="s">
        <v>478</v>
      </c>
      <c r="D11" s="432">
        <v>0.1</v>
      </c>
      <c r="E11" s="1179"/>
      <c r="F11" s="1180"/>
      <c r="G11" s="1156"/>
      <c r="H11" s="1158"/>
      <c r="I11" s="1157"/>
      <c r="J11" s="214"/>
      <c r="K11" s="214"/>
      <c r="L11" s="433"/>
      <c r="M11" s="430"/>
      <c r="N11" s="466">
        <f>N12</f>
        <v>0</v>
      </c>
    </row>
    <row r="12" spans="2:15" ht="21" customHeight="1">
      <c r="B12" s="418"/>
      <c r="C12" s="435" t="s">
        <v>469</v>
      </c>
      <c r="D12" s="421"/>
      <c r="E12" s="1174"/>
      <c r="F12" s="1174"/>
      <c r="G12" s="436"/>
      <c r="H12" s="436"/>
      <c r="I12" s="437"/>
      <c r="J12" s="396"/>
      <c r="K12" s="438">
        <v>1</v>
      </c>
      <c r="L12" s="439"/>
      <c r="M12" s="345">
        <f>L12/K12*100%</f>
        <v>0</v>
      </c>
      <c r="N12" s="346">
        <f>M12*D11</f>
        <v>0</v>
      </c>
    </row>
    <row r="13" spans="2:15" ht="21" customHeight="1">
      <c r="B13" s="430" t="s">
        <v>22</v>
      </c>
      <c r="C13" s="440" t="s">
        <v>23</v>
      </c>
      <c r="D13" s="441">
        <v>0.8</v>
      </c>
      <c r="E13" s="1169"/>
      <c r="F13" s="1170"/>
      <c r="G13" s="1156"/>
      <c r="H13" s="1158"/>
      <c r="I13" s="1157"/>
      <c r="J13" s="1171"/>
      <c r="K13" s="1172"/>
      <c r="L13" s="443"/>
      <c r="M13" s="442"/>
      <c r="N13" s="467">
        <f>SUM(N15:N20)*D13</f>
        <v>0.27999999999999997</v>
      </c>
    </row>
    <row r="14" spans="2:15" ht="21" customHeight="1">
      <c r="B14" s="418" t="s">
        <v>245</v>
      </c>
      <c r="C14" s="444" t="s">
        <v>24</v>
      </c>
      <c r="D14" s="445"/>
      <c r="E14" s="1173"/>
      <c r="F14" s="1173"/>
      <c r="G14" s="446"/>
      <c r="H14" s="446"/>
      <c r="I14" s="446"/>
      <c r="J14" s="445"/>
      <c r="K14" s="447"/>
      <c r="L14" s="447"/>
      <c r="M14" s="445"/>
      <c r="N14" s="448"/>
    </row>
    <row r="15" spans="2:15" ht="38.25">
      <c r="B15" s="86">
        <v>1</v>
      </c>
      <c r="C15" s="449" t="s">
        <v>429</v>
      </c>
      <c r="D15" s="348">
        <v>0.3</v>
      </c>
      <c r="E15" s="1092" t="s">
        <v>413</v>
      </c>
      <c r="F15" s="1093"/>
      <c r="G15" s="1190" t="s">
        <v>471</v>
      </c>
      <c r="H15" s="1191"/>
      <c r="I15" s="1192"/>
      <c r="J15" s="451" t="s">
        <v>414</v>
      </c>
      <c r="K15" s="364">
        <v>0</v>
      </c>
      <c r="L15" s="364">
        <v>1</v>
      </c>
      <c r="M15" s="365">
        <f>IF(LEN(L15)=0,"",IF(L15=K15,1,0))</f>
        <v>0</v>
      </c>
      <c r="N15" s="452">
        <f t="shared" ref="N15:N16" si="0">IFERROR(M15*D15,"")</f>
        <v>0</v>
      </c>
      <c r="O15" s="13"/>
    </row>
    <row r="16" spans="2:15" ht="25.5">
      <c r="B16" s="86">
        <v>2</v>
      </c>
      <c r="C16" s="453" t="s">
        <v>450</v>
      </c>
      <c r="D16" s="450">
        <v>0.15</v>
      </c>
      <c r="E16" s="1092" t="s">
        <v>341</v>
      </c>
      <c r="F16" s="1093"/>
      <c r="G16" s="1094" t="s">
        <v>523</v>
      </c>
      <c r="H16" s="1095"/>
      <c r="I16" s="1096"/>
      <c r="J16" s="451" t="s">
        <v>326</v>
      </c>
      <c r="K16" s="369">
        <v>0.02</v>
      </c>
      <c r="L16" s="369">
        <v>0.02</v>
      </c>
      <c r="M16" s="345">
        <f>IF(LEN(L16)=0,"",IF(L16&lt;K16,0,MIN(120%,L16/K16*100%)))</f>
        <v>1</v>
      </c>
      <c r="N16" s="358">
        <f t="shared" si="0"/>
        <v>0.15</v>
      </c>
      <c r="O16" s="13"/>
    </row>
    <row r="17" spans="2:17" ht="21" customHeight="1">
      <c r="B17" s="418" t="s">
        <v>245</v>
      </c>
      <c r="C17" s="444" t="s">
        <v>128</v>
      </c>
      <c r="D17" s="445"/>
      <c r="E17" s="1166"/>
      <c r="F17" s="1166"/>
      <c r="G17" s="454"/>
      <c r="H17" s="454"/>
      <c r="I17" s="455"/>
      <c r="J17" s="445"/>
      <c r="K17" s="447"/>
      <c r="L17" s="447"/>
      <c r="M17" s="445"/>
      <c r="N17" s="448"/>
    </row>
    <row r="18" spans="2:17" ht="38.25">
      <c r="B18" s="86">
        <v>1</v>
      </c>
      <c r="C18" s="453" t="s">
        <v>456</v>
      </c>
      <c r="D18" s="450">
        <v>0.15</v>
      </c>
      <c r="E18" s="1092" t="s">
        <v>413</v>
      </c>
      <c r="F18" s="1093"/>
      <c r="G18" s="1190" t="s">
        <v>471</v>
      </c>
      <c r="H18" s="1191"/>
      <c r="I18" s="1192"/>
      <c r="J18" s="451" t="s">
        <v>414</v>
      </c>
      <c r="K18" s="364">
        <v>0</v>
      </c>
      <c r="L18" s="364">
        <v>1</v>
      </c>
      <c r="M18" s="365">
        <f>IF(LEN(L18)=0,"",IF(L18=K18,1,0))</f>
        <v>0</v>
      </c>
      <c r="N18" s="358">
        <f t="shared" ref="N18" si="1">IFERROR(M18*D18,"")</f>
        <v>0</v>
      </c>
    </row>
    <row r="19" spans="2:17" ht="41.25" customHeight="1">
      <c r="B19" s="86">
        <v>2</v>
      </c>
      <c r="C19" s="453" t="s">
        <v>455</v>
      </c>
      <c r="D19" s="450">
        <v>0.2</v>
      </c>
      <c r="E19" s="1092" t="s">
        <v>413</v>
      </c>
      <c r="F19" s="1093"/>
      <c r="G19" s="1190" t="s">
        <v>471</v>
      </c>
      <c r="H19" s="1191"/>
      <c r="I19" s="1192"/>
      <c r="J19" s="451" t="s">
        <v>414</v>
      </c>
      <c r="K19" s="364">
        <v>0</v>
      </c>
      <c r="L19" s="364">
        <v>0</v>
      </c>
      <c r="M19" s="365">
        <f>IF(LEN(L19)=0,"",IF(L19=K19,1,0))</f>
        <v>1</v>
      </c>
      <c r="N19" s="358">
        <f t="shared" ref="N19:N20" si="2">IFERROR(M19*D19,"")</f>
        <v>0.2</v>
      </c>
    </row>
    <row r="20" spans="2:17" ht="38.25">
      <c r="B20" s="86">
        <v>3</v>
      </c>
      <c r="C20" s="361" t="s">
        <v>520</v>
      </c>
      <c r="D20" s="450">
        <v>0.2</v>
      </c>
      <c r="E20" s="1092" t="s">
        <v>413</v>
      </c>
      <c r="F20" s="1093"/>
      <c r="G20" s="1190" t="s">
        <v>471</v>
      </c>
      <c r="H20" s="1191"/>
      <c r="I20" s="1192"/>
      <c r="J20" s="451" t="s">
        <v>414</v>
      </c>
      <c r="K20" s="364">
        <v>0</v>
      </c>
      <c r="L20" s="364">
        <v>1</v>
      </c>
      <c r="M20" s="365">
        <f>IF(LEN(L20)=0,"",IF(L20=K20,1,0))</f>
        <v>0</v>
      </c>
      <c r="N20" s="358">
        <f t="shared" si="2"/>
        <v>0</v>
      </c>
    </row>
    <row r="21" spans="2:17" ht="21" customHeight="1">
      <c r="B21" s="430" t="s">
        <v>40</v>
      </c>
      <c r="C21" s="459" t="s">
        <v>233</v>
      </c>
      <c r="D21" s="460">
        <v>0.1</v>
      </c>
      <c r="E21" s="1156"/>
      <c r="F21" s="1157"/>
      <c r="G21" s="1156"/>
      <c r="H21" s="1158"/>
      <c r="I21" s="1157"/>
      <c r="J21" s="1159"/>
      <c r="K21" s="1159"/>
      <c r="L21" s="433"/>
      <c r="M21" s="430"/>
      <c r="N21" s="434">
        <f>D21+SUM(N22:N23)</f>
        <v>0.1</v>
      </c>
    </row>
    <row r="22" spans="2:17" ht="17.100000000000001" customHeight="1">
      <c r="B22" s="86"/>
      <c r="C22" s="389"/>
      <c r="D22" s="351"/>
      <c r="E22" s="1093"/>
      <c r="F22" s="1093"/>
      <c r="G22" s="1160"/>
      <c r="H22" s="1161"/>
      <c r="I22" s="1162"/>
      <c r="J22" s="395"/>
      <c r="K22" s="461"/>
      <c r="L22" s="462"/>
      <c r="M22" s="345">
        <f>L22*-50%</f>
        <v>0</v>
      </c>
      <c r="N22" s="346">
        <f>M22*$D$21</f>
        <v>0</v>
      </c>
    </row>
    <row r="23" spans="2:17">
      <c r="B23" s="86"/>
      <c r="C23" s="389"/>
      <c r="D23" s="351"/>
      <c r="E23" s="1181"/>
      <c r="F23" s="1182"/>
      <c r="G23" s="1160"/>
      <c r="H23" s="1161"/>
      <c r="I23" s="1162"/>
      <c r="J23" s="395"/>
      <c r="K23" s="461"/>
      <c r="L23" s="462"/>
      <c r="M23" s="345">
        <f>L23*-30%</f>
        <v>0</v>
      </c>
      <c r="N23" s="346">
        <f>M23*$D$21</f>
        <v>0</v>
      </c>
    </row>
    <row r="24" spans="2:17" ht="16.5">
      <c r="B24" s="214"/>
      <c r="C24" s="214" t="s">
        <v>4</v>
      </c>
      <c r="D24" s="338"/>
      <c r="E24" s="1156"/>
      <c r="F24" s="1157"/>
      <c r="G24" s="1156"/>
      <c r="H24" s="1158"/>
      <c r="I24" s="1157"/>
      <c r="J24" s="338"/>
      <c r="K24" s="463"/>
      <c r="L24" s="464"/>
      <c r="M24" s="338"/>
      <c r="N24" s="466">
        <f>N11+N13+N21</f>
        <v>0.38</v>
      </c>
      <c r="O24" s="1143"/>
      <c r="P24" s="1143"/>
    </row>
    <row r="25" spans="2:17" ht="17.100000000000001" customHeight="1">
      <c r="B25" s="5"/>
      <c r="C25" s="5"/>
      <c r="D25" s="5"/>
      <c r="E25" s="6"/>
      <c r="F25" s="6"/>
      <c r="G25" s="6"/>
      <c r="H25" s="6"/>
      <c r="I25" s="5"/>
      <c r="J25" s="5"/>
      <c r="K25" s="35"/>
      <c r="L25" s="36"/>
      <c r="M25" s="5"/>
      <c r="N25" s="5"/>
    </row>
    <row r="26" spans="2:17" ht="12.95" customHeight="1">
      <c r="B26" s="37"/>
      <c r="C26" s="47"/>
      <c r="D26" s="38"/>
      <c r="E26" s="38"/>
      <c r="F26" s="38"/>
      <c r="G26" s="37"/>
      <c r="H26" s="37"/>
      <c r="I26" s="38"/>
      <c r="J26" s="38"/>
      <c r="K26" s="38"/>
      <c r="L26" s="38"/>
      <c r="M26" s="38"/>
      <c r="N26" s="38"/>
      <c r="O26" s="38"/>
      <c r="P26" s="38"/>
      <c r="Q26" s="37"/>
    </row>
    <row r="27" spans="2:17" s="51" customFormat="1" ht="32.1" customHeight="1">
      <c r="B27" s="1079" t="s">
        <v>539</v>
      </c>
      <c r="C27" s="975"/>
      <c r="D27" s="1079" t="s">
        <v>537</v>
      </c>
      <c r="E27" s="975"/>
      <c r="F27" s="975"/>
      <c r="G27" s="975"/>
      <c r="H27" s="975"/>
      <c r="I27" s="471"/>
      <c r="J27" s="1079" t="s">
        <v>540</v>
      </c>
      <c r="K27" s="1079"/>
      <c r="L27" s="1079"/>
      <c r="M27" s="1079"/>
      <c r="N27" s="1079"/>
      <c r="O27" s="1079"/>
      <c r="P27" s="1079"/>
      <c r="Q27" s="1079"/>
    </row>
    <row r="28" spans="2:17">
      <c r="B28" s="6"/>
      <c r="C28" s="5"/>
      <c r="D28" s="5"/>
      <c r="E28" s="5"/>
      <c r="F28" s="5"/>
      <c r="G28" s="6"/>
      <c r="I28" s="6"/>
      <c r="J28" s="6"/>
      <c r="K28" s="6"/>
      <c r="L28" s="5"/>
      <c r="M28" s="5"/>
      <c r="N28" s="5"/>
      <c r="O28" s="5"/>
      <c r="P28" s="5"/>
      <c r="Q28" s="5"/>
    </row>
    <row r="29" spans="2:17">
      <c r="B29" s="6"/>
      <c r="C29" s="5"/>
      <c r="D29" s="5"/>
      <c r="E29" s="5"/>
      <c r="F29" s="5"/>
      <c r="G29" s="6"/>
      <c r="I29" s="5"/>
      <c r="J29" s="6"/>
      <c r="K29" s="5"/>
      <c r="L29" s="5"/>
      <c r="M29" s="5"/>
      <c r="N29" s="5"/>
      <c r="O29" s="5"/>
      <c r="P29" s="5"/>
      <c r="Q29" s="6"/>
    </row>
    <row r="30" spans="2:17">
      <c r="B30" s="6"/>
      <c r="C30" s="5"/>
      <c r="D30" s="5"/>
      <c r="E30" s="5"/>
      <c r="F30" s="5"/>
      <c r="G30" s="6"/>
      <c r="I30" s="5"/>
      <c r="J30" s="6"/>
      <c r="K30" s="5"/>
      <c r="L30" s="5"/>
      <c r="M30" s="5"/>
      <c r="N30" s="5"/>
      <c r="O30" s="5"/>
      <c r="P30" s="5"/>
      <c r="Q30" s="6"/>
    </row>
    <row r="31" spans="2:17">
      <c r="B31" s="6"/>
      <c r="C31" s="5"/>
      <c r="D31" s="5"/>
      <c r="E31" s="5"/>
      <c r="F31" s="5"/>
      <c r="G31" s="6"/>
      <c r="I31" s="5"/>
      <c r="J31" s="6"/>
      <c r="K31" s="5"/>
      <c r="L31" s="5"/>
      <c r="M31" s="5"/>
      <c r="N31" s="5"/>
      <c r="O31" s="5"/>
      <c r="P31" s="5"/>
      <c r="Q31" s="6"/>
    </row>
    <row r="32" spans="2:17">
      <c r="B32" s="6"/>
      <c r="C32" s="5"/>
      <c r="D32" s="5"/>
      <c r="E32" s="5"/>
      <c r="F32" s="5"/>
      <c r="G32" s="6"/>
      <c r="I32" s="5"/>
      <c r="J32" s="6"/>
      <c r="K32" s="5"/>
      <c r="L32" s="5"/>
      <c r="M32" s="5"/>
      <c r="N32" s="5"/>
      <c r="O32" s="5"/>
      <c r="P32" s="5"/>
      <c r="Q32" s="6"/>
    </row>
    <row r="33" spans="2:17">
      <c r="B33" s="6"/>
      <c r="C33" s="5"/>
      <c r="D33" s="5"/>
      <c r="E33" s="5"/>
      <c r="F33" s="5"/>
      <c r="G33" s="6"/>
      <c r="I33" s="5"/>
      <c r="J33" s="6"/>
      <c r="K33" s="5"/>
      <c r="L33" s="5"/>
      <c r="M33" s="5"/>
      <c r="N33" s="5"/>
      <c r="O33" s="5"/>
      <c r="P33" s="5"/>
      <c r="Q33" s="6"/>
    </row>
    <row r="34" spans="2:17">
      <c r="B34" s="972" t="s">
        <v>29</v>
      </c>
      <c r="C34" s="972"/>
      <c r="D34" s="972" t="s">
        <v>29</v>
      </c>
      <c r="E34" s="972"/>
      <c r="F34" s="972"/>
      <c r="G34" s="972"/>
      <c r="H34" s="972"/>
      <c r="I34" s="5"/>
      <c r="J34" s="972" t="s">
        <v>29</v>
      </c>
      <c r="K34" s="972"/>
      <c r="L34" s="972"/>
      <c r="M34" s="972"/>
      <c r="N34" s="972"/>
      <c r="O34" s="972"/>
      <c r="P34" s="972"/>
      <c r="Q34" s="972"/>
    </row>
    <row r="35" spans="2:17">
      <c r="B35" s="6"/>
      <c r="C35" s="5"/>
      <c r="D35" s="5"/>
      <c r="E35" s="5"/>
      <c r="F35" s="5"/>
      <c r="G35" s="6"/>
      <c r="I35" s="5"/>
      <c r="J35" s="6"/>
      <c r="K35" s="5"/>
      <c r="L35" s="5"/>
      <c r="M35" s="5"/>
      <c r="N35" s="5"/>
      <c r="O35" s="5"/>
      <c r="P35" s="5"/>
      <c r="Q35" s="6"/>
    </row>
    <row r="36" spans="2:17">
      <c r="B36" s="37"/>
      <c r="C36" s="47"/>
      <c r="D36" s="38"/>
      <c r="E36" s="38"/>
      <c r="F36" s="38"/>
      <c r="G36" s="37"/>
      <c r="I36" s="38"/>
      <c r="J36" s="37"/>
      <c r="K36" s="38"/>
      <c r="L36" s="38"/>
      <c r="M36" s="38"/>
      <c r="N36" s="38"/>
      <c r="O36" s="38"/>
      <c r="P36" s="38"/>
      <c r="Q36" s="37"/>
    </row>
    <row r="37" spans="2:17" ht="24" customHeight="1">
      <c r="B37" s="1080"/>
      <c r="C37" s="972"/>
      <c r="D37" s="1080"/>
      <c r="E37" s="972"/>
      <c r="F37" s="972"/>
      <c r="G37" s="972"/>
      <c r="H37" s="972"/>
      <c r="I37" s="245"/>
      <c r="J37" s="972"/>
      <c r="K37" s="972"/>
      <c r="L37" s="972"/>
      <c r="M37" s="972"/>
      <c r="N37" s="245"/>
      <c r="O37" s="1080"/>
      <c r="P37" s="972"/>
      <c r="Q37" s="972"/>
    </row>
    <row r="38" spans="2:17">
      <c r="B38" s="6"/>
      <c r="C38" s="5"/>
      <c r="D38" s="5"/>
      <c r="E38" s="5"/>
      <c r="F38" s="5"/>
      <c r="G38" s="6"/>
      <c r="I38" s="6"/>
      <c r="J38" s="6"/>
      <c r="K38" s="6"/>
      <c r="L38" s="5"/>
      <c r="M38" s="5"/>
      <c r="N38" s="5"/>
      <c r="O38" s="5"/>
      <c r="P38" s="5"/>
      <c r="Q38" s="5"/>
    </row>
    <row r="39" spans="2:17">
      <c r="B39" s="6"/>
      <c r="C39" s="5"/>
      <c r="D39" s="5"/>
      <c r="E39" s="5"/>
      <c r="F39" s="5"/>
      <c r="G39" s="6"/>
      <c r="I39" s="5"/>
      <c r="J39" s="6"/>
      <c r="K39" s="5"/>
      <c r="L39" s="5"/>
      <c r="M39" s="5"/>
      <c r="N39" s="5"/>
      <c r="O39" s="5"/>
      <c r="P39" s="5"/>
      <c r="Q39" s="6"/>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972"/>
      <c r="C44" s="972"/>
      <c r="D44" s="972"/>
      <c r="E44" s="972"/>
      <c r="F44" s="972"/>
      <c r="G44" s="972"/>
      <c r="H44" s="972"/>
      <c r="I44" s="5"/>
      <c r="J44" s="972"/>
      <c r="K44" s="972"/>
      <c r="L44" s="972"/>
      <c r="M44" s="972"/>
      <c r="N44" s="5"/>
      <c r="O44" s="972"/>
      <c r="P44" s="972"/>
      <c r="Q44" s="972"/>
    </row>
  </sheetData>
  <mergeCells count="45">
    <mergeCell ref="B27:C27"/>
    <mergeCell ref="D27:H27"/>
    <mergeCell ref="J27:Q27"/>
    <mergeCell ref="J21:K21"/>
    <mergeCell ref="O24:P24"/>
    <mergeCell ref="E22:F22"/>
    <mergeCell ref="G22:I22"/>
    <mergeCell ref="E23:F23"/>
    <mergeCell ref="G23:I23"/>
    <mergeCell ref="E24:F24"/>
    <mergeCell ref="G24:I24"/>
    <mergeCell ref="E17:F17"/>
    <mergeCell ref="E20:F20"/>
    <mergeCell ref="G20:I20"/>
    <mergeCell ref="E21:F21"/>
    <mergeCell ref="G21:I21"/>
    <mergeCell ref="G18:I18"/>
    <mergeCell ref="E19:F19"/>
    <mergeCell ref="G19:I19"/>
    <mergeCell ref="E18:F18"/>
    <mergeCell ref="E16:F16"/>
    <mergeCell ref="G16:I16"/>
    <mergeCell ref="E13:F13"/>
    <mergeCell ref="G13:I13"/>
    <mergeCell ref="J13:K13"/>
    <mergeCell ref="E14:F14"/>
    <mergeCell ref="E15:F15"/>
    <mergeCell ref="G15:I15"/>
    <mergeCell ref="E12:F12"/>
    <mergeCell ref="C6:I6"/>
    <mergeCell ref="E10:F10"/>
    <mergeCell ref="G10:I10"/>
    <mergeCell ref="E11:F11"/>
    <mergeCell ref="G11:I11"/>
    <mergeCell ref="B44:C44"/>
    <mergeCell ref="D44:H44"/>
    <mergeCell ref="J44:M44"/>
    <mergeCell ref="O44:Q44"/>
    <mergeCell ref="B34:C34"/>
    <mergeCell ref="D34:H34"/>
    <mergeCell ref="J34:Q34"/>
    <mergeCell ref="B37:C37"/>
    <mergeCell ref="D37:H37"/>
    <mergeCell ref="J37:M37"/>
    <mergeCell ref="O37:Q37"/>
  </mergeCells>
  <pageMargins left="0.17" right="0.17" top="0.17" bottom="0.17" header="0.3" footer="0.3"/>
  <pageSetup paperSize="9" scale="83"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B1:Q44"/>
  <sheetViews>
    <sheetView showGridLines="0" topLeftCell="A7" zoomScale="117" workbookViewId="0">
      <selection activeCell="C16" sqref="C16"/>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17" style="2" customWidth="1"/>
    <col min="7" max="7" width="5.125" style="2" customWidth="1"/>
    <col min="8" max="8" width="3.875" style="2" customWidth="1"/>
    <col min="9" max="9" width="10.125" style="1" customWidth="1"/>
    <col min="10" max="10" width="11.625" style="1" customWidth="1"/>
    <col min="11" max="11" width="13.875" style="39" customWidth="1"/>
    <col min="12" max="12" width="9.875" style="40" customWidth="1"/>
    <col min="13" max="13" width="11.12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4" hidden="1"/>
    <row r="2" spans="2:14" s="375" customFormat="1" hidden="1">
      <c r="B2" s="407" t="s">
        <v>464</v>
      </c>
      <c r="C2" s="140" t="s">
        <v>132</v>
      </c>
      <c r="D2" s="140"/>
    </row>
    <row r="3" spans="2:14" s="375" customFormat="1" hidden="1">
      <c r="B3" s="407" t="s">
        <v>465</v>
      </c>
      <c r="C3" s="209" t="s">
        <v>255</v>
      </c>
      <c r="D3" s="209"/>
    </row>
    <row r="4" spans="2:14" s="375" customFormat="1" hidden="1">
      <c r="B4" s="407" t="s">
        <v>466</v>
      </c>
      <c r="C4" s="140" t="s">
        <v>133</v>
      </c>
      <c r="D4" s="140"/>
    </row>
    <row r="5" spans="2:14" s="31" customFormat="1" ht="6.95" customHeight="1">
      <c r="B5" s="30"/>
      <c r="C5" s="30"/>
      <c r="E5" s="30"/>
      <c r="J5" s="30"/>
      <c r="K5" s="32"/>
      <c r="L5" s="33"/>
    </row>
    <row r="6" spans="2:14" s="98" customFormat="1" ht="26.1" customHeight="1">
      <c r="B6" s="99" t="s">
        <v>81</v>
      </c>
      <c r="C6" s="1121" t="s">
        <v>480</v>
      </c>
      <c r="D6" s="1121"/>
      <c r="E6" s="1121"/>
      <c r="F6" s="1121"/>
      <c r="G6" s="1121"/>
      <c r="H6" s="1121"/>
      <c r="I6" s="1121"/>
      <c r="J6" s="145"/>
      <c r="K6" s="145"/>
      <c r="L6" s="145"/>
      <c r="M6" s="145"/>
      <c r="N6" s="145"/>
    </row>
    <row r="7" spans="2:14" s="3" customFormat="1" ht="20.100000000000001" customHeight="1">
      <c r="B7" s="213" t="s">
        <v>404</v>
      </c>
      <c r="C7" s="213" t="s">
        <v>553</v>
      </c>
      <c r="D7" s="211"/>
      <c r="E7" s="211"/>
      <c r="F7" s="211"/>
      <c r="G7" s="211"/>
      <c r="H7" s="211"/>
      <c r="I7" s="212" t="s">
        <v>278</v>
      </c>
      <c r="J7" s="212" t="s">
        <v>448</v>
      </c>
      <c r="K7" s="212"/>
      <c r="L7" s="212"/>
      <c r="M7" s="212"/>
      <c r="N7" s="31"/>
    </row>
    <row r="8" spans="2:14" s="3" customFormat="1" ht="18.95" customHeight="1">
      <c r="B8" s="213" t="s">
        <v>280</v>
      </c>
      <c r="C8" s="472" t="s">
        <v>555</v>
      </c>
      <c r="D8" s="211"/>
      <c r="E8" s="211"/>
      <c r="F8" s="211"/>
      <c r="G8" s="211"/>
      <c r="H8" s="211"/>
      <c r="I8" s="211" t="s">
        <v>477</v>
      </c>
      <c r="J8" s="212" t="s">
        <v>471</v>
      </c>
      <c r="K8" s="212"/>
      <c r="L8" s="212"/>
      <c r="M8" s="212"/>
      <c r="N8" s="31"/>
    </row>
    <row r="9" spans="2:14" s="3" customFormat="1" ht="6.95" customHeight="1">
      <c r="D9" s="85"/>
      <c r="E9" s="85"/>
      <c r="F9" s="85"/>
      <c r="G9" s="85"/>
      <c r="H9" s="85"/>
      <c r="I9" s="85"/>
      <c r="J9" s="85"/>
      <c r="K9" s="85"/>
      <c r="L9" s="85"/>
      <c r="M9" s="85"/>
      <c r="N9" s="85"/>
    </row>
    <row r="10" spans="2:14"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4" ht="21" customHeight="1">
      <c r="B11" s="430" t="s">
        <v>21</v>
      </c>
      <c r="C11" s="431" t="s">
        <v>478</v>
      </c>
      <c r="D11" s="432">
        <v>0.1</v>
      </c>
      <c r="E11" s="1179"/>
      <c r="F11" s="1180"/>
      <c r="G11" s="1156"/>
      <c r="H11" s="1158"/>
      <c r="I11" s="1157"/>
      <c r="J11" s="214"/>
      <c r="K11" s="214"/>
      <c r="L11" s="433"/>
      <c r="M11" s="430"/>
      <c r="N11" s="466">
        <f>N12</f>
        <v>0</v>
      </c>
    </row>
    <row r="12" spans="2:14" ht="21" customHeight="1">
      <c r="B12" s="418"/>
      <c r="C12" s="435" t="s">
        <v>469</v>
      </c>
      <c r="D12" s="421"/>
      <c r="E12" s="1174"/>
      <c r="F12" s="1174"/>
      <c r="G12" s="436"/>
      <c r="H12" s="436"/>
      <c r="I12" s="437"/>
      <c r="J12" s="396"/>
      <c r="K12" s="438">
        <v>1</v>
      </c>
      <c r="L12" s="439"/>
      <c r="M12" s="345">
        <f>L12/K12*100%</f>
        <v>0</v>
      </c>
      <c r="N12" s="346">
        <f>M12*D11</f>
        <v>0</v>
      </c>
    </row>
    <row r="13" spans="2:14" ht="21" customHeight="1">
      <c r="B13" s="430" t="s">
        <v>22</v>
      </c>
      <c r="C13" s="440" t="s">
        <v>23</v>
      </c>
      <c r="D13" s="441">
        <v>0.8</v>
      </c>
      <c r="E13" s="1169"/>
      <c r="F13" s="1170"/>
      <c r="G13" s="1156"/>
      <c r="H13" s="1158"/>
      <c r="I13" s="1157"/>
      <c r="J13" s="1171"/>
      <c r="K13" s="1172"/>
      <c r="L13" s="443"/>
      <c r="M13" s="442"/>
      <c r="N13" s="467">
        <f>SUM(N15:N20)*D13</f>
        <v>0.60000000000000009</v>
      </c>
    </row>
    <row r="14" spans="2:14" ht="21" customHeight="1">
      <c r="B14" s="418" t="s">
        <v>245</v>
      </c>
      <c r="C14" s="444" t="s">
        <v>24</v>
      </c>
      <c r="D14" s="445"/>
      <c r="E14" s="1173"/>
      <c r="F14" s="1173"/>
      <c r="G14" s="446"/>
      <c r="H14" s="446"/>
      <c r="I14" s="446"/>
      <c r="J14" s="445"/>
      <c r="K14" s="447"/>
      <c r="L14" s="447"/>
      <c r="M14" s="445"/>
      <c r="N14" s="448"/>
    </row>
    <row r="15" spans="2:14" ht="21" customHeight="1">
      <c r="B15" s="418" t="s">
        <v>245</v>
      </c>
      <c r="C15" s="444" t="s">
        <v>128</v>
      </c>
      <c r="D15" s="445"/>
      <c r="E15" s="1166"/>
      <c r="F15" s="1166"/>
      <c r="G15" s="454"/>
      <c r="H15" s="454"/>
      <c r="I15" s="455"/>
      <c r="J15" s="445"/>
      <c r="K15" s="447"/>
      <c r="L15" s="447"/>
      <c r="M15" s="445"/>
      <c r="N15" s="448"/>
    </row>
    <row r="16" spans="2:14" ht="36" customHeight="1">
      <c r="B16" s="86">
        <v>1</v>
      </c>
      <c r="C16" s="453" t="s">
        <v>457</v>
      </c>
      <c r="D16" s="450">
        <v>0.2</v>
      </c>
      <c r="E16" s="1092" t="s">
        <v>413</v>
      </c>
      <c r="F16" s="1093"/>
      <c r="G16" s="1190" t="s">
        <v>471</v>
      </c>
      <c r="H16" s="1191"/>
      <c r="I16" s="1192"/>
      <c r="J16" s="451" t="s">
        <v>414</v>
      </c>
      <c r="K16" s="364">
        <v>0</v>
      </c>
      <c r="L16" s="364">
        <v>0</v>
      </c>
      <c r="M16" s="365">
        <f>IF(LEN(L16)=0,"",IF(L16=K16,1,0))</f>
        <v>1</v>
      </c>
      <c r="N16" s="358">
        <f>IFERROR(M16*D16,"")</f>
        <v>0.2</v>
      </c>
    </row>
    <row r="17" spans="2:17" ht="39.75" customHeight="1">
      <c r="B17" s="86">
        <v>2</v>
      </c>
      <c r="C17" s="453" t="s">
        <v>458</v>
      </c>
      <c r="D17" s="450">
        <v>0.2</v>
      </c>
      <c r="E17" s="1092" t="s">
        <v>330</v>
      </c>
      <c r="F17" s="1093"/>
      <c r="G17" s="1190" t="s">
        <v>471</v>
      </c>
      <c r="H17" s="1191"/>
      <c r="I17" s="1192"/>
      <c r="J17" s="395" t="s">
        <v>326</v>
      </c>
      <c r="K17" s="358">
        <v>1</v>
      </c>
      <c r="L17" s="358">
        <v>1</v>
      </c>
      <c r="M17" s="352">
        <f>IF(LEN(L17)=0,"",IF(L17&gt;=K17,100%,0%))</f>
        <v>1</v>
      </c>
      <c r="N17" s="358">
        <f t="shared" ref="N17:N20" si="0">IFERROR(M17*D17,"")</f>
        <v>0.2</v>
      </c>
    </row>
    <row r="18" spans="2:17" ht="51.95" customHeight="1">
      <c r="B18" s="86">
        <v>3</v>
      </c>
      <c r="C18" s="453" t="s">
        <v>535</v>
      </c>
      <c r="D18" s="450">
        <v>0.25</v>
      </c>
      <c r="E18" s="1092" t="s">
        <v>413</v>
      </c>
      <c r="F18" s="1093"/>
      <c r="G18" s="1190" t="s">
        <v>471</v>
      </c>
      <c r="H18" s="1191"/>
      <c r="I18" s="1192"/>
      <c r="J18" s="451" t="s">
        <v>414</v>
      </c>
      <c r="K18" s="364">
        <v>0</v>
      </c>
      <c r="L18" s="364">
        <v>2</v>
      </c>
      <c r="M18" s="365">
        <f>IF(LEN(L18)=0,"",IF(L18=K18,1,0))</f>
        <v>0</v>
      </c>
      <c r="N18" s="358">
        <f t="shared" si="0"/>
        <v>0</v>
      </c>
    </row>
    <row r="19" spans="2:17" ht="51.95" customHeight="1">
      <c r="B19" s="86">
        <v>4</v>
      </c>
      <c r="C19" s="453" t="s">
        <v>459</v>
      </c>
      <c r="D19" s="450">
        <v>0.15</v>
      </c>
      <c r="E19" s="1092" t="s">
        <v>435</v>
      </c>
      <c r="F19" s="1093"/>
      <c r="G19" s="1094" t="s">
        <v>528</v>
      </c>
      <c r="H19" s="1095"/>
      <c r="I19" s="1096"/>
      <c r="J19" s="451" t="s">
        <v>326</v>
      </c>
      <c r="K19" s="346">
        <v>1</v>
      </c>
      <c r="L19" s="346">
        <v>1</v>
      </c>
      <c r="M19" s="354">
        <f>IF(LEN(L19)=0,"",IF(L19&lt;=K19,1,0))</f>
        <v>1</v>
      </c>
      <c r="N19" s="358">
        <f t="shared" si="0"/>
        <v>0.15</v>
      </c>
    </row>
    <row r="20" spans="2:17" ht="51.95" customHeight="1">
      <c r="B20" s="86">
        <v>5</v>
      </c>
      <c r="C20" s="453" t="s">
        <v>461</v>
      </c>
      <c r="D20" s="450">
        <v>0.2</v>
      </c>
      <c r="E20" s="1092" t="s">
        <v>413</v>
      </c>
      <c r="F20" s="1093"/>
      <c r="G20" s="1190" t="s">
        <v>471</v>
      </c>
      <c r="H20" s="1191"/>
      <c r="I20" s="1192"/>
      <c r="J20" s="451" t="s">
        <v>414</v>
      </c>
      <c r="K20" s="364">
        <v>0</v>
      </c>
      <c r="L20" s="364">
        <v>0</v>
      </c>
      <c r="M20" s="365">
        <f>IF(LEN(L20)=0,"",IF(L20=K20,1,0))</f>
        <v>1</v>
      </c>
      <c r="N20" s="358">
        <f t="shared" si="0"/>
        <v>0.2</v>
      </c>
    </row>
    <row r="21" spans="2:17" ht="21" customHeight="1">
      <c r="B21" s="430" t="s">
        <v>40</v>
      </c>
      <c r="C21" s="459" t="s">
        <v>233</v>
      </c>
      <c r="D21" s="460">
        <v>0.1</v>
      </c>
      <c r="E21" s="1156"/>
      <c r="F21" s="1157"/>
      <c r="G21" s="1156"/>
      <c r="H21" s="1158"/>
      <c r="I21" s="1157"/>
      <c r="J21" s="1159"/>
      <c r="K21" s="1159"/>
      <c r="L21" s="433"/>
      <c r="M21" s="430"/>
      <c r="N21" s="434">
        <f>D21+SUM(N22:N23)</f>
        <v>0.1</v>
      </c>
    </row>
    <row r="22" spans="2:17" ht="17.100000000000001" customHeight="1">
      <c r="B22" s="86"/>
      <c r="C22" s="389"/>
      <c r="D22" s="351"/>
      <c r="E22" s="1093"/>
      <c r="F22" s="1093"/>
      <c r="G22" s="1160"/>
      <c r="H22" s="1161"/>
      <c r="I22" s="1162"/>
      <c r="J22" s="395"/>
      <c r="K22" s="461"/>
      <c r="L22" s="462"/>
      <c r="M22" s="345">
        <f>L22*-50%</f>
        <v>0</v>
      </c>
      <c r="N22" s="346">
        <f>M22*$D$21</f>
        <v>0</v>
      </c>
    </row>
    <row r="23" spans="2:17" ht="29.1" customHeight="1">
      <c r="B23" s="86"/>
      <c r="C23" s="389"/>
      <c r="D23" s="351"/>
      <c r="E23" s="1181"/>
      <c r="F23" s="1182"/>
      <c r="G23" s="1160"/>
      <c r="H23" s="1161"/>
      <c r="I23" s="1162"/>
      <c r="J23" s="395"/>
      <c r="K23" s="461"/>
      <c r="L23" s="462"/>
      <c r="M23" s="345">
        <f>L23*-30%</f>
        <v>0</v>
      </c>
      <c r="N23" s="346">
        <f>M23*$D$21</f>
        <v>0</v>
      </c>
    </row>
    <row r="24" spans="2:17" ht="16.5">
      <c r="B24" s="214"/>
      <c r="C24" s="214" t="s">
        <v>4</v>
      </c>
      <c r="D24" s="338"/>
      <c r="E24" s="1156"/>
      <c r="F24" s="1157"/>
      <c r="G24" s="1156"/>
      <c r="H24" s="1158"/>
      <c r="I24" s="1157"/>
      <c r="J24" s="338"/>
      <c r="K24" s="463"/>
      <c r="L24" s="464"/>
      <c r="M24" s="338"/>
      <c r="N24" s="466">
        <f>N11+N13+N21</f>
        <v>0.70000000000000007</v>
      </c>
      <c r="O24" s="1143"/>
      <c r="P24" s="1143"/>
    </row>
    <row r="25" spans="2:17" ht="17.100000000000001" customHeight="1">
      <c r="B25" s="5"/>
      <c r="C25" s="5"/>
      <c r="D25" s="5"/>
      <c r="E25" s="6"/>
      <c r="F25" s="6"/>
      <c r="G25" s="6"/>
      <c r="H25" s="6"/>
      <c r="I25" s="5"/>
      <c r="J25" s="5"/>
      <c r="K25" s="35"/>
      <c r="L25" s="36"/>
      <c r="M25" s="5"/>
      <c r="N25" s="5"/>
    </row>
    <row r="26" spans="2:17" ht="12.95" customHeight="1">
      <c r="B26" s="37"/>
      <c r="C26" s="47"/>
      <c r="D26" s="38"/>
      <c r="E26" s="38"/>
      <c r="F26" s="38"/>
      <c r="G26" s="37"/>
      <c r="H26" s="37"/>
      <c r="I26" s="38"/>
      <c r="J26" s="38"/>
      <c r="K26" s="38"/>
      <c r="L26" s="38"/>
      <c r="M26" s="38"/>
      <c r="N26" s="38"/>
      <c r="O26" s="38"/>
      <c r="P26" s="38"/>
      <c r="Q26" s="37"/>
    </row>
    <row r="27" spans="2:17" s="51" customFormat="1" ht="32.1" customHeight="1">
      <c r="B27" s="1079" t="s">
        <v>539</v>
      </c>
      <c r="C27" s="975"/>
      <c r="D27" s="1079" t="s">
        <v>537</v>
      </c>
      <c r="E27" s="975"/>
      <c r="F27" s="975"/>
      <c r="G27" s="975"/>
      <c r="H27" s="975"/>
      <c r="I27" s="471"/>
      <c r="J27" s="1079" t="s">
        <v>540</v>
      </c>
      <c r="K27" s="1079"/>
      <c r="L27" s="1079"/>
      <c r="M27" s="1079"/>
      <c r="N27" s="1079"/>
      <c r="O27" s="1079"/>
      <c r="P27" s="1079"/>
      <c r="Q27" s="1079"/>
    </row>
    <row r="28" spans="2:17">
      <c r="B28" s="6"/>
      <c r="C28" s="5"/>
      <c r="D28" s="5"/>
      <c r="E28" s="5"/>
      <c r="F28" s="5"/>
      <c r="G28" s="6"/>
      <c r="I28" s="6"/>
      <c r="J28" s="6"/>
      <c r="K28" s="6"/>
      <c r="L28" s="5"/>
      <c r="M28" s="5"/>
      <c r="N28" s="5"/>
      <c r="O28" s="5"/>
      <c r="P28" s="5"/>
      <c r="Q28" s="5"/>
    </row>
    <row r="29" spans="2:17">
      <c r="B29" s="6"/>
      <c r="C29" s="5"/>
      <c r="D29" s="5"/>
      <c r="E29" s="5"/>
      <c r="F29" s="5"/>
      <c r="G29" s="6"/>
      <c r="I29" s="5"/>
      <c r="J29" s="6"/>
      <c r="K29" s="5"/>
      <c r="L29" s="5"/>
      <c r="M29" s="5"/>
      <c r="N29" s="5"/>
      <c r="O29" s="5"/>
      <c r="P29" s="5"/>
      <c r="Q29" s="6"/>
    </row>
    <row r="30" spans="2:17">
      <c r="B30" s="6"/>
      <c r="C30" s="5"/>
      <c r="D30" s="5"/>
      <c r="E30" s="5"/>
      <c r="F30" s="5"/>
      <c r="G30" s="6"/>
      <c r="I30" s="5"/>
      <c r="J30" s="6"/>
      <c r="K30" s="5"/>
      <c r="L30" s="5"/>
      <c r="M30" s="5"/>
      <c r="N30" s="5"/>
      <c r="O30" s="5"/>
      <c r="P30" s="5"/>
      <c r="Q30" s="6"/>
    </row>
    <row r="31" spans="2:17">
      <c r="B31" s="6"/>
      <c r="C31" s="5"/>
      <c r="D31" s="5"/>
      <c r="E31" s="5"/>
      <c r="F31" s="5"/>
      <c r="G31" s="6"/>
      <c r="I31" s="5"/>
      <c r="J31" s="6"/>
      <c r="K31" s="5"/>
      <c r="L31" s="5"/>
      <c r="M31" s="5"/>
      <c r="N31" s="5"/>
      <c r="O31" s="5"/>
      <c r="P31" s="5"/>
      <c r="Q31" s="6"/>
    </row>
    <row r="32" spans="2:17">
      <c r="B32" s="6"/>
      <c r="C32" s="5"/>
      <c r="D32" s="5"/>
      <c r="E32" s="5"/>
      <c r="F32" s="5"/>
      <c r="G32" s="6"/>
      <c r="I32" s="5"/>
      <c r="J32" s="6"/>
      <c r="K32" s="5"/>
      <c r="L32" s="5"/>
      <c r="M32" s="5"/>
      <c r="N32" s="5"/>
      <c r="O32" s="5"/>
      <c r="P32" s="5"/>
      <c r="Q32" s="6"/>
    </row>
    <row r="33" spans="2:17">
      <c r="B33" s="6"/>
      <c r="C33" s="5"/>
      <c r="D33" s="5"/>
      <c r="E33" s="5"/>
      <c r="F33" s="5"/>
      <c r="G33" s="6"/>
      <c r="I33" s="5"/>
      <c r="J33" s="6"/>
      <c r="K33" s="5"/>
      <c r="L33" s="5"/>
      <c r="M33" s="5"/>
      <c r="N33" s="5"/>
      <c r="O33" s="5"/>
      <c r="P33" s="5"/>
      <c r="Q33" s="6"/>
    </row>
    <row r="34" spans="2:17">
      <c r="B34" s="972" t="s">
        <v>29</v>
      </c>
      <c r="C34" s="972"/>
      <c r="D34" s="972" t="s">
        <v>29</v>
      </c>
      <c r="E34" s="972"/>
      <c r="F34" s="972"/>
      <c r="G34" s="972"/>
      <c r="H34" s="972"/>
      <c r="I34" s="5"/>
      <c r="J34" s="972" t="s">
        <v>29</v>
      </c>
      <c r="K34" s="972"/>
      <c r="L34" s="972"/>
      <c r="M34" s="972"/>
      <c r="N34" s="972"/>
      <c r="O34" s="972"/>
      <c r="P34" s="972"/>
      <c r="Q34" s="972"/>
    </row>
    <row r="35" spans="2:17">
      <c r="B35" s="6"/>
      <c r="C35" s="5"/>
      <c r="D35" s="5"/>
      <c r="E35" s="5"/>
      <c r="F35" s="5"/>
      <c r="G35" s="6"/>
      <c r="I35" s="5"/>
      <c r="J35" s="6"/>
      <c r="K35" s="5"/>
      <c r="L35" s="5"/>
      <c r="M35" s="5"/>
      <c r="N35" s="5"/>
      <c r="O35" s="5"/>
      <c r="P35" s="5"/>
      <c r="Q35" s="6"/>
    </row>
    <row r="36" spans="2:17">
      <c r="B36" s="37"/>
      <c r="C36" s="47"/>
      <c r="D36" s="38"/>
      <c r="E36" s="38"/>
      <c r="F36" s="38"/>
      <c r="G36" s="37"/>
      <c r="I36" s="38"/>
      <c r="J36" s="37"/>
      <c r="K36" s="38"/>
      <c r="L36" s="38"/>
      <c r="M36" s="38"/>
      <c r="N36" s="38"/>
      <c r="O36" s="38"/>
      <c r="P36" s="38"/>
      <c r="Q36" s="37"/>
    </row>
    <row r="37" spans="2:17" ht="24" customHeight="1">
      <c r="B37" s="1080"/>
      <c r="C37" s="972"/>
      <c r="D37" s="1080"/>
      <c r="E37" s="972"/>
      <c r="F37" s="972"/>
      <c r="G37" s="972"/>
      <c r="H37" s="972"/>
      <c r="I37" s="245"/>
      <c r="J37" s="972"/>
      <c r="K37" s="972"/>
      <c r="L37" s="972"/>
      <c r="M37" s="972"/>
      <c r="N37" s="245"/>
      <c r="O37" s="1080"/>
      <c r="P37" s="972"/>
      <c r="Q37" s="972"/>
    </row>
    <row r="38" spans="2:17">
      <c r="B38" s="6"/>
      <c r="C38" s="5"/>
      <c r="D38" s="5"/>
      <c r="E38" s="5"/>
      <c r="F38" s="5"/>
      <c r="G38" s="6"/>
      <c r="I38" s="6"/>
      <c r="J38" s="6"/>
      <c r="K38" s="6"/>
      <c r="L38" s="5"/>
      <c r="M38" s="5"/>
      <c r="N38" s="5"/>
      <c r="O38" s="5"/>
      <c r="P38" s="5"/>
      <c r="Q38" s="5"/>
    </row>
    <row r="39" spans="2:17">
      <c r="B39" s="6"/>
      <c r="C39" s="5"/>
      <c r="D39" s="5"/>
      <c r="E39" s="5"/>
      <c r="F39" s="5"/>
      <c r="G39" s="6"/>
      <c r="I39" s="5"/>
      <c r="J39" s="6"/>
      <c r="K39" s="5"/>
      <c r="L39" s="5"/>
      <c r="M39" s="5"/>
      <c r="N39" s="5"/>
      <c r="O39" s="5"/>
      <c r="P39" s="5"/>
      <c r="Q39" s="6"/>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972"/>
      <c r="C44" s="972"/>
      <c r="D44" s="972"/>
      <c r="E44" s="972"/>
      <c r="F44" s="972"/>
      <c r="G44" s="972"/>
      <c r="H44" s="972"/>
      <c r="I44" s="5"/>
      <c r="J44" s="972"/>
      <c r="K44" s="972"/>
      <c r="L44" s="972"/>
      <c r="M44" s="972"/>
      <c r="N44" s="5"/>
      <c r="O44" s="972"/>
      <c r="P44" s="972"/>
      <c r="Q44" s="972"/>
    </row>
  </sheetData>
  <mergeCells count="45">
    <mergeCell ref="B44:C44"/>
    <mergeCell ref="D44:H44"/>
    <mergeCell ref="J44:M44"/>
    <mergeCell ref="O44:Q44"/>
    <mergeCell ref="B34:C34"/>
    <mergeCell ref="D34:H34"/>
    <mergeCell ref="J34:Q34"/>
    <mergeCell ref="B37:C37"/>
    <mergeCell ref="D37:H37"/>
    <mergeCell ref="J37:M37"/>
    <mergeCell ref="O37:Q37"/>
    <mergeCell ref="J27:Q27"/>
    <mergeCell ref="E20:F20"/>
    <mergeCell ref="G20:I20"/>
    <mergeCell ref="E21:F21"/>
    <mergeCell ref="G21:I21"/>
    <mergeCell ref="J21:K21"/>
    <mergeCell ref="E22:F22"/>
    <mergeCell ref="G22:I22"/>
    <mergeCell ref="E23:F23"/>
    <mergeCell ref="G23:I23"/>
    <mergeCell ref="E24:F24"/>
    <mergeCell ref="G24:I24"/>
    <mergeCell ref="O24:P24"/>
    <mergeCell ref="E18:F18"/>
    <mergeCell ref="G18:I18"/>
    <mergeCell ref="E19:F19"/>
    <mergeCell ref="G19:I19"/>
    <mergeCell ref="B27:C27"/>
    <mergeCell ref="D27:H27"/>
    <mergeCell ref="J13:K13"/>
    <mergeCell ref="E14:F14"/>
    <mergeCell ref="E15:F15"/>
    <mergeCell ref="E17:F17"/>
    <mergeCell ref="G17:I17"/>
    <mergeCell ref="E16:F16"/>
    <mergeCell ref="G16:I16"/>
    <mergeCell ref="E12:F12"/>
    <mergeCell ref="E13:F13"/>
    <mergeCell ref="G13:I13"/>
    <mergeCell ref="C6:I6"/>
    <mergeCell ref="E10:F10"/>
    <mergeCell ref="G10:I10"/>
    <mergeCell ref="E11:F11"/>
    <mergeCell ref="G11:I11"/>
  </mergeCells>
  <pageMargins left="0.17" right="0.18" top="0.17" bottom="0.17" header="0.17" footer="0.17"/>
  <pageSetup paperSize="9" scale="83"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1"/>
  <dimension ref="B1:Q44"/>
  <sheetViews>
    <sheetView showGridLines="0" topLeftCell="A5" zoomScale="117" workbookViewId="0">
      <selection activeCell="C16" sqref="C16"/>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17" style="2" customWidth="1"/>
    <col min="7" max="7" width="5.125" style="2" customWidth="1"/>
    <col min="8" max="8" width="3.875" style="2" customWidth="1"/>
    <col min="9" max="9" width="10.125" style="1" customWidth="1"/>
    <col min="10" max="10" width="11.625" style="1" customWidth="1"/>
    <col min="11" max="11" width="13.875" style="39" customWidth="1"/>
    <col min="12" max="12" width="9.875" style="40" customWidth="1"/>
    <col min="13" max="13" width="11.12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4" hidden="1"/>
    <row r="2" spans="2:14" s="375" customFormat="1" hidden="1">
      <c r="B2" s="407" t="s">
        <v>464</v>
      </c>
      <c r="C2" s="140" t="s">
        <v>132</v>
      </c>
      <c r="D2" s="140"/>
    </row>
    <row r="3" spans="2:14" s="375" customFormat="1" hidden="1">
      <c r="B3" s="407" t="s">
        <v>465</v>
      </c>
      <c r="C3" s="209" t="s">
        <v>255</v>
      </c>
      <c r="D3" s="209"/>
    </row>
    <row r="4" spans="2:14" s="375" customFormat="1" hidden="1">
      <c r="B4" s="407" t="s">
        <v>466</v>
      </c>
      <c r="C4" s="140" t="s">
        <v>133</v>
      </c>
      <c r="D4" s="140"/>
    </row>
    <row r="5" spans="2:14" s="31" customFormat="1" ht="6.95" customHeight="1">
      <c r="B5" s="30"/>
      <c r="C5" s="30"/>
      <c r="E5" s="30"/>
      <c r="J5" s="30"/>
      <c r="K5" s="32"/>
      <c r="L5" s="33"/>
    </row>
    <row r="6" spans="2:14" s="98" customFormat="1" ht="26.1" customHeight="1">
      <c r="B6" s="99" t="s">
        <v>81</v>
      </c>
      <c r="C6" s="1121" t="s">
        <v>480</v>
      </c>
      <c r="D6" s="1121"/>
      <c r="E6" s="1121"/>
      <c r="F6" s="1121"/>
      <c r="G6" s="1121"/>
      <c r="H6" s="1121"/>
      <c r="I6" s="1121"/>
      <c r="J6" s="145"/>
      <c r="K6" s="145"/>
      <c r="L6" s="145"/>
      <c r="M6" s="145"/>
      <c r="N6" s="145"/>
    </row>
    <row r="7" spans="2:14" s="3" customFormat="1" ht="20.100000000000001" customHeight="1">
      <c r="B7" s="213" t="s">
        <v>404</v>
      </c>
      <c r="C7" s="213" t="s">
        <v>569</v>
      </c>
      <c r="D7" s="211"/>
      <c r="E7" s="211"/>
      <c r="F7" s="211"/>
      <c r="G7" s="211"/>
      <c r="H7" s="211"/>
      <c r="I7" s="212" t="s">
        <v>278</v>
      </c>
      <c r="J7" s="212" t="s">
        <v>448</v>
      </c>
      <c r="K7" s="212"/>
      <c r="L7" s="212"/>
      <c r="M7" s="212"/>
      <c r="N7" s="31"/>
    </row>
    <row r="8" spans="2:14" s="3" customFormat="1" ht="18.95" customHeight="1">
      <c r="B8" s="213" t="s">
        <v>280</v>
      </c>
      <c r="C8" s="472" t="s">
        <v>570</v>
      </c>
      <c r="D8" s="211"/>
      <c r="E8" s="211"/>
      <c r="F8" s="211"/>
      <c r="G8" s="211"/>
      <c r="H8" s="211"/>
      <c r="I8" s="211" t="s">
        <v>477</v>
      </c>
      <c r="J8" s="212" t="s">
        <v>471</v>
      </c>
      <c r="K8" s="212"/>
      <c r="L8" s="212"/>
      <c r="M8" s="212"/>
      <c r="N8" s="31"/>
    </row>
    <row r="9" spans="2:14" s="3" customFormat="1" ht="6.95" customHeight="1">
      <c r="D9" s="85"/>
      <c r="E9" s="85"/>
      <c r="F9" s="85"/>
      <c r="G9" s="85"/>
      <c r="H9" s="85"/>
      <c r="I9" s="85"/>
      <c r="J9" s="85"/>
      <c r="K9" s="85"/>
      <c r="L9" s="85"/>
      <c r="M9" s="85"/>
      <c r="N9" s="85"/>
    </row>
    <row r="10" spans="2:14"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4" ht="21" customHeight="1">
      <c r="B11" s="430" t="s">
        <v>21</v>
      </c>
      <c r="C11" s="431" t="s">
        <v>478</v>
      </c>
      <c r="D11" s="432">
        <v>0.1</v>
      </c>
      <c r="E11" s="1179"/>
      <c r="F11" s="1180"/>
      <c r="G11" s="1156"/>
      <c r="H11" s="1158"/>
      <c r="I11" s="1157"/>
      <c r="J11" s="214"/>
      <c r="K11" s="214"/>
      <c r="L11" s="433"/>
      <c r="M11" s="430"/>
      <c r="N11" s="466">
        <f>N12</f>
        <v>0</v>
      </c>
    </row>
    <row r="12" spans="2:14" ht="21" customHeight="1">
      <c r="B12" s="418"/>
      <c r="C12" s="435" t="s">
        <v>469</v>
      </c>
      <c r="D12" s="421"/>
      <c r="E12" s="1174"/>
      <c r="F12" s="1174"/>
      <c r="G12" s="436"/>
      <c r="H12" s="436"/>
      <c r="I12" s="437"/>
      <c r="J12" s="396"/>
      <c r="K12" s="438">
        <v>1</v>
      </c>
      <c r="L12" s="439"/>
      <c r="M12" s="345">
        <f>L12/K12*100%</f>
        <v>0</v>
      </c>
      <c r="N12" s="346">
        <f>M12*D11</f>
        <v>0</v>
      </c>
    </row>
    <row r="13" spans="2:14" ht="21" customHeight="1">
      <c r="B13" s="430" t="s">
        <v>22</v>
      </c>
      <c r="C13" s="440" t="s">
        <v>23</v>
      </c>
      <c r="D13" s="441">
        <v>0.8</v>
      </c>
      <c r="E13" s="1169"/>
      <c r="F13" s="1170"/>
      <c r="G13" s="1156"/>
      <c r="H13" s="1158"/>
      <c r="I13" s="1157"/>
      <c r="J13" s="1171"/>
      <c r="K13" s="1172"/>
      <c r="L13" s="443"/>
      <c r="M13" s="442"/>
      <c r="N13" s="467">
        <f>SUM(N15:N20)*D13</f>
        <v>0.8</v>
      </c>
    </row>
    <row r="14" spans="2:14" ht="21" customHeight="1">
      <c r="B14" s="418" t="s">
        <v>245</v>
      </c>
      <c r="C14" s="444" t="s">
        <v>24</v>
      </c>
      <c r="D14" s="445"/>
      <c r="E14" s="1173"/>
      <c r="F14" s="1173"/>
      <c r="G14" s="446"/>
      <c r="H14" s="446"/>
      <c r="I14" s="446"/>
      <c r="J14" s="445"/>
      <c r="K14" s="447"/>
      <c r="L14" s="447"/>
      <c r="M14" s="445"/>
      <c r="N14" s="448"/>
    </row>
    <row r="15" spans="2:14" ht="21" customHeight="1">
      <c r="B15" s="418" t="s">
        <v>245</v>
      </c>
      <c r="C15" s="444" t="s">
        <v>128</v>
      </c>
      <c r="D15" s="445"/>
      <c r="E15" s="1166"/>
      <c r="F15" s="1166"/>
      <c r="G15" s="454"/>
      <c r="H15" s="454"/>
      <c r="I15" s="455"/>
      <c r="J15" s="445"/>
      <c r="K15" s="447"/>
      <c r="L15" s="447"/>
      <c r="M15" s="445"/>
      <c r="N15" s="448"/>
    </row>
    <row r="16" spans="2:14" ht="36" customHeight="1">
      <c r="B16" s="86">
        <v>1</v>
      </c>
      <c r="C16" s="453" t="s">
        <v>457</v>
      </c>
      <c r="D16" s="450">
        <v>0.2</v>
      </c>
      <c r="E16" s="1092" t="s">
        <v>413</v>
      </c>
      <c r="F16" s="1093"/>
      <c r="G16" s="1190" t="s">
        <v>471</v>
      </c>
      <c r="H16" s="1191"/>
      <c r="I16" s="1192"/>
      <c r="J16" s="451" t="s">
        <v>414</v>
      </c>
      <c r="K16" s="364">
        <v>0</v>
      </c>
      <c r="L16" s="364">
        <v>0</v>
      </c>
      <c r="M16" s="365">
        <f>IF(LEN(L16)=0,"",IF(L16=K16,1,0))</f>
        <v>1</v>
      </c>
      <c r="N16" s="358">
        <f t="shared" ref="N16:N20" si="0">IFERROR(M16*D16,"")</f>
        <v>0.2</v>
      </c>
    </row>
    <row r="17" spans="2:17" ht="39.75" customHeight="1">
      <c r="B17" s="86">
        <v>2</v>
      </c>
      <c r="C17" s="453" t="s">
        <v>458</v>
      </c>
      <c r="D17" s="450">
        <v>0.2</v>
      </c>
      <c r="E17" s="1092" t="s">
        <v>330</v>
      </c>
      <c r="F17" s="1093"/>
      <c r="G17" s="1190" t="s">
        <v>471</v>
      </c>
      <c r="H17" s="1191"/>
      <c r="I17" s="1192"/>
      <c r="J17" s="395" t="s">
        <v>326</v>
      </c>
      <c r="K17" s="358">
        <v>1</v>
      </c>
      <c r="L17" s="358">
        <v>1</v>
      </c>
      <c r="M17" s="352">
        <f>IF(LEN(L17)=0,"",IF(L17&gt;=K17,100%,0%))</f>
        <v>1</v>
      </c>
      <c r="N17" s="358">
        <f t="shared" si="0"/>
        <v>0.2</v>
      </c>
    </row>
    <row r="18" spans="2:17" ht="51.95" customHeight="1">
      <c r="B18" s="86">
        <v>3</v>
      </c>
      <c r="C18" s="470" t="s">
        <v>535</v>
      </c>
      <c r="D18" s="450">
        <v>0.25</v>
      </c>
      <c r="E18" s="1092" t="s">
        <v>413</v>
      </c>
      <c r="F18" s="1093"/>
      <c r="G18" s="1190" t="s">
        <v>471</v>
      </c>
      <c r="H18" s="1191"/>
      <c r="I18" s="1192"/>
      <c r="J18" s="451" t="s">
        <v>414</v>
      </c>
      <c r="K18" s="364">
        <v>0</v>
      </c>
      <c r="L18" s="364">
        <v>0</v>
      </c>
      <c r="M18" s="365">
        <f>IF(LEN(L18)=0,"",IF(L18=K18,1,0))</f>
        <v>1</v>
      </c>
      <c r="N18" s="358">
        <f t="shared" si="0"/>
        <v>0.25</v>
      </c>
    </row>
    <row r="19" spans="2:17" ht="51.95" customHeight="1">
      <c r="B19" s="86">
        <v>4</v>
      </c>
      <c r="C19" s="453" t="s">
        <v>459</v>
      </c>
      <c r="D19" s="450">
        <v>0.15</v>
      </c>
      <c r="E19" s="1092" t="s">
        <v>435</v>
      </c>
      <c r="F19" s="1093"/>
      <c r="G19" s="1094" t="s">
        <v>528</v>
      </c>
      <c r="H19" s="1095"/>
      <c r="I19" s="1096"/>
      <c r="J19" s="451" t="s">
        <v>326</v>
      </c>
      <c r="K19" s="346">
        <v>1</v>
      </c>
      <c r="L19" s="346">
        <v>1</v>
      </c>
      <c r="M19" s="354">
        <f>IF(LEN(L19)=0,"",IF(L19&lt;=K19,1,0))</f>
        <v>1</v>
      </c>
      <c r="N19" s="358">
        <f t="shared" si="0"/>
        <v>0.15</v>
      </c>
    </row>
    <row r="20" spans="2:17" ht="51.95" customHeight="1">
      <c r="B20" s="86">
        <v>5</v>
      </c>
      <c r="C20" s="453" t="s">
        <v>461</v>
      </c>
      <c r="D20" s="450">
        <v>0.2</v>
      </c>
      <c r="E20" s="1092" t="s">
        <v>413</v>
      </c>
      <c r="F20" s="1093"/>
      <c r="G20" s="1190" t="s">
        <v>471</v>
      </c>
      <c r="H20" s="1191"/>
      <c r="I20" s="1192"/>
      <c r="J20" s="451" t="s">
        <v>414</v>
      </c>
      <c r="K20" s="364">
        <v>0</v>
      </c>
      <c r="L20" s="364">
        <v>0</v>
      </c>
      <c r="M20" s="365">
        <f>IF(LEN(L20)=0,"",IF(L20=K20,1,0))</f>
        <v>1</v>
      </c>
      <c r="N20" s="358">
        <f t="shared" si="0"/>
        <v>0.2</v>
      </c>
    </row>
    <row r="21" spans="2:17" ht="21" customHeight="1">
      <c r="B21" s="430" t="s">
        <v>40</v>
      </c>
      <c r="C21" s="459" t="s">
        <v>233</v>
      </c>
      <c r="D21" s="460">
        <v>0.1</v>
      </c>
      <c r="E21" s="1156"/>
      <c r="F21" s="1157"/>
      <c r="G21" s="1156"/>
      <c r="H21" s="1158"/>
      <c r="I21" s="1157"/>
      <c r="J21" s="1159"/>
      <c r="K21" s="1159"/>
      <c r="L21" s="433"/>
      <c r="M21" s="430"/>
      <c r="N21" s="434">
        <f>D21+SUM(N22:N23)</f>
        <v>0.1</v>
      </c>
    </row>
    <row r="22" spans="2:17" ht="17.100000000000001" customHeight="1">
      <c r="B22" s="86"/>
      <c r="C22" s="389"/>
      <c r="D22" s="351"/>
      <c r="E22" s="1093"/>
      <c r="F22" s="1093"/>
      <c r="G22" s="1160"/>
      <c r="H22" s="1161"/>
      <c r="I22" s="1162"/>
      <c r="J22" s="395"/>
      <c r="K22" s="461"/>
      <c r="L22" s="462"/>
      <c r="M22" s="345">
        <f>L22*-50%</f>
        <v>0</v>
      </c>
      <c r="N22" s="346">
        <f>M22*$D$21</f>
        <v>0</v>
      </c>
    </row>
    <row r="23" spans="2:17" ht="29.1" customHeight="1">
      <c r="B23" s="86"/>
      <c r="C23" s="389"/>
      <c r="D23" s="351"/>
      <c r="E23" s="1181"/>
      <c r="F23" s="1182"/>
      <c r="G23" s="1160"/>
      <c r="H23" s="1161"/>
      <c r="I23" s="1162"/>
      <c r="J23" s="395"/>
      <c r="K23" s="461"/>
      <c r="L23" s="462"/>
      <c r="M23" s="345">
        <f>L23*-30%</f>
        <v>0</v>
      </c>
      <c r="N23" s="346">
        <f>M23*$D$21</f>
        <v>0</v>
      </c>
    </row>
    <row r="24" spans="2:17" ht="16.5">
      <c r="B24" s="214"/>
      <c r="C24" s="214" t="s">
        <v>4</v>
      </c>
      <c r="D24" s="338"/>
      <c r="E24" s="1156"/>
      <c r="F24" s="1157"/>
      <c r="G24" s="1156"/>
      <c r="H24" s="1158"/>
      <c r="I24" s="1157"/>
      <c r="J24" s="338"/>
      <c r="K24" s="463"/>
      <c r="L24" s="464"/>
      <c r="M24" s="338"/>
      <c r="N24" s="466">
        <f>N11+N13+N21</f>
        <v>0.9</v>
      </c>
      <c r="O24" s="1143"/>
      <c r="P24" s="1143"/>
    </row>
    <row r="25" spans="2:17" ht="17.100000000000001" customHeight="1">
      <c r="B25" s="5"/>
      <c r="C25" s="5"/>
      <c r="D25" s="5"/>
      <c r="E25" s="6"/>
      <c r="F25" s="6"/>
      <c r="G25" s="6"/>
      <c r="H25" s="6"/>
      <c r="I25" s="5"/>
      <c r="J25" s="5"/>
      <c r="K25" s="35"/>
      <c r="L25" s="36"/>
      <c r="M25" s="5"/>
      <c r="N25" s="5"/>
    </row>
    <row r="26" spans="2:17" ht="12.95" customHeight="1">
      <c r="B26" s="37"/>
      <c r="C26" s="47"/>
      <c r="D26" s="38"/>
      <c r="E26" s="38"/>
      <c r="F26" s="38"/>
      <c r="G26" s="37"/>
      <c r="H26" s="37"/>
      <c r="I26" s="38"/>
      <c r="J26" s="38"/>
      <c r="K26" s="38"/>
      <c r="L26" s="38"/>
      <c r="M26" s="38"/>
      <c r="N26" s="38"/>
      <c r="O26" s="38"/>
      <c r="P26" s="38"/>
      <c r="Q26" s="37"/>
    </row>
    <row r="27" spans="2:17" s="51" customFormat="1" ht="32.1" customHeight="1">
      <c r="B27" s="1079" t="s">
        <v>539</v>
      </c>
      <c r="C27" s="975"/>
      <c r="D27" s="1079" t="s">
        <v>537</v>
      </c>
      <c r="E27" s="975"/>
      <c r="F27" s="975"/>
      <c r="G27" s="975"/>
      <c r="H27" s="975"/>
      <c r="I27" s="471"/>
      <c r="J27" s="1079" t="s">
        <v>540</v>
      </c>
      <c r="K27" s="1079"/>
      <c r="L27" s="1079"/>
      <c r="M27" s="1079"/>
      <c r="N27" s="1079"/>
      <c r="O27" s="1079"/>
      <c r="P27" s="1079"/>
      <c r="Q27" s="1079"/>
    </row>
    <row r="28" spans="2:17">
      <c r="B28" s="6"/>
      <c r="C28" s="5"/>
      <c r="D28" s="5"/>
      <c r="E28" s="5"/>
      <c r="F28" s="5"/>
      <c r="G28" s="6"/>
      <c r="I28" s="6"/>
      <c r="J28" s="6"/>
      <c r="K28" s="6"/>
      <c r="L28" s="5"/>
      <c r="M28" s="5"/>
      <c r="N28" s="5"/>
      <c r="O28" s="5"/>
      <c r="P28" s="5"/>
      <c r="Q28" s="5"/>
    </row>
    <row r="29" spans="2:17">
      <c r="B29" s="6"/>
      <c r="C29" s="5"/>
      <c r="D29" s="5"/>
      <c r="E29" s="5"/>
      <c r="F29" s="5"/>
      <c r="G29" s="6"/>
      <c r="I29" s="5"/>
      <c r="J29" s="6"/>
      <c r="K29" s="5"/>
      <c r="L29" s="5"/>
      <c r="M29" s="5"/>
      <c r="N29" s="5"/>
      <c r="O29" s="5"/>
      <c r="P29" s="5"/>
      <c r="Q29" s="6"/>
    </row>
    <row r="30" spans="2:17">
      <c r="B30" s="6"/>
      <c r="C30" s="5"/>
      <c r="D30" s="5"/>
      <c r="E30" s="5"/>
      <c r="F30" s="5"/>
      <c r="G30" s="6"/>
      <c r="I30" s="5"/>
      <c r="J30" s="6"/>
      <c r="K30" s="5"/>
      <c r="L30" s="5"/>
      <c r="M30" s="5"/>
      <c r="N30" s="5"/>
      <c r="O30" s="5"/>
      <c r="P30" s="5"/>
      <c r="Q30" s="6"/>
    </row>
    <row r="31" spans="2:17">
      <c r="B31" s="6"/>
      <c r="C31" s="5"/>
      <c r="D31" s="5"/>
      <c r="E31" s="5"/>
      <c r="F31" s="5"/>
      <c r="G31" s="6"/>
      <c r="I31" s="5"/>
      <c r="J31" s="6"/>
      <c r="K31" s="5"/>
      <c r="L31" s="5"/>
      <c r="M31" s="5"/>
      <c r="N31" s="5"/>
      <c r="O31" s="5"/>
      <c r="P31" s="5"/>
      <c r="Q31" s="6"/>
    </row>
    <row r="32" spans="2:17">
      <c r="B32" s="6"/>
      <c r="C32" s="5"/>
      <c r="D32" s="5"/>
      <c r="E32" s="5"/>
      <c r="F32" s="5"/>
      <c r="G32" s="6"/>
      <c r="I32" s="5"/>
      <c r="J32" s="6"/>
      <c r="K32" s="5"/>
      <c r="L32" s="5"/>
      <c r="M32" s="5"/>
      <c r="N32" s="5"/>
      <c r="O32" s="5"/>
      <c r="P32" s="5"/>
      <c r="Q32" s="6"/>
    </row>
    <row r="33" spans="2:17">
      <c r="B33" s="6"/>
      <c r="C33" s="5"/>
      <c r="D33" s="5"/>
      <c r="E33" s="5"/>
      <c r="F33" s="5"/>
      <c r="G33" s="6"/>
      <c r="I33" s="5"/>
      <c r="J33" s="6"/>
      <c r="K33" s="5"/>
      <c r="L33" s="5"/>
      <c r="M33" s="5"/>
      <c r="N33" s="5"/>
      <c r="O33" s="5"/>
      <c r="P33" s="5"/>
      <c r="Q33" s="6"/>
    </row>
    <row r="34" spans="2:17">
      <c r="B34" s="972" t="s">
        <v>29</v>
      </c>
      <c r="C34" s="972"/>
      <c r="D34" s="972" t="s">
        <v>29</v>
      </c>
      <c r="E34" s="972"/>
      <c r="F34" s="972"/>
      <c r="G34" s="972"/>
      <c r="H34" s="972"/>
      <c r="I34" s="5"/>
      <c r="J34" s="972" t="s">
        <v>29</v>
      </c>
      <c r="K34" s="972"/>
      <c r="L34" s="972"/>
      <c r="M34" s="972"/>
      <c r="N34" s="972"/>
      <c r="O34" s="972"/>
      <c r="P34" s="972"/>
      <c r="Q34" s="972"/>
    </row>
    <row r="35" spans="2:17">
      <c r="B35" s="6"/>
      <c r="C35" s="5"/>
      <c r="D35" s="5"/>
      <c r="E35" s="5"/>
      <c r="F35" s="5"/>
      <c r="G35" s="6"/>
      <c r="I35" s="5"/>
      <c r="J35" s="6"/>
      <c r="K35" s="5"/>
      <c r="L35" s="5"/>
      <c r="M35" s="5"/>
      <c r="N35" s="5"/>
      <c r="O35" s="5"/>
      <c r="P35" s="5"/>
      <c r="Q35" s="6"/>
    </row>
    <row r="36" spans="2:17">
      <c r="B36" s="37"/>
      <c r="C36" s="47"/>
      <c r="D36" s="38"/>
      <c r="E36" s="38"/>
      <c r="F36" s="38"/>
      <c r="G36" s="37"/>
      <c r="I36" s="38"/>
      <c r="J36" s="37"/>
      <c r="K36" s="38"/>
      <c r="L36" s="38"/>
      <c r="M36" s="38"/>
      <c r="N36" s="38"/>
      <c r="O36" s="38"/>
      <c r="P36" s="38"/>
      <c r="Q36" s="37"/>
    </row>
    <row r="37" spans="2:17" ht="24" customHeight="1">
      <c r="B37" s="1080"/>
      <c r="C37" s="972"/>
      <c r="D37" s="1080"/>
      <c r="E37" s="972"/>
      <c r="F37" s="972"/>
      <c r="G37" s="972"/>
      <c r="H37" s="972"/>
      <c r="I37" s="245"/>
      <c r="J37" s="972"/>
      <c r="K37" s="972"/>
      <c r="L37" s="972"/>
      <c r="M37" s="972"/>
      <c r="N37" s="245"/>
      <c r="O37" s="1080"/>
      <c r="P37" s="972"/>
      <c r="Q37" s="972"/>
    </row>
    <row r="38" spans="2:17">
      <c r="B38" s="6"/>
      <c r="C38" s="5"/>
      <c r="D38" s="5"/>
      <c r="E38" s="5"/>
      <c r="F38" s="5"/>
      <c r="G38" s="6"/>
      <c r="I38" s="6"/>
      <c r="J38" s="6"/>
      <c r="K38" s="6"/>
      <c r="L38" s="5"/>
      <c r="M38" s="5"/>
      <c r="N38" s="5"/>
      <c r="O38" s="5"/>
      <c r="P38" s="5"/>
      <c r="Q38" s="5"/>
    </row>
    <row r="39" spans="2:17">
      <c r="B39" s="6"/>
      <c r="C39" s="5"/>
      <c r="D39" s="5"/>
      <c r="E39" s="5"/>
      <c r="F39" s="5"/>
      <c r="G39" s="6"/>
      <c r="I39" s="5"/>
      <c r="J39" s="6"/>
      <c r="K39" s="5"/>
      <c r="L39" s="5"/>
      <c r="M39" s="5"/>
      <c r="N39" s="5"/>
      <c r="O39" s="5"/>
      <c r="P39" s="5"/>
      <c r="Q39" s="6"/>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972"/>
      <c r="C44" s="972"/>
      <c r="D44" s="972"/>
      <c r="E44" s="972"/>
      <c r="F44" s="972"/>
      <c r="G44" s="972"/>
      <c r="H44" s="972"/>
      <c r="I44" s="5"/>
      <c r="J44" s="972"/>
      <c r="K44" s="972"/>
      <c r="L44" s="972"/>
      <c r="M44" s="972"/>
      <c r="N44" s="5"/>
      <c r="O44" s="972"/>
      <c r="P44" s="972"/>
      <c r="Q44" s="972"/>
    </row>
  </sheetData>
  <mergeCells count="45">
    <mergeCell ref="B27:C27"/>
    <mergeCell ref="D27:H27"/>
    <mergeCell ref="J27:Q27"/>
    <mergeCell ref="E18:F18"/>
    <mergeCell ref="G18:I18"/>
    <mergeCell ref="E19:F19"/>
    <mergeCell ref="G19:I19"/>
    <mergeCell ref="E23:F23"/>
    <mergeCell ref="G23:I23"/>
    <mergeCell ref="O24:P24"/>
    <mergeCell ref="E20:F20"/>
    <mergeCell ref="G20:I20"/>
    <mergeCell ref="E21:F21"/>
    <mergeCell ref="G21:I21"/>
    <mergeCell ref="J21:K21"/>
    <mergeCell ref="E22:F22"/>
    <mergeCell ref="G22:I22"/>
    <mergeCell ref="E24:F24"/>
    <mergeCell ref="G24:I24"/>
    <mergeCell ref="E16:F16"/>
    <mergeCell ref="G16:I16"/>
    <mergeCell ref="E15:F15"/>
    <mergeCell ref="E17:F17"/>
    <mergeCell ref="G17:I17"/>
    <mergeCell ref="E13:F13"/>
    <mergeCell ref="G13:I13"/>
    <mergeCell ref="J13:K13"/>
    <mergeCell ref="E14:F14"/>
    <mergeCell ref="C6:I6"/>
    <mergeCell ref="E10:F10"/>
    <mergeCell ref="G10:I10"/>
    <mergeCell ref="E11:F11"/>
    <mergeCell ref="G11:I11"/>
    <mergeCell ref="E12:F12"/>
    <mergeCell ref="B44:C44"/>
    <mergeCell ref="D44:H44"/>
    <mergeCell ref="J44:M44"/>
    <mergeCell ref="O44:Q44"/>
    <mergeCell ref="B34:C34"/>
    <mergeCell ref="D34:H34"/>
    <mergeCell ref="J34:Q34"/>
    <mergeCell ref="B37:C37"/>
    <mergeCell ref="D37:H37"/>
    <mergeCell ref="J37:M37"/>
    <mergeCell ref="O37:Q37"/>
  </mergeCells>
  <pageMargins left="0.17" right="0.18" top="0.17" bottom="0.17" header="0.17" footer="0.17"/>
  <pageSetup paperSize="9" scale="83"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2"/>
  <dimension ref="B1:Q45"/>
  <sheetViews>
    <sheetView showGridLines="0" topLeftCell="A5" zoomScale="110" workbookViewId="0">
      <selection activeCell="C16" sqref="C16"/>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18.875" style="2" customWidth="1"/>
    <col min="7" max="7" width="5.125" style="2" customWidth="1"/>
    <col min="8" max="8" width="3.875" style="2" customWidth="1"/>
    <col min="9" max="9" width="10.125" style="1" customWidth="1"/>
    <col min="10" max="10" width="11.625" style="1" customWidth="1"/>
    <col min="11" max="11" width="13.875" style="39" customWidth="1"/>
    <col min="12" max="12" width="9.875" style="40" customWidth="1"/>
    <col min="13" max="13" width="12.37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4" hidden="1"/>
    <row r="2" spans="2:14" s="375" customFormat="1" hidden="1">
      <c r="B2" s="407" t="s">
        <v>464</v>
      </c>
      <c r="C2" s="140" t="s">
        <v>132</v>
      </c>
      <c r="D2" s="140"/>
    </row>
    <row r="3" spans="2:14" s="375" customFormat="1" hidden="1">
      <c r="B3" s="407" t="s">
        <v>465</v>
      </c>
      <c r="C3" s="209" t="s">
        <v>255</v>
      </c>
      <c r="D3" s="209"/>
    </row>
    <row r="4" spans="2:14" s="375" customFormat="1" hidden="1">
      <c r="B4" s="407" t="s">
        <v>466</v>
      </c>
      <c r="C4" s="140" t="s">
        <v>133</v>
      </c>
      <c r="D4" s="140"/>
    </row>
    <row r="5" spans="2:14" s="31" customFormat="1" ht="6.95" customHeight="1">
      <c r="B5" s="30"/>
      <c r="C5" s="30"/>
      <c r="E5" s="30"/>
      <c r="J5" s="30"/>
      <c r="K5" s="32"/>
      <c r="L5" s="33"/>
    </row>
    <row r="6" spans="2:14" s="98" customFormat="1" ht="26.1" customHeight="1">
      <c r="B6" s="99" t="s">
        <v>81</v>
      </c>
      <c r="C6" s="1121" t="s">
        <v>480</v>
      </c>
      <c r="D6" s="1121"/>
      <c r="E6" s="1121"/>
      <c r="F6" s="1121"/>
      <c r="G6" s="1121"/>
      <c r="H6" s="1121"/>
      <c r="I6" s="1121"/>
      <c r="J6" s="145"/>
      <c r="K6" s="145"/>
      <c r="L6" s="145"/>
      <c r="M6" s="145"/>
      <c r="N6" s="145"/>
    </row>
    <row r="7" spans="2:14" s="3" customFormat="1" ht="20.100000000000001" customHeight="1">
      <c r="B7" s="213" t="s">
        <v>404</v>
      </c>
      <c r="C7" s="213" t="s">
        <v>556</v>
      </c>
      <c r="D7" s="211"/>
      <c r="E7" s="211"/>
      <c r="F7" s="211"/>
      <c r="G7" s="211"/>
      <c r="H7" s="211"/>
      <c r="I7" s="212" t="s">
        <v>278</v>
      </c>
      <c r="J7" s="212" t="s">
        <v>441</v>
      </c>
      <c r="K7" s="212"/>
      <c r="L7" s="212"/>
      <c r="M7" s="212"/>
      <c r="N7" s="31"/>
    </row>
    <row r="8" spans="2:14" s="3" customFormat="1" ht="18.95" customHeight="1">
      <c r="B8" s="213" t="s">
        <v>280</v>
      </c>
      <c r="C8" s="472" t="s">
        <v>557</v>
      </c>
      <c r="D8" s="211"/>
      <c r="E8" s="211"/>
      <c r="F8" s="211"/>
      <c r="G8" s="211"/>
      <c r="H8" s="211"/>
      <c r="I8" s="211" t="s">
        <v>477</v>
      </c>
      <c r="J8" s="212" t="s">
        <v>471</v>
      </c>
      <c r="K8" s="212"/>
      <c r="L8" s="212"/>
      <c r="M8" s="212"/>
      <c r="N8" s="31"/>
    </row>
    <row r="9" spans="2:14" s="3" customFormat="1" ht="6.95" customHeight="1">
      <c r="D9" s="85"/>
      <c r="E9" s="85"/>
      <c r="F9" s="85"/>
      <c r="G9" s="85"/>
      <c r="H9" s="85"/>
      <c r="I9" s="85"/>
      <c r="J9" s="85"/>
      <c r="K9" s="85"/>
      <c r="L9" s="85"/>
      <c r="M9" s="85"/>
      <c r="N9" s="85"/>
    </row>
    <row r="10" spans="2:14"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4" ht="21" customHeight="1">
      <c r="B11" s="430" t="s">
        <v>21</v>
      </c>
      <c r="C11" s="431" t="s">
        <v>478</v>
      </c>
      <c r="D11" s="432">
        <v>0.1</v>
      </c>
      <c r="E11" s="1179"/>
      <c r="F11" s="1180"/>
      <c r="G11" s="1156"/>
      <c r="H11" s="1158"/>
      <c r="I11" s="1157"/>
      <c r="J11" s="214"/>
      <c r="K11" s="214"/>
      <c r="L11" s="433"/>
      <c r="M11" s="430"/>
      <c r="N11" s="466">
        <f>N12</f>
        <v>0</v>
      </c>
    </row>
    <row r="12" spans="2:14" ht="21" customHeight="1">
      <c r="B12" s="418"/>
      <c r="C12" s="435" t="s">
        <v>469</v>
      </c>
      <c r="D12" s="421"/>
      <c r="E12" s="1174"/>
      <c r="F12" s="1174"/>
      <c r="G12" s="436"/>
      <c r="H12" s="436"/>
      <c r="I12" s="437"/>
      <c r="J12" s="396"/>
      <c r="K12" s="438">
        <v>1</v>
      </c>
      <c r="L12" s="439"/>
      <c r="M12" s="345">
        <f>L12/K12*100%</f>
        <v>0</v>
      </c>
      <c r="N12" s="346">
        <f>M12*D11</f>
        <v>0</v>
      </c>
    </row>
    <row r="13" spans="2:14" ht="21" customHeight="1">
      <c r="B13" s="430" t="s">
        <v>22</v>
      </c>
      <c r="C13" s="440" t="s">
        <v>23</v>
      </c>
      <c r="D13" s="441">
        <v>0.8</v>
      </c>
      <c r="E13" s="1169"/>
      <c r="F13" s="1170"/>
      <c r="G13" s="1156"/>
      <c r="H13" s="1158"/>
      <c r="I13" s="1157"/>
      <c r="J13" s="1171"/>
      <c r="K13" s="1172"/>
      <c r="L13" s="443"/>
      <c r="M13" s="442"/>
      <c r="N13" s="467">
        <f>SUM(N15:N21)*D13</f>
        <v>0</v>
      </c>
    </row>
    <row r="14" spans="2:14" ht="21" customHeight="1">
      <c r="B14" s="418" t="s">
        <v>245</v>
      </c>
      <c r="C14" s="444" t="s">
        <v>24</v>
      </c>
      <c r="D14" s="445"/>
      <c r="E14" s="1173"/>
      <c r="F14" s="1173"/>
      <c r="G14" s="446"/>
      <c r="H14" s="446"/>
      <c r="I14" s="446"/>
      <c r="J14" s="445"/>
      <c r="K14" s="447"/>
      <c r="L14" s="447"/>
      <c r="M14" s="445"/>
      <c r="N14" s="448"/>
    </row>
    <row r="15" spans="2:14" ht="40.5" customHeight="1">
      <c r="B15" s="86">
        <v>1</v>
      </c>
      <c r="C15" s="453" t="s">
        <v>423</v>
      </c>
      <c r="D15" s="468">
        <v>0.1</v>
      </c>
      <c r="E15" s="1092" t="s">
        <v>413</v>
      </c>
      <c r="F15" s="1093"/>
      <c r="G15" s="1190" t="s">
        <v>471</v>
      </c>
      <c r="H15" s="1191"/>
      <c r="I15" s="1192"/>
      <c r="J15" s="451" t="s">
        <v>414</v>
      </c>
      <c r="K15" s="364">
        <v>0</v>
      </c>
      <c r="L15" s="364"/>
      <c r="M15" s="365" t="str">
        <f>IF(LEN(L15)=0,"",IF(L15=K15,1,0))</f>
        <v/>
      </c>
      <c r="N15" s="358" t="str">
        <f t="shared" ref="N15:N17" si="0">IFERROR(M15*D15,"")</f>
        <v/>
      </c>
    </row>
    <row r="16" spans="2:14" ht="37.5" customHeight="1">
      <c r="B16" s="86">
        <v>2</v>
      </c>
      <c r="C16" s="453" t="s">
        <v>424</v>
      </c>
      <c r="D16" s="468">
        <v>0.15</v>
      </c>
      <c r="E16" s="1092" t="s">
        <v>413</v>
      </c>
      <c r="F16" s="1093"/>
      <c r="G16" s="1094" t="s">
        <v>529</v>
      </c>
      <c r="H16" s="1095"/>
      <c r="I16" s="1096"/>
      <c r="J16" s="451" t="s">
        <v>414</v>
      </c>
      <c r="K16" s="364">
        <v>0</v>
      </c>
      <c r="L16" s="364"/>
      <c r="M16" s="365" t="str">
        <f>IF(LEN(L16)=0,"",IF(L16=K16,1,0))</f>
        <v/>
      </c>
      <c r="N16" s="358" t="str">
        <f t="shared" si="0"/>
        <v/>
      </c>
    </row>
    <row r="17" spans="2:17" ht="39" customHeight="1">
      <c r="B17" s="86">
        <v>2</v>
      </c>
      <c r="C17" s="453" t="s">
        <v>392</v>
      </c>
      <c r="D17" s="468">
        <v>0.15</v>
      </c>
      <c r="E17" s="1092" t="s">
        <v>319</v>
      </c>
      <c r="F17" s="1093"/>
      <c r="G17" s="1094" t="s">
        <v>321</v>
      </c>
      <c r="H17" s="1095"/>
      <c r="I17" s="1096"/>
      <c r="J17" s="451" t="s">
        <v>326</v>
      </c>
      <c r="K17" s="346">
        <v>0.05</v>
      </c>
      <c r="L17" s="346"/>
      <c r="M17" s="345" t="str">
        <f>IF(LEN(L17)=0,"",IF(L17&lt;K17*80%,0,MIN(120%,L17/K17*100%)))</f>
        <v/>
      </c>
      <c r="N17" s="358" t="str">
        <f t="shared" si="0"/>
        <v/>
      </c>
    </row>
    <row r="18" spans="2:17" ht="40.5" customHeight="1">
      <c r="B18" s="86">
        <v>2</v>
      </c>
      <c r="C18" s="453" t="s">
        <v>427</v>
      </c>
      <c r="D18" s="468">
        <v>0.2</v>
      </c>
      <c r="E18" s="1092" t="s">
        <v>330</v>
      </c>
      <c r="F18" s="1093"/>
      <c r="G18" s="1094" t="s">
        <v>530</v>
      </c>
      <c r="H18" s="1095"/>
      <c r="I18" s="1096"/>
      <c r="J18" s="451" t="s">
        <v>428</v>
      </c>
      <c r="K18" s="368">
        <v>50</v>
      </c>
      <c r="L18" s="368"/>
      <c r="M18" s="352" t="str">
        <f>IF(LEN(L18)=0,"",IF(L18&gt;=K18,100%,0%))</f>
        <v/>
      </c>
      <c r="N18" s="358" t="str">
        <f t="shared" ref="N18" si="1">IFERROR(M18*D18,"")</f>
        <v/>
      </c>
    </row>
    <row r="19" spans="2:17" ht="21" customHeight="1">
      <c r="B19" s="418" t="s">
        <v>245</v>
      </c>
      <c r="C19" s="444" t="s">
        <v>128</v>
      </c>
      <c r="D19" s="445"/>
      <c r="E19" s="1166"/>
      <c r="F19" s="1166"/>
      <c r="G19" s="454"/>
      <c r="H19" s="454"/>
      <c r="I19" s="455"/>
      <c r="J19" s="445"/>
      <c r="K19" s="447"/>
      <c r="L19" s="447"/>
      <c r="M19" s="445"/>
      <c r="N19" s="448"/>
    </row>
    <row r="20" spans="2:17" ht="41.25" customHeight="1">
      <c r="B20" s="86">
        <v>1</v>
      </c>
      <c r="C20" s="453" t="s">
        <v>462</v>
      </c>
      <c r="D20" s="468">
        <v>0.25</v>
      </c>
      <c r="E20" s="1092" t="s">
        <v>413</v>
      </c>
      <c r="F20" s="1093"/>
      <c r="G20" s="1190" t="s">
        <v>471</v>
      </c>
      <c r="H20" s="1191"/>
      <c r="I20" s="1192"/>
      <c r="J20" s="451" t="s">
        <v>414</v>
      </c>
      <c r="K20" s="364">
        <v>0</v>
      </c>
      <c r="L20" s="364"/>
      <c r="M20" s="365" t="str">
        <f>IF(LEN(L20)=0,"",IF(L20=K20,1,0))</f>
        <v/>
      </c>
      <c r="N20" s="358" t="str">
        <f t="shared" ref="N20:N21" si="2">IFERROR(M20*D20,"")</f>
        <v/>
      </c>
    </row>
    <row r="21" spans="2:17" ht="30" customHeight="1">
      <c r="B21" s="86">
        <v>2</v>
      </c>
      <c r="C21" s="453" t="s">
        <v>463</v>
      </c>
      <c r="D21" s="468">
        <v>0.15</v>
      </c>
      <c r="E21" s="1092" t="s">
        <v>413</v>
      </c>
      <c r="F21" s="1093"/>
      <c r="G21" s="1190" t="s">
        <v>471</v>
      </c>
      <c r="H21" s="1191"/>
      <c r="I21" s="1192"/>
      <c r="J21" s="451" t="s">
        <v>414</v>
      </c>
      <c r="K21" s="364">
        <v>0</v>
      </c>
      <c r="L21" s="364"/>
      <c r="M21" s="365" t="str">
        <f>IF(LEN(L21)=0,"",IF(L21=K21,1,0))</f>
        <v/>
      </c>
      <c r="N21" s="358" t="str">
        <f t="shared" si="2"/>
        <v/>
      </c>
    </row>
    <row r="22" spans="2:17" ht="21" customHeight="1">
      <c r="B22" s="430" t="s">
        <v>40</v>
      </c>
      <c r="C22" s="459" t="s">
        <v>233</v>
      </c>
      <c r="D22" s="460">
        <v>0.1</v>
      </c>
      <c r="E22" s="1156"/>
      <c r="F22" s="1157"/>
      <c r="G22" s="1156"/>
      <c r="H22" s="1158"/>
      <c r="I22" s="1157"/>
      <c r="J22" s="1159"/>
      <c r="K22" s="1159"/>
      <c r="L22" s="433"/>
      <c r="M22" s="430"/>
      <c r="N22" s="434">
        <f>D22+SUM(N23:N24)</f>
        <v>0.1</v>
      </c>
    </row>
    <row r="23" spans="2:17" ht="17.100000000000001" customHeight="1">
      <c r="B23" s="86"/>
      <c r="C23" s="389"/>
      <c r="D23" s="351"/>
      <c r="E23" s="1093"/>
      <c r="F23" s="1093"/>
      <c r="G23" s="1160"/>
      <c r="H23" s="1161"/>
      <c r="I23" s="1162"/>
      <c r="J23" s="395"/>
      <c r="K23" s="461"/>
      <c r="L23" s="462"/>
      <c r="M23" s="345">
        <f>L23*-50%</f>
        <v>0</v>
      </c>
      <c r="N23" s="346">
        <f>M23*$D$22</f>
        <v>0</v>
      </c>
    </row>
    <row r="24" spans="2:17" ht="21.75" customHeight="1">
      <c r="B24" s="86"/>
      <c r="C24" s="389"/>
      <c r="D24" s="351"/>
      <c r="E24" s="1181"/>
      <c r="F24" s="1182"/>
      <c r="G24" s="1160"/>
      <c r="H24" s="1161"/>
      <c r="I24" s="1162"/>
      <c r="J24" s="395"/>
      <c r="K24" s="461"/>
      <c r="L24" s="462"/>
      <c r="M24" s="345">
        <f>L24*-30%</f>
        <v>0</v>
      </c>
      <c r="N24" s="346">
        <f>M24*$D$22</f>
        <v>0</v>
      </c>
    </row>
    <row r="25" spans="2:17" ht="16.5">
      <c r="B25" s="214"/>
      <c r="C25" s="214" t="s">
        <v>4</v>
      </c>
      <c r="D25" s="338"/>
      <c r="E25" s="1156"/>
      <c r="F25" s="1157"/>
      <c r="G25" s="1156"/>
      <c r="H25" s="1158"/>
      <c r="I25" s="1157"/>
      <c r="J25" s="338"/>
      <c r="K25" s="463"/>
      <c r="L25" s="464"/>
      <c r="M25" s="338"/>
      <c r="N25" s="466">
        <f>N11+N13+N22</f>
        <v>0.1</v>
      </c>
      <c r="O25" s="1143"/>
      <c r="P25" s="1143"/>
    </row>
    <row r="26" spans="2:17" ht="17.100000000000001" customHeight="1">
      <c r="B26" s="5"/>
      <c r="C26" s="5"/>
      <c r="D26" s="5"/>
      <c r="E26" s="6"/>
      <c r="F26" s="6"/>
      <c r="G26" s="6"/>
      <c r="H26" s="6"/>
      <c r="I26" s="5"/>
      <c r="J26" s="5"/>
      <c r="K26" s="35"/>
      <c r="L26" s="36"/>
      <c r="M26" s="5"/>
      <c r="N26" s="5"/>
    </row>
    <row r="27" spans="2:17" ht="12.95" customHeight="1">
      <c r="B27" s="37"/>
      <c r="C27" s="47"/>
      <c r="D27" s="38"/>
      <c r="E27" s="38"/>
      <c r="F27" s="38"/>
      <c r="G27" s="37"/>
      <c r="H27" s="37"/>
      <c r="I27" s="38"/>
      <c r="J27" s="38"/>
      <c r="K27" s="38"/>
      <c r="L27" s="38"/>
      <c r="M27" s="38"/>
      <c r="N27" s="38"/>
      <c r="O27" s="38"/>
      <c r="P27" s="38"/>
      <c r="Q27" s="37"/>
    </row>
    <row r="28" spans="2:17" s="51" customFormat="1" ht="32.1" customHeight="1">
      <c r="B28" s="1079" t="s">
        <v>539</v>
      </c>
      <c r="C28" s="975"/>
      <c r="D28" s="1079" t="s">
        <v>537</v>
      </c>
      <c r="E28" s="975"/>
      <c r="F28" s="975"/>
      <c r="G28" s="975"/>
      <c r="H28" s="975"/>
      <c r="I28" s="471"/>
      <c r="J28" s="1079" t="s">
        <v>540</v>
      </c>
      <c r="K28" s="1079"/>
      <c r="L28" s="1079"/>
      <c r="M28" s="1079"/>
      <c r="N28" s="1079"/>
      <c r="O28" s="1079"/>
      <c r="P28" s="1079"/>
      <c r="Q28" s="1079"/>
    </row>
    <row r="29" spans="2:17">
      <c r="B29" s="6"/>
      <c r="C29" s="5"/>
      <c r="D29" s="5"/>
      <c r="E29" s="5"/>
      <c r="F29" s="5"/>
      <c r="G29" s="6"/>
      <c r="I29" s="6"/>
      <c r="J29" s="6"/>
      <c r="K29" s="6"/>
      <c r="L29" s="5"/>
      <c r="M29" s="5"/>
      <c r="N29" s="5"/>
      <c r="O29" s="5"/>
      <c r="P29" s="5"/>
      <c r="Q29" s="5"/>
    </row>
    <row r="30" spans="2:17">
      <c r="B30" s="6"/>
      <c r="C30" s="5"/>
      <c r="D30" s="5"/>
      <c r="E30" s="5"/>
      <c r="F30" s="5"/>
      <c r="G30" s="6"/>
      <c r="I30" s="5"/>
      <c r="J30" s="6"/>
      <c r="K30" s="5"/>
      <c r="L30" s="5"/>
      <c r="M30" s="5"/>
      <c r="N30" s="5"/>
      <c r="O30" s="5"/>
      <c r="P30" s="5"/>
      <c r="Q30" s="6"/>
    </row>
    <row r="31" spans="2:17">
      <c r="B31" s="6"/>
      <c r="C31" s="5"/>
      <c r="D31" s="5"/>
      <c r="E31" s="5"/>
      <c r="F31" s="5"/>
      <c r="G31" s="6"/>
      <c r="I31" s="5"/>
      <c r="J31" s="6"/>
      <c r="K31" s="5"/>
      <c r="L31" s="5"/>
      <c r="M31" s="5"/>
      <c r="N31" s="5"/>
      <c r="O31" s="5"/>
      <c r="P31" s="5"/>
      <c r="Q31" s="6"/>
    </row>
    <row r="32" spans="2:17">
      <c r="B32" s="6"/>
      <c r="C32" s="5"/>
      <c r="D32" s="5"/>
      <c r="E32" s="5"/>
      <c r="F32" s="5"/>
      <c r="G32" s="6"/>
      <c r="I32" s="5"/>
      <c r="J32" s="6"/>
      <c r="K32" s="5"/>
      <c r="L32" s="5"/>
      <c r="M32" s="5"/>
      <c r="N32" s="5"/>
      <c r="O32" s="5"/>
      <c r="P32" s="5"/>
      <c r="Q32" s="6"/>
    </row>
    <row r="33" spans="2:17">
      <c r="B33" s="6"/>
      <c r="C33" s="5"/>
      <c r="D33" s="5"/>
      <c r="E33" s="5"/>
      <c r="F33" s="5"/>
      <c r="G33" s="6"/>
      <c r="I33" s="5"/>
      <c r="J33" s="6"/>
      <c r="K33" s="5"/>
      <c r="L33" s="5"/>
      <c r="M33" s="5"/>
      <c r="N33" s="5"/>
      <c r="O33" s="5"/>
      <c r="P33" s="5"/>
      <c r="Q33" s="6"/>
    </row>
    <row r="34" spans="2:17">
      <c r="B34" s="6"/>
      <c r="C34" s="5"/>
      <c r="D34" s="5"/>
      <c r="E34" s="5"/>
      <c r="F34" s="5"/>
      <c r="G34" s="6"/>
      <c r="I34" s="5"/>
      <c r="J34" s="6"/>
      <c r="K34" s="5"/>
      <c r="L34" s="5"/>
      <c r="M34" s="5"/>
      <c r="N34" s="5"/>
      <c r="O34" s="5"/>
      <c r="P34" s="5"/>
      <c r="Q34" s="6"/>
    </row>
    <row r="35" spans="2:17">
      <c r="B35" s="972" t="s">
        <v>29</v>
      </c>
      <c r="C35" s="972"/>
      <c r="D35" s="972" t="s">
        <v>29</v>
      </c>
      <c r="E35" s="972"/>
      <c r="F35" s="972"/>
      <c r="G35" s="972"/>
      <c r="H35" s="972"/>
      <c r="I35" s="5"/>
      <c r="J35" s="972" t="s">
        <v>29</v>
      </c>
      <c r="K35" s="972"/>
      <c r="L35" s="972"/>
      <c r="M35" s="972"/>
      <c r="N35" s="972"/>
      <c r="O35" s="972"/>
      <c r="P35" s="972"/>
      <c r="Q35" s="972"/>
    </row>
    <row r="36" spans="2:17">
      <c r="B36" s="6"/>
      <c r="C36" s="5"/>
      <c r="D36" s="5"/>
      <c r="E36" s="5"/>
      <c r="F36" s="5"/>
      <c r="G36" s="6"/>
      <c r="I36" s="5"/>
      <c r="J36" s="6"/>
      <c r="K36" s="5"/>
      <c r="L36" s="5"/>
      <c r="M36" s="5"/>
      <c r="N36" s="5"/>
      <c r="O36" s="5"/>
      <c r="P36" s="5"/>
      <c r="Q36" s="6"/>
    </row>
    <row r="37" spans="2:17">
      <c r="B37" s="37"/>
      <c r="C37" s="47"/>
      <c r="D37" s="38"/>
      <c r="E37" s="38"/>
      <c r="F37" s="38"/>
      <c r="G37" s="37"/>
      <c r="I37" s="38"/>
      <c r="J37" s="37"/>
      <c r="K37" s="38"/>
      <c r="L37" s="38"/>
      <c r="M37" s="38"/>
      <c r="N37" s="38"/>
      <c r="O37" s="38"/>
      <c r="P37" s="38"/>
      <c r="Q37" s="37"/>
    </row>
    <row r="38" spans="2:17" ht="24" customHeight="1">
      <c r="B38" s="1080"/>
      <c r="C38" s="972"/>
      <c r="D38" s="1080"/>
      <c r="E38" s="972"/>
      <c r="F38" s="972"/>
      <c r="G38" s="972"/>
      <c r="H38" s="972"/>
      <c r="I38" s="245"/>
      <c r="J38" s="972"/>
      <c r="K38" s="972"/>
      <c r="L38" s="972"/>
      <c r="M38" s="972"/>
      <c r="N38" s="245"/>
      <c r="O38" s="1080"/>
      <c r="P38" s="972"/>
      <c r="Q38" s="972"/>
    </row>
    <row r="39" spans="2:17">
      <c r="B39" s="6"/>
      <c r="C39" s="5"/>
      <c r="D39" s="5"/>
      <c r="E39" s="5"/>
      <c r="F39" s="5"/>
      <c r="G39" s="6"/>
      <c r="I39" s="6"/>
      <c r="J39" s="6"/>
      <c r="K39" s="6"/>
      <c r="L39" s="5"/>
      <c r="M39" s="5"/>
      <c r="N39" s="5"/>
      <c r="O39" s="5"/>
      <c r="P39" s="5"/>
      <c r="Q39" s="5"/>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972"/>
      <c r="C45" s="972"/>
      <c r="D45" s="972"/>
      <c r="E45" s="972"/>
      <c r="F45" s="972"/>
      <c r="G45" s="972"/>
      <c r="H45" s="972"/>
      <c r="I45" s="5"/>
      <c r="J45" s="972"/>
      <c r="K45" s="972"/>
      <c r="L45" s="972"/>
      <c r="M45" s="972"/>
      <c r="N45" s="5"/>
      <c r="O45" s="972"/>
      <c r="P45" s="972"/>
      <c r="Q45" s="972"/>
    </row>
  </sheetData>
  <mergeCells count="47">
    <mergeCell ref="E21:F21"/>
    <mergeCell ref="G21:I21"/>
    <mergeCell ref="E20:F20"/>
    <mergeCell ref="G20:I20"/>
    <mergeCell ref="B28:C28"/>
    <mergeCell ref="D28:H28"/>
    <mergeCell ref="O25:P25"/>
    <mergeCell ref="E22:F22"/>
    <mergeCell ref="G22:I22"/>
    <mergeCell ref="J22:K22"/>
    <mergeCell ref="E23:F23"/>
    <mergeCell ref="G23:I23"/>
    <mergeCell ref="E24:F24"/>
    <mergeCell ref="G24:I24"/>
    <mergeCell ref="E25:F25"/>
    <mergeCell ref="G25:I25"/>
    <mergeCell ref="E13:F13"/>
    <mergeCell ref="G13:I13"/>
    <mergeCell ref="J13:K13"/>
    <mergeCell ref="E14:F14"/>
    <mergeCell ref="E19:F19"/>
    <mergeCell ref="E15:F15"/>
    <mergeCell ref="G15:I15"/>
    <mergeCell ref="E16:F16"/>
    <mergeCell ref="G16:I16"/>
    <mergeCell ref="E17:F17"/>
    <mergeCell ref="G17:I17"/>
    <mergeCell ref="E18:F18"/>
    <mergeCell ref="G18:I18"/>
    <mergeCell ref="E12:F12"/>
    <mergeCell ref="C6:I6"/>
    <mergeCell ref="E10:F10"/>
    <mergeCell ref="G10:I10"/>
    <mergeCell ref="E11:F11"/>
    <mergeCell ref="G11:I11"/>
    <mergeCell ref="B45:C45"/>
    <mergeCell ref="D45:H45"/>
    <mergeCell ref="J45:M45"/>
    <mergeCell ref="O45:Q45"/>
    <mergeCell ref="J28:Q28"/>
    <mergeCell ref="B35:C35"/>
    <mergeCell ref="D35:H35"/>
    <mergeCell ref="J35:Q35"/>
    <mergeCell ref="B38:C38"/>
    <mergeCell ref="D38:H38"/>
    <mergeCell ref="J38:M38"/>
    <mergeCell ref="O38:Q38"/>
  </mergeCells>
  <pageMargins left="0.28000000000000003" right="0.17" top="0.17" bottom="0.17" header="0.3" footer="0.3"/>
  <pageSetup paperSize="9" scale="83"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B1:Q45"/>
  <sheetViews>
    <sheetView showGridLines="0" topLeftCell="A5" zoomScale="110" workbookViewId="0">
      <selection activeCell="C16" sqref="C16"/>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18.875" style="2" customWidth="1"/>
    <col min="7" max="7" width="5.125" style="2" customWidth="1"/>
    <col min="8" max="8" width="3.875" style="2" customWidth="1"/>
    <col min="9" max="9" width="10.125" style="1" customWidth="1"/>
    <col min="10" max="10" width="11.625" style="1" customWidth="1"/>
    <col min="11" max="11" width="13.875" style="39" customWidth="1"/>
    <col min="12" max="12" width="9.875" style="40" customWidth="1"/>
    <col min="13" max="13" width="12.37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4" hidden="1"/>
    <row r="2" spans="2:14" s="375" customFormat="1" hidden="1">
      <c r="B2" s="407" t="s">
        <v>464</v>
      </c>
      <c r="C2" s="140" t="s">
        <v>132</v>
      </c>
      <c r="D2" s="140"/>
    </row>
    <row r="3" spans="2:14" s="375" customFormat="1" hidden="1">
      <c r="B3" s="407" t="s">
        <v>465</v>
      </c>
      <c r="C3" s="209" t="s">
        <v>255</v>
      </c>
      <c r="D3" s="209"/>
    </row>
    <row r="4" spans="2:14" s="375" customFormat="1" hidden="1">
      <c r="B4" s="407" t="s">
        <v>466</v>
      </c>
      <c r="C4" s="140" t="s">
        <v>133</v>
      </c>
      <c r="D4" s="140"/>
    </row>
    <row r="5" spans="2:14" s="31" customFormat="1" ht="6.95" customHeight="1">
      <c r="B5" s="30"/>
      <c r="C5" s="30"/>
      <c r="E5" s="30"/>
      <c r="J5" s="30"/>
      <c r="K5" s="32"/>
      <c r="L5" s="33"/>
    </row>
    <row r="6" spans="2:14" s="98" customFormat="1" ht="26.1" customHeight="1">
      <c r="B6" s="99" t="s">
        <v>81</v>
      </c>
      <c r="C6" s="1121" t="s">
        <v>480</v>
      </c>
      <c r="D6" s="1121"/>
      <c r="E6" s="1121"/>
      <c r="F6" s="1121"/>
      <c r="G6" s="1121"/>
      <c r="H6" s="1121"/>
      <c r="I6" s="1121"/>
      <c r="J6" s="145"/>
      <c r="K6" s="145"/>
      <c r="L6" s="145"/>
      <c r="M6" s="145"/>
      <c r="N6" s="145"/>
    </row>
    <row r="7" spans="2:14" s="3" customFormat="1" ht="20.100000000000001" customHeight="1">
      <c r="B7" s="213" t="s">
        <v>404</v>
      </c>
      <c r="C7" s="213" t="s">
        <v>571</v>
      </c>
      <c r="D7" s="211"/>
      <c r="E7" s="211"/>
      <c r="F7" s="211"/>
      <c r="G7" s="211"/>
      <c r="H7" s="211"/>
      <c r="I7" s="212" t="s">
        <v>278</v>
      </c>
      <c r="J7" s="212" t="s">
        <v>441</v>
      </c>
      <c r="K7" s="212"/>
      <c r="L7" s="212"/>
      <c r="M7" s="212"/>
      <c r="N7" s="31"/>
    </row>
    <row r="8" spans="2:14" s="3" customFormat="1" ht="18.95" customHeight="1">
      <c r="B8" s="213" t="s">
        <v>280</v>
      </c>
      <c r="C8" s="472" t="s">
        <v>572</v>
      </c>
      <c r="D8" s="211"/>
      <c r="E8" s="211"/>
      <c r="F8" s="211"/>
      <c r="G8" s="211"/>
      <c r="H8" s="211"/>
      <c r="I8" s="211" t="s">
        <v>477</v>
      </c>
      <c r="J8" s="212" t="s">
        <v>471</v>
      </c>
      <c r="K8" s="212"/>
      <c r="L8" s="212"/>
      <c r="M8" s="212"/>
      <c r="N8" s="31"/>
    </row>
    <row r="9" spans="2:14" s="3" customFormat="1" ht="6.95" customHeight="1">
      <c r="D9" s="85"/>
      <c r="E9" s="85"/>
      <c r="F9" s="85"/>
      <c r="G9" s="85"/>
      <c r="H9" s="85"/>
      <c r="I9" s="85"/>
      <c r="J9" s="85"/>
      <c r="K9" s="85"/>
      <c r="L9" s="85"/>
      <c r="M9" s="85"/>
      <c r="N9" s="85"/>
    </row>
    <row r="10" spans="2:14"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4" ht="21" customHeight="1">
      <c r="B11" s="430" t="s">
        <v>21</v>
      </c>
      <c r="C11" s="431" t="s">
        <v>478</v>
      </c>
      <c r="D11" s="432">
        <v>0.1</v>
      </c>
      <c r="E11" s="1179"/>
      <c r="F11" s="1180"/>
      <c r="G11" s="1156"/>
      <c r="H11" s="1158"/>
      <c r="I11" s="1157"/>
      <c r="J11" s="214"/>
      <c r="K11" s="214"/>
      <c r="L11" s="433"/>
      <c r="M11" s="430"/>
      <c r="N11" s="466">
        <f>N12</f>
        <v>0</v>
      </c>
    </row>
    <row r="12" spans="2:14" ht="21" customHeight="1">
      <c r="B12" s="418"/>
      <c r="C12" s="435" t="s">
        <v>469</v>
      </c>
      <c r="D12" s="421"/>
      <c r="E12" s="1174"/>
      <c r="F12" s="1174"/>
      <c r="G12" s="436"/>
      <c r="H12" s="436"/>
      <c r="I12" s="437"/>
      <c r="J12" s="396"/>
      <c r="K12" s="438">
        <v>1</v>
      </c>
      <c r="L12" s="439"/>
      <c r="M12" s="345">
        <f>L12/K12*100%</f>
        <v>0</v>
      </c>
      <c r="N12" s="346">
        <f>M12*D11</f>
        <v>0</v>
      </c>
    </row>
    <row r="13" spans="2:14" ht="21" customHeight="1">
      <c r="B13" s="430" t="s">
        <v>22</v>
      </c>
      <c r="C13" s="440" t="s">
        <v>23</v>
      </c>
      <c r="D13" s="441">
        <v>0.8</v>
      </c>
      <c r="E13" s="1169"/>
      <c r="F13" s="1170"/>
      <c r="G13" s="1156"/>
      <c r="H13" s="1158"/>
      <c r="I13" s="1157"/>
      <c r="J13" s="1171"/>
      <c r="K13" s="1172"/>
      <c r="L13" s="443"/>
      <c r="M13" s="442"/>
      <c r="N13" s="467">
        <f>SUM(N15:N21)*D13</f>
        <v>0</v>
      </c>
    </row>
    <row r="14" spans="2:14" ht="21" customHeight="1">
      <c r="B14" s="418" t="s">
        <v>245</v>
      </c>
      <c r="C14" s="444" t="s">
        <v>24</v>
      </c>
      <c r="D14" s="445"/>
      <c r="E14" s="1173"/>
      <c r="F14" s="1173"/>
      <c r="G14" s="446"/>
      <c r="H14" s="446"/>
      <c r="I14" s="446"/>
      <c r="J14" s="445"/>
      <c r="K14" s="447"/>
      <c r="L14" s="447"/>
      <c r="M14" s="445"/>
      <c r="N14" s="448"/>
    </row>
    <row r="15" spans="2:14" ht="40.5" customHeight="1">
      <c r="B15" s="86">
        <v>1</v>
      </c>
      <c r="C15" s="453" t="s">
        <v>423</v>
      </c>
      <c r="D15" s="468">
        <v>0.1</v>
      </c>
      <c r="E15" s="1092" t="s">
        <v>413</v>
      </c>
      <c r="F15" s="1093"/>
      <c r="G15" s="1190" t="s">
        <v>471</v>
      </c>
      <c r="H15" s="1191"/>
      <c r="I15" s="1192"/>
      <c r="J15" s="451" t="s">
        <v>414</v>
      </c>
      <c r="K15" s="364">
        <v>0</v>
      </c>
      <c r="L15" s="364"/>
      <c r="M15" s="365" t="str">
        <f>IF(LEN(L15)=0,"",IF(L15=K15,1,0))</f>
        <v/>
      </c>
      <c r="N15" s="358" t="str">
        <f t="shared" ref="N15:N18" si="0">IFERROR(M15*D15,"")</f>
        <v/>
      </c>
    </row>
    <row r="16" spans="2:14" ht="37.5" customHeight="1">
      <c r="B16" s="86">
        <v>2</v>
      </c>
      <c r="C16" s="453" t="s">
        <v>424</v>
      </c>
      <c r="D16" s="468">
        <v>0.15</v>
      </c>
      <c r="E16" s="1092" t="s">
        <v>413</v>
      </c>
      <c r="F16" s="1093"/>
      <c r="G16" s="1094" t="s">
        <v>529</v>
      </c>
      <c r="H16" s="1095"/>
      <c r="I16" s="1096"/>
      <c r="J16" s="451" t="s">
        <v>414</v>
      </c>
      <c r="K16" s="364">
        <v>0</v>
      </c>
      <c r="L16" s="364"/>
      <c r="M16" s="365" t="str">
        <f>IF(LEN(L16)=0,"",IF(L16=K16,1,0))</f>
        <v/>
      </c>
      <c r="N16" s="358" t="str">
        <f t="shared" si="0"/>
        <v/>
      </c>
    </row>
    <row r="17" spans="2:17" ht="39" customHeight="1">
      <c r="B17" s="86">
        <v>2</v>
      </c>
      <c r="C17" s="453" t="s">
        <v>392</v>
      </c>
      <c r="D17" s="468">
        <v>0.15</v>
      </c>
      <c r="E17" s="1092" t="s">
        <v>319</v>
      </c>
      <c r="F17" s="1093"/>
      <c r="G17" s="1094" t="s">
        <v>321</v>
      </c>
      <c r="H17" s="1095"/>
      <c r="I17" s="1096"/>
      <c r="J17" s="451" t="s">
        <v>326</v>
      </c>
      <c r="K17" s="346">
        <v>0.05</v>
      </c>
      <c r="L17" s="346"/>
      <c r="M17" s="345" t="str">
        <f>IF(LEN(L17)=0,"",IF(L17&lt;K17*80%,0,MIN(120%,L17/K17*100%)))</f>
        <v/>
      </c>
      <c r="N17" s="358" t="str">
        <f t="shared" si="0"/>
        <v/>
      </c>
    </row>
    <row r="18" spans="2:17" ht="40.5" customHeight="1">
      <c r="B18" s="86">
        <v>2</v>
      </c>
      <c r="C18" s="453" t="s">
        <v>427</v>
      </c>
      <c r="D18" s="468">
        <v>0.2</v>
      </c>
      <c r="E18" s="1092" t="s">
        <v>330</v>
      </c>
      <c r="F18" s="1093"/>
      <c r="G18" s="1094" t="s">
        <v>530</v>
      </c>
      <c r="H18" s="1095"/>
      <c r="I18" s="1096"/>
      <c r="J18" s="451" t="s">
        <v>428</v>
      </c>
      <c r="K18" s="368">
        <v>50</v>
      </c>
      <c r="L18" s="368"/>
      <c r="M18" s="352" t="str">
        <f>IF(LEN(L18)=0,"",IF(L18&gt;=K18,100%,0%))</f>
        <v/>
      </c>
      <c r="N18" s="358" t="str">
        <f t="shared" si="0"/>
        <v/>
      </c>
    </row>
    <row r="19" spans="2:17" ht="21" customHeight="1">
      <c r="B19" s="418" t="s">
        <v>245</v>
      </c>
      <c r="C19" s="444" t="s">
        <v>128</v>
      </c>
      <c r="D19" s="445"/>
      <c r="E19" s="1166"/>
      <c r="F19" s="1166"/>
      <c r="G19" s="454"/>
      <c r="H19" s="454"/>
      <c r="I19" s="455"/>
      <c r="J19" s="445"/>
      <c r="K19" s="447"/>
      <c r="L19" s="447"/>
      <c r="M19" s="445"/>
      <c r="N19" s="448"/>
    </row>
    <row r="20" spans="2:17" ht="41.25" customHeight="1">
      <c r="B20" s="86">
        <v>1</v>
      </c>
      <c r="C20" s="453" t="s">
        <v>462</v>
      </c>
      <c r="D20" s="468">
        <v>0.25</v>
      </c>
      <c r="E20" s="1092" t="s">
        <v>413</v>
      </c>
      <c r="F20" s="1093"/>
      <c r="G20" s="1190" t="s">
        <v>471</v>
      </c>
      <c r="H20" s="1191"/>
      <c r="I20" s="1192"/>
      <c r="J20" s="451" t="s">
        <v>414</v>
      </c>
      <c r="K20" s="364">
        <v>0</v>
      </c>
      <c r="L20" s="364"/>
      <c r="M20" s="365" t="str">
        <f>IF(LEN(L20)=0,"",IF(L20=K20,1,0))</f>
        <v/>
      </c>
      <c r="N20" s="358" t="str">
        <f t="shared" ref="N20:N21" si="1">IFERROR(M20*D20,"")</f>
        <v/>
      </c>
    </row>
    <row r="21" spans="2:17" ht="30" customHeight="1">
      <c r="B21" s="86">
        <v>2</v>
      </c>
      <c r="C21" s="453" t="s">
        <v>463</v>
      </c>
      <c r="D21" s="468">
        <v>0.15</v>
      </c>
      <c r="E21" s="1092" t="s">
        <v>413</v>
      </c>
      <c r="F21" s="1093"/>
      <c r="G21" s="1190" t="s">
        <v>471</v>
      </c>
      <c r="H21" s="1191"/>
      <c r="I21" s="1192"/>
      <c r="J21" s="451" t="s">
        <v>414</v>
      </c>
      <c r="K21" s="364">
        <v>0</v>
      </c>
      <c r="L21" s="364"/>
      <c r="M21" s="365" t="str">
        <f>IF(LEN(L21)=0,"",IF(L21=K21,1,0))</f>
        <v/>
      </c>
      <c r="N21" s="358" t="str">
        <f t="shared" si="1"/>
        <v/>
      </c>
    </row>
    <row r="22" spans="2:17" ht="21" customHeight="1">
      <c r="B22" s="430" t="s">
        <v>40</v>
      </c>
      <c r="C22" s="459" t="s">
        <v>233</v>
      </c>
      <c r="D22" s="460">
        <v>0.1</v>
      </c>
      <c r="E22" s="1156"/>
      <c r="F22" s="1157"/>
      <c r="G22" s="1156"/>
      <c r="H22" s="1158"/>
      <c r="I22" s="1157"/>
      <c r="J22" s="1159"/>
      <c r="K22" s="1159"/>
      <c r="L22" s="433"/>
      <c r="M22" s="430"/>
      <c r="N22" s="434">
        <f>D22+SUM(N23:N24)</f>
        <v>0.1</v>
      </c>
    </row>
    <row r="23" spans="2:17" ht="17.100000000000001" customHeight="1">
      <c r="B23" s="86"/>
      <c r="C23" s="389"/>
      <c r="D23" s="351"/>
      <c r="E23" s="1093"/>
      <c r="F23" s="1093"/>
      <c r="G23" s="1160"/>
      <c r="H23" s="1161"/>
      <c r="I23" s="1162"/>
      <c r="J23" s="395"/>
      <c r="K23" s="461"/>
      <c r="L23" s="462"/>
      <c r="M23" s="345">
        <f>L23*-50%</f>
        <v>0</v>
      </c>
      <c r="N23" s="346">
        <f>M23*$D$22</f>
        <v>0</v>
      </c>
    </row>
    <row r="24" spans="2:17" ht="21.75" customHeight="1">
      <c r="B24" s="86"/>
      <c r="C24" s="389"/>
      <c r="D24" s="351"/>
      <c r="E24" s="1181"/>
      <c r="F24" s="1182"/>
      <c r="G24" s="1160"/>
      <c r="H24" s="1161"/>
      <c r="I24" s="1162"/>
      <c r="J24" s="395"/>
      <c r="K24" s="461"/>
      <c r="L24" s="462"/>
      <c r="M24" s="345">
        <f>L24*-30%</f>
        <v>0</v>
      </c>
      <c r="N24" s="346">
        <f>M24*$D$22</f>
        <v>0</v>
      </c>
    </row>
    <row r="25" spans="2:17" ht="16.5">
      <c r="B25" s="214"/>
      <c r="C25" s="214" t="s">
        <v>4</v>
      </c>
      <c r="D25" s="338"/>
      <c r="E25" s="1156"/>
      <c r="F25" s="1157"/>
      <c r="G25" s="1156"/>
      <c r="H25" s="1158"/>
      <c r="I25" s="1157"/>
      <c r="J25" s="338"/>
      <c r="K25" s="463"/>
      <c r="L25" s="464"/>
      <c r="M25" s="338"/>
      <c r="N25" s="466">
        <f>N11+N13+N22</f>
        <v>0.1</v>
      </c>
      <c r="O25" s="1143"/>
      <c r="P25" s="1143"/>
    </row>
    <row r="26" spans="2:17" ht="17.100000000000001" customHeight="1">
      <c r="B26" s="5"/>
      <c r="C26" s="5"/>
      <c r="D26" s="5"/>
      <c r="E26" s="6"/>
      <c r="F26" s="6"/>
      <c r="G26" s="6"/>
      <c r="H26" s="6"/>
      <c r="I26" s="5"/>
      <c r="J26" s="5"/>
      <c r="K26" s="35"/>
      <c r="L26" s="36"/>
      <c r="M26" s="5"/>
      <c r="N26" s="5"/>
    </row>
    <row r="27" spans="2:17" ht="12.95" customHeight="1">
      <c r="B27" s="37"/>
      <c r="C27" s="47"/>
      <c r="D27" s="38"/>
      <c r="E27" s="38"/>
      <c r="F27" s="38"/>
      <c r="G27" s="37"/>
      <c r="H27" s="37"/>
      <c r="I27" s="38"/>
      <c r="J27" s="38"/>
      <c r="K27" s="38"/>
      <c r="L27" s="38"/>
      <c r="M27" s="38"/>
      <c r="N27" s="38"/>
      <c r="O27" s="38"/>
      <c r="P27" s="38"/>
      <c r="Q27" s="37"/>
    </row>
    <row r="28" spans="2:17" s="51" customFormat="1" ht="32.1" customHeight="1">
      <c r="B28" s="1079" t="s">
        <v>539</v>
      </c>
      <c r="C28" s="975"/>
      <c r="D28" s="1079" t="s">
        <v>537</v>
      </c>
      <c r="E28" s="975"/>
      <c r="F28" s="975"/>
      <c r="G28" s="975"/>
      <c r="H28" s="975"/>
      <c r="I28" s="471"/>
      <c r="J28" s="1079" t="s">
        <v>540</v>
      </c>
      <c r="K28" s="1079"/>
      <c r="L28" s="1079"/>
      <c r="M28" s="1079"/>
      <c r="N28" s="1079"/>
      <c r="O28" s="1079"/>
      <c r="P28" s="1079"/>
      <c r="Q28" s="1079"/>
    </row>
    <row r="29" spans="2:17">
      <c r="B29" s="6"/>
      <c r="C29" s="5"/>
      <c r="D29" s="5"/>
      <c r="E29" s="5"/>
      <c r="F29" s="5"/>
      <c r="G29" s="6"/>
      <c r="I29" s="6"/>
      <c r="J29" s="6"/>
      <c r="K29" s="6"/>
      <c r="L29" s="5"/>
      <c r="M29" s="5"/>
      <c r="N29" s="5"/>
      <c r="O29" s="5"/>
      <c r="P29" s="5"/>
      <c r="Q29" s="5"/>
    </row>
    <row r="30" spans="2:17">
      <c r="B30" s="6"/>
      <c r="C30" s="5"/>
      <c r="D30" s="5"/>
      <c r="E30" s="5"/>
      <c r="F30" s="5"/>
      <c r="G30" s="6"/>
      <c r="I30" s="5"/>
      <c r="J30" s="6"/>
      <c r="K30" s="5"/>
      <c r="L30" s="5"/>
      <c r="M30" s="5"/>
      <c r="N30" s="5"/>
      <c r="O30" s="5"/>
      <c r="P30" s="5"/>
      <c r="Q30" s="6"/>
    </row>
    <row r="31" spans="2:17">
      <c r="B31" s="6"/>
      <c r="C31" s="5"/>
      <c r="D31" s="5"/>
      <c r="E31" s="5"/>
      <c r="F31" s="5"/>
      <c r="G31" s="6"/>
      <c r="I31" s="5"/>
      <c r="J31" s="6"/>
      <c r="K31" s="5"/>
      <c r="L31" s="5"/>
      <c r="M31" s="5"/>
      <c r="N31" s="5"/>
      <c r="O31" s="5"/>
      <c r="P31" s="5"/>
      <c r="Q31" s="6"/>
    </row>
    <row r="32" spans="2:17">
      <c r="B32" s="6"/>
      <c r="C32" s="5"/>
      <c r="D32" s="5"/>
      <c r="E32" s="5"/>
      <c r="F32" s="5"/>
      <c r="G32" s="6"/>
      <c r="I32" s="5"/>
      <c r="J32" s="6"/>
      <c r="K32" s="5"/>
      <c r="L32" s="5"/>
      <c r="M32" s="5"/>
      <c r="N32" s="5"/>
      <c r="O32" s="5"/>
      <c r="P32" s="5"/>
      <c r="Q32" s="6"/>
    </row>
    <row r="33" spans="2:17">
      <c r="B33" s="6"/>
      <c r="C33" s="5"/>
      <c r="D33" s="5"/>
      <c r="E33" s="5"/>
      <c r="F33" s="5"/>
      <c r="G33" s="6"/>
      <c r="I33" s="5"/>
      <c r="J33" s="6"/>
      <c r="K33" s="5"/>
      <c r="L33" s="5"/>
      <c r="M33" s="5"/>
      <c r="N33" s="5"/>
      <c r="O33" s="5"/>
      <c r="P33" s="5"/>
      <c r="Q33" s="6"/>
    </row>
    <row r="34" spans="2:17">
      <c r="B34" s="6"/>
      <c r="C34" s="5"/>
      <c r="D34" s="5"/>
      <c r="E34" s="5"/>
      <c r="F34" s="5"/>
      <c r="G34" s="6"/>
      <c r="I34" s="5"/>
      <c r="J34" s="6"/>
      <c r="K34" s="5"/>
      <c r="L34" s="5"/>
      <c r="M34" s="5"/>
      <c r="N34" s="5"/>
      <c r="O34" s="5"/>
      <c r="P34" s="5"/>
      <c r="Q34" s="6"/>
    </row>
    <row r="35" spans="2:17">
      <c r="B35" s="972" t="s">
        <v>29</v>
      </c>
      <c r="C35" s="972"/>
      <c r="D35" s="972" t="s">
        <v>29</v>
      </c>
      <c r="E35" s="972"/>
      <c r="F35" s="972"/>
      <c r="G35" s="972"/>
      <c r="H35" s="972"/>
      <c r="I35" s="5"/>
      <c r="J35" s="972" t="s">
        <v>29</v>
      </c>
      <c r="K35" s="972"/>
      <c r="L35" s="972"/>
      <c r="M35" s="972"/>
      <c r="N35" s="972"/>
      <c r="O35" s="972"/>
      <c r="P35" s="972"/>
      <c r="Q35" s="972"/>
    </row>
    <row r="36" spans="2:17">
      <c r="B36" s="6"/>
      <c r="C36" s="5"/>
      <c r="D36" s="5"/>
      <c r="E36" s="5"/>
      <c r="F36" s="5"/>
      <c r="G36" s="6"/>
      <c r="I36" s="5"/>
      <c r="J36" s="6"/>
      <c r="K36" s="5"/>
      <c r="L36" s="5"/>
      <c r="M36" s="5"/>
      <c r="N36" s="5"/>
      <c r="O36" s="5"/>
      <c r="P36" s="5"/>
      <c r="Q36" s="6"/>
    </row>
    <row r="37" spans="2:17">
      <c r="B37" s="37"/>
      <c r="C37" s="47"/>
      <c r="D37" s="38"/>
      <c r="E37" s="38"/>
      <c r="F37" s="38"/>
      <c r="G37" s="37"/>
      <c r="I37" s="38"/>
      <c r="J37" s="37"/>
      <c r="K37" s="38"/>
      <c r="L37" s="38"/>
      <c r="M37" s="38"/>
      <c r="N37" s="38"/>
      <c r="O37" s="38"/>
      <c r="P37" s="38"/>
      <c r="Q37" s="37"/>
    </row>
    <row r="38" spans="2:17" ht="24" customHeight="1">
      <c r="B38" s="1080"/>
      <c r="C38" s="972"/>
      <c r="D38" s="1080"/>
      <c r="E38" s="972"/>
      <c r="F38" s="972"/>
      <c r="G38" s="972"/>
      <c r="H38" s="972"/>
      <c r="I38" s="245"/>
      <c r="J38" s="972"/>
      <c r="K38" s="972"/>
      <c r="L38" s="972"/>
      <c r="M38" s="972"/>
      <c r="N38" s="245"/>
      <c r="O38" s="1080"/>
      <c r="P38" s="972"/>
      <c r="Q38" s="972"/>
    </row>
    <row r="39" spans="2:17">
      <c r="B39" s="6"/>
      <c r="C39" s="5"/>
      <c r="D39" s="5"/>
      <c r="E39" s="5"/>
      <c r="F39" s="5"/>
      <c r="G39" s="6"/>
      <c r="I39" s="6"/>
      <c r="J39" s="6"/>
      <c r="K39" s="6"/>
      <c r="L39" s="5"/>
      <c r="M39" s="5"/>
      <c r="N39" s="5"/>
      <c r="O39" s="5"/>
      <c r="P39" s="5"/>
      <c r="Q39" s="5"/>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972"/>
      <c r="C45" s="972"/>
      <c r="D45" s="972"/>
      <c r="E45" s="972"/>
      <c r="F45" s="972"/>
      <c r="G45" s="972"/>
      <c r="H45" s="972"/>
      <c r="I45" s="5"/>
      <c r="J45" s="972"/>
      <c r="K45" s="972"/>
      <c r="L45" s="972"/>
      <c r="M45" s="972"/>
      <c r="N45" s="5"/>
      <c r="O45" s="972"/>
      <c r="P45" s="972"/>
      <c r="Q45" s="972"/>
    </row>
  </sheetData>
  <mergeCells count="47">
    <mergeCell ref="B38:C38"/>
    <mergeCell ref="D38:H38"/>
    <mergeCell ref="J38:M38"/>
    <mergeCell ref="O38:Q38"/>
    <mergeCell ref="B45:C45"/>
    <mergeCell ref="D45:H45"/>
    <mergeCell ref="J45:M45"/>
    <mergeCell ref="O45:Q45"/>
    <mergeCell ref="O25:P25"/>
    <mergeCell ref="B28:C28"/>
    <mergeCell ref="D28:H28"/>
    <mergeCell ref="J28:Q28"/>
    <mergeCell ref="B35:C35"/>
    <mergeCell ref="D35:H35"/>
    <mergeCell ref="J35:Q35"/>
    <mergeCell ref="E25:F25"/>
    <mergeCell ref="G25:I25"/>
    <mergeCell ref="J22:K22"/>
    <mergeCell ref="E23:F23"/>
    <mergeCell ref="G23:I23"/>
    <mergeCell ref="E24:F24"/>
    <mergeCell ref="G24:I24"/>
    <mergeCell ref="E22:F22"/>
    <mergeCell ref="G22:I22"/>
    <mergeCell ref="E19:F19"/>
    <mergeCell ref="E20:F20"/>
    <mergeCell ref="G20:I20"/>
    <mergeCell ref="E21:F21"/>
    <mergeCell ref="G21:I21"/>
    <mergeCell ref="E16:F16"/>
    <mergeCell ref="G16:I16"/>
    <mergeCell ref="E17:F17"/>
    <mergeCell ref="G17:I17"/>
    <mergeCell ref="E18:F18"/>
    <mergeCell ref="G18:I18"/>
    <mergeCell ref="E13:F13"/>
    <mergeCell ref="G13:I13"/>
    <mergeCell ref="J13:K13"/>
    <mergeCell ref="E14:F14"/>
    <mergeCell ref="E15:F15"/>
    <mergeCell ref="G15:I15"/>
    <mergeCell ref="E12:F12"/>
    <mergeCell ref="C6:I6"/>
    <mergeCell ref="E10:F10"/>
    <mergeCell ref="G10:I10"/>
    <mergeCell ref="E11:F11"/>
    <mergeCell ref="G11:I11"/>
  </mergeCells>
  <pageMargins left="0.28000000000000003" right="0.17" top="0.17" bottom="0.17" header="0.3" footer="0.3"/>
  <pageSetup paperSize="9" scale="83"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B1:Q45"/>
  <sheetViews>
    <sheetView showGridLines="0" topLeftCell="A5" zoomScale="110" workbookViewId="0">
      <selection activeCell="C16" sqref="C16"/>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18.875" style="2" customWidth="1"/>
    <col min="7" max="7" width="5.125" style="2" customWidth="1"/>
    <col min="8" max="8" width="3.875" style="2" customWidth="1"/>
    <col min="9" max="9" width="10.125" style="1" customWidth="1"/>
    <col min="10" max="10" width="11.625" style="1" customWidth="1"/>
    <col min="11" max="11" width="13.875" style="39" customWidth="1"/>
    <col min="12" max="12" width="9.875" style="40" customWidth="1"/>
    <col min="13" max="13" width="12.37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4" hidden="1"/>
    <row r="2" spans="2:14" s="375" customFormat="1" hidden="1">
      <c r="B2" s="407" t="s">
        <v>464</v>
      </c>
      <c r="C2" s="140" t="s">
        <v>132</v>
      </c>
      <c r="D2" s="140"/>
    </row>
    <row r="3" spans="2:14" s="375" customFormat="1" hidden="1">
      <c r="B3" s="407" t="s">
        <v>465</v>
      </c>
      <c r="C3" s="209" t="s">
        <v>255</v>
      </c>
      <c r="D3" s="209"/>
    </row>
    <row r="4" spans="2:14" s="375" customFormat="1" hidden="1">
      <c r="B4" s="407" t="s">
        <v>466</v>
      </c>
      <c r="C4" s="140" t="s">
        <v>133</v>
      </c>
      <c r="D4" s="140"/>
    </row>
    <row r="5" spans="2:14" s="31" customFormat="1" ht="6.95" customHeight="1">
      <c r="B5" s="30"/>
      <c r="C5" s="30"/>
      <c r="E5" s="30"/>
      <c r="J5" s="30"/>
      <c r="K5" s="32"/>
      <c r="L5" s="33"/>
    </row>
    <row r="6" spans="2:14" s="98" customFormat="1" ht="26.1" customHeight="1">
      <c r="B6" s="99" t="s">
        <v>81</v>
      </c>
      <c r="C6" s="1121" t="s">
        <v>480</v>
      </c>
      <c r="D6" s="1121"/>
      <c r="E6" s="1121"/>
      <c r="F6" s="1121"/>
      <c r="G6" s="1121"/>
      <c r="H6" s="1121"/>
      <c r="I6" s="1121"/>
      <c r="J6" s="145"/>
      <c r="K6" s="145"/>
      <c r="L6" s="145"/>
      <c r="M6" s="145"/>
      <c r="N6" s="145"/>
    </row>
    <row r="7" spans="2:14" s="3" customFormat="1" ht="20.100000000000001" customHeight="1">
      <c r="B7" s="213" t="s">
        <v>404</v>
      </c>
      <c r="C7" s="213" t="s">
        <v>573</v>
      </c>
      <c r="D7" s="211"/>
      <c r="E7" s="211"/>
      <c r="F7" s="211"/>
      <c r="G7" s="211"/>
      <c r="H7" s="211"/>
      <c r="I7" s="212" t="s">
        <v>278</v>
      </c>
      <c r="J7" s="212" t="s">
        <v>441</v>
      </c>
      <c r="K7" s="212"/>
      <c r="L7" s="212"/>
      <c r="M7" s="212"/>
      <c r="N7" s="31"/>
    </row>
    <row r="8" spans="2:14" s="3" customFormat="1" ht="18.95" customHeight="1">
      <c r="B8" s="213" t="s">
        <v>280</v>
      </c>
      <c r="C8" s="472" t="s">
        <v>574</v>
      </c>
      <c r="D8" s="211"/>
      <c r="E8" s="211"/>
      <c r="F8" s="211"/>
      <c r="G8" s="211"/>
      <c r="H8" s="211"/>
      <c r="I8" s="211" t="s">
        <v>477</v>
      </c>
      <c r="J8" s="212" t="s">
        <v>471</v>
      </c>
      <c r="K8" s="212"/>
      <c r="L8" s="212"/>
      <c r="M8" s="212"/>
      <c r="N8" s="31"/>
    </row>
    <row r="9" spans="2:14" s="3" customFormat="1" ht="6.95" customHeight="1">
      <c r="D9" s="85"/>
      <c r="E9" s="85"/>
      <c r="F9" s="85"/>
      <c r="G9" s="85"/>
      <c r="H9" s="85"/>
      <c r="I9" s="85"/>
      <c r="J9" s="85"/>
      <c r="K9" s="85"/>
      <c r="L9" s="85"/>
      <c r="M9" s="85"/>
      <c r="N9" s="85"/>
    </row>
    <row r="10" spans="2:14"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4" ht="21" customHeight="1">
      <c r="B11" s="430" t="s">
        <v>21</v>
      </c>
      <c r="C11" s="431" t="s">
        <v>478</v>
      </c>
      <c r="D11" s="432">
        <v>0.1</v>
      </c>
      <c r="E11" s="1179"/>
      <c r="F11" s="1180"/>
      <c r="G11" s="1156"/>
      <c r="H11" s="1158"/>
      <c r="I11" s="1157"/>
      <c r="J11" s="214"/>
      <c r="K11" s="214"/>
      <c r="L11" s="433"/>
      <c r="M11" s="430"/>
      <c r="N11" s="466">
        <f>N12</f>
        <v>0</v>
      </c>
    </row>
    <row r="12" spans="2:14" ht="21" customHeight="1">
      <c r="B12" s="418"/>
      <c r="C12" s="435" t="s">
        <v>469</v>
      </c>
      <c r="D12" s="421"/>
      <c r="E12" s="1174"/>
      <c r="F12" s="1174"/>
      <c r="G12" s="436"/>
      <c r="H12" s="436"/>
      <c r="I12" s="437"/>
      <c r="J12" s="396"/>
      <c r="K12" s="438">
        <v>1</v>
      </c>
      <c r="L12" s="439"/>
      <c r="M12" s="345">
        <f>L12/K12*100%</f>
        <v>0</v>
      </c>
      <c r="N12" s="346">
        <f>M12*D11</f>
        <v>0</v>
      </c>
    </row>
    <row r="13" spans="2:14" ht="21" customHeight="1">
      <c r="B13" s="430" t="s">
        <v>22</v>
      </c>
      <c r="C13" s="440" t="s">
        <v>23</v>
      </c>
      <c r="D13" s="441">
        <v>0.8</v>
      </c>
      <c r="E13" s="1169"/>
      <c r="F13" s="1170"/>
      <c r="G13" s="1156"/>
      <c r="H13" s="1158"/>
      <c r="I13" s="1157"/>
      <c r="J13" s="1171"/>
      <c r="K13" s="1172"/>
      <c r="L13" s="443"/>
      <c r="M13" s="442"/>
      <c r="N13" s="467">
        <f>SUM(N15:N21)*D13</f>
        <v>0</v>
      </c>
    </row>
    <row r="14" spans="2:14" ht="21" customHeight="1">
      <c r="B14" s="418" t="s">
        <v>245</v>
      </c>
      <c r="C14" s="444" t="s">
        <v>24</v>
      </c>
      <c r="D14" s="445"/>
      <c r="E14" s="1173"/>
      <c r="F14" s="1173"/>
      <c r="G14" s="446"/>
      <c r="H14" s="446"/>
      <c r="I14" s="446"/>
      <c r="J14" s="445"/>
      <c r="K14" s="447"/>
      <c r="L14" s="447"/>
      <c r="M14" s="445"/>
      <c r="N14" s="448"/>
    </row>
    <row r="15" spans="2:14" ht="40.5" customHeight="1">
      <c r="B15" s="86">
        <v>1</v>
      </c>
      <c r="C15" s="453" t="s">
        <v>423</v>
      </c>
      <c r="D15" s="468">
        <v>0.1</v>
      </c>
      <c r="E15" s="1092" t="s">
        <v>413</v>
      </c>
      <c r="F15" s="1093"/>
      <c r="G15" s="1190" t="s">
        <v>471</v>
      </c>
      <c r="H15" s="1191"/>
      <c r="I15" s="1192"/>
      <c r="J15" s="451" t="s">
        <v>414</v>
      </c>
      <c r="K15" s="364">
        <v>0</v>
      </c>
      <c r="L15" s="364"/>
      <c r="M15" s="365" t="str">
        <f>IF(LEN(L15)=0,"",IF(L15=K15,1,0))</f>
        <v/>
      </c>
      <c r="N15" s="358" t="str">
        <f t="shared" ref="N15:N18" si="0">IFERROR(M15*D15,"")</f>
        <v/>
      </c>
    </row>
    <row r="16" spans="2:14" ht="37.5" customHeight="1">
      <c r="B16" s="86">
        <v>2</v>
      </c>
      <c r="C16" s="453" t="s">
        <v>424</v>
      </c>
      <c r="D16" s="468">
        <v>0.15</v>
      </c>
      <c r="E16" s="1092" t="s">
        <v>413</v>
      </c>
      <c r="F16" s="1093"/>
      <c r="G16" s="1094" t="s">
        <v>529</v>
      </c>
      <c r="H16" s="1095"/>
      <c r="I16" s="1096"/>
      <c r="J16" s="451" t="s">
        <v>414</v>
      </c>
      <c r="K16" s="364">
        <v>0</v>
      </c>
      <c r="L16" s="364"/>
      <c r="M16" s="365" t="str">
        <f>IF(LEN(L16)=0,"",IF(L16=K16,1,0))</f>
        <v/>
      </c>
      <c r="N16" s="358" t="str">
        <f t="shared" si="0"/>
        <v/>
      </c>
    </row>
    <row r="17" spans="2:17" ht="39" customHeight="1">
      <c r="B17" s="86">
        <v>2</v>
      </c>
      <c r="C17" s="453" t="s">
        <v>392</v>
      </c>
      <c r="D17" s="468">
        <v>0.15</v>
      </c>
      <c r="E17" s="1092" t="s">
        <v>319</v>
      </c>
      <c r="F17" s="1093"/>
      <c r="G17" s="1094" t="s">
        <v>321</v>
      </c>
      <c r="H17" s="1095"/>
      <c r="I17" s="1096"/>
      <c r="J17" s="451" t="s">
        <v>326</v>
      </c>
      <c r="K17" s="346">
        <v>0.05</v>
      </c>
      <c r="L17" s="346"/>
      <c r="M17" s="345" t="str">
        <f>IF(LEN(L17)=0,"",IF(L17&lt;K17*80%,0,MIN(120%,L17/K17*100%)))</f>
        <v/>
      </c>
      <c r="N17" s="358" t="str">
        <f t="shared" si="0"/>
        <v/>
      </c>
    </row>
    <row r="18" spans="2:17" ht="40.5" customHeight="1">
      <c r="B18" s="86">
        <v>2</v>
      </c>
      <c r="C18" s="453" t="s">
        <v>427</v>
      </c>
      <c r="D18" s="468">
        <v>0.2</v>
      </c>
      <c r="E18" s="1092" t="s">
        <v>330</v>
      </c>
      <c r="F18" s="1093"/>
      <c r="G18" s="1094" t="s">
        <v>530</v>
      </c>
      <c r="H18" s="1095"/>
      <c r="I18" s="1096"/>
      <c r="J18" s="451" t="s">
        <v>428</v>
      </c>
      <c r="K18" s="368">
        <v>50</v>
      </c>
      <c r="L18" s="368"/>
      <c r="M18" s="352" t="str">
        <f>IF(LEN(L18)=0,"",IF(L18&gt;=K18,100%,0%))</f>
        <v/>
      </c>
      <c r="N18" s="358" t="str">
        <f t="shared" si="0"/>
        <v/>
      </c>
    </row>
    <row r="19" spans="2:17" ht="21" customHeight="1">
      <c r="B19" s="418" t="s">
        <v>245</v>
      </c>
      <c r="C19" s="444" t="s">
        <v>128</v>
      </c>
      <c r="D19" s="445"/>
      <c r="E19" s="1166"/>
      <c r="F19" s="1166"/>
      <c r="G19" s="454"/>
      <c r="H19" s="454"/>
      <c r="I19" s="455"/>
      <c r="J19" s="445"/>
      <c r="K19" s="447"/>
      <c r="L19" s="447"/>
      <c r="M19" s="445"/>
      <c r="N19" s="448"/>
    </row>
    <row r="20" spans="2:17" ht="41.25" customHeight="1">
      <c r="B20" s="86">
        <v>1</v>
      </c>
      <c r="C20" s="453" t="s">
        <v>462</v>
      </c>
      <c r="D20" s="468">
        <v>0.25</v>
      </c>
      <c r="E20" s="1092" t="s">
        <v>413</v>
      </c>
      <c r="F20" s="1093"/>
      <c r="G20" s="1190" t="s">
        <v>471</v>
      </c>
      <c r="H20" s="1191"/>
      <c r="I20" s="1192"/>
      <c r="J20" s="451" t="s">
        <v>414</v>
      </c>
      <c r="K20" s="364">
        <v>0</v>
      </c>
      <c r="L20" s="364"/>
      <c r="M20" s="365" t="str">
        <f>IF(LEN(L20)=0,"",IF(L20=K20,1,0))</f>
        <v/>
      </c>
      <c r="N20" s="358" t="str">
        <f t="shared" ref="N20:N21" si="1">IFERROR(M20*D20,"")</f>
        <v/>
      </c>
    </row>
    <row r="21" spans="2:17" ht="30" customHeight="1">
      <c r="B21" s="86">
        <v>2</v>
      </c>
      <c r="C21" s="453" t="s">
        <v>463</v>
      </c>
      <c r="D21" s="468">
        <v>0.15</v>
      </c>
      <c r="E21" s="1092" t="s">
        <v>413</v>
      </c>
      <c r="F21" s="1093"/>
      <c r="G21" s="1190" t="s">
        <v>471</v>
      </c>
      <c r="H21" s="1191"/>
      <c r="I21" s="1192"/>
      <c r="J21" s="451" t="s">
        <v>414</v>
      </c>
      <c r="K21" s="364">
        <v>0</v>
      </c>
      <c r="L21" s="364"/>
      <c r="M21" s="365" t="str">
        <f>IF(LEN(L21)=0,"",IF(L21=K21,1,0))</f>
        <v/>
      </c>
      <c r="N21" s="358" t="str">
        <f t="shared" si="1"/>
        <v/>
      </c>
    </row>
    <row r="22" spans="2:17" ht="21" customHeight="1">
      <c r="B22" s="430" t="s">
        <v>40</v>
      </c>
      <c r="C22" s="459" t="s">
        <v>233</v>
      </c>
      <c r="D22" s="460">
        <v>0.1</v>
      </c>
      <c r="E22" s="1156"/>
      <c r="F22" s="1157"/>
      <c r="G22" s="1156"/>
      <c r="H22" s="1158"/>
      <c r="I22" s="1157"/>
      <c r="J22" s="1159"/>
      <c r="K22" s="1159"/>
      <c r="L22" s="433"/>
      <c r="M22" s="430"/>
      <c r="N22" s="434">
        <f>D22+SUM(N23:N24)</f>
        <v>0.1</v>
      </c>
    </row>
    <row r="23" spans="2:17" ht="17.100000000000001" customHeight="1">
      <c r="B23" s="86"/>
      <c r="C23" s="389"/>
      <c r="D23" s="351"/>
      <c r="E23" s="1093"/>
      <c r="F23" s="1093"/>
      <c r="G23" s="1160"/>
      <c r="H23" s="1161"/>
      <c r="I23" s="1162"/>
      <c r="J23" s="395"/>
      <c r="K23" s="461"/>
      <c r="L23" s="462"/>
      <c r="M23" s="345">
        <f>L23*-50%</f>
        <v>0</v>
      </c>
      <c r="N23" s="346">
        <f>M23*$D$22</f>
        <v>0</v>
      </c>
    </row>
    <row r="24" spans="2:17" ht="21.75" customHeight="1">
      <c r="B24" s="86"/>
      <c r="C24" s="389"/>
      <c r="D24" s="351"/>
      <c r="E24" s="1181"/>
      <c r="F24" s="1182"/>
      <c r="G24" s="1160"/>
      <c r="H24" s="1161"/>
      <c r="I24" s="1162"/>
      <c r="J24" s="395"/>
      <c r="K24" s="461"/>
      <c r="L24" s="462"/>
      <c r="M24" s="345">
        <f>L24*-30%</f>
        <v>0</v>
      </c>
      <c r="N24" s="346">
        <f>M24*$D$22</f>
        <v>0</v>
      </c>
    </row>
    <row r="25" spans="2:17" ht="16.5">
      <c r="B25" s="214"/>
      <c r="C25" s="214" t="s">
        <v>4</v>
      </c>
      <c r="D25" s="338"/>
      <c r="E25" s="1156"/>
      <c r="F25" s="1157"/>
      <c r="G25" s="1156"/>
      <c r="H25" s="1158"/>
      <c r="I25" s="1157"/>
      <c r="J25" s="338"/>
      <c r="K25" s="463"/>
      <c r="L25" s="464"/>
      <c r="M25" s="338"/>
      <c r="N25" s="466">
        <f>N11+N13+N22</f>
        <v>0.1</v>
      </c>
      <c r="O25" s="1143"/>
      <c r="P25" s="1143"/>
    </row>
    <row r="26" spans="2:17" ht="17.100000000000001" customHeight="1">
      <c r="B26" s="5"/>
      <c r="C26" s="5"/>
      <c r="D26" s="5"/>
      <c r="E26" s="6"/>
      <c r="F26" s="6"/>
      <c r="G26" s="6"/>
      <c r="H26" s="6"/>
      <c r="I26" s="5"/>
      <c r="J26" s="5"/>
      <c r="K26" s="35"/>
      <c r="L26" s="36"/>
      <c r="M26" s="5"/>
      <c r="N26" s="5"/>
    </row>
    <row r="27" spans="2:17" ht="12.95" customHeight="1">
      <c r="B27" s="37"/>
      <c r="C27" s="47"/>
      <c r="D27" s="38"/>
      <c r="E27" s="38"/>
      <c r="F27" s="38"/>
      <c r="G27" s="37"/>
      <c r="H27" s="37"/>
      <c r="I27" s="38"/>
      <c r="J27" s="38"/>
      <c r="K27" s="38"/>
      <c r="L27" s="38"/>
      <c r="M27" s="38"/>
      <c r="N27" s="38"/>
      <c r="O27" s="38"/>
      <c r="P27" s="38"/>
      <c r="Q27" s="37"/>
    </row>
    <row r="28" spans="2:17" s="51" customFormat="1" ht="32.1" customHeight="1">
      <c r="B28" s="1079" t="s">
        <v>539</v>
      </c>
      <c r="C28" s="975"/>
      <c r="D28" s="1079" t="s">
        <v>537</v>
      </c>
      <c r="E28" s="975"/>
      <c r="F28" s="975"/>
      <c r="G28" s="975"/>
      <c r="H28" s="975"/>
      <c r="I28" s="471"/>
      <c r="J28" s="1079" t="s">
        <v>540</v>
      </c>
      <c r="K28" s="1079"/>
      <c r="L28" s="1079"/>
      <c r="M28" s="1079"/>
      <c r="N28" s="1079"/>
      <c r="O28" s="1079"/>
      <c r="P28" s="1079"/>
      <c r="Q28" s="1079"/>
    </row>
    <row r="29" spans="2:17">
      <c r="B29" s="6"/>
      <c r="C29" s="5"/>
      <c r="D29" s="5"/>
      <c r="E29" s="5"/>
      <c r="F29" s="5"/>
      <c r="G29" s="6"/>
      <c r="I29" s="6"/>
      <c r="J29" s="6"/>
      <c r="K29" s="6"/>
      <c r="L29" s="5"/>
      <c r="M29" s="5"/>
      <c r="N29" s="5"/>
      <c r="O29" s="5"/>
      <c r="P29" s="5"/>
      <c r="Q29" s="5"/>
    </row>
    <row r="30" spans="2:17">
      <c r="B30" s="6"/>
      <c r="C30" s="5"/>
      <c r="D30" s="5"/>
      <c r="E30" s="5"/>
      <c r="F30" s="5"/>
      <c r="G30" s="6"/>
      <c r="I30" s="5"/>
      <c r="J30" s="6"/>
      <c r="K30" s="5"/>
      <c r="L30" s="5"/>
      <c r="M30" s="5"/>
      <c r="N30" s="5"/>
      <c r="O30" s="5"/>
      <c r="P30" s="5"/>
      <c r="Q30" s="6"/>
    </row>
    <row r="31" spans="2:17">
      <c r="B31" s="6"/>
      <c r="C31" s="5"/>
      <c r="D31" s="5"/>
      <c r="E31" s="5"/>
      <c r="F31" s="5"/>
      <c r="G31" s="6"/>
      <c r="I31" s="5"/>
      <c r="J31" s="6"/>
      <c r="K31" s="5"/>
      <c r="L31" s="5"/>
      <c r="M31" s="5"/>
      <c r="N31" s="5"/>
      <c r="O31" s="5"/>
      <c r="P31" s="5"/>
      <c r="Q31" s="6"/>
    </row>
    <row r="32" spans="2:17">
      <c r="B32" s="6"/>
      <c r="C32" s="5"/>
      <c r="D32" s="5"/>
      <c r="E32" s="5"/>
      <c r="F32" s="5"/>
      <c r="G32" s="6"/>
      <c r="I32" s="5"/>
      <c r="J32" s="6"/>
      <c r="K32" s="5"/>
      <c r="L32" s="5"/>
      <c r="M32" s="5"/>
      <c r="N32" s="5"/>
      <c r="O32" s="5"/>
      <c r="P32" s="5"/>
      <c r="Q32" s="6"/>
    </row>
    <row r="33" spans="2:17">
      <c r="B33" s="6"/>
      <c r="C33" s="5"/>
      <c r="D33" s="5"/>
      <c r="E33" s="5"/>
      <c r="F33" s="5"/>
      <c r="G33" s="6"/>
      <c r="I33" s="5"/>
      <c r="J33" s="6"/>
      <c r="K33" s="5"/>
      <c r="L33" s="5"/>
      <c r="M33" s="5"/>
      <c r="N33" s="5"/>
      <c r="O33" s="5"/>
      <c r="P33" s="5"/>
      <c r="Q33" s="6"/>
    </row>
    <row r="34" spans="2:17">
      <c r="B34" s="6"/>
      <c r="C34" s="5"/>
      <c r="D34" s="5"/>
      <c r="E34" s="5"/>
      <c r="F34" s="5"/>
      <c r="G34" s="6"/>
      <c r="I34" s="5"/>
      <c r="J34" s="6"/>
      <c r="K34" s="5"/>
      <c r="L34" s="5"/>
      <c r="M34" s="5"/>
      <c r="N34" s="5"/>
      <c r="O34" s="5"/>
      <c r="P34" s="5"/>
      <c r="Q34" s="6"/>
    </row>
    <row r="35" spans="2:17">
      <c r="B35" s="972" t="s">
        <v>29</v>
      </c>
      <c r="C35" s="972"/>
      <c r="D35" s="972" t="s">
        <v>29</v>
      </c>
      <c r="E35" s="972"/>
      <c r="F35" s="972"/>
      <c r="G35" s="972"/>
      <c r="H35" s="972"/>
      <c r="I35" s="5"/>
      <c r="J35" s="972" t="s">
        <v>29</v>
      </c>
      <c r="K35" s="972"/>
      <c r="L35" s="972"/>
      <c r="M35" s="972"/>
      <c r="N35" s="972"/>
      <c r="O35" s="972"/>
      <c r="P35" s="972"/>
      <c r="Q35" s="972"/>
    </row>
    <row r="36" spans="2:17">
      <c r="B36" s="6"/>
      <c r="C36" s="5"/>
      <c r="D36" s="5"/>
      <c r="E36" s="5"/>
      <c r="F36" s="5"/>
      <c r="G36" s="6"/>
      <c r="I36" s="5"/>
      <c r="J36" s="6"/>
      <c r="K36" s="5"/>
      <c r="L36" s="5"/>
      <c r="M36" s="5"/>
      <c r="N36" s="5"/>
      <c r="O36" s="5"/>
      <c r="P36" s="5"/>
      <c r="Q36" s="6"/>
    </row>
    <row r="37" spans="2:17">
      <c r="B37" s="37"/>
      <c r="C37" s="47"/>
      <c r="D37" s="38"/>
      <c r="E37" s="38"/>
      <c r="F37" s="38"/>
      <c r="G37" s="37"/>
      <c r="I37" s="38"/>
      <c r="J37" s="37"/>
      <c r="K37" s="38"/>
      <c r="L37" s="38"/>
      <c r="M37" s="38"/>
      <c r="N37" s="38"/>
      <c r="O37" s="38"/>
      <c r="P37" s="38"/>
      <c r="Q37" s="37"/>
    </row>
    <row r="38" spans="2:17" ht="24" customHeight="1">
      <c r="B38" s="1080"/>
      <c r="C38" s="972"/>
      <c r="D38" s="1080"/>
      <c r="E38" s="972"/>
      <c r="F38" s="972"/>
      <c r="G38" s="972"/>
      <c r="H38" s="972"/>
      <c r="I38" s="245"/>
      <c r="J38" s="972"/>
      <c r="K38" s="972"/>
      <c r="L38" s="972"/>
      <c r="M38" s="972"/>
      <c r="N38" s="245"/>
      <c r="O38" s="1080"/>
      <c r="P38" s="972"/>
      <c r="Q38" s="972"/>
    </row>
    <row r="39" spans="2:17">
      <c r="B39" s="6"/>
      <c r="C39" s="5"/>
      <c r="D39" s="5"/>
      <c r="E39" s="5"/>
      <c r="F39" s="5"/>
      <c r="G39" s="6"/>
      <c r="I39" s="6"/>
      <c r="J39" s="6"/>
      <c r="K39" s="6"/>
      <c r="L39" s="5"/>
      <c r="M39" s="5"/>
      <c r="N39" s="5"/>
      <c r="O39" s="5"/>
      <c r="P39" s="5"/>
      <c r="Q39" s="5"/>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972"/>
      <c r="C45" s="972"/>
      <c r="D45" s="972"/>
      <c r="E45" s="972"/>
      <c r="F45" s="972"/>
      <c r="G45" s="972"/>
      <c r="H45" s="972"/>
      <c r="I45" s="5"/>
      <c r="J45" s="972"/>
      <c r="K45" s="972"/>
      <c r="L45" s="972"/>
      <c r="M45" s="972"/>
      <c r="N45" s="5"/>
      <c r="O45" s="972"/>
      <c r="P45" s="972"/>
      <c r="Q45" s="972"/>
    </row>
  </sheetData>
  <mergeCells count="47">
    <mergeCell ref="B38:C38"/>
    <mergeCell ref="D38:H38"/>
    <mergeCell ref="J38:M38"/>
    <mergeCell ref="O38:Q38"/>
    <mergeCell ref="B45:C45"/>
    <mergeCell ref="D45:H45"/>
    <mergeCell ref="J45:M45"/>
    <mergeCell ref="O45:Q45"/>
    <mergeCell ref="O25:P25"/>
    <mergeCell ref="B28:C28"/>
    <mergeCell ref="D28:H28"/>
    <mergeCell ref="J28:Q28"/>
    <mergeCell ref="B35:C35"/>
    <mergeCell ref="D35:H35"/>
    <mergeCell ref="J35:Q35"/>
    <mergeCell ref="E25:F25"/>
    <mergeCell ref="G25:I25"/>
    <mergeCell ref="J22:K22"/>
    <mergeCell ref="E23:F23"/>
    <mergeCell ref="G23:I23"/>
    <mergeCell ref="E24:F24"/>
    <mergeCell ref="G24:I24"/>
    <mergeCell ref="E22:F22"/>
    <mergeCell ref="G22:I22"/>
    <mergeCell ref="E19:F19"/>
    <mergeCell ref="E20:F20"/>
    <mergeCell ref="G20:I20"/>
    <mergeCell ref="E21:F21"/>
    <mergeCell ref="G21:I21"/>
    <mergeCell ref="E16:F16"/>
    <mergeCell ref="G16:I16"/>
    <mergeCell ref="E17:F17"/>
    <mergeCell ref="G17:I17"/>
    <mergeCell ref="E18:F18"/>
    <mergeCell ref="G18:I18"/>
    <mergeCell ref="E13:F13"/>
    <mergeCell ref="G13:I13"/>
    <mergeCell ref="J13:K13"/>
    <mergeCell ref="E14:F14"/>
    <mergeCell ref="E15:F15"/>
    <mergeCell ref="G15:I15"/>
    <mergeCell ref="E12:F12"/>
    <mergeCell ref="C6:I6"/>
    <mergeCell ref="E10:F10"/>
    <mergeCell ref="G10:I10"/>
    <mergeCell ref="E11:F11"/>
    <mergeCell ref="G11:I11"/>
  </mergeCells>
  <pageMargins left="0.28000000000000003" right="0.17" top="0.17" bottom="0.17" header="0.3" footer="0.3"/>
  <pageSetup paperSize="9" scale="83"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B1:Q45"/>
  <sheetViews>
    <sheetView showGridLines="0" topLeftCell="A17" zoomScale="110" workbookViewId="0">
      <selection activeCell="C17" sqref="C17"/>
    </sheetView>
  </sheetViews>
  <sheetFormatPr defaultColWidth="8.875" defaultRowHeight="12.75"/>
  <cols>
    <col min="1" max="1" width="2.125" style="1" customWidth="1"/>
    <col min="2" max="2" width="12.5" style="1" bestFit="1" customWidth="1"/>
    <col min="3" max="3" width="32" style="1" customWidth="1"/>
    <col min="4" max="4" width="8.875" style="1"/>
    <col min="5" max="5" width="6.625" style="2" customWidth="1"/>
    <col min="6" max="6" width="18.875" style="2" customWidth="1"/>
    <col min="7" max="7" width="5.125" style="2" customWidth="1"/>
    <col min="8" max="8" width="3.875" style="2" customWidth="1"/>
    <col min="9" max="9" width="10.125" style="1" customWidth="1"/>
    <col min="10" max="10" width="11.625" style="1" customWidth="1"/>
    <col min="11" max="11" width="13.875" style="39" customWidth="1"/>
    <col min="12" max="12" width="9.875" style="40" customWidth="1"/>
    <col min="13" max="13" width="12.375" style="1" customWidth="1"/>
    <col min="14" max="14" width="10.875" style="1" customWidth="1"/>
    <col min="15" max="15" width="11.375" style="1" customWidth="1"/>
    <col min="16" max="16" width="9.375" style="1" customWidth="1"/>
    <col min="17" max="235" width="8.875" style="1"/>
    <col min="236" max="236" width="5" style="1" customWidth="1"/>
    <col min="237" max="237" width="33.375" style="1" customWidth="1"/>
    <col min="238" max="238" width="6.5" style="1" customWidth="1"/>
    <col min="239" max="239" width="29.5" style="1" customWidth="1"/>
    <col min="240" max="240" width="23.625" style="1" customWidth="1"/>
    <col min="241" max="241" width="8" style="1" customWidth="1"/>
    <col min="242" max="242" width="9.125" style="1" customWidth="1"/>
    <col min="243" max="243" width="13.875" style="1" customWidth="1"/>
    <col min="244" max="244" width="13.5" style="1" customWidth="1"/>
    <col min="245" max="491" width="8.875" style="1"/>
    <col min="492" max="492" width="5" style="1" customWidth="1"/>
    <col min="493" max="493" width="33.375" style="1" customWidth="1"/>
    <col min="494" max="494" width="6.5" style="1" customWidth="1"/>
    <col min="495" max="495" width="29.5" style="1" customWidth="1"/>
    <col min="496" max="496" width="23.625" style="1" customWidth="1"/>
    <col min="497" max="497" width="8" style="1" customWidth="1"/>
    <col min="498" max="498" width="9.125" style="1" customWidth="1"/>
    <col min="499" max="499" width="13.875" style="1" customWidth="1"/>
    <col min="500" max="500" width="13.5" style="1" customWidth="1"/>
    <col min="501" max="747" width="8.875" style="1"/>
    <col min="748" max="748" width="5" style="1" customWidth="1"/>
    <col min="749" max="749" width="33.375" style="1" customWidth="1"/>
    <col min="750" max="750" width="6.5" style="1" customWidth="1"/>
    <col min="751" max="751" width="29.5" style="1" customWidth="1"/>
    <col min="752" max="752" width="23.625" style="1" customWidth="1"/>
    <col min="753" max="753" width="8" style="1" customWidth="1"/>
    <col min="754" max="754" width="9.125" style="1" customWidth="1"/>
    <col min="755" max="755" width="13.875" style="1" customWidth="1"/>
    <col min="756" max="756" width="13.5" style="1" customWidth="1"/>
    <col min="757" max="1003" width="8.875" style="1"/>
    <col min="1004" max="1004" width="5" style="1" customWidth="1"/>
    <col min="1005" max="1005" width="33.375" style="1" customWidth="1"/>
    <col min="1006" max="1006" width="6.5" style="1" customWidth="1"/>
    <col min="1007" max="1007" width="29.5" style="1" customWidth="1"/>
    <col min="1008" max="1008" width="23.625" style="1" customWidth="1"/>
    <col min="1009" max="1009" width="8" style="1" customWidth="1"/>
    <col min="1010" max="1010" width="9.125" style="1" customWidth="1"/>
    <col min="1011" max="1011" width="13.875" style="1" customWidth="1"/>
    <col min="1012" max="1012" width="13.5" style="1" customWidth="1"/>
    <col min="1013" max="1259" width="8.875" style="1"/>
    <col min="1260" max="1260" width="5" style="1" customWidth="1"/>
    <col min="1261" max="1261" width="33.375" style="1" customWidth="1"/>
    <col min="1262" max="1262" width="6.5" style="1" customWidth="1"/>
    <col min="1263" max="1263" width="29.5" style="1" customWidth="1"/>
    <col min="1264" max="1264" width="23.625" style="1" customWidth="1"/>
    <col min="1265" max="1265" width="8" style="1" customWidth="1"/>
    <col min="1266" max="1266" width="9.125" style="1" customWidth="1"/>
    <col min="1267" max="1267" width="13.875" style="1" customWidth="1"/>
    <col min="1268" max="1268" width="13.5" style="1" customWidth="1"/>
    <col min="1269" max="1515" width="8.875" style="1"/>
    <col min="1516" max="1516" width="5" style="1" customWidth="1"/>
    <col min="1517" max="1517" width="33.375" style="1" customWidth="1"/>
    <col min="1518" max="1518" width="6.5" style="1" customWidth="1"/>
    <col min="1519" max="1519" width="29.5" style="1" customWidth="1"/>
    <col min="1520" max="1520" width="23.625" style="1" customWidth="1"/>
    <col min="1521" max="1521" width="8" style="1" customWidth="1"/>
    <col min="1522" max="1522" width="9.125" style="1" customWidth="1"/>
    <col min="1523" max="1523" width="13.875" style="1" customWidth="1"/>
    <col min="1524" max="1524" width="13.5" style="1" customWidth="1"/>
    <col min="1525" max="1771" width="8.875" style="1"/>
    <col min="1772" max="1772" width="5" style="1" customWidth="1"/>
    <col min="1773" max="1773" width="33.375" style="1" customWidth="1"/>
    <col min="1774" max="1774" width="6.5" style="1" customWidth="1"/>
    <col min="1775" max="1775" width="29.5" style="1" customWidth="1"/>
    <col min="1776" max="1776" width="23.625" style="1" customWidth="1"/>
    <col min="1777" max="1777" width="8" style="1" customWidth="1"/>
    <col min="1778" max="1778" width="9.125" style="1" customWidth="1"/>
    <col min="1779" max="1779" width="13.875" style="1" customWidth="1"/>
    <col min="1780" max="1780" width="13.5" style="1" customWidth="1"/>
    <col min="1781" max="2027" width="8.875" style="1"/>
    <col min="2028" max="2028" width="5" style="1" customWidth="1"/>
    <col min="2029" max="2029" width="33.375" style="1" customWidth="1"/>
    <col min="2030" max="2030" width="6.5" style="1" customWidth="1"/>
    <col min="2031" max="2031" width="29.5" style="1" customWidth="1"/>
    <col min="2032" max="2032" width="23.625" style="1" customWidth="1"/>
    <col min="2033" max="2033" width="8" style="1" customWidth="1"/>
    <col min="2034" max="2034" width="9.125" style="1" customWidth="1"/>
    <col min="2035" max="2035" width="13.875" style="1" customWidth="1"/>
    <col min="2036" max="2036" width="13.5" style="1" customWidth="1"/>
    <col min="2037" max="2283" width="8.875" style="1"/>
    <col min="2284" max="2284" width="5" style="1" customWidth="1"/>
    <col min="2285" max="2285" width="33.375" style="1" customWidth="1"/>
    <col min="2286" max="2286" width="6.5" style="1" customWidth="1"/>
    <col min="2287" max="2287" width="29.5" style="1" customWidth="1"/>
    <col min="2288" max="2288" width="23.625" style="1" customWidth="1"/>
    <col min="2289" max="2289" width="8" style="1" customWidth="1"/>
    <col min="2290" max="2290" width="9.125" style="1" customWidth="1"/>
    <col min="2291" max="2291" width="13.875" style="1" customWidth="1"/>
    <col min="2292" max="2292" width="13.5" style="1" customWidth="1"/>
    <col min="2293" max="2539" width="8.875" style="1"/>
    <col min="2540" max="2540" width="5" style="1" customWidth="1"/>
    <col min="2541" max="2541" width="33.375" style="1" customWidth="1"/>
    <col min="2542" max="2542" width="6.5" style="1" customWidth="1"/>
    <col min="2543" max="2543" width="29.5" style="1" customWidth="1"/>
    <col min="2544" max="2544" width="23.625" style="1" customWidth="1"/>
    <col min="2545" max="2545" width="8" style="1" customWidth="1"/>
    <col min="2546" max="2546" width="9.125" style="1" customWidth="1"/>
    <col min="2547" max="2547" width="13.875" style="1" customWidth="1"/>
    <col min="2548" max="2548" width="13.5" style="1" customWidth="1"/>
    <col min="2549" max="2795" width="8.875" style="1"/>
    <col min="2796" max="2796" width="5" style="1" customWidth="1"/>
    <col min="2797" max="2797" width="33.375" style="1" customWidth="1"/>
    <col min="2798" max="2798" width="6.5" style="1" customWidth="1"/>
    <col min="2799" max="2799" width="29.5" style="1" customWidth="1"/>
    <col min="2800" max="2800" width="23.625" style="1" customWidth="1"/>
    <col min="2801" max="2801" width="8" style="1" customWidth="1"/>
    <col min="2802" max="2802" width="9.125" style="1" customWidth="1"/>
    <col min="2803" max="2803" width="13.875" style="1" customWidth="1"/>
    <col min="2804" max="2804" width="13.5" style="1" customWidth="1"/>
    <col min="2805" max="3051" width="8.875" style="1"/>
    <col min="3052" max="3052" width="5" style="1" customWidth="1"/>
    <col min="3053" max="3053" width="33.375" style="1" customWidth="1"/>
    <col min="3054" max="3054" width="6.5" style="1" customWidth="1"/>
    <col min="3055" max="3055" width="29.5" style="1" customWidth="1"/>
    <col min="3056" max="3056" width="23.625" style="1" customWidth="1"/>
    <col min="3057" max="3057" width="8" style="1" customWidth="1"/>
    <col min="3058" max="3058" width="9.125" style="1" customWidth="1"/>
    <col min="3059" max="3059" width="13.875" style="1" customWidth="1"/>
    <col min="3060" max="3060" width="13.5" style="1" customWidth="1"/>
    <col min="3061" max="3307" width="8.875" style="1"/>
    <col min="3308" max="3308" width="5" style="1" customWidth="1"/>
    <col min="3309" max="3309" width="33.375" style="1" customWidth="1"/>
    <col min="3310" max="3310" width="6.5" style="1" customWidth="1"/>
    <col min="3311" max="3311" width="29.5" style="1" customWidth="1"/>
    <col min="3312" max="3312" width="23.625" style="1" customWidth="1"/>
    <col min="3313" max="3313" width="8" style="1" customWidth="1"/>
    <col min="3314" max="3314" width="9.125" style="1" customWidth="1"/>
    <col min="3315" max="3315" width="13.875" style="1" customWidth="1"/>
    <col min="3316" max="3316" width="13.5" style="1" customWidth="1"/>
    <col min="3317" max="3563" width="8.875" style="1"/>
    <col min="3564" max="3564" width="5" style="1" customWidth="1"/>
    <col min="3565" max="3565" width="33.375" style="1" customWidth="1"/>
    <col min="3566" max="3566" width="6.5" style="1" customWidth="1"/>
    <col min="3567" max="3567" width="29.5" style="1" customWidth="1"/>
    <col min="3568" max="3568" width="23.625" style="1" customWidth="1"/>
    <col min="3569" max="3569" width="8" style="1" customWidth="1"/>
    <col min="3570" max="3570" width="9.125" style="1" customWidth="1"/>
    <col min="3571" max="3571" width="13.875" style="1" customWidth="1"/>
    <col min="3572" max="3572" width="13.5" style="1" customWidth="1"/>
    <col min="3573" max="3819" width="8.875" style="1"/>
    <col min="3820" max="3820" width="5" style="1" customWidth="1"/>
    <col min="3821" max="3821" width="33.375" style="1" customWidth="1"/>
    <col min="3822" max="3822" width="6.5" style="1" customWidth="1"/>
    <col min="3823" max="3823" width="29.5" style="1" customWidth="1"/>
    <col min="3824" max="3824" width="23.625" style="1" customWidth="1"/>
    <col min="3825" max="3825" width="8" style="1" customWidth="1"/>
    <col min="3826" max="3826" width="9.125" style="1" customWidth="1"/>
    <col min="3827" max="3827" width="13.875" style="1" customWidth="1"/>
    <col min="3828" max="3828" width="13.5" style="1" customWidth="1"/>
    <col min="3829" max="4075" width="8.875" style="1"/>
    <col min="4076" max="4076" width="5" style="1" customWidth="1"/>
    <col min="4077" max="4077" width="33.375" style="1" customWidth="1"/>
    <col min="4078" max="4078" width="6.5" style="1" customWidth="1"/>
    <col min="4079" max="4079" width="29.5" style="1" customWidth="1"/>
    <col min="4080" max="4080" width="23.625" style="1" customWidth="1"/>
    <col min="4081" max="4081" width="8" style="1" customWidth="1"/>
    <col min="4082" max="4082" width="9.125" style="1" customWidth="1"/>
    <col min="4083" max="4083" width="13.875" style="1" customWidth="1"/>
    <col min="4084" max="4084" width="13.5" style="1" customWidth="1"/>
    <col min="4085" max="4331" width="8.875" style="1"/>
    <col min="4332" max="4332" width="5" style="1" customWidth="1"/>
    <col min="4333" max="4333" width="33.375" style="1" customWidth="1"/>
    <col min="4334" max="4334" width="6.5" style="1" customWidth="1"/>
    <col min="4335" max="4335" width="29.5" style="1" customWidth="1"/>
    <col min="4336" max="4336" width="23.625" style="1" customWidth="1"/>
    <col min="4337" max="4337" width="8" style="1" customWidth="1"/>
    <col min="4338" max="4338" width="9.125" style="1" customWidth="1"/>
    <col min="4339" max="4339" width="13.875" style="1" customWidth="1"/>
    <col min="4340" max="4340" width="13.5" style="1" customWidth="1"/>
    <col min="4341" max="4587" width="8.875" style="1"/>
    <col min="4588" max="4588" width="5" style="1" customWidth="1"/>
    <col min="4589" max="4589" width="33.375" style="1" customWidth="1"/>
    <col min="4590" max="4590" width="6.5" style="1" customWidth="1"/>
    <col min="4591" max="4591" width="29.5" style="1" customWidth="1"/>
    <col min="4592" max="4592" width="23.625" style="1" customWidth="1"/>
    <col min="4593" max="4593" width="8" style="1" customWidth="1"/>
    <col min="4594" max="4594" width="9.125" style="1" customWidth="1"/>
    <col min="4595" max="4595" width="13.875" style="1" customWidth="1"/>
    <col min="4596" max="4596" width="13.5" style="1" customWidth="1"/>
    <col min="4597" max="4843" width="8.875" style="1"/>
    <col min="4844" max="4844" width="5" style="1" customWidth="1"/>
    <col min="4845" max="4845" width="33.375" style="1" customWidth="1"/>
    <col min="4846" max="4846" width="6.5" style="1" customWidth="1"/>
    <col min="4847" max="4847" width="29.5" style="1" customWidth="1"/>
    <col min="4848" max="4848" width="23.625" style="1" customWidth="1"/>
    <col min="4849" max="4849" width="8" style="1" customWidth="1"/>
    <col min="4850" max="4850" width="9.125" style="1" customWidth="1"/>
    <col min="4851" max="4851" width="13.875" style="1" customWidth="1"/>
    <col min="4852" max="4852" width="13.5" style="1" customWidth="1"/>
    <col min="4853" max="5099" width="8.875" style="1"/>
    <col min="5100" max="5100" width="5" style="1" customWidth="1"/>
    <col min="5101" max="5101" width="33.375" style="1" customWidth="1"/>
    <col min="5102" max="5102" width="6.5" style="1" customWidth="1"/>
    <col min="5103" max="5103" width="29.5" style="1" customWidth="1"/>
    <col min="5104" max="5104" width="23.625" style="1" customWidth="1"/>
    <col min="5105" max="5105" width="8" style="1" customWidth="1"/>
    <col min="5106" max="5106" width="9.125" style="1" customWidth="1"/>
    <col min="5107" max="5107" width="13.875" style="1" customWidth="1"/>
    <col min="5108" max="5108" width="13.5" style="1" customWidth="1"/>
    <col min="5109" max="5355" width="8.875" style="1"/>
    <col min="5356" max="5356" width="5" style="1" customWidth="1"/>
    <col min="5357" max="5357" width="33.375" style="1" customWidth="1"/>
    <col min="5358" max="5358" width="6.5" style="1" customWidth="1"/>
    <col min="5359" max="5359" width="29.5" style="1" customWidth="1"/>
    <col min="5360" max="5360" width="23.625" style="1" customWidth="1"/>
    <col min="5361" max="5361" width="8" style="1" customWidth="1"/>
    <col min="5362" max="5362" width="9.125" style="1" customWidth="1"/>
    <col min="5363" max="5363" width="13.875" style="1" customWidth="1"/>
    <col min="5364" max="5364" width="13.5" style="1" customWidth="1"/>
    <col min="5365" max="5611" width="8.875" style="1"/>
    <col min="5612" max="5612" width="5" style="1" customWidth="1"/>
    <col min="5613" max="5613" width="33.375" style="1" customWidth="1"/>
    <col min="5614" max="5614" width="6.5" style="1" customWidth="1"/>
    <col min="5615" max="5615" width="29.5" style="1" customWidth="1"/>
    <col min="5616" max="5616" width="23.625" style="1" customWidth="1"/>
    <col min="5617" max="5617" width="8" style="1" customWidth="1"/>
    <col min="5618" max="5618" width="9.125" style="1" customWidth="1"/>
    <col min="5619" max="5619" width="13.875" style="1" customWidth="1"/>
    <col min="5620" max="5620" width="13.5" style="1" customWidth="1"/>
    <col min="5621" max="5867" width="8.875" style="1"/>
    <col min="5868" max="5868" width="5" style="1" customWidth="1"/>
    <col min="5869" max="5869" width="33.375" style="1" customWidth="1"/>
    <col min="5870" max="5870" width="6.5" style="1" customWidth="1"/>
    <col min="5871" max="5871" width="29.5" style="1" customWidth="1"/>
    <col min="5872" max="5872" width="23.625" style="1" customWidth="1"/>
    <col min="5873" max="5873" width="8" style="1" customWidth="1"/>
    <col min="5874" max="5874" width="9.125" style="1" customWidth="1"/>
    <col min="5875" max="5875" width="13.875" style="1" customWidth="1"/>
    <col min="5876" max="5876" width="13.5" style="1" customWidth="1"/>
    <col min="5877" max="6123" width="8.875" style="1"/>
    <col min="6124" max="6124" width="5" style="1" customWidth="1"/>
    <col min="6125" max="6125" width="33.375" style="1" customWidth="1"/>
    <col min="6126" max="6126" width="6.5" style="1" customWidth="1"/>
    <col min="6127" max="6127" width="29.5" style="1" customWidth="1"/>
    <col min="6128" max="6128" width="23.625" style="1" customWidth="1"/>
    <col min="6129" max="6129" width="8" style="1" customWidth="1"/>
    <col min="6130" max="6130" width="9.125" style="1" customWidth="1"/>
    <col min="6131" max="6131" width="13.875" style="1" customWidth="1"/>
    <col min="6132" max="6132" width="13.5" style="1" customWidth="1"/>
    <col min="6133" max="6379" width="8.875" style="1"/>
    <col min="6380" max="6380" width="5" style="1" customWidth="1"/>
    <col min="6381" max="6381" width="33.375" style="1" customWidth="1"/>
    <col min="6382" max="6382" width="6.5" style="1" customWidth="1"/>
    <col min="6383" max="6383" width="29.5" style="1" customWidth="1"/>
    <col min="6384" max="6384" width="23.625" style="1" customWidth="1"/>
    <col min="6385" max="6385" width="8" style="1" customWidth="1"/>
    <col min="6386" max="6386" width="9.125" style="1" customWidth="1"/>
    <col min="6387" max="6387" width="13.875" style="1" customWidth="1"/>
    <col min="6388" max="6388" width="13.5" style="1" customWidth="1"/>
    <col min="6389" max="6635" width="8.875" style="1"/>
    <col min="6636" max="6636" width="5" style="1" customWidth="1"/>
    <col min="6637" max="6637" width="33.375" style="1" customWidth="1"/>
    <col min="6638" max="6638" width="6.5" style="1" customWidth="1"/>
    <col min="6639" max="6639" width="29.5" style="1" customWidth="1"/>
    <col min="6640" max="6640" width="23.625" style="1" customWidth="1"/>
    <col min="6641" max="6641" width="8" style="1" customWidth="1"/>
    <col min="6642" max="6642" width="9.125" style="1" customWidth="1"/>
    <col min="6643" max="6643" width="13.875" style="1" customWidth="1"/>
    <col min="6644" max="6644" width="13.5" style="1" customWidth="1"/>
    <col min="6645" max="6891" width="8.875" style="1"/>
    <col min="6892" max="6892" width="5" style="1" customWidth="1"/>
    <col min="6893" max="6893" width="33.375" style="1" customWidth="1"/>
    <col min="6894" max="6894" width="6.5" style="1" customWidth="1"/>
    <col min="6895" max="6895" width="29.5" style="1" customWidth="1"/>
    <col min="6896" max="6896" width="23.625" style="1" customWidth="1"/>
    <col min="6897" max="6897" width="8" style="1" customWidth="1"/>
    <col min="6898" max="6898" width="9.125" style="1" customWidth="1"/>
    <col min="6899" max="6899" width="13.875" style="1" customWidth="1"/>
    <col min="6900" max="6900" width="13.5" style="1" customWidth="1"/>
    <col min="6901" max="7147" width="8.875" style="1"/>
    <col min="7148" max="7148" width="5" style="1" customWidth="1"/>
    <col min="7149" max="7149" width="33.375" style="1" customWidth="1"/>
    <col min="7150" max="7150" width="6.5" style="1" customWidth="1"/>
    <col min="7151" max="7151" width="29.5" style="1" customWidth="1"/>
    <col min="7152" max="7152" width="23.625" style="1" customWidth="1"/>
    <col min="7153" max="7153" width="8" style="1" customWidth="1"/>
    <col min="7154" max="7154" width="9.125" style="1" customWidth="1"/>
    <col min="7155" max="7155" width="13.875" style="1" customWidth="1"/>
    <col min="7156" max="7156" width="13.5" style="1" customWidth="1"/>
    <col min="7157" max="7403" width="8.875" style="1"/>
    <col min="7404" max="7404" width="5" style="1" customWidth="1"/>
    <col min="7405" max="7405" width="33.375" style="1" customWidth="1"/>
    <col min="7406" max="7406" width="6.5" style="1" customWidth="1"/>
    <col min="7407" max="7407" width="29.5" style="1" customWidth="1"/>
    <col min="7408" max="7408" width="23.625" style="1" customWidth="1"/>
    <col min="7409" max="7409" width="8" style="1" customWidth="1"/>
    <col min="7410" max="7410" width="9.125" style="1" customWidth="1"/>
    <col min="7411" max="7411" width="13.875" style="1" customWidth="1"/>
    <col min="7412" max="7412" width="13.5" style="1" customWidth="1"/>
    <col min="7413" max="7659" width="8.875" style="1"/>
    <col min="7660" max="7660" width="5" style="1" customWidth="1"/>
    <col min="7661" max="7661" width="33.375" style="1" customWidth="1"/>
    <col min="7662" max="7662" width="6.5" style="1" customWidth="1"/>
    <col min="7663" max="7663" width="29.5" style="1" customWidth="1"/>
    <col min="7664" max="7664" width="23.625" style="1" customWidth="1"/>
    <col min="7665" max="7665" width="8" style="1" customWidth="1"/>
    <col min="7666" max="7666" width="9.125" style="1" customWidth="1"/>
    <col min="7667" max="7667" width="13.875" style="1" customWidth="1"/>
    <col min="7668" max="7668" width="13.5" style="1" customWidth="1"/>
    <col min="7669" max="7915" width="8.875" style="1"/>
    <col min="7916" max="7916" width="5" style="1" customWidth="1"/>
    <col min="7917" max="7917" width="33.375" style="1" customWidth="1"/>
    <col min="7918" max="7918" width="6.5" style="1" customWidth="1"/>
    <col min="7919" max="7919" width="29.5" style="1" customWidth="1"/>
    <col min="7920" max="7920" width="23.625" style="1" customWidth="1"/>
    <col min="7921" max="7921" width="8" style="1" customWidth="1"/>
    <col min="7922" max="7922" width="9.125" style="1" customWidth="1"/>
    <col min="7923" max="7923" width="13.875" style="1" customWidth="1"/>
    <col min="7924" max="7924" width="13.5" style="1" customWidth="1"/>
    <col min="7925" max="8171" width="8.875" style="1"/>
    <col min="8172" max="8172" width="5" style="1" customWidth="1"/>
    <col min="8173" max="8173" width="33.375" style="1" customWidth="1"/>
    <col min="8174" max="8174" width="6.5" style="1" customWidth="1"/>
    <col min="8175" max="8175" width="29.5" style="1" customWidth="1"/>
    <col min="8176" max="8176" width="23.625" style="1" customWidth="1"/>
    <col min="8177" max="8177" width="8" style="1" customWidth="1"/>
    <col min="8178" max="8178" width="9.125" style="1" customWidth="1"/>
    <col min="8179" max="8179" width="13.875" style="1" customWidth="1"/>
    <col min="8180" max="8180" width="13.5" style="1" customWidth="1"/>
    <col min="8181" max="8427" width="8.875" style="1"/>
    <col min="8428" max="8428" width="5" style="1" customWidth="1"/>
    <col min="8429" max="8429" width="33.375" style="1" customWidth="1"/>
    <col min="8430" max="8430" width="6.5" style="1" customWidth="1"/>
    <col min="8431" max="8431" width="29.5" style="1" customWidth="1"/>
    <col min="8432" max="8432" width="23.625" style="1" customWidth="1"/>
    <col min="8433" max="8433" width="8" style="1" customWidth="1"/>
    <col min="8434" max="8434" width="9.125" style="1" customWidth="1"/>
    <col min="8435" max="8435" width="13.875" style="1" customWidth="1"/>
    <col min="8436" max="8436" width="13.5" style="1" customWidth="1"/>
    <col min="8437" max="8683" width="8.875" style="1"/>
    <col min="8684" max="8684" width="5" style="1" customWidth="1"/>
    <col min="8685" max="8685" width="33.375" style="1" customWidth="1"/>
    <col min="8686" max="8686" width="6.5" style="1" customWidth="1"/>
    <col min="8687" max="8687" width="29.5" style="1" customWidth="1"/>
    <col min="8688" max="8688" width="23.625" style="1" customWidth="1"/>
    <col min="8689" max="8689" width="8" style="1" customWidth="1"/>
    <col min="8690" max="8690" width="9.125" style="1" customWidth="1"/>
    <col min="8691" max="8691" width="13.875" style="1" customWidth="1"/>
    <col min="8692" max="8692" width="13.5" style="1" customWidth="1"/>
    <col min="8693" max="8939" width="8.875" style="1"/>
    <col min="8940" max="8940" width="5" style="1" customWidth="1"/>
    <col min="8941" max="8941" width="33.375" style="1" customWidth="1"/>
    <col min="8942" max="8942" width="6.5" style="1" customWidth="1"/>
    <col min="8943" max="8943" width="29.5" style="1" customWidth="1"/>
    <col min="8944" max="8944" width="23.625" style="1" customWidth="1"/>
    <col min="8945" max="8945" width="8" style="1" customWidth="1"/>
    <col min="8946" max="8946" width="9.125" style="1" customWidth="1"/>
    <col min="8947" max="8947" width="13.875" style="1" customWidth="1"/>
    <col min="8948" max="8948" width="13.5" style="1" customWidth="1"/>
    <col min="8949" max="9195" width="8.875" style="1"/>
    <col min="9196" max="9196" width="5" style="1" customWidth="1"/>
    <col min="9197" max="9197" width="33.375" style="1" customWidth="1"/>
    <col min="9198" max="9198" width="6.5" style="1" customWidth="1"/>
    <col min="9199" max="9199" width="29.5" style="1" customWidth="1"/>
    <col min="9200" max="9200" width="23.625" style="1" customWidth="1"/>
    <col min="9201" max="9201" width="8" style="1" customWidth="1"/>
    <col min="9202" max="9202" width="9.125" style="1" customWidth="1"/>
    <col min="9203" max="9203" width="13.875" style="1" customWidth="1"/>
    <col min="9204" max="9204" width="13.5" style="1" customWidth="1"/>
    <col min="9205" max="9451" width="8.875" style="1"/>
    <col min="9452" max="9452" width="5" style="1" customWidth="1"/>
    <col min="9453" max="9453" width="33.375" style="1" customWidth="1"/>
    <col min="9454" max="9454" width="6.5" style="1" customWidth="1"/>
    <col min="9455" max="9455" width="29.5" style="1" customWidth="1"/>
    <col min="9456" max="9456" width="23.625" style="1" customWidth="1"/>
    <col min="9457" max="9457" width="8" style="1" customWidth="1"/>
    <col min="9458" max="9458" width="9.125" style="1" customWidth="1"/>
    <col min="9459" max="9459" width="13.875" style="1" customWidth="1"/>
    <col min="9460" max="9460" width="13.5" style="1" customWidth="1"/>
    <col min="9461" max="9707" width="8.875" style="1"/>
    <col min="9708" max="9708" width="5" style="1" customWidth="1"/>
    <col min="9709" max="9709" width="33.375" style="1" customWidth="1"/>
    <col min="9710" max="9710" width="6.5" style="1" customWidth="1"/>
    <col min="9711" max="9711" width="29.5" style="1" customWidth="1"/>
    <col min="9712" max="9712" width="23.625" style="1" customWidth="1"/>
    <col min="9713" max="9713" width="8" style="1" customWidth="1"/>
    <col min="9714" max="9714" width="9.125" style="1" customWidth="1"/>
    <col min="9715" max="9715" width="13.875" style="1" customWidth="1"/>
    <col min="9716" max="9716" width="13.5" style="1" customWidth="1"/>
    <col min="9717" max="9963" width="8.875" style="1"/>
    <col min="9964" max="9964" width="5" style="1" customWidth="1"/>
    <col min="9965" max="9965" width="33.375" style="1" customWidth="1"/>
    <col min="9966" max="9966" width="6.5" style="1" customWidth="1"/>
    <col min="9967" max="9967" width="29.5" style="1" customWidth="1"/>
    <col min="9968" max="9968" width="23.625" style="1" customWidth="1"/>
    <col min="9969" max="9969" width="8" style="1" customWidth="1"/>
    <col min="9970" max="9970" width="9.125" style="1" customWidth="1"/>
    <col min="9971" max="9971" width="13.875" style="1" customWidth="1"/>
    <col min="9972" max="9972" width="13.5" style="1" customWidth="1"/>
    <col min="9973" max="10219" width="8.875" style="1"/>
    <col min="10220" max="10220" width="5" style="1" customWidth="1"/>
    <col min="10221" max="10221" width="33.375" style="1" customWidth="1"/>
    <col min="10222" max="10222" width="6.5" style="1" customWidth="1"/>
    <col min="10223" max="10223" width="29.5" style="1" customWidth="1"/>
    <col min="10224" max="10224" width="23.625" style="1" customWidth="1"/>
    <col min="10225" max="10225" width="8" style="1" customWidth="1"/>
    <col min="10226" max="10226" width="9.125" style="1" customWidth="1"/>
    <col min="10227" max="10227" width="13.875" style="1" customWidth="1"/>
    <col min="10228" max="10228" width="13.5" style="1" customWidth="1"/>
    <col min="10229" max="10475" width="8.875" style="1"/>
    <col min="10476" max="10476" width="5" style="1" customWidth="1"/>
    <col min="10477" max="10477" width="33.375" style="1" customWidth="1"/>
    <col min="10478" max="10478" width="6.5" style="1" customWidth="1"/>
    <col min="10479" max="10479" width="29.5" style="1" customWidth="1"/>
    <col min="10480" max="10480" width="23.625" style="1" customWidth="1"/>
    <col min="10481" max="10481" width="8" style="1" customWidth="1"/>
    <col min="10482" max="10482" width="9.125" style="1" customWidth="1"/>
    <col min="10483" max="10483" width="13.875" style="1" customWidth="1"/>
    <col min="10484" max="10484" width="13.5" style="1" customWidth="1"/>
    <col min="10485" max="10731" width="8.875" style="1"/>
    <col min="10732" max="10732" width="5" style="1" customWidth="1"/>
    <col min="10733" max="10733" width="33.375" style="1" customWidth="1"/>
    <col min="10734" max="10734" width="6.5" style="1" customWidth="1"/>
    <col min="10735" max="10735" width="29.5" style="1" customWidth="1"/>
    <col min="10736" max="10736" width="23.625" style="1" customWidth="1"/>
    <col min="10737" max="10737" width="8" style="1" customWidth="1"/>
    <col min="10738" max="10738" width="9.125" style="1" customWidth="1"/>
    <col min="10739" max="10739" width="13.875" style="1" customWidth="1"/>
    <col min="10740" max="10740" width="13.5" style="1" customWidth="1"/>
    <col min="10741" max="10987" width="8.875" style="1"/>
    <col min="10988" max="10988" width="5" style="1" customWidth="1"/>
    <col min="10989" max="10989" width="33.375" style="1" customWidth="1"/>
    <col min="10990" max="10990" width="6.5" style="1" customWidth="1"/>
    <col min="10991" max="10991" width="29.5" style="1" customWidth="1"/>
    <col min="10992" max="10992" width="23.625" style="1" customWidth="1"/>
    <col min="10993" max="10993" width="8" style="1" customWidth="1"/>
    <col min="10994" max="10994" width="9.125" style="1" customWidth="1"/>
    <col min="10995" max="10995" width="13.875" style="1" customWidth="1"/>
    <col min="10996" max="10996" width="13.5" style="1" customWidth="1"/>
    <col min="10997" max="11243" width="8.875" style="1"/>
    <col min="11244" max="11244" width="5" style="1" customWidth="1"/>
    <col min="11245" max="11245" width="33.375" style="1" customWidth="1"/>
    <col min="11246" max="11246" width="6.5" style="1" customWidth="1"/>
    <col min="11247" max="11247" width="29.5" style="1" customWidth="1"/>
    <col min="11248" max="11248" width="23.625" style="1" customWidth="1"/>
    <col min="11249" max="11249" width="8" style="1" customWidth="1"/>
    <col min="11250" max="11250" width="9.125" style="1" customWidth="1"/>
    <col min="11251" max="11251" width="13.875" style="1" customWidth="1"/>
    <col min="11252" max="11252" width="13.5" style="1" customWidth="1"/>
    <col min="11253" max="11499" width="8.875" style="1"/>
    <col min="11500" max="11500" width="5" style="1" customWidth="1"/>
    <col min="11501" max="11501" width="33.375" style="1" customWidth="1"/>
    <col min="11502" max="11502" width="6.5" style="1" customWidth="1"/>
    <col min="11503" max="11503" width="29.5" style="1" customWidth="1"/>
    <col min="11504" max="11504" width="23.625" style="1" customWidth="1"/>
    <col min="11505" max="11505" width="8" style="1" customWidth="1"/>
    <col min="11506" max="11506" width="9.125" style="1" customWidth="1"/>
    <col min="11507" max="11507" width="13.875" style="1" customWidth="1"/>
    <col min="11508" max="11508" width="13.5" style="1" customWidth="1"/>
    <col min="11509" max="11755" width="8.875" style="1"/>
    <col min="11756" max="11756" width="5" style="1" customWidth="1"/>
    <col min="11757" max="11757" width="33.375" style="1" customWidth="1"/>
    <col min="11758" max="11758" width="6.5" style="1" customWidth="1"/>
    <col min="11759" max="11759" width="29.5" style="1" customWidth="1"/>
    <col min="11760" max="11760" width="23.625" style="1" customWidth="1"/>
    <col min="11761" max="11761" width="8" style="1" customWidth="1"/>
    <col min="11762" max="11762" width="9.125" style="1" customWidth="1"/>
    <col min="11763" max="11763" width="13.875" style="1" customWidth="1"/>
    <col min="11764" max="11764" width="13.5" style="1" customWidth="1"/>
    <col min="11765" max="12011" width="8.875" style="1"/>
    <col min="12012" max="12012" width="5" style="1" customWidth="1"/>
    <col min="12013" max="12013" width="33.375" style="1" customWidth="1"/>
    <col min="12014" max="12014" width="6.5" style="1" customWidth="1"/>
    <col min="12015" max="12015" width="29.5" style="1" customWidth="1"/>
    <col min="12016" max="12016" width="23.625" style="1" customWidth="1"/>
    <col min="12017" max="12017" width="8" style="1" customWidth="1"/>
    <col min="12018" max="12018" width="9.125" style="1" customWidth="1"/>
    <col min="12019" max="12019" width="13.875" style="1" customWidth="1"/>
    <col min="12020" max="12020" width="13.5" style="1" customWidth="1"/>
    <col min="12021" max="12267" width="8.875" style="1"/>
    <col min="12268" max="12268" width="5" style="1" customWidth="1"/>
    <col min="12269" max="12269" width="33.375" style="1" customWidth="1"/>
    <col min="12270" max="12270" width="6.5" style="1" customWidth="1"/>
    <col min="12271" max="12271" width="29.5" style="1" customWidth="1"/>
    <col min="12272" max="12272" width="23.625" style="1" customWidth="1"/>
    <col min="12273" max="12273" width="8" style="1" customWidth="1"/>
    <col min="12274" max="12274" width="9.125" style="1" customWidth="1"/>
    <col min="12275" max="12275" width="13.875" style="1" customWidth="1"/>
    <col min="12276" max="12276" width="13.5" style="1" customWidth="1"/>
    <col min="12277" max="12523" width="8.875" style="1"/>
    <col min="12524" max="12524" width="5" style="1" customWidth="1"/>
    <col min="12525" max="12525" width="33.375" style="1" customWidth="1"/>
    <col min="12526" max="12526" width="6.5" style="1" customWidth="1"/>
    <col min="12527" max="12527" width="29.5" style="1" customWidth="1"/>
    <col min="12528" max="12528" width="23.625" style="1" customWidth="1"/>
    <col min="12529" max="12529" width="8" style="1" customWidth="1"/>
    <col min="12530" max="12530" width="9.125" style="1" customWidth="1"/>
    <col min="12531" max="12531" width="13.875" style="1" customWidth="1"/>
    <col min="12532" max="12532" width="13.5" style="1" customWidth="1"/>
    <col min="12533" max="12779" width="8.875" style="1"/>
    <col min="12780" max="12780" width="5" style="1" customWidth="1"/>
    <col min="12781" max="12781" width="33.375" style="1" customWidth="1"/>
    <col min="12782" max="12782" width="6.5" style="1" customWidth="1"/>
    <col min="12783" max="12783" width="29.5" style="1" customWidth="1"/>
    <col min="12784" max="12784" width="23.625" style="1" customWidth="1"/>
    <col min="12785" max="12785" width="8" style="1" customWidth="1"/>
    <col min="12786" max="12786" width="9.125" style="1" customWidth="1"/>
    <col min="12787" max="12787" width="13.875" style="1" customWidth="1"/>
    <col min="12788" max="12788" width="13.5" style="1" customWidth="1"/>
    <col min="12789" max="13035" width="8.875" style="1"/>
    <col min="13036" max="13036" width="5" style="1" customWidth="1"/>
    <col min="13037" max="13037" width="33.375" style="1" customWidth="1"/>
    <col min="13038" max="13038" width="6.5" style="1" customWidth="1"/>
    <col min="13039" max="13039" width="29.5" style="1" customWidth="1"/>
    <col min="13040" max="13040" width="23.625" style="1" customWidth="1"/>
    <col min="13041" max="13041" width="8" style="1" customWidth="1"/>
    <col min="13042" max="13042" width="9.125" style="1" customWidth="1"/>
    <col min="13043" max="13043" width="13.875" style="1" customWidth="1"/>
    <col min="13044" max="13044" width="13.5" style="1" customWidth="1"/>
    <col min="13045" max="13291" width="8.875" style="1"/>
    <col min="13292" max="13292" width="5" style="1" customWidth="1"/>
    <col min="13293" max="13293" width="33.375" style="1" customWidth="1"/>
    <col min="13294" max="13294" width="6.5" style="1" customWidth="1"/>
    <col min="13295" max="13295" width="29.5" style="1" customWidth="1"/>
    <col min="13296" max="13296" width="23.625" style="1" customWidth="1"/>
    <col min="13297" max="13297" width="8" style="1" customWidth="1"/>
    <col min="13298" max="13298" width="9.125" style="1" customWidth="1"/>
    <col min="13299" max="13299" width="13.875" style="1" customWidth="1"/>
    <col min="13300" max="13300" width="13.5" style="1" customWidth="1"/>
    <col min="13301" max="13547" width="8.875" style="1"/>
    <col min="13548" max="13548" width="5" style="1" customWidth="1"/>
    <col min="13549" max="13549" width="33.375" style="1" customWidth="1"/>
    <col min="13550" max="13550" width="6.5" style="1" customWidth="1"/>
    <col min="13551" max="13551" width="29.5" style="1" customWidth="1"/>
    <col min="13552" max="13552" width="23.625" style="1" customWidth="1"/>
    <col min="13553" max="13553" width="8" style="1" customWidth="1"/>
    <col min="13554" max="13554" width="9.125" style="1" customWidth="1"/>
    <col min="13555" max="13555" width="13.875" style="1" customWidth="1"/>
    <col min="13556" max="13556" width="13.5" style="1" customWidth="1"/>
    <col min="13557" max="13803" width="8.875" style="1"/>
    <col min="13804" max="13804" width="5" style="1" customWidth="1"/>
    <col min="13805" max="13805" width="33.375" style="1" customWidth="1"/>
    <col min="13806" max="13806" width="6.5" style="1" customWidth="1"/>
    <col min="13807" max="13807" width="29.5" style="1" customWidth="1"/>
    <col min="13808" max="13808" width="23.625" style="1" customWidth="1"/>
    <col min="13809" max="13809" width="8" style="1" customWidth="1"/>
    <col min="13810" max="13810" width="9.125" style="1" customWidth="1"/>
    <col min="13811" max="13811" width="13.875" style="1" customWidth="1"/>
    <col min="13812" max="13812" width="13.5" style="1" customWidth="1"/>
    <col min="13813" max="14059" width="8.875" style="1"/>
    <col min="14060" max="14060" width="5" style="1" customWidth="1"/>
    <col min="14061" max="14061" width="33.375" style="1" customWidth="1"/>
    <col min="14062" max="14062" width="6.5" style="1" customWidth="1"/>
    <col min="14063" max="14063" width="29.5" style="1" customWidth="1"/>
    <col min="14064" max="14064" width="23.625" style="1" customWidth="1"/>
    <col min="14065" max="14065" width="8" style="1" customWidth="1"/>
    <col min="14066" max="14066" width="9.125" style="1" customWidth="1"/>
    <col min="14067" max="14067" width="13.875" style="1" customWidth="1"/>
    <col min="14068" max="14068" width="13.5" style="1" customWidth="1"/>
    <col min="14069" max="14315" width="8.875" style="1"/>
    <col min="14316" max="14316" width="5" style="1" customWidth="1"/>
    <col min="14317" max="14317" width="33.375" style="1" customWidth="1"/>
    <col min="14318" max="14318" width="6.5" style="1" customWidth="1"/>
    <col min="14319" max="14319" width="29.5" style="1" customWidth="1"/>
    <col min="14320" max="14320" width="23.625" style="1" customWidth="1"/>
    <col min="14321" max="14321" width="8" style="1" customWidth="1"/>
    <col min="14322" max="14322" width="9.125" style="1" customWidth="1"/>
    <col min="14323" max="14323" width="13.875" style="1" customWidth="1"/>
    <col min="14324" max="14324" width="13.5" style="1" customWidth="1"/>
    <col min="14325" max="14571" width="8.875" style="1"/>
    <col min="14572" max="14572" width="5" style="1" customWidth="1"/>
    <col min="14573" max="14573" width="33.375" style="1" customWidth="1"/>
    <col min="14574" max="14574" width="6.5" style="1" customWidth="1"/>
    <col min="14575" max="14575" width="29.5" style="1" customWidth="1"/>
    <col min="14576" max="14576" width="23.625" style="1" customWidth="1"/>
    <col min="14577" max="14577" width="8" style="1" customWidth="1"/>
    <col min="14578" max="14578" width="9.125" style="1" customWidth="1"/>
    <col min="14579" max="14579" width="13.875" style="1" customWidth="1"/>
    <col min="14580" max="14580" width="13.5" style="1" customWidth="1"/>
    <col min="14581" max="14827" width="8.875" style="1"/>
    <col min="14828" max="14828" width="5" style="1" customWidth="1"/>
    <col min="14829" max="14829" width="33.375" style="1" customWidth="1"/>
    <col min="14830" max="14830" width="6.5" style="1" customWidth="1"/>
    <col min="14831" max="14831" width="29.5" style="1" customWidth="1"/>
    <col min="14832" max="14832" width="23.625" style="1" customWidth="1"/>
    <col min="14833" max="14833" width="8" style="1" customWidth="1"/>
    <col min="14834" max="14834" width="9.125" style="1" customWidth="1"/>
    <col min="14835" max="14835" width="13.875" style="1" customWidth="1"/>
    <col min="14836" max="14836" width="13.5" style="1" customWidth="1"/>
    <col min="14837" max="15083" width="8.875" style="1"/>
    <col min="15084" max="15084" width="5" style="1" customWidth="1"/>
    <col min="15085" max="15085" width="33.375" style="1" customWidth="1"/>
    <col min="15086" max="15086" width="6.5" style="1" customWidth="1"/>
    <col min="15087" max="15087" width="29.5" style="1" customWidth="1"/>
    <col min="15088" max="15088" width="23.625" style="1" customWidth="1"/>
    <col min="15089" max="15089" width="8" style="1" customWidth="1"/>
    <col min="15090" max="15090" width="9.125" style="1" customWidth="1"/>
    <col min="15091" max="15091" width="13.875" style="1" customWidth="1"/>
    <col min="15092" max="15092" width="13.5" style="1" customWidth="1"/>
    <col min="15093" max="15339" width="8.875" style="1"/>
    <col min="15340" max="15340" width="5" style="1" customWidth="1"/>
    <col min="15341" max="15341" width="33.375" style="1" customWidth="1"/>
    <col min="15342" max="15342" width="6.5" style="1" customWidth="1"/>
    <col min="15343" max="15343" width="29.5" style="1" customWidth="1"/>
    <col min="15344" max="15344" width="23.625" style="1" customWidth="1"/>
    <col min="15345" max="15345" width="8" style="1" customWidth="1"/>
    <col min="15346" max="15346" width="9.125" style="1" customWidth="1"/>
    <col min="15347" max="15347" width="13.875" style="1" customWidth="1"/>
    <col min="15348" max="15348" width="13.5" style="1" customWidth="1"/>
    <col min="15349" max="15595" width="8.875" style="1"/>
    <col min="15596" max="15596" width="5" style="1" customWidth="1"/>
    <col min="15597" max="15597" width="33.375" style="1" customWidth="1"/>
    <col min="15598" max="15598" width="6.5" style="1" customWidth="1"/>
    <col min="15599" max="15599" width="29.5" style="1" customWidth="1"/>
    <col min="15600" max="15600" width="23.625" style="1" customWidth="1"/>
    <col min="15601" max="15601" width="8" style="1" customWidth="1"/>
    <col min="15602" max="15602" width="9.125" style="1" customWidth="1"/>
    <col min="15603" max="15603" width="13.875" style="1" customWidth="1"/>
    <col min="15604" max="15604" width="13.5" style="1" customWidth="1"/>
    <col min="15605" max="15851" width="8.875" style="1"/>
    <col min="15852" max="15852" width="5" style="1" customWidth="1"/>
    <col min="15853" max="15853" width="33.375" style="1" customWidth="1"/>
    <col min="15854" max="15854" width="6.5" style="1" customWidth="1"/>
    <col min="15855" max="15855" width="29.5" style="1" customWidth="1"/>
    <col min="15856" max="15856" width="23.625" style="1" customWidth="1"/>
    <col min="15857" max="15857" width="8" style="1" customWidth="1"/>
    <col min="15858" max="15858" width="9.125" style="1" customWidth="1"/>
    <col min="15859" max="15859" width="13.875" style="1" customWidth="1"/>
    <col min="15860" max="15860" width="13.5" style="1" customWidth="1"/>
    <col min="15861" max="16384" width="8.875" style="1"/>
  </cols>
  <sheetData>
    <row r="1" spans="2:14" hidden="1"/>
    <row r="2" spans="2:14" s="375" customFormat="1" hidden="1">
      <c r="B2" s="407" t="s">
        <v>464</v>
      </c>
      <c r="C2" s="140" t="s">
        <v>132</v>
      </c>
      <c r="D2" s="140"/>
    </row>
    <row r="3" spans="2:14" s="375" customFormat="1" hidden="1">
      <c r="B3" s="407" t="s">
        <v>465</v>
      </c>
      <c r="C3" s="209" t="s">
        <v>255</v>
      </c>
      <c r="D3" s="209"/>
    </row>
    <row r="4" spans="2:14" s="375" customFormat="1" hidden="1">
      <c r="B4" s="407" t="s">
        <v>466</v>
      </c>
      <c r="C4" s="140" t="s">
        <v>133</v>
      </c>
      <c r="D4" s="140"/>
    </row>
    <row r="5" spans="2:14" s="31" customFormat="1" ht="6.95" customHeight="1">
      <c r="B5" s="30"/>
      <c r="C5" s="30"/>
      <c r="E5" s="30"/>
      <c r="J5" s="30"/>
      <c r="K5" s="32"/>
      <c r="L5" s="33"/>
    </row>
    <row r="6" spans="2:14" s="98" customFormat="1" ht="26.1" customHeight="1">
      <c r="B6" s="99" t="s">
        <v>81</v>
      </c>
      <c r="C6" s="1121" t="s">
        <v>480</v>
      </c>
      <c r="D6" s="1121"/>
      <c r="E6" s="1121"/>
      <c r="F6" s="1121"/>
      <c r="G6" s="1121"/>
      <c r="H6" s="1121"/>
      <c r="I6" s="1121"/>
      <c r="J6" s="145"/>
      <c r="K6" s="145"/>
      <c r="L6" s="145"/>
      <c r="M6" s="145"/>
      <c r="N6" s="145"/>
    </row>
    <row r="7" spans="2:14" s="3" customFormat="1" ht="20.100000000000001" customHeight="1">
      <c r="B7" s="213" t="s">
        <v>404</v>
      </c>
      <c r="C7" s="213" t="s">
        <v>575</v>
      </c>
      <c r="D7" s="211"/>
      <c r="E7" s="211"/>
      <c r="F7" s="211"/>
      <c r="G7" s="211"/>
      <c r="H7" s="211"/>
      <c r="I7" s="212" t="s">
        <v>278</v>
      </c>
      <c r="J7" s="212" t="s">
        <v>441</v>
      </c>
      <c r="K7" s="212"/>
      <c r="L7" s="212"/>
      <c r="M7" s="212"/>
      <c r="N7" s="31"/>
    </row>
    <row r="8" spans="2:14" s="3" customFormat="1" ht="18.95" customHeight="1">
      <c r="B8" s="213" t="s">
        <v>280</v>
      </c>
      <c r="C8" s="472" t="s">
        <v>576</v>
      </c>
      <c r="D8" s="211"/>
      <c r="E8" s="211"/>
      <c r="F8" s="211"/>
      <c r="G8" s="211"/>
      <c r="H8" s="211"/>
      <c r="I8" s="211" t="s">
        <v>477</v>
      </c>
      <c r="J8" s="212" t="s">
        <v>471</v>
      </c>
      <c r="K8" s="212"/>
      <c r="L8" s="212"/>
      <c r="M8" s="212"/>
      <c r="N8" s="31"/>
    </row>
    <row r="9" spans="2:14" s="3" customFormat="1" ht="6.95" customHeight="1">
      <c r="D9" s="85"/>
      <c r="E9" s="85"/>
      <c r="F9" s="85"/>
      <c r="G9" s="85"/>
      <c r="H9" s="85"/>
      <c r="I9" s="85"/>
      <c r="J9" s="85"/>
      <c r="K9" s="85"/>
      <c r="L9" s="85"/>
      <c r="M9" s="85"/>
      <c r="N9" s="85"/>
    </row>
    <row r="10" spans="2:14" s="4" customFormat="1" ht="29.1" customHeight="1">
      <c r="B10" s="429" t="s">
        <v>1</v>
      </c>
      <c r="C10" s="429" t="s">
        <v>16</v>
      </c>
      <c r="D10" s="429" t="s">
        <v>246</v>
      </c>
      <c r="E10" s="1175" t="s">
        <v>17</v>
      </c>
      <c r="F10" s="1175"/>
      <c r="G10" s="1176" t="s">
        <v>18</v>
      </c>
      <c r="H10" s="1177"/>
      <c r="I10" s="1178"/>
      <c r="J10" s="429" t="s">
        <v>19</v>
      </c>
      <c r="K10" s="429" t="s">
        <v>172</v>
      </c>
      <c r="L10" s="429" t="s">
        <v>164</v>
      </c>
      <c r="M10" s="429" t="s">
        <v>32</v>
      </c>
      <c r="N10" s="429" t="s">
        <v>20</v>
      </c>
    </row>
    <row r="11" spans="2:14" ht="21" customHeight="1">
      <c r="B11" s="430" t="s">
        <v>21</v>
      </c>
      <c r="C11" s="431" t="s">
        <v>478</v>
      </c>
      <c r="D11" s="432">
        <v>0.1</v>
      </c>
      <c r="E11" s="1179"/>
      <c r="F11" s="1180"/>
      <c r="G11" s="1156"/>
      <c r="H11" s="1158"/>
      <c r="I11" s="1157"/>
      <c r="J11" s="214"/>
      <c r="K11" s="214"/>
      <c r="L11" s="433"/>
      <c r="M11" s="430"/>
      <c r="N11" s="466">
        <f>N12</f>
        <v>0</v>
      </c>
    </row>
    <row r="12" spans="2:14" ht="21" customHeight="1">
      <c r="B12" s="418"/>
      <c r="C12" s="435" t="s">
        <v>469</v>
      </c>
      <c r="D12" s="421"/>
      <c r="E12" s="1174"/>
      <c r="F12" s="1174"/>
      <c r="G12" s="436"/>
      <c r="H12" s="436"/>
      <c r="I12" s="437"/>
      <c r="J12" s="396"/>
      <c r="K12" s="438">
        <v>1</v>
      </c>
      <c r="L12" s="439"/>
      <c r="M12" s="345">
        <f>L12/K12*100%</f>
        <v>0</v>
      </c>
      <c r="N12" s="346">
        <f>M12*D11</f>
        <v>0</v>
      </c>
    </row>
    <row r="13" spans="2:14" ht="21" customHeight="1">
      <c r="B13" s="430" t="s">
        <v>22</v>
      </c>
      <c r="C13" s="440" t="s">
        <v>23</v>
      </c>
      <c r="D13" s="441">
        <v>0.8</v>
      </c>
      <c r="E13" s="1169"/>
      <c r="F13" s="1170"/>
      <c r="G13" s="1156"/>
      <c r="H13" s="1158"/>
      <c r="I13" s="1157"/>
      <c r="J13" s="1171"/>
      <c r="K13" s="1172"/>
      <c r="L13" s="443"/>
      <c r="M13" s="442"/>
      <c r="N13" s="467">
        <f>SUM(N15:N21)*D13</f>
        <v>0</v>
      </c>
    </row>
    <row r="14" spans="2:14" ht="21" customHeight="1">
      <c r="B14" s="418" t="s">
        <v>245</v>
      </c>
      <c r="C14" s="444" t="s">
        <v>24</v>
      </c>
      <c r="D14" s="445"/>
      <c r="E14" s="1173"/>
      <c r="F14" s="1173"/>
      <c r="G14" s="446"/>
      <c r="H14" s="446"/>
      <c r="I14" s="446"/>
      <c r="J14" s="445"/>
      <c r="K14" s="447"/>
      <c r="L14" s="447"/>
      <c r="M14" s="445"/>
      <c r="N14" s="448"/>
    </row>
    <row r="15" spans="2:14" ht="40.5" customHeight="1">
      <c r="B15" s="86">
        <v>1</v>
      </c>
      <c r="C15" s="453" t="s">
        <v>423</v>
      </c>
      <c r="D15" s="468">
        <v>0.1</v>
      </c>
      <c r="E15" s="1092" t="s">
        <v>413</v>
      </c>
      <c r="F15" s="1093"/>
      <c r="G15" s="1190" t="s">
        <v>471</v>
      </c>
      <c r="H15" s="1191"/>
      <c r="I15" s="1192"/>
      <c r="J15" s="451" t="s">
        <v>414</v>
      </c>
      <c r="K15" s="364">
        <v>0</v>
      </c>
      <c r="L15" s="364"/>
      <c r="M15" s="365" t="str">
        <f>IF(LEN(L15)=0,"",IF(L15=K15,1,0))</f>
        <v/>
      </c>
      <c r="N15" s="358" t="str">
        <f t="shared" ref="N15:N18" si="0">IFERROR(M15*D15,"")</f>
        <v/>
      </c>
    </row>
    <row r="16" spans="2:14" ht="37.5" customHeight="1">
      <c r="B16" s="86">
        <v>2</v>
      </c>
      <c r="C16" s="453" t="s">
        <v>424</v>
      </c>
      <c r="D16" s="468">
        <v>0.15</v>
      </c>
      <c r="E16" s="1092" t="s">
        <v>413</v>
      </c>
      <c r="F16" s="1093"/>
      <c r="G16" s="1094" t="s">
        <v>529</v>
      </c>
      <c r="H16" s="1095"/>
      <c r="I16" s="1096"/>
      <c r="J16" s="451" t="s">
        <v>414</v>
      </c>
      <c r="K16" s="364">
        <v>0</v>
      </c>
      <c r="L16" s="364"/>
      <c r="M16" s="365" t="str">
        <f>IF(LEN(L16)=0,"",IF(L16=K16,1,0))</f>
        <v/>
      </c>
      <c r="N16" s="358" t="str">
        <f t="shared" si="0"/>
        <v/>
      </c>
    </row>
    <row r="17" spans="2:17" ht="39" customHeight="1">
      <c r="B17" s="86">
        <v>2</v>
      </c>
      <c r="C17" s="453" t="s">
        <v>392</v>
      </c>
      <c r="D17" s="468">
        <v>0.15</v>
      </c>
      <c r="E17" s="1092" t="s">
        <v>319</v>
      </c>
      <c r="F17" s="1093"/>
      <c r="G17" s="1094" t="s">
        <v>321</v>
      </c>
      <c r="H17" s="1095"/>
      <c r="I17" s="1096"/>
      <c r="J17" s="451" t="s">
        <v>326</v>
      </c>
      <c r="K17" s="346">
        <v>0.05</v>
      </c>
      <c r="L17" s="346"/>
      <c r="M17" s="345" t="str">
        <f>IF(LEN(L17)=0,"",IF(L17&lt;K17*80%,0,MIN(120%,L17/K17*100%)))</f>
        <v/>
      </c>
      <c r="N17" s="358" t="str">
        <f t="shared" si="0"/>
        <v/>
      </c>
    </row>
    <row r="18" spans="2:17" ht="40.5" customHeight="1">
      <c r="B18" s="86">
        <v>2</v>
      </c>
      <c r="C18" s="453" t="s">
        <v>427</v>
      </c>
      <c r="D18" s="468">
        <v>0.2</v>
      </c>
      <c r="E18" s="1092" t="s">
        <v>330</v>
      </c>
      <c r="F18" s="1093"/>
      <c r="G18" s="1094" t="s">
        <v>530</v>
      </c>
      <c r="H18" s="1095"/>
      <c r="I18" s="1096"/>
      <c r="J18" s="451" t="s">
        <v>428</v>
      </c>
      <c r="K18" s="368">
        <v>50</v>
      </c>
      <c r="L18" s="368"/>
      <c r="M18" s="352" t="str">
        <f>IF(LEN(L18)=0,"",IF(L18&gt;=K18,100%,0%))</f>
        <v/>
      </c>
      <c r="N18" s="358" t="str">
        <f t="shared" si="0"/>
        <v/>
      </c>
    </row>
    <row r="19" spans="2:17" ht="21" customHeight="1">
      <c r="B19" s="418" t="s">
        <v>245</v>
      </c>
      <c r="C19" s="444" t="s">
        <v>128</v>
      </c>
      <c r="D19" s="445"/>
      <c r="E19" s="1166"/>
      <c r="F19" s="1166"/>
      <c r="G19" s="454"/>
      <c r="H19" s="454"/>
      <c r="I19" s="455"/>
      <c r="J19" s="445"/>
      <c r="K19" s="447"/>
      <c r="L19" s="447"/>
      <c r="M19" s="445"/>
      <c r="N19" s="448"/>
    </row>
    <row r="20" spans="2:17" ht="41.25" customHeight="1">
      <c r="B20" s="86">
        <v>1</v>
      </c>
      <c r="C20" s="453" t="s">
        <v>462</v>
      </c>
      <c r="D20" s="468">
        <v>0.25</v>
      </c>
      <c r="E20" s="1092" t="s">
        <v>413</v>
      </c>
      <c r="F20" s="1093"/>
      <c r="G20" s="1190" t="s">
        <v>471</v>
      </c>
      <c r="H20" s="1191"/>
      <c r="I20" s="1192"/>
      <c r="J20" s="451" t="s">
        <v>414</v>
      </c>
      <c r="K20" s="364">
        <v>0</v>
      </c>
      <c r="L20" s="364"/>
      <c r="M20" s="365" t="str">
        <f>IF(LEN(L20)=0,"",IF(L20=K20,1,0))</f>
        <v/>
      </c>
      <c r="N20" s="358" t="str">
        <f t="shared" ref="N20:N21" si="1">IFERROR(M20*D20,"")</f>
        <v/>
      </c>
    </row>
    <row r="21" spans="2:17" ht="30" customHeight="1">
      <c r="B21" s="86">
        <v>2</v>
      </c>
      <c r="C21" s="453" t="s">
        <v>463</v>
      </c>
      <c r="D21" s="468">
        <v>0.15</v>
      </c>
      <c r="E21" s="1092" t="s">
        <v>413</v>
      </c>
      <c r="F21" s="1093"/>
      <c r="G21" s="1190" t="s">
        <v>471</v>
      </c>
      <c r="H21" s="1191"/>
      <c r="I21" s="1192"/>
      <c r="J21" s="451" t="s">
        <v>414</v>
      </c>
      <c r="K21" s="364">
        <v>0</v>
      </c>
      <c r="L21" s="364"/>
      <c r="M21" s="365" t="str">
        <f>IF(LEN(L21)=0,"",IF(L21=K21,1,0))</f>
        <v/>
      </c>
      <c r="N21" s="358" t="str">
        <f t="shared" si="1"/>
        <v/>
      </c>
    </row>
    <row r="22" spans="2:17" ht="21" customHeight="1">
      <c r="B22" s="430" t="s">
        <v>40</v>
      </c>
      <c r="C22" s="459" t="s">
        <v>233</v>
      </c>
      <c r="D22" s="460">
        <v>0.1</v>
      </c>
      <c r="E22" s="1156"/>
      <c r="F22" s="1157"/>
      <c r="G22" s="1156"/>
      <c r="H22" s="1158"/>
      <c r="I22" s="1157"/>
      <c r="J22" s="1159"/>
      <c r="K22" s="1159"/>
      <c r="L22" s="433"/>
      <c r="M22" s="430"/>
      <c r="N22" s="434">
        <f>D22+SUM(N23:N24)</f>
        <v>0.1</v>
      </c>
    </row>
    <row r="23" spans="2:17" ht="17.100000000000001" customHeight="1">
      <c r="B23" s="86"/>
      <c r="C23" s="389"/>
      <c r="D23" s="351"/>
      <c r="E23" s="1093"/>
      <c r="F23" s="1093"/>
      <c r="G23" s="1160"/>
      <c r="H23" s="1161"/>
      <c r="I23" s="1162"/>
      <c r="J23" s="395"/>
      <c r="K23" s="461"/>
      <c r="L23" s="462"/>
      <c r="M23" s="345">
        <f>L23*-50%</f>
        <v>0</v>
      </c>
      <c r="N23" s="346">
        <f>M23*$D$22</f>
        <v>0</v>
      </c>
    </row>
    <row r="24" spans="2:17" ht="21.75" customHeight="1">
      <c r="B24" s="86"/>
      <c r="C24" s="389"/>
      <c r="D24" s="351"/>
      <c r="E24" s="1181"/>
      <c r="F24" s="1182"/>
      <c r="G24" s="1160"/>
      <c r="H24" s="1161"/>
      <c r="I24" s="1162"/>
      <c r="J24" s="395"/>
      <c r="K24" s="461"/>
      <c r="L24" s="462"/>
      <c r="M24" s="345">
        <f>L24*-30%</f>
        <v>0</v>
      </c>
      <c r="N24" s="346">
        <f>M24*$D$22</f>
        <v>0</v>
      </c>
    </row>
    <row r="25" spans="2:17" ht="16.5">
      <c r="B25" s="214"/>
      <c r="C25" s="214" t="s">
        <v>4</v>
      </c>
      <c r="D25" s="338"/>
      <c r="E25" s="1156"/>
      <c r="F25" s="1157"/>
      <c r="G25" s="1156"/>
      <c r="H25" s="1158"/>
      <c r="I25" s="1157"/>
      <c r="J25" s="338"/>
      <c r="K25" s="463"/>
      <c r="L25" s="464"/>
      <c r="M25" s="338"/>
      <c r="N25" s="466">
        <f>N11+N13+N22</f>
        <v>0.1</v>
      </c>
      <c r="O25" s="1143"/>
      <c r="P25" s="1143"/>
    </row>
    <row r="26" spans="2:17" ht="17.100000000000001" customHeight="1">
      <c r="B26" s="5"/>
      <c r="C26" s="5"/>
      <c r="D26" s="5"/>
      <c r="E26" s="6"/>
      <c r="F26" s="6"/>
      <c r="G26" s="6"/>
      <c r="H26" s="6"/>
      <c r="I26" s="5"/>
      <c r="J26" s="5"/>
      <c r="K26" s="35"/>
      <c r="L26" s="36"/>
      <c r="M26" s="5"/>
      <c r="N26" s="5"/>
    </row>
    <row r="27" spans="2:17" ht="12.95" customHeight="1">
      <c r="B27" s="37"/>
      <c r="C27" s="47"/>
      <c r="D27" s="38"/>
      <c r="E27" s="38"/>
      <c r="F27" s="38"/>
      <c r="G27" s="37"/>
      <c r="H27" s="37"/>
      <c r="I27" s="38"/>
      <c r="J27" s="38"/>
      <c r="K27" s="38"/>
      <c r="L27" s="38"/>
      <c r="M27" s="38"/>
      <c r="N27" s="38"/>
      <c r="O27" s="38"/>
      <c r="P27" s="38"/>
      <c r="Q27" s="37"/>
    </row>
    <row r="28" spans="2:17" s="51" customFormat="1" ht="32.1" customHeight="1">
      <c r="B28" s="1079" t="s">
        <v>539</v>
      </c>
      <c r="C28" s="975"/>
      <c r="D28" s="1079" t="s">
        <v>537</v>
      </c>
      <c r="E28" s="975"/>
      <c r="F28" s="975"/>
      <c r="G28" s="975"/>
      <c r="H28" s="975"/>
      <c r="I28" s="471"/>
      <c r="J28" s="1079" t="s">
        <v>540</v>
      </c>
      <c r="K28" s="1079"/>
      <c r="L28" s="1079"/>
      <c r="M28" s="1079"/>
      <c r="N28" s="1079"/>
      <c r="O28" s="1079"/>
      <c r="P28" s="1079"/>
      <c r="Q28" s="1079"/>
    </row>
    <row r="29" spans="2:17">
      <c r="B29" s="6"/>
      <c r="C29" s="5"/>
      <c r="D29" s="5"/>
      <c r="E29" s="5"/>
      <c r="F29" s="5"/>
      <c r="G29" s="6"/>
      <c r="I29" s="6"/>
      <c r="J29" s="6"/>
      <c r="K29" s="6"/>
      <c r="L29" s="5"/>
      <c r="M29" s="5"/>
      <c r="N29" s="5"/>
      <c r="O29" s="5"/>
      <c r="P29" s="5"/>
      <c r="Q29" s="5"/>
    </row>
    <row r="30" spans="2:17">
      <c r="B30" s="6"/>
      <c r="C30" s="5"/>
      <c r="D30" s="5"/>
      <c r="E30" s="5"/>
      <c r="F30" s="5"/>
      <c r="G30" s="6"/>
      <c r="I30" s="5"/>
      <c r="J30" s="6"/>
      <c r="K30" s="5"/>
      <c r="L30" s="5"/>
      <c r="M30" s="5"/>
      <c r="N30" s="5"/>
      <c r="O30" s="5"/>
      <c r="P30" s="5"/>
      <c r="Q30" s="6"/>
    </row>
    <row r="31" spans="2:17">
      <c r="B31" s="6"/>
      <c r="C31" s="5"/>
      <c r="D31" s="5"/>
      <c r="E31" s="5"/>
      <c r="F31" s="5"/>
      <c r="G31" s="6"/>
      <c r="I31" s="5"/>
      <c r="J31" s="6"/>
      <c r="K31" s="5"/>
      <c r="L31" s="5"/>
      <c r="M31" s="5"/>
      <c r="N31" s="5"/>
      <c r="O31" s="5"/>
      <c r="P31" s="5"/>
      <c r="Q31" s="6"/>
    </row>
    <row r="32" spans="2:17">
      <c r="B32" s="6"/>
      <c r="C32" s="5"/>
      <c r="D32" s="5"/>
      <c r="E32" s="5"/>
      <c r="F32" s="5"/>
      <c r="G32" s="6"/>
      <c r="I32" s="5"/>
      <c r="J32" s="6"/>
      <c r="K32" s="5"/>
      <c r="L32" s="5"/>
      <c r="M32" s="5"/>
      <c r="N32" s="5"/>
      <c r="O32" s="5"/>
      <c r="P32" s="5"/>
      <c r="Q32" s="6"/>
    </row>
    <row r="33" spans="2:17">
      <c r="B33" s="6"/>
      <c r="C33" s="5"/>
      <c r="D33" s="5"/>
      <c r="E33" s="5"/>
      <c r="F33" s="5"/>
      <c r="G33" s="6"/>
      <c r="I33" s="5"/>
      <c r="J33" s="6"/>
      <c r="K33" s="5"/>
      <c r="L33" s="5"/>
      <c r="M33" s="5"/>
      <c r="N33" s="5"/>
      <c r="O33" s="5"/>
      <c r="P33" s="5"/>
      <c r="Q33" s="6"/>
    </row>
    <row r="34" spans="2:17">
      <c r="B34" s="6"/>
      <c r="C34" s="5"/>
      <c r="D34" s="5"/>
      <c r="E34" s="5"/>
      <c r="F34" s="5"/>
      <c r="G34" s="6"/>
      <c r="I34" s="5"/>
      <c r="J34" s="6"/>
      <c r="K34" s="5"/>
      <c r="L34" s="5"/>
      <c r="M34" s="5"/>
      <c r="N34" s="5"/>
      <c r="O34" s="5"/>
      <c r="P34" s="5"/>
      <c r="Q34" s="6"/>
    </row>
    <row r="35" spans="2:17">
      <c r="B35" s="972" t="s">
        <v>29</v>
      </c>
      <c r="C35" s="972"/>
      <c r="D35" s="972" t="s">
        <v>29</v>
      </c>
      <c r="E35" s="972"/>
      <c r="F35" s="972"/>
      <c r="G35" s="972"/>
      <c r="H35" s="972"/>
      <c r="I35" s="5"/>
      <c r="J35" s="972" t="s">
        <v>29</v>
      </c>
      <c r="K35" s="972"/>
      <c r="L35" s="972"/>
      <c r="M35" s="972"/>
      <c r="N35" s="972"/>
      <c r="O35" s="972"/>
      <c r="P35" s="972"/>
      <c r="Q35" s="972"/>
    </row>
    <row r="36" spans="2:17">
      <c r="B36" s="6"/>
      <c r="C36" s="5"/>
      <c r="D36" s="5"/>
      <c r="E36" s="5"/>
      <c r="F36" s="5"/>
      <c r="G36" s="6"/>
      <c r="I36" s="5"/>
      <c r="J36" s="6"/>
      <c r="K36" s="5"/>
      <c r="L36" s="5"/>
      <c r="M36" s="5"/>
      <c r="N36" s="5"/>
      <c r="O36" s="5"/>
      <c r="P36" s="5"/>
      <c r="Q36" s="6"/>
    </row>
    <row r="37" spans="2:17">
      <c r="B37" s="37"/>
      <c r="C37" s="47"/>
      <c r="D37" s="38"/>
      <c r="E37" s="38"/>
      <c r="F37" s="38"/>
      <c r="G37" s="37"/>
      <c r="I37" s="38"/>
      <c r="J37" s="37"/>
      <c r="K37" s="38"/>
      <c r="L37" s="38"/>
      <c r="M37" s="38"/>
      <c r="N37" s="38"/>
      <c r="O37" s="38"/>
      <c r="P37" s="38"/>
      <c r="Q37" s="37"/>
    </row>
    <row r="38" spans="2:17" ht="24" customHeight="1">
      <c r="B38" s="1080"/>
      <c r="C38" s="972"/>
      <c r="D38" s="1080"/>
      <c r="E38" s="972"/>
      <c r="F38" s="972"/>
      <c r="G38" s="972"/>
      <c r="H38" s="972"/>
      <c r="I38" s="245"/>
      <c r="J38" s="972"/>
      <c r="K38" s="972"/>
      <c r="L38" s="972"/>
      <c r="M38" s="972"/>
      <c r="N38" s="245"/>
      <c r="O38" s="1080"/>
      <c r="P38" s="972"/>
      <c r="Q38" s="972"/>
    </row>
    <row r="39" spans="2:17">
      <c r="B39" s="6"/>
      <c r="C39" s="5"/>
      <c r="D39" s="5"/>
      <c r="E39" s="5"/>
      <c r="F39" s="5"/>
      <c r="G39" s="6"/>
      <c r="I39" s="6"/>
      <c r="J39" s="6"/>
      <c r="K39" s="6"/>
      <c r="L39" s="5"/>
      <c r="M39" s="5"/>
      <c r="N39" s="5"/>
      <c r="O39" s="5"/>
      <c r="P39" s="5"/>
      <c r="Q39" s="5"/>
    </row>
    <row r="40" spans="2:17">
      <c r="B40" s="6"/>
      <c r="C40" s="5"/>
      <c r="D40" s="5"/>
      <c r="E40" s="5"/>
      <c r="F40" s="5"/>
      <c r="G40" s="6"/>
      <c r="I40" s="5"/>
      <c r="J40" s="6"/>
      <c r="K40" s="5"/>
      <c r="L40" s="5"/>
      <c r="M40" s="5"/>
      <c r="N40" s="5"/>
      <c r="O40" s="5"/>
      <c r="P40" s="5"/>
      <c r="Q40" s="6"/>
    </row>
    <row r="41" spans="2:17">
      <c r="B41" s="6"/>
      <c r="C41" s="5"/>
      <c r="D41" s="5"/>
      <c r="E41" s="5"/>
      <c r="F41" s="5"/>
      <c r="G41" s="6"/>
      <c r="I41" s="5"/>
      <c r="J41" s="6"/>
      <c r="K41" s="5"/>
      <c r="L41" s="5"/>
      <c r="M41" s="5"/>
      <c r="N41" s="5"/>
      <c r="O41" s="5"/>
      <c r="P41" s="5"/>
      <c r="Q41" s="6"/>
    </row>
    <row r="42" spans="2:17">
      <c r="B42" s="6"/>
      <c r="C42" s="5"/>
      <c r="D42" s="5"/>
      <c r="E42" s="5"/>
      <c r="F42" s="5"/>
      <c r="G42" s="6"/>
      <c r="I42" s="5"/>
      <c r="J42" s="6"/>
      <c r="K42" s="5"/>
      <c r="L42" s="5"/>
      <c r="M42" s="5"/>
      <c r="N42" s="5"/>
      <c r="O42" s="5"/>
      <c r="P42" s="5"/>
      <c r="Q42" s="6"/>
    </row>
    <row r="43" spans="2:17">
      <c r="B43" s="6"/>
      <c r="C43" s="5"/>
      <c r="D43" s="5"/>
      <c r="E43" s="5"/>
      <c r="F43" s="5"/>
      <c r="G43" s="6"/>
      <c r="I43" s="5"/>
      <c r="J43" s="6"/>
      <c r="K43" s="5"/>
      <c r="L43" s="5"/>
      <c r="M43" s="5"/>
      <c r="N43" s="5"/>
      <c r="O43" s="5"/>
      <c r="P43" s="5"/>
      <c r="Q43" s="6"/>
    </row>
    <row r="44" spans="2:17">
      <c r="B44" s="6"/>
      <c r="C44" s="5"/>
      <c r="D44" s="5"/>
      <c r="E44" s="5"/>
      <c r="F44" s="5"/>
      <c r="G44" s="6"/>
      <c r="I44" s="5"/>
      <c r="J44" s="6"/>
      <c r="K44" s="5"/>
      <c r="L44" s="5"/>
      <c r="M44" s="5"/>
      <c r="N44" s="5"/>
      <c r="O44" s="5"/>
      <c r="P44" s="5"/>
      <c r="Q44" s="6"/>
    </row>
    <row r="45" spans="2:17">
      <c r="B45" s="972"/>
      <c r="C45" s="972"/>
      <c r="D45" s="972"/>
      <c r="E45" s="972"/>
      <c r="F45" s="972"/>
      <c r="G45" s="972"/>
      <c r="H45" s="972"/>
      <c r="I45" s="5"/>
      <c r="J45" s="972"/>
      <c r="K45" s="972"/>
      <c r="L45" s="972"/>
      <c r="M45" s="972"/>
      <c r="N45" s="5"/>
      <c r="O45" s="972"/>
      <c r="P45" s="972"/>
      <c r="Q45" s="972"/>
    </row>
  </sheetData>
  <mergeCells count="47">
    <mergeCell ref="B38:C38"/>
    <mergeCell ref="D38:H38"/>
    <mergeCell ref="J38:M38"/>
    <mergeCell ref="O38:Q38"/>
    <mergeCell ref="B45:C45"/>
    <mergeCell ref="D45:H45"/>
    <mergeCell ref="J45:M45"/>
    <mergeCell ref="O45:Q45"/>
    <mergeCell ref="O25:P25"/>
    <mergeCell ref="B28:C28"/>
    <mergeCell ref="D28:H28"/>
    <mergeCell ref="J28:Q28"/>
    <mergeCell ref="B35:C35"/>
    <mergeCell ref="D35:H35"/>
    <mergeCell ref="J35:Q35"/>
    <mergeCell ref="E25:F25"/>
    <mergeCell ref="G25:I25"/>
    <mergeCell ref="J22:K22"/>
    <mergeCell ref="E23:F23"/>
    <mergeCell ref="G23:I23"/>
    <mergeCell ref="E24:F24"/>
    <mergeCell ref="G24:I24"/>
    <mergeCell ref="E22:F22"/>
    <mergeCell ref="G22:I22"/>
    <mergeCell ref="E19:F19"/>
    <mergeCell ref="E20:F20"/>
    <mergeCell ref="G20:I20"/>
    <mergeCell ref="E21:F21"/>
    <mergeCell ref="G21:I21"/>
    <mergeCell ref="E16:F16"/>
    <mergeCell ref="G16:I16"/>
    <mergeCell ref="E17:F17"/>
    <mergeCell ref="G17:I17"/>
    <mergeCell ref="E18:F18"/>
    <mergeCell ref="G18:I18"/>
    <mergeCell ref="E13:F13"/>
    <mergeCell ref="G13:I13"/>
    <mergeCell ref="J13:K13"/>
    <mergeCell ref="E14:F14"/>
    <mergeCell ref="E15:F15"/>
    <mergeCell ref="G15:I15"/>
    <mergeCell ref="E12:F12"/>
    <mergeCell ref="C6:I6"/>
    <mergeCell ref="E10:F10"/>
    <mergeCell ref="G10:I10"/>
    <mergeCell ref="E11:F11"/>
    <mergeCell ref="G11:I11"/>
  </mergeCells>
  <pageMargins left="0.28000000000000003" right="0.17" top="0.17" bottom="0.17" header="0.3" footer="0.3"/>
  <pageSetup paperSize="9" scale="83"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4"/>
  <dimension ref="B2:N65"/>
  <sheetViews>
    <sheetView showGridLines="0" zoomScale="93" workbookViewId="0">
      <selection activeCell="B7" sqref="B7"/>
    </sheetView>
  </sheetViews>
  <sheetFormatPr defaultColWidth="10.875" defaultRowHeight="15"/>
  <cols>
    <col min="1" max="1" width="1.375" style="78" customWidth="1"/>
    <col min="2" max="2" width="8" style="77" customWidth="1"/>
    <col min="3" max="3" width="74" style="79" customWidth="1"/>
    <col min="4" max="4" width="16.375" style="80" customWidth="1"/>
    <col min="5" max="5" width="11.625" style="81" bestFit="1" customWidth="1"/>
    <col min="6" max="16384" width="10.875" style="78"/>
  </cols>
  <sheetData>
    <row r="2" spans="2:14" s="11" customFormat="1" ht="12.75">
      <c r="B2" s="140" t="s">
        <v>157</v>
      </c>
      <c r="C2" s="140"/>
      <c r="D2" s="17"/>
      <c r="H2" s="17"/>
      <c r="J2" s="17"/>
      <c r="L2" s="17"/>
      <c r="N2" s="17"/>
    </row>
    <row r="3" spans="2:14" s="11" customFormat="1" ht="12.75">
      <c r="B3" s="1223" t="s">
        <v>181</v>
      </c>
      <c r="C3" s="1223"/>
      <c r="D3" s="17"/>
      <c r="H3" s="17"/>
      <c r="J3" s="17"/>
      <c r="L3" s="17"/>
      <c r="N3" s="17"/>
    </row>
    <row r="4" spans="2:14" s="11" customFormat="1" ht="12.75">
      <c r="B4" s="970" t="s">
        <v>158</v>
      </c>
      <c r="C4" s="970"/>
      <c r="D4" s="17"/>
      <c r="H4" s="17"/>
      <c r="J4" s="17"/>
      <c r="L4" s="17"/>
      <c r="N4" s="17"/>
    </row>
    <row r="5" spans="2:14" s="11" customFormat="1" ht="5.0999999999999996" customHeight="1">
      <c r="B5" s="108"/>
      <c r="C5" s="108"/>
      <c r="D5" s="17"/>
      <c r="H5" s="17"/>
      <c r="J5" s="17"/>
      <c r="L5" s="17"/>
      <c r="N5" s="17"/>
    </row>
    <row r="6" spans="2:14" s="68" customFormat="1" ht="18">
      <c r="B6" s="92" t="s">
        <v>89</v>
      </c>
      <c r="C6" s="1121" t="s">
        <v>233</v>
      </c>
      <c r="D6" s="1121"/>
      <c r="E6" s="67"/>
    </row>
    <row r="7" spans="2:14" s="4" customFormat="1" ht="25.5">
      <c r="B7" s="146" t="s">
        <v>0</v>
      </c>
      <c r="C7" s="1224" t="s">
        <v>39</v>
      </c>
      <c r="D7" s="1224"/>
      <c r="E7" s="167" t="s">
        <v>188</v>
      </c>
    </row>
    <row r="8" spans="2:14" s="168" customFormat="1" ht="12.75">
      <c r="B8" s="169"/>
      <c r="C8" s="170" t="s">
        <v>189</v>
      </c>
      <c r="D8" s="171"/>
      <c r="E8" s="172"/>
    </row>
    <row r="9" spans="2:14" s="1" customFormat="1" ht="12.75">
      <c r="B9" s="34">
        <v>1</v>
      </c>
      <c r="C9" s="1220" t="s">
        <v>243</v>
      </c>
      <c r="D9" s="1220"/>
      <c r="E9" s="173" t="s">
        <v>190</v>
      </c>
    </row>
    <row r="10" spans="2:14" s="1" customFormat="1" ht="12.75">
      <c r="B10" s="34">
        <f t="shared" ref="B10:B22" si="0">B9+1</f>
        <v>2</v>
      </c>
      <c r="C10" s="1220" t="s">
        <v>191</v>
      </c>
      <c r="D10" s="1220"/>
      <c r="E10" s="173" t="s">
        <v>190</v>
      </c>
    </row>
    <row r="11" spans="2:14" s="1" customFormat="1" ht="12.75">
      <c r="B11" s="34">
        <f t="shared" si="0"/>
        <v>3</v>
      </c>
      <c r="C11" s="1220" t="s">
        <v>192</v>
      </c>
      <c r="D11" s="1220"/>
      <c r="E11" s="173" t="s">
        <v>190</v>
      </c>
    </row>
    <row r="12" spans="2:14" s="1" customFormat="1" ht="12.75">
      <c r="B12" s="34">
        <f t="shared" si="0"/>
        <v>4</v>
      </c>
      <c r="C12" s="1220"/>
      <c r="D12" s="1220"/>
      <c r="E12" s="173"/>
    </row>
    <row r="13" spans="2:14" s="45" customFormat="1" ht="12.75">
      <c r="B13" s="34">
        <f t="shared" si="0"/>
        <v>5</v>
      </c>
      <c r="C13" s="1220"/>
      <c r="D13" s="1220"/>
      <c r="E13" s="173"/>
    </row>
    <row r="14" spans="2:14" s="45" customFormat="1" ht="12.75">
      <c r="B14" s="34">
        <f t="shared" si="0"/>
        <v>6</v>
      </c>
      <c r="C14" s="1220"/>
      <c r="D14" s="1220"/>
      <c r="E14" s="173"/>
    </row>
    <row r="15" spans="2:14" s="45" customFormat="1" ht="12.75">
      <c r="B15" s="34">
        <f t="shared" si="0"/>
        <v>7</v>
      </c>
      <c r="C15" s="1220"/>
      <c r="D15" s="1220"/>
      <c r="E15" s="173"/>
    </row>
    <row r="16" spans="2:14" s="45" customFormat="1" ht="12.75">
      <c r="B16" s="34">
        <f t="shared" si="0"/>
        <v>8</v>
      </c>
      <c r="C16" s="1220"/>
      <c r="D16" s="1220"/>
      <c r="E16" s="173"/>
    </row>
    <row r="17" spans="2:5" s="45" customFormat="1" ht="12.75">
      <c r="B17" s="34">
        <f t="shared" si="0"/>
        <v>9</v>
      </c>
      <c r="C17" s="1220"/>
      <c r="D17" s="1220"/>
      <c r="E17" s="173"/>
    </row>
    <row r="18" spans="2:5" s="45" customFormat="1" ht="12.75">
      <c r="B18" s="34">
        <f t="shared" si="0"/>
        <v>10</v>
      </c>
      <c r="C18" s="1220"/>
      <c r="D18" s="1220"/>
      <c r="E18" s="173"/>
    </row>
    <row r="19" spans="2:5" s="45" customFormat="1" ht="12.75">
      <c r="B19" s="34">
        <f t="shared" si="0"/>
        <v>11</v>
      </c>
      <c r="C19" s="1220"/>
      <c r="D19" s="1220"/>
      <c r="E19" s="173"/>
    </row>
    <row r="20" spans="2:5" s="45" customFormat="1" ht="12.75">
      <c r="B20" s="34">
        <f t="shared" si="0"/>
        <v>12</v>
      </c>
      <c r="C20" s="1220"/>
      <c r="D20" s="1220"/>
      <c r="E20" s="173"/>
    </row>
    <row r="21" spans="2:5" s="45" customFormat="1" ht="12.75">
      <c r="B21" s="34">
        <f t="shared" si="0"/>
        <v>13</v>
      </c>
      <c r="C21" s="1220"/>
      <c r="D21" s="1220"/>
      <c r="E21" s="173"/>
    </row>
    <row r="22" spans="2:5" s="45" customFormat="1" ht="12.75">
      <c r="B22" s="34">
        <f t="shared" si="0"/>
        <v>14</v>
      </c>
      <c r="C22" s="1220"/>
      <c r="D22" s="1220"/>
      <c r="E22" s="173"/>
    </row>
    <row r="23" spans="2:5" s="1" customFormat="1" ht="12.75">
      <c r="B23" s="46"/>
      <c r="C23" s="38"/>
      <c r="D23" s="38"/>
      <c r="E23" s="48"/>
    </row>
    <row r="24" spans="2:5" s="168" customFormat="1" ht="12.75">
      <c r="B24" s="174"/>
      <c r="C24" s="175" t="s">
        <v>193</v>
      </c>
      <c r="D24" s="176"/>
      <c r="E24" s="177"/>
    </row>
    <row r="25" spans="2:5" s="1" customFormat="1" ht="12.75">
      <c r="B25" s="46"/>
      <c r="C25" s="38"/>
      <c r="D25" s="38"/>
      <c r="E25" s="48"/>
    </row>
    <row r="26" spans="2:5" s="178" customFormat="1" ht="12.75">
      <c r="B26" s="34">
        <v>1</v>
      </c>
      <c r="C26" s="1222" t="s">
        <v>194</v>
      </c>
      <c r="D26" s="1222"/>
      <c r="E26" s="179"/>
    </row>
    <row r="27" spans="2:5" s="45" customFormat="1" ht="12.75">
      <c r="B27" s="34"/>
      <c r="C27" s="1220" t="s">
        <v>195</v>
      </c>
      <c r="D27" s="1220"/>
      <c r="E27" s="173" t="s">
        <v>190</v>
      </c>
    </row>
    <row r="28" spans="2:5" s="45" customFormat="1" ht="12.75">
      <c r="B28" s="34"/>
      <c r="C28" s="1220" t="s">
        <v>196</v>
      </c>
      <c r="D28" s="1220"/>
      <c r="E28" s="173" t="s">
        <v>190</v>
      </c>
    </row>
    <row r="29" spans="2:5" s="45" customFormat="1" ht="12.75">
      <c r="B29" s="34"/>
      <c r="C29" s="1220" t="s">
        <v>197</v>
      </c>
      <c r="D29" s="1220"/>
      <c r="E29" s="173" t="s">
        <v>190</v>
      </c>
    </row>
    <row r="30" spans="2:5" s="45" customFormat="1" ht="12.75">
      <c r="B30" s="34"/>
      <c r="C30" s="1220" t="s">
        <v>198</v>
      </c>
      <c r="D30" s="1220"/>
      <c r="E30" s="173" t="s">
        <v>190</v>
      </c>
    </row>
    <row r="31" spans="2:5" s="45" customFormat="1" ht="12.75">
      <c r="B31" s="34"/>
      <c r="C31" s="1220" t="s">
        <v>199</v>
      </c>
      <c r="D31" s="1220"/>
      <c r="E31" s="173" t="s">
        <v>190</v>
      </c>
    </row>
    <row r="32" spans="2:5" s="178" customFormat="1" ht="12.75">
      <c r="B32" s="34">
        <v>2</v>
      </c>
      <c r="C32" s="1222" t="s">
        <v>200</v>
      </c>
      <c r="D32" s="1222"/>
      <c r="E32" s="180"/>
    </row>
    <row r="33" spans="2:5" s="45" customFormat="1" ht="12.75">
      <c r="B33" s="34"/>
      <c r="C33" s="1220" t="s">
        <v>201</v>
      </c>
      <c r="D33" s="1220"/>
      <c r="E33" s="173" t="s">
        <v>190</v>
      </c>
    </row>
    <row r="34" spans="2:5" s="45" customFormat="1" ht="12.75">
      <c r="B34" s="34"/>
      <c r="C34" s="1220" t="s">
        <v>202</v>
      </c>
      <c r="D34" s="1220"/>
      <c r="E34" s="173" t="s">
        <v>190</v>
      </c>
    </row>
    <row r="35" spans="2:5" s="178" customFormat="1" ht="12.75">
      <c r="B35" s="34">
        <v>3</v>
      </c>
      <c r="C35" s="1222" t="s">
        <v>203</v>
      </c>
      <c r="D35" s="1222"/>
      <c r="E35" s="180"/>
    </row>
    <row r="36" spans="2:5" s="45" customFormat="1" ht="12.75">
      <c r="B36" s="34"/>
      <c r="C36" s="1220" t="s">
        <v>204</v>
      </c>
      <c r="D36" s="1220"/>
      <c r="E36" s="173" t="s">
        <v>190</v>
      </c>
    </row>
    <row r="37" spans="2:5" s="178" customFormat="1">
      <c r="B37" s="34">
        <v>4</v>
      </c>
      <c r="C37" s="1222" t="s">
        <v>205</v>
      </c>
      <c r="D37" s="1222"/>
      <c r="E37" s="181"/>
    </row>
    <row r="38" spans="2:5" s="45" customFormat="1" ht="12.75">
      <c r="B38" s="34"/>
      <c r="C38" s="1220" t="s">
        <v>206</v>
      </c>
      <c r="D38" s="1220"/>
      <c r="E38" s="173" t="s">
        <v>190</v>
      </c>
    </row>
    <row r="39" spans="2:5" s="45" customFormat="1" ht="12.75">
      <c r="B39" s="34"/>
      <c r="C39" s="1220" t="s">
        <v>207</v>
      </c>
      <c r="D39" s="1220"/>
      <c r="E39" s="173" t="s">
        <v>190</v>
      </c>
    </row>
    <row r="40" spans="2:5" s="178" customFormat="1">
      <c r="B40" s="34">
        <v>5</v>
      </c>
      <c r="C40" s="1222" t="s">
        <v>208</v>
      </c>
      <c r="D40" s="1222"/>
      <c r="E40" s="181"/>
    </row>
    <row r="41" spans="2:5" s="45" customFormat="1" ht="12.75">
      <c r="B41" s="34"/>
      <c r="C41" s="1220" t="s">
        <v>209</v>
      </c>
      <c r="D41" s="1220"/>
      <c r="E41" s="173" t="s">
        <v>190</v>
      </c>
    </row>
    <row r="42" spans="2:5" s="1" customFormat="1" ht="12.75">
      <c r="B42" s="46"/>
      <c r="C42" s="38"/>
      <c r="D42" s="38"/>
      <c r="E42" s="48"/>
    </row>
    <row r="43" spans="2:5" s="168" customFormat="1" ht="12.75">
      <c r="B43" s="174"/>
      <c r="C43" s="175" t="s">
        <v>210</v>
      </c>
      <c r="D43" s="176"/>
      <c r="E43" s="177"/>
    </row>
    <row r="44" spans="2:5" s="1" customFormat="1" ht="12.75">
      <c r="B44" s="46"/>
      <c r="C44" s="38"/>
      <c r="D44" s="38"/>
      <c r="E44" s="48"/>
    </row>
    <row r="45" spans="2:5" s="45" customFormat="1" ht="12.75">
      <c r="B45" s="34">
        <v>1</v>
      </c>
      <c r="C45" s="1220" t="s">
        <v>211</v>
      </c>
      <c r="D45" s="1220"/>
      <c r="E45" s="173" t="s">
        <v>190</v>
      </c>
    </row>
    <row r="46" spans="2:5" s="45" customFormat="1" ht="12.75">
      <c r="B46" s="34">
        <f t="shared" ref="B46:B51" si="1">B45+1</f>
        <v>2</v>
      </c>
      <c r="C46" s="1220" t="s">
        <v>212</v>
      </c>
      <c r="D46" s="1220"/>
      <c r="E46" s="173" t="s">
        <v>190</v>
      </c>
    </row>
    <row r="47" spans="2:5" s="45" customFormat="1" ht="12.75">
      <c r="B47" s="34">
        <f t="shared" si="1"/>
        <v>3</v>
      </c>
      <c r="C47" s="1220" t="s">
        <v>213</v>
      </c>
      <c r="D47" s="1220"/>
      <c r="E47" s="173" t="s">
        <v>190</v>
      </c>
    </row>
    <row r="48" spans="2:5" s="45" customFormat="1" ht="12.75">
      <c r="B48" s="34">
        <f t="shared" si="1"/>
        <v>4</v>
      </c>
      <c r="C48" s="1220"/>
      <c r="D48" s="1220"/>
      <c r="E48" s="173"/>
    </row>
    <row r="49" spans="2:5" s="45" customFormat="1" ht="12.75">
      <c r="B49" s="34">
        <f t="shared" si="1"/>
        <v>5</v>
      </c>
      <c r="C49" s="1220"/>
      <c r="D49" s="1220"/>
      <c r="E49" s="173"/>
    </row>
    <row r="50" spans="2:5" s="45" customFormat="1" ht="12.75">
      <c r="B50" s="34">
        <f t="shared" si="1"/>
        <v>6</v>
      </c>
      <c r="C50" s="1220"/>
      <c r="D50" s="1220"/>
      <c r="E50" s="173"/>
    </row>
    <row r="51" spans="2:5" s="45" customFormat="1" ht="12.75">
      <c r="B51" s="34">
        <f t="shared" si="1"/>
        <v>7</v>
      </c>
      <c r="C51" s="1220"/>
      <c r="D51" s="1220"/>
      <c r="E51" s="173"/>
    </row>
    <row r="52" spans="2:5" s="1" customFormat="1" ht="12.75">
      <c r="B52" s="46"/>
      <c r="C52" s="38"/>
      <c r="D52" s="38"/>
      <c r="E52" s="48"/>
    </row>
    <row r="53" spans="2:5" s="168" customFormat="1" ht="12.75">
      <c r="B53" s="174"/>
      <c r="C53" s="175" t="s">
        <v>214</v>
      </c>
      <c r="D53" s="176"/>
      <c r="E53" s="177"/>
    </row>
    <row r="54" spans="2:5" s="1" customFormat="1" ht="12.75">
      <c r="B54" s="46"/>
      <c r="C54" s="38"/>
      <c r="D54" s="38"/>
      <c r="E54" s="48"/>
    </row>
    <row r="55" spans="2:5" s="45" customFormat="1" ht="12.75">
      <c r="B55" s="34">
        <v>1</v>
      </c>
      <c r="C55" s="1220" t="s">
        <v>215</v>
      </c>
      <c r="D55" s="1220"/>
      <c r="E55" s="173" t="s">
        <v>190</v>
      </c>
    </row>
    <row r="56" spans="2:5" s="45" customFormat="1" ht="12.75">
      <c r="B56" s="34">
        <f t="shared" ref="B56:B65" si="2">B55+1</f>
        <v>2</v>
      </c>
      <c r="C56" s="1220" t="s">
        <v>216</v>
      </c>
      <c r="D56" s="1220"/>
      <c r="E56" s="173" t="s">
        <v>190</v>
      </c>
    </row>
    <row r="57" spans="2:5" s="45" customFormat="1" ht="12.75">
      <c r="B57" s="34">
        <f t="shared" si="2"/>
        <v>3</v>
      </c>
      <c r="C57" s="1220" t="s">
        <v>217</v>
      </c>
      <c r="D57" s="1220"/>
      <c r="E57" s="173" t="s">
        <v>190</v>
      </c>
    </row>
    <row r="58" spans="2:5" s="45" customFormat="1" ht="12.75">
      <c r="B58" s="34">
        <f t="shared" si="2"/>
        <v>4</v>
      </c>
      <c r="C58" s="1220" t="s">
        <v>218</v>
      </c>
      <c r="D58" s="1220"/>
      <c r="E58" s="173" t="s">
        <v>190</v>
      </c>
    </row>
    <row r="59" spans="2:5" s="45" customFormat="1" ht="12.75">
      <c r="B59" s="34">
        <f t="shared" si="2"/>
        <v>5</v>
      </c>
      <c r="C59" s="1220"/>
      <c r="D59" s="1220"/>
      <c r="E59" s="173"/>
    </row>
    <row r="60" spans="2:5" s="45" customFormat="1" ht="12.75">
      <c r="B60" s="34">
        <f t="shared" si="2"/>
        <v>6</v>
      </c>
      <c r="C60" s="1220"/>
      <c r="D60" s="1220"/>
      <c r="E60" s="173"/>
    </row>
    <row r="61" spans="2:5" s="45" customFormat="1" ht="12.75">
      <c r="B61" s="34">
        <f t="shared" si="2"/>
        <v>7</v>
      </c>
      <c r="C61" s="1220"/>
      <c r="D61" s="1220"/>
      <c r="E61" s="173"/>
    </row>
    <row r="62" spans="2:5" s="45" customFormat="1" ht="12.75">
      <c r="B62" s="34">
        <f t="shared" si="2"/>
        <v>8</v>
      </c>
      <c r="C62" s="1220"/>
      <c r="D62" s="1220"/>
      <c r="E62" s="173"/>
    </row>
    <row r="63" spans="2:5" s="45" customFormat="1" ht="12.75">
      <c r="B63" s="34">
        <f t="shared" si="2"/>
        <v>9</v>
      </c>
      <c r="C63" s="1220"/>
      <c r="D63" s="1220"/>
      <c r="E63" s="173"/>
    </row>
    <row r="64" spans="2:5" s="45" customFormat="1" ht="12.75">
      <c r="B64" s="34">
        <f t="shared" si="2"/>
        <v>10</v>
      </c>
      <c r="C64" s="1220"/>
      <c r="D64" s="1220"/>
      <c r="E64" s="173"/>
    </row>
    <row r="65" spans="2:5" s="45" customFormat="1" ht="12.75">
      <c r="B65" s="182">
        <f t="shared" si="2"/>
        <v>11</v>
      </c>
      <c r="C65" s="1221"/>
      <c r="D65" s="1221"/>
      <c r="E65" s="183"/>
    </row>
  </sheetData>
  <mergeCells count="52">
    <mergeCell ref="B3:C3"/>
    <mergeCell ref="B4:C4"/>
    <mergeCell ref="C6:D6"/>
    <mergeCell ref="C7:D7"/>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5:D45"/>
    <mergeCell ref="C46:D46"/>
    <mergeCell ref="C47:D47"/>
    <mergeCell ref="C48:D48"/>
    <mergeCell ref="C49:D49"/>
    <mergeCell ref="C50:D50"/>
    <mergeCell ref="C51:D51"/>
    <mergeCell ref="C55:D55"/>
    <mergeCell ref="C56:D56"/>
    <mergeCell ref="C57:D57"/>
    <mergeCell ref="C58:D58"/>
    <mergeCell ref="C64:D64"/>
    <mergeCell ref="C65:D65"/>
    <mergeCell ref="C59:D59"/>
    <mergeCell ref="C60:D60"/>
    <mergeCell ref="C61:D61"/>
    <mergeCell ref="C62:D62"/>
    <mergeCell ref="C63:D63"/>
  </mergeCells>
  <pageMargins left="0.7" right="0.7" top="0.75" bottom="0.75" header="0.3" footer="0.3"/>
  <pageSetup paperSize="9" orientation="portrait" horizontalDpi="0" verticalDpi="0"/>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5"/>
  <dimension ref="B1:O53"/>
  <sheetViews>
    <sheetView showGridLines="0" zoomScale="121" workbookViewId="0">
      <selection activeCell="F13" sqref="F13"/>
    </sheetView>
  </sheetViews>
  <sheetFormatPr defaultColWidth="8.875" defaultRowHeight="12.75"/>
  <cols>
    <col min="1" max="1" width="2" style="1" customWidth="1"/>
    <col min="2" max="2" width="8.375" style="1" customWidth="1"/>
    <col min="3" max="3" width="30.625" style="1" customWidth="1"/>
    <col min="4" max="4" width="17.125" style="1" customWidth="1"/>
    <col min="5" max="5" width="14.625" style="1" customWidth="1"/>
    <col min="6" max="6" width="17" style="2" customWidth="1"/>
    <col min="7" max="7" width="11.625" style="1" customWidth="1"/>
    <col min="8" max="8" width="7" style="2" customWidth="1"/>
    <col min="9" max="9" width="12.375" style="1" customWidth="1"/>
    <col min="10" max="10" width="17" style="2" customWidth="1"/>
    <col min="11" max="218" width="8.875" style="1"/>
    <col min="219" max="219" width="5" style="1" customWidth="1"/>
    <col min="220" max="220" width="33.375" style="1" customWidth="1"/>
    <col min="221" max="221" width="6.5" style="1" customWidth="1"/>
    <col min="222" max="222" width="29.5" style="1" customWidth="1"/>
    <col min="223" max="223" width="23.625" style="1" customWidth="1"/>
    <col min="224" max="224" width="8" style="1" customWidth="1"/>
    <col min="225" max="225" width="9.125" style="1" customWidth="1"/>
    <col min="226" max="226" width="13.875" style="1" customWidth="1"/>
    <col min="227" max="227" width="13.5" style="1" customWidth="1"/>
    <col min="228" max="474" width="8.875" style="1"/>
    <col min="475" max="475" width="5" style="1" customWidth="1"/>
    <col min="476" max="476" width="33.375" style="1" customWidth="1"/>
    <col min="477" max="477" width="6.5" style="1" customWidth="1"/>
    <col min="478" max="478" width="29.5" style="1" customWidth="1"/>
    <col min="479" max="479" width="23.625" style="1" customWidth="1"/>
    <col min="480" max="480" width="8" style="1" customWidth="1"/>
    <col min="481" max="481" width="9.125" style="1" customWidth="1"/>
    <col min="482" max="482" width="13.875" style="1" customWidth="1"/>
    <col min="483" max="483" width="13.5" style="1" customWidth="1"/>
    <col min="484" max="730" width="8.875" style="1"/>
    <col min="731" max="731" width="5" style="1" customWidth="1"/>
    <col min="732" max="732" width="33.375" style="1" customWidth="1"/>
    <col min="733" max="733" width="6.5" style="1" customWidth="1"/>
    <col min="734" max="734" width="29.5" style="1" customWidth="1"/>
    <col min="735" max="735" width="23.625" style="1" customWidth="1"/>
    <col min="736" max="736" width="8" style="1" customWidth="1"/>
    <col min="737" max="737" width="9.125" style="1" customWidth="1"/>
    <col min="738" max="738" width="13.875" style="1" customWidth="1"/>
    <col min="739" max="739" width="13.5" style="1" customWidth="1"/>
    <col min="740" max="986" width="8.875" style="1"/>
    <col min="987" max="987" width="5" style="1" customWidth="1"/>
    <col min="988" max="988" width="33.375" style="1" customWidth="1"/>
    <col min="989" max="989" width="6.5" style="1" customWidth="1"/>
    <col min="990" max="990" width="29.5" style="1" customWidth="1"/>
    <col min="991" max="991" width="23.625" style="1" customWidth="1"/>
    <col min="992" max="992" width="8" style="1" customWidth="1"/>
    <col min="993" max="993" width="9.125" style="1" customWidth="1"/>
    <col min="994" max="994" width="13.875" style="1" customWidth="1"/>
    <col min="995" max="995" width="13.5" style="1" customWidth="1"/>
    <col min="996" max="1242" width="8.875" style="1"/>
    <col min="1243" max="1243" width="5" style="1" customWidth="1"/>
    <col min="1244" max="1244" width="33.375" style="1" customWidth="1"/>
    <col min="1245" max="1245" width="6.5" style="1" customWidth="1"/>
    <col min="1246" max="1246" width="29.5" style="1" customWidth="1"/>
    <col min="1247" max="1247" width="23.625" style="1" customWidth="1"/>
    <col min="1248" max="1248" width="8" style="1" customWidth="1"/>
    <col min="1249" max="1249" width="9.125" style="1" customWidth="1"/>
    <col min="1250" max="1250" width="13.875" style="1" customWidth="1"/>
    <col min="1251" max="1251" width="13.5" style="1" customWidth="1"/>
    <col min="1252" max="1498" width="8.875" style="1"/>
    <col min="1499" max="1499" width="5" style="1" customWidth="1"/>
    <col min="1500" max="1500" width="33.375" style="1" customWidth="1"/>
    <col min="1501" max="1501" width="6.5" style="1" customWidth="1"/>
    <col min="1502" max="1502" width="29.5" style="1" customWidth="1"/>
    <col min="1503" max="1503" width="23.625" style="1" customWidth="1"/>
    <col min="1504" max="1504" width="8" style="1" customWidth="1"/>
    <col min="1505" max="1505" width="9.125" style="1" customWidth="1"/>
    <col min="1506" max="1506" width="13.875" style="1" customWidth="1"/>
    <col min="1507" max="1507" width="13.5" style="1" customWidth="1"/>
    <col min="1508" max="1754" width="8.875" style="1"/>
    <col min="1755" max="1755" width="5" style="1" customWidth="1"/>
    <col min="1756" max="1756" width="33.375" style="1" customWidth="1"/>
    <col min="1757" max="1757" width="6.5" style="1" customWidth="1"/>
    <col min="1758" max="1758" width="29.5" style="1" customWidth="1"/>
    <col min="1759" max="1759" width="23.625" style="1" customWidth="1"/>
    <col min="1760" max="1760" width="8" style="1" customWidth="1"/>
    <col min="1761" max="1761" width="9.125" style="1" customWidth="1"/>
    <col min="1762" max="1762" width="13.875" style="1" customWidth="1"/>
    <col min="1763" max="1763" width="13.5" style="1" customWidth="1"/>
    <col min="1764" max="2010" width="8.875" style="1"/>
    <col min="2011" max="2011" width="5" style="1" customWidth="1"/>
    <col min="2012" max="2012" width="33.375" style="1" customWidth="1"/>
    <col min="2013" max="2013" width="6.5" style="1" customWidth="1"/>
    <col min="2014" max="2014" width="29.5" style="1" customWidth="1"/>
    <col min="2015" max="2015" width="23.625" style="1" customWidth="1"/>
    <col min="2016" max="2016" width="8" style="1" customWidth="1"/>
    <col min="2017" max="2017" width="9.125" style="1" customWidth="1"/>
    <col min="2018" max="2018" width="13.875" style="1" customWidth="1"/>
    <col min="2019" max="2019" width="13.5" style="1" customWidth="1"/>
    <col min="2020" max="2266" width="8.875" style="1"/>
    <col min="2267" max="2267" width="5" style="1" customWidth="1"/>
    <col min="2268" max="2268" width="33.375" style="1" customWidth="1"/>
    <col min="2269" max="2269" width="6.5" style="1" customWidth="1"/>
    <col min="2270" max="2270" width="29.5" style="1" customWidth="1"/>
    <col min="2271" max="2271" width="23.625" style="1" customWidth="1"/>
    <col min="2272" max="2272" width="8" style="1" customWidth="1"/>
    <col min="2273" max="2273" width="9.125" style="1" customWidth="1"/>
    <col min="2274" max="2274" width="13.875" style="1" customWidth="1"/>
    <col min="2275" max="2275" width="13.5" style="1" customWidth="1"/>
    <col min="2276" max="2522" width="8.875" style="1"/>
    <col min="2523" max="2523" width="5" style="1" customWidth="1"/>
    <col min="2524" max="2524" width="33.375" style="1" customWidth="1"/>
    <col min="2525" max="2525" width="6.5" style="1" customWidth="1"/>
    <col min="2526" max="2526" width="29.5" style="1" customWidth="1"/>
    <col min="2527" max="2527" width="23.625" style="1" customWidth="1"/>
    <col min="2528" max="2528" width="8" style="1" customWidth="1"/>
    <col min="2529" max="2529" width="9.125" style="1" customWidth="1"/>
    <col min="2530" max="2530" width="13.875" style="1" customWidth="1"/>
    <col min="2531" max="2531" width="13.5" style="1" customWidth="1"/>
    <col min="2532" max="2778" width="8.875" style="1"/>
    <col min="2779" max="2779" width="5" style="1" customWidth="1"/>
    <col min="2780" max="2780" width="33.375" style="1" customWidth="1"/>
    <col min="2781" max="2781" width="6.5" style="1" customWidth="1"/>
    <col min="2782" max="2782" width="29.5" style="1" customWidth="1"/>
    <col min="2783" max="2783" width="23.625" style="1" customWidth="1"/>
    <col min="2784" max="2784" width="8" style="1" customWidth="1"/>
    <col min="2785" max="2785" width="9.125" style="1" customWidth="1"/>
    <col min="2786" max="2786" width="13.875" style="1" customWidth="1"/>
    <col min="2787" max="2787" width="13.5" style="1" customWidth="1"/>
    <col min="2788" max="3034" width="8.875" style="1"/>
    <col min="3035" max="3035" width="5" style="1" customWidth="1"/>
    <col min="3036" max="3036" width="33.375" style="1" customWidth="1"/>
    <col min="3037" max="3037" width="6.5" style="1" customWidth="1"/>
    <col min="3038" max="3038" width="29.5" style="1" customWidth="1"/>
    <col min="3039" max="3039" width="23.625" style="1" customWidth="1"/>
    <col min="3040" max="3040" width="8" style="1" customWidth="1"/>
    <col min="3041" max="3041" width="9.125" style="1" customWidth="1"/>
    <col min="3042" max="3042" width="13.875" style="1" customWidth="1"/>
    <col min="3043" max="3043" width="13.5" style="1" customWidth="1"/>
    <col min="3044" max="3290" width="8.875" style="1"/>
    <col min="3291" max="3291" width="5" style="1" customWidth="1"/>
    <col min="3292" max="3292" width="33.375" style="1" customWidth="1"/>
    <col min="3293" max="3293" width="6.5" style="1" customWidth="1"/>
    <col min="3294" max="3294" width="29.5" style="1" customWidth="1"/>
    <col min="3295" max="3295" width="23.625" style="1" customWidth="1"/>
    <col min="3296" max="3296" width="8" style="1" customWidth="1"/>
    <col min="3297" max="3297" width="9.125" style="1" customWidth="1"/>
    <col min="3298" max="3298" width="13.875" style="1" customWidth="1"/>
    <col min="3299" max="3299" width="13.5" style="1" customWidth="1"/>
    <col min="3300" max="3546" width="8.875" style="1"/>
    <col min="3547" max="3547" width="5" style="1" customWidth="1"/>
    <col min="3548" max="3548" width="33.375" style="1" customWidth="1"/>
    <col min="3549" max="3549" width="6.5" style="1" customWidth="1"/>
    <col min="3550" max="3550" width="29.5" style="1" customWidth="1"/>
    <col min="3551" max="3551" width="23.625" style="1" customWidth="1"/>
    <col min="3552" max="3552" width="8" style="1" customWidth="1"/>
    <col min="3553" max="3553" width="9.125" style="1" customWidth="1"/>
    <col min="3554" max="3554" width="13.875" style="1" customWidth="1"/>
    <col min="3555" max="3555" width="13.5" style="1" customWidth="1"/>
    <col min="3556" max="3802" width="8.875" style="1"/>
    <col min="3803" max="3803" width="5" style="1" customWidth="1"/>
    <col min="3804" max="3804" width="33.375" style="1" customWidth="1"/>
    <col min="3805" max="3805" width="6.5" style="1" customWidth="1"/>
    <col min="3806" max="3806" width="29.5" style="1" customWidth="1"/>
    <col min="3807" max="3807" width="23.625" style="1" customWidth="1"/>
    <col min="3808" max="3808" width="8" style="1" customWidth="1"/>
    <col min="3809" max="3809" width="9.125" style="1" customWidth="1"/>
    <col min="3810" max="3810" width="13.875" style="1" customWidth="1"/>
    <col min="3811" max="3811" width="13.5" style="1" customWidth="1"/>
    <col min="3812" max="4058" width="8.875" style="1"/>
    <col min="4059" max="4059" width="5" style="1" customWidth="1"/>
    <col min="4060" max="4060" width="33.375" style="1" customWidth="1"/>
    <col min="4061" max="4061" width="6.5" style="1" customWidth="1"/>
    <col min="4062" max="4062" width="29.5" style="1" customWidth="1"/>
    <col min="4063" max="4063" width="23.625" style="1" customWidth="1"/>
    <col min="4064" max="4064" width="8" style="1" customWidth="1"/>
    <col min="4065" max="4065" width="9.125" style="1" customWidth="1"/>
    <col min="4066" max="4066" width="13.875" style="1" customWidth="1"/>
    <col min="4067" max="4067" width="13.5" style="1" customWidth="1"/>
    <col min="4068" max="4314" width="8.875" style="1"/>
    <col min="4315" max="4315" width="5" style="1" customWidth="1"/>
    <col min="4316" max="4316" width="33.375" style="1" customWidth="1"/>
    <col min="4317" max="4317" width="6.5" style="1" customWidth="1"/>
    <col min="4318" max="4318" width="29.5" style="1" customWidth="1"/>
    <col min="4319" max="4319" width="23.625" style="1" customWidth="1"/>
    <col min="4320" max="4320" width="8" style="1" customWidth="1"/>
    <col min="4321" max="4321" width="9.125" style="1" customWidth="1"/>
    <col min="4322" max="4322" width="13.875" style="1" customWidth="1"/>
    <col min="4323" max="4323" width="13.5" style="1" customWidth="1"/>
    <col min="4324" max="4570" width="8.875" style="1"/>
    <col min="4571" max="4571" width="5" style="1" customWidth="1"/>
    <col min="4572" max="4572" width="33.375" style="1" customWidth="1"/>
    <col min="4573" max="4573" width="6.5" style="1" customWidth="1"/>
    <col min="4574" max="4574" width="29.5" style="1" customWidth="1"/>
    <col min="4575" max="4575" width="23.625" style="1" customWidth="1"/>
    <col min="4576" max="4576" width="8" style="1" customWidth="1"/>
    <col min="4577" max="4577" width="9.125" style="1" customWidth="1"/>
    <col min="4578" max="4578" width="13.875" style="1" customWidth="1"/>
    <col min="4579" max="4579" width="13.5" style="1" customWidth="1"/>
    <col min="4580" max="4826" width="8.875" style="1"/>
    <col min="4827" max="4827" width="5" style="1" customWidth="1"/>
    <col min="4828" max="4828" width="33.375" style="1" customWidth="1"/>
    <col min="4829" max="4829" width="6.5" style="1" customWidth="1"/>
    <col min="4830" max="4830" width="29.5" style="1" customWidth="1"/>
    <col min="4831" max="4831" width="23.625" style="1" customWidth="1"/>
    <col min="4832" max="4832" width="8" style="1" customWidth="1"/>
    <col min="4833" max="4833" width="9.125" style="1" customWidth="1"/>
    <col min="4834" max="4834" width="13.875" style="1" customWidth="1"/>
    <col min="4835" max="4835" width="13.5" style="1" customWidth="1"/>
    <col min="4836" max="5082" width="8.875" style="1"/>
    <col min="5083" max="5083" width="5" style="1" customWidth="1"/>
    <col min="5084" max="5084" width="33.375" style="1" customWidth="1"/>
    <col min="5085" max="5085" width="6.5" style="1" customWidth="1"/>
    <col min="5086" max="5086" width="29.5" style="1" customWidth="1"/>
    <col min="5087" max="5087" width="23.625" style="1" customWidth="1"/>
    <col min="5088" max="5088" width="8" style="1" customWidth="1"/>
    <col min="5089" max="5089" width="9.125" style="1" customWidth="1"/>
    <col min="5090" max="5090" width="13.875" style="1" customWidth="1"/>
    <col min="5091" max="5091" width="13.5" style="1" customWidth="1"/>
    <col min="5092" max="5338" width="8.875" style="1"/>
    <col min="5339" max="5339" width="5" style="1" customWidth="1"/>
    <col min="5340" max="5340" width="33.375" style="1" customWidth="1"/>
    <col min="5341" max="5341" width="6.5" style="1" customWidth="1"/>
    <col min="5342" max="5342" width="29.5" style="1" customWidth="1"/>
    <col min="5343" max="5343" width="23.625" style="1" customWidth="1"/>
    <col min="5344" max="5344" width="8" style="1" customWidth="1"/>
    <col min="5345" max="5345" width="9.125" style="1" customWidth="1"/>
    <col min="5346" max="5346" width="13.875" style="1" customWidth="1"/>
    <col min="5347" max="5347" width="13.5" style="1" customWidth="1"/>
    <col min="5348" max="5594" width="8.875" style="1"/>
    <col min="5595" max="5595" width="5" style="1" customWidth="1"/>
    <col min="5596" max="5596" width="33.375" style="1" customWidth="1"/>
    <col min="5597" max="5597" width="6.5" style="1" customWidth="1"/>
    <col min="5598" max="5598" width="29.5" style="1" customWidth="1"/>
    <col min="5599" max="5599" width="23.625" style="1" customWidth="1"/>
    <col min="5600" max="5600" width="8" style="1" customWidth="1"/>
    <col min="5601" max="5601" width="9.125" style="1" customWidth="1"/>
    <col min="5602" max="5602" width="13.875" style="1" customWidth="1"/>
    <col min="5603" max="5603" width="13.5" style="1" customWidth="1"/>
    <col min="5604" max="5850" width="8.875" style="1"/>
    <col min="5851" max="5851" width="5" style="1" customWidth="1"/>
    <col min="5852" max="5852" width="33.375" style="1" customWidth="1"/>
    <col min="5853" max="5853" width="6.5" style="1" customWidth="1"/>
    <col min="5854" max="5854" width="29.5" style="1" customWidth="1"/>
    <col min="5855" max="5855" width="23.625" style="1" customWidth="1"/>
    <col min="5856" max="5856" width="8" style="1" customWidth="1"/>
    <col min="5857" max="5857" width="9.125" style="1" customWidth="1"/>
    <col min="5858" max="5858" width="13.875" style="1" customWidth="1"/>
    <col min="5859" max="5859" width="13.5" style="1" customWidth="1"/>
    <col min="5860" max="6106" width="8.875" style="1"/>
    <col min="6107" max="6107" width="5" style="1" customWidth="1"/>
    <col min="6108" max="6108" width="33.375" style="1" customWidth="1"/>
    <col min="6109" max="6109" width="6.5" style="1" customWidth="1"/>
    <col min="6110" max="6110" width="29.5" style="1" customWidth="1"/>
    <col min="6111" max="6111" width="23.625" style="1" customWidth="1"/>
    <col min="6112" max="6112" width="8" style="1" customWidth="1"/>
    <col min="6113" max="6113" width="9.125" style="1" customWidth="1"/>
    <col min="6114" max="6114" width="13.875" style="1" customWidth="1"/>
    <col min="6115" max="6115" width="13.5" style="1" customWidth="1"/>
    <col min="6116" max="6362" width="8.875" style="1"/>
    <col min="6363" max="6363" width="5" style="1" customWidth="1"/>
    <col min="6364" max="6364" width="33.375" style="1" customWidth="1"/>
    <col min="6365" max="6365" width="6.5" style="1" customWidth="1"/>
    <col min="6366" max="6366" width="29.5" style="1" customWidth="1"/>
    <col min="6367" max="6367" width="23.625" style="1" customWidth="1"/>
    <col min="6368" max="6368" width="8" style="1" customWidth="1"/>
    <col min="6369" max="6369" width="9.125" style="1" customWidth="1"/>
    <col min="6370" max="6370" width="13.875" style="1" customWidth="1"/>
    <col min="6371" max="6371" width="13.5" style="1" customWidth="1"/>
    <col min="6372" max="6618" width="8.875" style="1"/>
    <col min="6619" max="6619" width="5" style="1" customWidth="1"/>
    <col min="6620" max="6620" width="33.375" style="1" customWidth="1"/>
    <col min="6621" max="6621" width="6.5" style="1" customWidth="1"/>
    <col min="6622" max="6622" width="29.5" style="1" customWidth="1"/>
    <col min="6623" max="6623" width="23.625" style="1" customWidth="1"/>
    <col min="6624" max="6624" width="8" style="1" customWidth="1"/>
    <col min="6625" max="6625" width="9.125" style="1" customWidth="1"/>
    <col min="6626" max="6626" width="13.875" style="1" customWidth="1"/>
    <col min="6627" max="6627" width="13.5" style="1" customWidth="1"/>
    <col min="6628" max="6874" width="8.875" style="1"/>
    <col min="6875" max="6875" width="5" style="1" customWidth="1"/>
    <col min="6876" max="6876" width="33.375" style="1" customWidth="1"/>
    <col min="6877" max="6877" width="6.5" style="1" customWidth="1"/>
    <col min="6878" max="6878" width="29.5" style="1" customWidth="1"/>
    <col min="6879" max="6879" width="23.625" style="1" customWidth="1"/>
    <col min="6880" max="6880" width="8" style="1" customWidth="1"/>
    <col min="6881" max="6881" width="9.125" style="1" customWidth="1"/>
    <col min="6882" max="6882" width="13.875" style="1" customWidth="1"/>
    <col min="6883" max="6883" width="13.5" style="1" customWidth="1"/>
    <col min="6884" max="7130" width="8.875" style="1"/>
    <col min="7131" max="7131" width="5" style="1" customWidth="1"/>
    <col min="7132" max="7132" width="33.375" style="1" customWidth="1"/>
    <col min="7133" max="7133" width="6.5" style="1" customWidth="1"/>
    <col min="7134" max="7134" width="29.5" style="1" customWidth="1"/>
    <col min="7135" max="7135" width="23.625" style="1" customWidth="1"/>
    <col min="7136" max="7136" width="8" style="1" customWidth="1"/>
    <col min="7137" max="7137" width="9.125" style="1" customWidth="1"/>
    <col min="7138" max="7138" width="13.875" style="1" customWidth="1"/>
    <col min="7139" max="7139" width="13.5" style="1" customWidth="1"/>
    <col min="7140" max="7386" width="8.875" style="1"/>
    <col min="7387" max="7387" width="5" style="1" customWidth="1"/>
    <col min="7388" max="7388" width="33.375" style="1" customWidth="1"/>
    <col min="7389" max="7389" width="6.5" style="1" customWidth="1"/>
    <col min="7390" max="7390" width="29.5" style="1" customWidth="1"/>
    <col min="7391" max="7391" width="23.625" style="1" customWidth="1"/>
    <col min="7392" max="7392" width="8" style="1" customWidth="1"/>
    <col min="7393" max="7393" width="9.125" style="1" customWidth="1"/>
    <col min="7394" max="7394" width="13.875" style="1" customWidth="1"/>
    <col min="7395" max="7395" width="13.5" style="1" customWidth="1"/>
    <col min="7396" max="7642" width="8.875" style="1"/>
    <col min="7643" max="7643" width="5" style="1" customWidth="1"/>
    <col min="7644" max="7644" width="33.375" style="1" customWidth="1"/>
    <col min="7645" max="7645" width="6.5" style="1" customWidth="1"/>
    <col min="7646" max="7646" width="29.5" style="1" customWidth="1"/>
    <col min="7647" max="7647" width="23.625" style="1" customWidth="1"/>
    <col min="7648" max="7648" width="8" style="1" customWidth="1"/>
    <col min="7649" max="7649" width="9.125" style="1" customWidth="1"/>
    <col min="7650" max="7650" width="13.875" style="1" customWidth="1"/>
    <col min="7651" max="7651" width="13.5" style="1" customWidth="1"/>
    <col min="7652" max="7898" width="8.875" style="1"/>
    <col min="7899" max="7899" width="5" style="1" customWidth="1"/>
    <col min="7900" max="7900" width="33.375" style="1" customWidth="1"/>
    <col min="7901" max="7901" width="6.5" style="1" customWidth="1"/>
    <col min="7902" max="7902" width="29.5" style="1" customWidth="1"/>
    <col min="7903" max="7903" width="23.625" style="1" customWidth="1"/>
    <col min="7904" max="7904" width="8" style="1" customWidth="1"/>
    <col min="7905" max="7905" width="9.125" style="1" customWidth="1"/>
    <col min="7906" max="7906" width="13.875" style="1" customWidth="1"/>
    <col min="7907" max="7907" width="13.5" style="1" customWidth="1"/>
    <col min="7908" max="8154" width="8.875" style="1"/>
    <col min="8155" max="8155" width="5" style="1" customWidth="1"/>
    <col min="8156" max="8156" width="33.375" style="1" customWidth="1"/>
    <col min="8157" max="8157" width="6.5" style="1" customWidth="1"/>
    <col min="8158" max="8158" width="29.5" style="1" customWidth="1"/>
    <col min="8159" max="8159" width="23.625" style="1" customWidth="1"/>
    <col min="8160" max="8160" width="8" style="1" customWidth="1"/>
    <col min="8161" max="8161" width="9.125" style="1" customWidth="1"/>
    <col min="8162" max="8162" width="13.875" style="1" customWidth="1"/>
    <col min="8163" max="8163" width="13.5" style="1" customWidth="1"/>
    <col min="8164" max="8410" width="8.875" style="1"/>
    <col min="8411" max="8411" width="5" style="1" customWidth="1"/>
    <col min="8412" max="8412" width="33.375" style="1" customWidth="1"/>
    <col min="8413" max="8413" width="6.5" style="1" customWidth="1"/>
    <col min="8414" max="8414" width="29.5" style="1" customWidth="1"/>
    <col min="8415" max="8415" width="23.625" style="1" customWidth="1"/>
    <col min="8416" max="8416" width="8" style="1" customWidth="1"/>
    <col min="8417" max="8417" width="9.125" style="1" customWidth="1"/>
    <col min="8418" max="8418" width="13.875" style="1" customWidth="1"/>
    <col min="8419" max="8419" width="13.5" style="1" customWidth="1"/>
    <col min="8420" max="8666" width="8.875" style="1"/>
    <col min="8667" max="8667" width="5" style="1" customWidth="1"/>
    <col min="8668" max="8668" width="33.375" style="1" customWidth="1"/>
    <col min="8669" max="8669" width="6.5" style="1" customWidth="1"/>
    <col min="8670" max="8670" width="29.5" style="1" customWidth="1"/>
    <col min="8671" max="8671" width="23.625" style="1" customWidth="1"/>
    <col min="8672" max="8672" width="8" style="1" customWidth="1"/>
    <col min="8673" max="8673" width="9.125" style="1" customWidth="1"/>
    <col min="8674" max="8674" width="13.875" style="1" customWidth="1"/>
    <col min="8675" max="8675" width="13.5" style="1" customWidth="1"/>
    <col min="8676" max="8922" width="8.875" style="1"/>
    <col min="8923" max="8923" width="5" style="1" customWidth="1"/>
    <col min="8924" max="8924" width="33.375" style="1" customWidth="1"/>
    <col min="8925" max="8925" width="6.5" style="1" customWidth="1"/>
    <col min="8926" max="8926" width="29.5" style="1" customWidth="1"/>
    <col min="8927" max="8927" width="23.625" style="1" customWidth="1"/>
    <col min="8928" max="8928" width="8" style="1" customWidth="1"/>
    <col min="8929" max="8929" width="9.125" style="1" customWidth="1"/>
    <col min="8930" max="8930" width="13.875" style="1" customWidth="1"/>
    <col min="8931" max="8931" width="13.5" style="1" customWidth="1"/>
    <col min="8932" max="9178" width="8.875" style="1"/>
    <col min="9179" max="9179" width="5" style="1" customWidth="1"/>
    <col min="9180" max="9180" width="33.375" style="1" customWidth="1"/>
    <col min="9181" max="9181" width="6.5" style="1" customWidth="1"/>
    <col min="9182" max="9182" width="29.5" style="1" customWidth="1"/>
    <col min="9183" max="9183" width="23.625" style="1" customWidth="1"/>
    <col min="9184" max="9184" width="8" style="1" customWidth="1"/>
    <col min="9185" max="9185" width="9.125" style="1" customWidth="1"/>
    <col min="9186" max="9186" width="13.875" style="1" customWidth="1"/>
    <col min="9187" max="9187" width="13.5" style="1" customWidth="1"/>
    <col min="9188" max="9434" width="8.875" style="1"/>
    <col min="9435" max="9435" width="5" style="1" customWidth="1"/>
    <col min="9436" max="9436" width="33.375" style="1" customWidth="1"/>
    <col min="9437" max="9437" width="6.5" style="1" customWidth="1"/>
    <col min="9438" max="9438" width="29.5" style="1" customWidth="1"/>
    <col min="9439" max="9439" width="23.625" style="1" customWidth="1"/>
    <col min="9440" max="9440" width="8" style="1" customWidth="1"/>
    <col min="9441" max="9441" width="9.125" style="1" customWidth="1"/>
    <col min="9442" max="9442" width="13.875" style="1" customWidth="1"/>
    <col min="9443" max="9443" width="13.5" style="1" customWidth="1"/>
    <col min="9444" max="9690" width="8.875" style="1"/>
    <col min="9691" max="9691" width="5" style="1" customWidth="1"/>
    <col min="9692" max="9692" width="33.375" style="1" customWidth="1"/>
    <col min="9693" max="9693" width="6.5" style="1" customWidth="1"/>
    <col min="9694" max="9694" width="29.5" style="1" customWidth="1"/>
    <col min="9695" max="9695" width="23.625" style="1" customWidth="1"/>
    <col min="9696" max="9696" width="8" style="1" customWidth="1"/>
    <col min="9697" max="9697" width="9.125" style="1" customWidth="1"/>
    <col min="9698" max="9698" width="13.875" style="1" customWidth="1"/>
    <col min="9699" max="9699" width="13.5" style="1" customWidth="1"/>
    <col min="9700" max="9946" width="8.875" style="1"/>
    <col min="9947" max="9947" width="5" style="1" customWidth="1"/>
    <col min="9948" max="9948" width="33.375" style="1" customWidth="1"/>
    <col min="9949" max="9949" width="6.5" style="1" customWidth="1"/>
    <col min="9950" max="9950" width="29.5" style="1" customWidth="1"/>
    <col min="9951" max="9951" width="23.625" style="1" customWidth="1"/>
    <col min="9952" max="9952" width="8" style="1" customWidth="1"/>
    <col min="9953" max="9953" width="9.125" style="1" customWidth="1"/>
    <col min="9954" max="9954" width="13.875" style="1" customWidth="1"/>
    <col min="9955" max="9955" width="13.5" style="1" customWidth="1"/>
    <col min="9956" max="10202" width="8.875" style="1"/>
    <col min="10203" max="10203" width="5" style="1" customWidth="1"/>
    <col min="10204" max="10204" width="33.375" style="1" customWidth="1"/>
    <col min="10205" max="10205" width="6.5" style="1" customWidth="1"/>
    <col min="10206" max="10206" width="29.5" style="1" customWidth="1"/>
    <col min="10207" max="10207" width="23.625" style="1" customWidth="1"/>
    <col min="10208" max="10208" width="8" style="1" customWidth="1"/>
    <col min="10209" max="10209" width="9.125" style="1" customWidth="1"/>
    <col min="10210" max="10210" width="13.875" style="1" customWidth="1"/>
    <col min="10211" max="10211" width="13.5" style="1" customWidth="1"/>
    <col min="10212" max="10458" width="8.875" style="1"/>
    <col min="10459" max="10459" width="5" style="1" customWidth="1"/>
    <col min="10460" max="10460" width="33.375" style="1" customWidth="1"/>
    <col min="10461" max="10461" width="6.5" style="1" customWidth="1"/>
    <col min="10462" max="10462" width="29.5" style="1" customWidth="1"/>
    <col min="10463" max="10463" width="23.625" style="1" customWidth="1"/>
    <col min="10464" max="10464" width="8" style="1" customWidth="1"/>
    <col min="10465" max="10465" width="9.125" style="1" customWidth="1"/>
    <col min="10466" max="10466" width="13.875" style="1" customWidth="1"/>
    <col min="10467" max="10467" width="13.5" style="1" customWidth="1"/>
    <col min="10468" max="10714" width="8.875" style="1"/>
    <col min="10715" max="10715" width="5" style="1" customWidth="1"/>
    <col min="10716" max="10716" width="33.375" style="1" customWidth="1"/>
    <col min="10717" max="10717" width="6.5" style="1" customWidth="1"/>
    <col min="10718" max="10718" width="29.5" style="1" customWidth="1"/>
    <col min="10719" max="10719" width="23.625" style="1" customWidth="1"/>
    <col min="10720" max="10720" width="8" style="1" customWidth="1"/>
    <col min="10721" max="10721" width="9.125" style="1" customWidth="1"/>
    <col min="10722" max="10722" width="13.875" style="1" customWidth="1"/>
    <col min="10723" max="10723" width="13.5" style="1" customWidth="1"/>
    <col min="10724" max="10970" width="8.875" style="1"/>
    <col min="10971" max="10971" width="5" style="1" customWidth="1"/>
    <col min="10972" max="10972" width="33.375" style="1" customWidth="1"/>
    <col min="10973" max="10973" width="6.5" style="1" customWidth="1"/>
    <col min="10974" max="10974" width="29.5" style="1" customWidth="1"/>
    <col min="10975" max="10975" width="23.625" style="1" customWidth="1"/>
    <col min="10976" max="10976" width="8" style="1" customWidth="1"/>
    <col min="10977" max="10977" width="9.125" style="1" customWidth="1"/>
    <col min="10978" max="10978" width="13.875" style="1" customWidth="1"/>
    <col min="10979" max="10979" width="13.5" style="1" customWidth="1"/>
    <col min="10980" max="11226" width="8.875" style="1"/>
    <col min="11227" max="11227" width="5" style="1" customWidth="1"/>
    <col min="11228" max="11228" width="33.375" style="1" customWidth="1"/>
    <col min="11229" max="11229" width="6.5" style="1" customWidth="1"/>
    <col min="11230" max="11230" width="29.5" style="1" customWidth="1"/>
    <col min="11231" max="11231" width="23.625" style="1" customWidth="1"/>
    <col min="11232" max="11232" width="8" style="1" customWidth="1"/>
    <col min="11233" max="11233" width="9.125" style="1" customWidth="1"/>
    <col min="11234" max="11234" width="13.875" style="1" customWidth="1"/>
    <col min="11235" max="11235" width="13.5" style="1" customWidth="1"/>
    <col min="11236" max="11482" width="8.875" style="1"/>
    <col min="11483" max="11483" width="5" style="1" customWidth="1"/>
    <col min="11484" max="11484" width="33.375" style="1" customWidth="1"/>
    <col min="11485" max="11485" width="6.5" style="1" customWidth="1"/>
    <col min="11486" max="11486" width="29.5" style="1" customWidth="1"/>
    <col min="11487" max="11487" width="23.625" style="1" customWidth="1"/>
    <col min="11488" max="11488" width="8" style="1" customWidth="1"/>
    <col min="11489" max="11489" width="9.125" style="1" customWidth="1"/>
    <col min="11490" max="11490" width="13.875" style="1" customWidth="1"/>
    <col min="11491" max="11491" width="13.5" style="1" customWidth="1"/>
    <col min="11492" max="11738" width="8.875" style="1"/>
    <col min="11739" max="11739" width="5" style="1" customWidth="1"/>
    <col min="11740" max="11740" width="33.375" style="1" customWidth="1"/>
    <col min="11741" max="11741" width="6.5" style="1" customWidth="1"/>
    <col min="11742" max="11742" width="29.5" style="1" customWidth="1"/>
    <col min="11743" max="11743" width="23.625" style="1" customWidth="1"/>
    <col min="11744" max="11744" width="8" style="1" customWidth="1"/>
    <col min="11745" max="11745" width="9.125" style="1" customWidth="1"/>
    <col min="11746" max="11746" width="13.875" style="1" customWidth="1"/>
    <col min="11747" max="11747" width="13.5" style="1" customWidth="1"/>
    <col min="11748" max="11994" width="8.875" style="1"/>
    <col min="11995" max="11995" width="5" style="1" customWidth="1"/>
    <col min="11996" max="11996" width="33.375" style="1" customWidth="1"/>
    <col min="11997" max="11997" width="6.5" style="1" customWidth="1"/>
    <col min="11998" max="11998" width="29.5" style="1" customWidth="1"/>
    <col min="11999" max="11999" width="23.625" style="1" customWidth="1"/>
    <col min="12000" max="12000" width="8" style="1" customWidth="1"/>
    <col min="12001" max="12001" width="9.125" style="1" customWidth="1"/>
    <col min="12002" max="12002" width="13.875" style="1" customWidth="1"/>
    <col min="12003" max="12003" width="13.5" style="1" customWidth="1"/>
    <col min="12004" max="12250" width="8.875" style="1"/>
    <col min="12251" max="12251" width="5" style="1" customWidth="1"/>
    <col min="12252" max="12252" width="33.375" style="1" customWidth="1"/>
    <col min="12253" max="12253" width="6.5" style="1" customWidth="1"/>
    <col min="12254" max="12254" width="29.5" style="1" customWidth="1"/>
    <col min="12255" max="12255" width="23.625" style="1" customWidth="1"/>
    <col min="12256" max="12256" width="8" style="1" customWidth="1"/>
    <col min="12257" max="12257" width="9.125" style="1" customWidth="1"/>
    <col min="12258" max="12258" width="13.875" style="1" customWidth="1"/>
    <col min="12259" max="12259" width="13.5" style="1" customWidth="1"/>
    <col min="12260" max="12506" width="8.875" style="1"/>
    <col min="12507" max="12507" width="5" style="1" customWidth="1"/>
    <col min="12508" max="12508" width="33.375" style="1" customWidth="1"/>
    <col min="12509" max="12509" width="6.5" style="1" customWidth="1"/>
    <col min="12510" max="12510" width="29.5" style="1" customWidth="1"/>
    <col min="12511" max="12511" width="23.625" style="1" customWidth="1"/>
    <col min="12512" max="12512" width="8" style="1" customWidth="1"/>
    <col min="12513" max="12513" width="9.125" style="1" customWidth="1"/>
    <col min="12514" max="12514" width="13.875" style="1" customWidth="1"/>
    <col min="12515" max="12515" width="13.5" style="1" customWidth="1"/>
    <col min="12516" max="12762" width="8.875" style="1"/>
    <col min="12763" max="12763" width="5" style="1" customWidth="1"/>
    <col min="12764" max="12764" width="33.375" style="1" customWidth="1"/>
    <col min="12765" max="12765" width="6.5" style="1" customWidth="1"/>
    <col min="12766" max="12766" width="29.5" style="1" customWidth="1"/>
    <col min="12767" max="12767" width="23.625" style="1" customWidth="1"/>
    <col min="12768" max="12768" width="8" style="1" customWidth="1"/>
    <col min="12769" max="12769" width="9.125" style="1" customWidth="1"/>
    <col min="12770" max="12770" width="13.875" style="1" customWidth="1"/>
    <col min="12771" max="12771" width="13.5" style="1" customWidth="1"/>
    <col min="12772" max="13018" width="8.875" style="1"/>
    <col min="13019" max="13019" width="5" style="1" customWidth="1"/>
    <col min="13020" max="13020" width="33.375" style="1" customWidth="1"/>
    <col min="13021" max="13021" width="6.5" style="1" customWidth="1"/>
    <col min="13022" max="13022" width="29.5" style="1" customWidth="1"/>
    <col min="13023" max="13023" width="23.625" style="1" customWidth="1"/>
    <col min="13024" max="13024" width="8" style="1" customWidth="1"/>
    <col min="13025" max="13025" width="9.125" style="1" customWidth="1"/>
    <col min="13026" max="13026" width="13.875" style="1" customWidth="1"/>
    <col min="13027" max="13027" width="13.5" style="1" customWidth="1"/>
    <col min="13028" max="13274" width="8.875" style="1"/>
    <col min="13275" max="13275" width="5" style="1" customWidth="1"/>
    <col min="13276" max="13276" width="33.375" style="1" customWidth="1"/>
    <col min="13277" max="13277" width="6.5" style="1" customWidth="1"/>
    <col min="13278" max="13278" width="29.5" style="1" customWidth="1"/>
    <col min="13279" max="13279" width="23.625" style="1" customWidth="1"/>
    <col min="13280" max="13280" width="8" style="1" customWidth="1"/>
    <col min="13281" max="13281" width="9.125" style="1" customWidth="1"/>
    <col min="13282" max="13282" width="13.875" style="1" customWidth="1"/>
    <col min="13283" max="13283" width="13.5" style="1" customWidth="1"/>
    <col min="13284" max="13530" width="8.875" style="1"/>
    <col min="13531" max="13531" width="5" style="1" customWidth="1"/>
    <col min="13532" max="13532" width="33.375" style="1" customWidth="1"/>
    <col min="13533" max="13533" width="6.5" style="1" customWidth="1"/>
    <col min="13534" max="13534" width="29.5" style="1" customWidth="1"/>
    <col min="13535" max="13535" width="23.625" style="1" customWidth="1"/>
    <col min="13536" max="13536" width="8" style="1" customWidth="1"/>
    <col min="13537" max="13537" width="9.125" style="1" customWidth="1"/>
    <col min="13538" max="13538" width="13.875" style="1" customWidth="1"/>
    <col min="13539" max="13539" width="13.5" style="1" customWidth="1"/>
    <col min="13540" max="13786" width="8.875" style="1"/>
    <col min="13787" max="13787" width="5" style="1" customWidth="1"/>
    <col min="13788" max="13788" width="33.375" style="1" customWidth="1"/>
    <col min="13789" max="13789" width="6.5" style="1" customWidth="1"/>
    <col min="13790" max="13790" width="29.5" style="1" customWidth="1"/>
    <col min="13791" max="13791" width="23.625" style="1" customWidth="1"/>
    <col min="13792" max="13792" width="8" style="1" customWidth="1"/>
    <col min="13793" max="13793" width="9.125" style="1" customWidth="1"/>
    <col min="13794" max="13794" width="13.875" style="1" customWidth="1"/>
    <col min="13795" max="13795" width="13.5" style="1" customWidth="1"/>
    <col min="13796" max="14042" width="8.875" style="1"/>
    <col min="14043" max="14043" width="5" style="1" customWidth="1"/>
    <col min="14044" max="14044" width="33.375" style="1" customWidth="1"/>
    <col min="14045" max="14045" width="6.5" style="1" customWidth="1"/>
    <col min="14046" max="14046" width="29.5" style="1" customWidth="1"/>
    <col min="14047" max="14047" width="23.625" style="1" customWidth="1"/>
    <col min="14048" max="14048" width="8" style="1" customWidth="1"/>
    <col min="14049" max="14049" width="9.125" style="1" customWidth="1"/>
    <col min="14050" max="14050" width="13.875" style="1" customWidth="1"/>
    <col min="14051" max="14051" width="13.5" style="1" customWidth="1"/>
    <col min="14052" max="14298" width="8.875" style="1"/>
    <col min="14299" max="14299" width="5" style="1" customWidth="1"/>
    <col min="14300" max="14300" width="33.375" style="1" customWidth="1"/>
    <col min="14301" max="14301" width="6.5" style="1" customWidth="1"/>
    <col min="14302" max="14302" width="29.5" style="1" customWidth="1"/>
    <col min="14303" max="14303" width="23.625" style="1" customWidth="1"/>
    <col min="14304" max="14304" width="8" style="1" customWidth="1"/>
    <col min="14305" max="14305" width="9.125" style="1" customWidth="1"/>
    <col min="14306" max="14306" width="13.875" style="1" customWidth="1"/>
    <col min="14307" max="14307" width="13.5" style="1" customWidth="1"/>
    <col min="14308" max="14554" width="8.875" style="1"/>
    <col min="14555" max="14555" width="5" style="1" customWidth="1"/>
    <col min="14556" max="14556" width="33.375" style="1" customWidth="1"/>
    <col min="14557" max="14557" width="6.5" style="1" customWidth="1"/>
    <col min="14558" max="14558" width="29.5" style="1" customWidth="1"/>
    <col min="14559" max="14559" width="23.625" style="1" customWidth="1"/>
    <col min="14560" max="14560" width="8" style="1" customWidth="1"/>
    <col min="14561" max="14561" width="9.125" style="1" customWidth="1"/>
    <col min="14562" max="14562" width="13.875" style="1" customWidth="1"/>
    <col min="14563" max="14563" width="13.5" style="1" customWidth="1"/>
    <col min="14564" max="14810" width="8.875" style="1"/>
    <col min="14811" max="14811" width="5" style="1" customWidth="1"/>
    <col min="14812" max="14812" width="33.375" style="1" customWidth="1"/>
    <col min="14813" max="14813" width="6.5" style="1" customWidth="1"/>
    <col min="14814" max="14814" width="29.5" style="1" customWidth="1"/>
    <col min="14815" max="14815" width="23.625" style="1" customWidth="1"/>
    <col min="14816" max="14816" width="8" style="1" customWidth="1"/>
    <col min="14817" max="14817" width="9.125" style="1" customWidth="1"/>
    <col min="14818" max="14818" width="13.875" style="1" customWidth="1"/>
    <col min="14819" max="14819" width="13.5" style="1" customWidth="1"/>
    <col min="14820" max="15066" width="8.875" style="1"/>
    <col min="15067" max="15067" width="5" style="1" customWidth="1"/>
    <col min="15068" max="15068" width="33.375" style="1" customWidth="1"/>
    <col min="15069" max="15069" width="6.5" style="1" customWidth="1"/>
    <col min="15070" max="15070" width="29.5" style="1" customWidth="1"/>
    <col min="15071" max="15071" width="23.625" style="1" customWidth="1"/>
    <col min="15072" max="15072" width="8" style="1" customWidth="1"/>
    <col min="15073" max="15073" width="9.125" style="1" customWidth="1"/>
    <col min="15074" max="15074" width="13.875" style="1" customWidth="1"/>
    <col min="15075" max="15075" width="13.5" style="1" customWidth="1"/>
    <col min="15076" max="15322" width="8.875" style="1"/>
    <col min="15323" max="15323" width="5" style="1" customWidth="1"/>
    <col min="15324" max="15324" width="33.375" style="1" customWidth="1"/>
    <col min="15325" max="15325" width="6.5" style="1" customWidth="1"/>
    <col min="15326" max="15326" width="29.5" style="1" customWidth="1"/>
    <col min="15327" max="15327" width="23.625" style="1" customWidth="1"/>
    <col min="15328" max="15328" width="8" style="1" customWidth="1"/>
    <col min="15329" max="15329" width="9.125" style="1" customWidth="1"/>
    <col min="15330" max="15330" width="13.875" style="1" customWidth="1"/>
    <col min="15331" max="15331" width="13.5" style="1" customWidth="1"/>
    <col min="15332" max="15578" width="8.875" style="1"/>
    <col min="15579" max="15579" width="5" style="1" customWidth="1"/>
    <col min="15580" max="15580" width="33.375" style="1" customWidth="1"/>
    <col min="15581" max="15581" width="6.5" style="1" customWidth="1"/>
    <col min="15582" max="15582" width="29.5" style="1" customWidth="1"/>
    <col min="15583" max="15583" width="23.625" style="1" customWidth="1"/>
    <col min="15584" max="15584" width="8" style="1" customWidth="1"/>
    <col min="15585" max="15585" width="9.125" style="1" customWidth="1"/>
    <col min="15586" max="15586" width="13.875" style="1" customWidth="1"/>
    <col min="15587" max="15587" width="13.5" style="1" customWidth="1"/>
    <col min="15588" max="15834" width="8.875" style="1"/>
    <col min="15835" max="15835" width="5" style="1" customWidth="1"/>
    <col min="15836" max="15836" width="33.375" style="1" customWidth="1"/>
    <col min="15837" max="15837" width="6.5" style="1" customWidth="1"/>
    <col min="15838" max="15838" width="29.5" style="1" customWidth="1"/>
    <col min="15839" max="15839" width="23.625" style="1" customWidth="1"/>
    <col min="15840" max="15840" width="8" style="1" customWidth="1"/>
    <col min="15841" max="15841" width="9.125" style="1" customWidth="1"/>
    <col min="15842" max="15842" width="13.875" style="1" customWidth="1"/>
    <col min="15843" max="15843" width="13.5" style="1" customWidth="1"/>
    <col min="15844" max="16384" width="8.875" style="1"/>
  </cols>
  <sheetData>
    <row r="1" spans="2:10" s="31" customFormat="1">
      <c r="B1" s="30"/>
      <c r="C1" s="30"/>
      <c r="F1" s="30"/>
      <c r="H1" s="30"/>
      <c r="J1" s="30"/>
    </row>
    <row r="2" spans="2:10" s="11" customFormat="1">
      <c r="B2" s="140" t="s">
        <v>253</v>
      </c>
      <c r="C2" s="140" t="s">
        <v>132</v>
      </c>
    </row>
    <row r="3" spans="2:10" s="11" customFormat="1">
      <c r="B3" s="209" t="s">
        <v>254</v>
      </c>
      <c r="C3" s="209" t="s">
        <v>255</v>
      </c>
    </row>
    <row r="4" spans="2:10" s="11" customFormat="1">
      <c r="B4" s="140" t="s">
        <v>256</v>
      </c>
      <c r="C4" s="140" t="s">
        <v>133</v>
      </c>
    </row>
    <row r="5" spans="2:10" s="31" customFormat="1">
      <c r="B5" s="30"/>
      <c r="C5" s="30"/>
      <c r="F5" s="30"/>
      <c r="H5" s="30"/>
      <c r="J5" s="30"/>
    </row>
    <row r="6" spans="2:10" s="3" customFormat="1" ht="27" customHeight="1">
      <c r="B6" s="92" t="s">
        <v>106</v>
      </c>
      <c r="C6" s="973" t="s">
        <v>176</v>
      </c>
      <c r="D6" s="974"/>
      <c r="E6" s="974"/>
      <c r="F6" s="42"/>
      <c r="G6" s="63"/>
      <c r="H6" s="42"/>
      <c r="I6" s="63"/>
      <c r="J6" s="42"/>
    </row>
    <row r="7" spans="2:10" s="3" customFormat="1" ht="27.95" customHeight="1">
      <c r="C7" s="98" t="s">
        <v>265</v>
      </c>
      <c r="D7" s="7"/>
      <c r="E7" s="7"/>
      <c r="F7" s="7"/>
      <c r="G7" s="7"/>
      <c r="H7" s="7"/>
      <c r="I7" s="7"/>
      <c r="J7" s="7"/>
    </row>
    <row r="8" spans="2:10" s="3" customFormat="1" ht="6.95" customHeight="1">
      <c r="C8" s="43"/>
      <c r="D8" s="7"/>
      <c r="E8" s="7"/>
      <c r="F8" s="7"/>
      <c r="G8" s="7"/>
      <c r="H8" s="7"/>
      <c r="I8" s="7"/>
      <c r="J8" s="7"/>
    </row>
    <row r="9" spans="2:10" s="4" customFormat="1" ht="20.100000000000001" customHeight="1">
      <c r="B9" s="1225" t="s">
        <v>1</v>
      </c>
      <c r="C9" s="1225" t="s">
        <v>82</v>
      </c>
      <c r="D9" s="1225" t="s">
        <v>28</v>
      </c>
      <c r="E9" s="1225" t="s">
        <v>90</v>
      </c>
      <c r="F9" s="1225"/>
      <c r="G9" s="1225"/>
      <c r="H9" s="1225" t="s">
        <v>94</v>
      </c>
      <c r="I9" s="1226" t="s">
        <v>95</v>
      </c>
      <c r="J9" s="1225" t="s">
        <v>2</v>
      </c>
    </row>
    <row r="10" spans="2:10" s="4" customFormat="1" ht="44.1" customHeight="1">
      <c r="B10" s="1225"/>
      <c r="C10" s="1225"/>
      <c r="D10" s="1225"/>
      <c r="E10" s="119" t="s">
        <v>91</v>
      </c>
      <c r="F10" s="118" t="s">
        <v>92</v>
      </c>
      <c r="G10" s="118" t="s">
        <v>93</v>
      </c>
      <c r="H10" s="1225"/>
      <c r="I10" s="1227"/>
      <c r="J10" s="1225"/>
    </row>
    <row r="11" spans="2:10">
      <c r="B11" s="135">
        <v>1</v>
      </c>
      <c r="C11" s="131" t="s">
        <v>109</v>
      </c>
      <c r="D11" s="131" t="s">
        <v>266</v>
      </c>
      <c r="E11" s="131" t="s">
        <v>110</v>
      </c>
      <c r="F11" s="136">
        <v>0.78</v>
      </c>
      <c r="G11" s="136">
        <f>F11</f>
        <v>0.78</v>
      </c>
      <c r="H11" s="131" t="s">
        <v>96</v>
      </c>
      <c r="I11" s="131" t="s">
        <v>97</v>
      </c>
      <c r="J11" s="131"/>
    </row>
    <row r="12" spans="2:10">
      <c r="B12" s="135">
        <v>2</v>
      </c>
      <c r="C12" s="131" t="s">
        <v>156</v>
      </c>
      <c r="D12" s="131" t="s">
        <v>267</v>
      </c>
      <c r="E12" s="131">
        <v>0.05</v>
      </c>
      <c r="F12" s="136">
        <v>0.78</v>
      </c>
      <c r="G12" s="136">
        <f>E12+F12</f>
        <v>0.83000000000000007</v>
      </c>
      <c r="H12" s="131" t="s">
        <v>96</v>
      </c>
      <c r="I12" s="131" t="s">
        <v>97</v>
      </c>
      <c r="J12" s="131"/>
    </row>
    <row r="13" spans="2:10">
      <c r="B13" s="135">
        <v>3</v>
      </c>
      <c r="C13" s="131" t="s">
        <v>98</v>
      </c>
      <c r="D13" s="131" t="s">
        <v>219</v>
      </c>
      <c r="E13" s="131">
        <v>0.1</v>
      </c>
      <c r="F13" s="136">
        <v>0.81</v>
      </c>
      <c r="G13" s="136">
        <f>E13+F13</f>
        <v>0.91</v>
      </c>
      <c r="H13" s="131" t="s">
        <v>99</v>
      </c>
      <c r="I13" s="131" t="s">
        <v>100</v>
      </c>
      <c r="J13" s="131"/>
    </row>
    <row r="14" spans="2:10">
      <c r="B14" s="135">
        <v>4</v>
      </c>
      <c r="C14" s="131" t="s">
        <v>103</v>
      </c>
      <c r="D14" s="131" t="s">
        <v>220</v>
      </c>
      <c r="E14" s="131">
        <v>0.05</v>
      </c>
      <c r="F14" s="136">
        <v>0.79</v>
      </c>
      <c r="G14" s="136">
        <f>E14+F14</f>
        <v>0.84000000000000008</v>
      </c>
      <c r="H14" s="131" t="s">
        <v>96</v>
      </c>
      <c r="I14" s="131" t="s">
        <v>97</v>
      </c>
      <c r="J14" s="131"/>
    </row>
    <row r="15" spans="2:10">
      <c r="B15" s="135">
        <v>5</v>
      </c>
      <c r="C15" s="131"/>
      <c r="D15" s="131"/>
      <c r="E15" s="131"/>
      <c r="F15" s="131"/>
      <c r="G15" s="131"/>
      <c r="H15" s="131"/>
      <c r="I15" s="131"/>
      <c r="J15" s="131"/>
    </row>
    <row r="16" spans="2:10">
      <c r="B16" s="135">
        <v>6</v>
      </c>
      <c r="C16" s="131"/>
      <c r="D16" s="131"/>
      <c r="E16" s="131"/>
      <c r="F16" s="131"/>
      <c r="G16" s="131"/>
      <c r="H16" s="131"/>
      <c r="I16" s="131"/>
      <c r="J16" s="131"/>
    </row>
    <row r="17" spans="2:10">
      <c r="B17" s="135">
        <v>7</v>
      </c>
      <c r="C17" s="131"/>
      <c r="D17" s="131"/>
      <c r="E17" s="131"/>
      <c r="F17" s="131"/>
      <c r="G17" s="131"/>
      <c r="H17" s="131"/>
      <c r="I17" s="131"/>
      <c r="J17" s="131"/>
    </row>
    <row r="18" spans="2:10">
      <c r="B18" s="135">
        <v>8</v>
      </c>
      <c r="C18" s="131"/>
      <c r="D18" s="131"/>
      <c r="E18" s="131"/>
      <c r="F18" s="131"/>
      <c r="G18" s="131"/>
      <c r="H18" s="131"/>
      <c r="I18" s="131"/>
      <c r="J18" s="131"/>
    </row>
    <row r="19" spans="2:10">
      <c r="B19" s="135">
        <v>9</v>
      </c>
      <c r="C19" s="131"/>
      <c r="D19" s="131"/>
      <c r="E19" s="131"/>
      <c r="F19" s="131"/>
      <c r="G19" s="131"/>
      <c r="H19" s="131"/>
      <c r="I19" s="131"/>
      <c r="J19" s="131"/>
    </row>
    <row r="20" spans="2:10">
      <c r="B20" s="135">
        <v>10</v>
      </c>
      <c r="C20" s="131"/>
      <c r="D20" s="131"/>
      <c r="E20" s="131"/>
      <c r="F20" s="131"/>
      <c r="G20" s="131"/>
      <c r="H20" s="131"/>
      <c r="I20" s="131"/>
      <c r="J20" s="131"/>
    </row>
    <row r="21" spans="2:10">
      <c r="B21" s="135">
        <v>11</v>
      </c>
      <c r="C21" s="131"/>
      <c r="D21" s="131"/>
      <c r="E21" s="131"/>
      <c r="F21" s="131"/>
      <c r="G21" s="131"/>
      <c r="H21" s="131"/>
      <c r="I21" s="131"/>
      <c r="J21" s="131"/>
    </row>
    <row r="22" spans="2:10">
      <c r="B22" s="135">
        <v>12</v>
      </c>
      <c r="C22" s="131"/>
      <c r="D22" s="131"/>
      <c r="E22" s="131"/>
      <c r="F22" s="131"/>
      <c r="G22" s="131"/>
      <c r="H22" s="131"/>
      <c r="I22" s="131"/>
      <c r="J22" s="131"/>
    </row>
    <row r="23" spans="2:10">
      <c r="B23" s="135">
        <v>13</v>
      </c>
      <c r="C23" s="131"/>
      <c r="D23" s="131"/>
      <c r="E23" s="131"/>
      <c r="F23" s="131"/>
      <c r="G23" s="131"/>
      <c r="H23" s="131"/>
      <c r="I23" s="131"/>
      <c r="J23" s="131"/>
    </row>
    <row r="24" spans="2:10">
      <c r="B24" s="135">
        <v>14</v>
      </c>
      <c r="C24" s="131"/>
      <c r="D24" s="131"/>
      <c r="E24" s="131"/>
      <c r="F24" s="131"/>
      <c r="G24" s="131"/>
      <c r="H24" s="131"/>
      <c r="I24" s="131"/>
      <c r="J24" s="131"/>
    </row>
    <row r="25" spans="2:10">
      <c r="B25" s="135">
        <v>15</v>
      </c>
      <c r="C25" s="131"/>
      <c r="D25" s="131"/>
      <c r="E25" s="131"/>
      <c r="F25" s="131"/>
      <c r="G25" s="131"/>
      <c r="H25" s="131"/>
      <c r="I25" s="131"/>
      <c r="J25" s="131"/>
    </row>
    <row r="26" spans="2:10">
      <c r="B26" s="135">
        <v>16</v>
      </c>
      <c r="C26" s="131"/>
      <c r="D26" s="131"/>
      <c r="E26" s="131"/>
      <c r="F26" s="131"/>
      <c r="G26" s="131"/>
      <c r="H26" s="131"/>
      <c r="I26" s="131"/>
      <c r="J26" s="131"/>
    </row>
    <row r="27" spans="2:10">
      <c r="B27" s="135">
        <v>17</v>
      </c>
      <c r="C27" s="131"/>
      <c r="D27" s="131"/>
      <c r="E27" s="131"/>
      <c r="F27" s="131"/>
      <c r="G27" s="131"/>
      <c r="H27" s="131"/>
      <c r="I27" s="131"/>
      <c r="J27" s="131"/>
    </row>
    <row r="28" spans="2:10">
      <c r="B28" s="135">
        <v>18</v>
      </c>
      <c r="C28" s="131"/>
      <c r="D28" s="131"/>
      <c r="E28" s="131"/>
      <c r="F28" s="131"/>
      <c r="G28" s="131"/>
      <c r="H28" s="131"/>
      <c r="I28" s="131"/>
      <c r="J28" s="131"/>
    </row>
    <row r="29" spans="2:10">
      <c r="B29" s="135">
        <v>19</v>
      </c>
      <c r="C29" s="131"/>
      <c r="D29" s="131"/>
      <c r="E29" s="131"/>
      <c r="F29" s="131"/>
      <c r="G29" s="131"/>
      <c r="H29" s="131"/>
      <c r="I29" s="131"/>
      <c r="J29" s="131"/>
    </row>
    <row r="30" spans="2:10">
      <c r="B30" s="135">
        <v>20</v>
      </c>
      <c r="C30" s="131"/>
      <c r="D30" s="131"/>
      <c r="E30" s="131"/>
      <c r="F30" s="131"/>
      <c r="G30" s="131"/>
      <c r="H30" s="131"/>
      <c r="I30" s="131"/>
      <c r="J30" s="131"/>
    </row>
    <row r="31" spans="2:10">
      <c r="B31" s="135">
        <v>21</v>
      </c>
      <c r="C31" s="131"/>
      <c r="D31" s="131"/>
      <c r="E31" s="131"/>
      <c r="F31" s="131"/>
      <c r="G31" s="131"/>
      <c r="H31" s="131"/>
      <c r="I31" s="131"/>
      <c r="J31" s="131"/>
    </row>
    <row r="32" spans="2:10">
      <c r="B32" s="135">
        <v>22</v>
      </c>
      <c r="C32" s="131"/>
      <c r="D32" s="131"/>
      <c r="E32" s="131"/>
      <c r="F32" s="131"/>
      <c r="G32" s="131"/>
      <c r="H32" s="131"/>
      <c r="I32" s="131"/>
      <c r="J32" s="131"/>
    </row>
    <row r="33" spans="2:15">
      <c r="B33" s="135">
        <v>23</v>
      </c>
      <c r="C33" s="131"/>
      <c r="D33" s="131"/>
      <c r="E33" s="131"/>
      <c r="F33" s="131"/>
      <c r="G33" s="131"/>
      <c r="H33" s="131"/>
      <c r="I33" s="131"/>
      <c r="J33" s="131"/>
    </row>
    <row r="34" spans="2:15">
      <c r="B34" s="135">
        <v>24</v>
      </c>
      <c r="C34" s="131"/>
      <c r="D34" s="131"/>
      <c r="E34" s="131"/>
      <c r="F34" s="131"/>
      <c r="G34" s="131"/>
      <c r="H34" s="131"/>
      <c r="I34" s="131"/>
      <c r="J34" s="131"/>
    </row>
    <row r="35" spans="2:15">
      <c r="B35" s="135">
        <v>25</v>
      </c>
      <c r="C35" s="131"/>
      <c r="D35" s="131"/>
      <c r="E35" s="131"/>
      <c r="F35" s="131"/>
      <c r="G35" s="131"/>
      <c r="H35" s="131"/>
      <c r="I35" s="131"/>
      <c r="J35" s="131"/>
    </row>
    <row r="36" spans="2:15">
      <c r="B36" s="135">
        <v>26</v>
      </c>
      <c r="C36" s="131"/>
      <c r="D36" s="131"/>
      <c r="E36" s="131"/>
      <c r="F36" s="131"/>
      <c r="G36" s="131"/>
      <c r="H36" s="131"/>
      <c r="I36" s="131"/>
      <c r="J36" s="131"/>
    </row>
    <row r="37" spans="2:15">
      <c r="B37" s="135">
        <v>27</v>
      </c>
      <c r="C37" s="131"/>
      <c r="D37" s="131"/>
      <c r="E37" s="131"/>
      <c r="F37" s="131"/>
      <c r="G37" s="131"/>
      <c r="H37" s="131"/>
      <c r="I37" s="131"/>
      <c r="J37" s="131"/>
    </row>
    <row r="38" spans="2:15">
      <c r="B38" s="135">
        <v>28</v>
      </c>
      <c r="C38" s="131"/>
      <c r="D38" s="131"/>
      <c r="E38" s="131"/>
      <c r="F38" s="131"/>
      <c r="G38" s="131"/>
      <c r="H38" s="131"/>
      <c r="I38" s="131"/>
      <c r="J38" s="131"/>
    </row>
    <row r="39" spans="2:15">
      <c r="B39" s="135">
        <v>29</v>
      </c>
      <c r="C39" s="131"/>
      <c r="D39" s="131"/>
      <c r="E39" s="131"/>
      <c r="F39" s="131"/>
      <c r="G39" s="131"/>
      <c r="H39" s="131"/>
      <c r="I39" s="131"/>
      <c r="J39" s="131"/>
    </row>
    <row r="40" spans="2:15">
      <c r="B40" s="135">
        <v>30</v>
      </c>
      <c r="C40" s="131"/>
      <c r="D40" s="131"/>
      <c r="E40" s="131"/>
      <c r="F40" s="131"/>
      <c r="G40" s="131"/>
      <c r="H40" s="131"/>
      <c r="I40" s="131"/>
      <c r="J40" s="131"/>
    </row>
    <row r="41" spans="2:15">
      <c r="B41" s="135">
        <v>31</v>
      </c>
      <c r="C41" s="131"/>
      <c r="D41" s="131"/>
      <c r="E41" s="131"/>
      <c r="F41" s="131"/>
      <c r="G41" s="131"/>
      <c r="H41" s="131"/>
      <c r="I41" s="131"/>
      <c r="J41" s="131"/>
    </row>
    <row r="42" spans="2:15">
      <c r="B42" s="135">
        <v>32</v>
      </c>
      <c r="C42" s="131"/>
      <c r="D42" s="131"/>
      <c r="E42" s="131"/>
      <c r="F42" s="131"/>
      <c r="G42" s="131"/>
      <c r="H42" s="131"/>
      <c r="I42" s="131"/>
      <c r="J42" s="131"/>
    </row>
    <row r="43" spans="2:15">
      <c r="B43" s="120" t="s">
        <v>33</v>
      </c>
      <c r="C43" s="121"/>
      <c r="D43" s="122"/>
      <c r="E43" s="122"/>
      <c r="F43" s="123"/>
      <c r="G43" s="122"/>
      <c r="H43" s="123"/>
      <c r="I43" s="122"/>
      <c r="J43" s="123"/>
    </row>
    <row r="44" spans="2:15">
      <c r="B44" s="5"/>
      <c r="C44" s="5"/>
      <c r="D44" s="5"/>
      <c r="E44" s="5"/>
      <c r="F44" s="6"/>
      <c r="G44" s="5"/>
      <c r="H44" s="6"/>
      <c r="I44" s="5"/>
      <c r="J44" s="6"/>
    </row>
    <row r="45" spans="2:15" ht="15.95" customHeight="1">
      <c r="B45" s="975" t="s">
        <v>34</v>
      </c>
      <c r="C45" s="975"/>
      <c r="D45" s="975" t="s">
        <v>35</v>
      </c>
      <c r="E45" s="975"/>
      <c r="F45" s="975" t="s">
        <v>35</v>
      </c>
      <c r="G45" s="975"/>
      <c r="H45" s="1"/>
      <c r="I45" s="38" t="s">
        <v>250</v>
      </c>
      <c r="J45" s="38"/>
      <c r="K45" s="38"/>
      <c r="L45" s="38"/>
      <c r="M45" s="38"/>
      <c r="N45" s="38"/>
      <c r="O45" s="38"/>
    </row>
    <row r="46" spans="2:15" ht="15.95" customHeight="1">
      <c r="B46" s="975" t="s">
        <v>268</v>
      </c>
      <c r="C46" s="975"/>
      <c r="D46" s="975" t="s">
        <v>88</v>
      </c>
      <c r="E46" s="975"/>
      <c r="F46" s="975" t="s">
        <v>70</v>
      </c>
      <c r="G46" s="975"/>
      <c r="H46" s="1"/>
      <c r="I46" s="975" t="s">
        <v>73</v>
      </c>
      <c r="J46" s="975"/>
      <c r="K46" s="38"/>
      <c r="L46" s="5"/>
      <c r="M46" s="38"/>
      <c r="N46" s="38"/>
      <c r="O46" s="38"/>
    </row>
    <row r="47" spans="2:15">
      <c r="B47" s="5"/>
      <c r="C47" s="5"/>
      <c r="E47" s="6"/>
      <c r="F47" s="6"/>
      <c r="G47" s="6"/>
      <c r="H47" s="1"/>
      <c r="I47" s="5"/>
      <c r="J47" s="5"/>
      <c r="K47" s="5"/>
      <c r="L47" s="5"/>
      <c r="M47" s="5"/>
      <c r="N47" s="5"/>
      <c r="O47" s="6"/>
    </row>
    <row r="48" spans="2:15">
      <c r="B48" s="5"/>
      <c r="C48" s="5"/>
      <c r="E48" s="6"/>
      <c r="F48" s="6"/>
      <c r="G48" s="6"/>
      <c r="H48" s="1"/>
      <c r="I48" s="5"/>
      <c r="J48" s="5"/>
      <c r="K48" s="5"/>
      <c r="L48" s="5"/>
      <c r="M48" s="5"/>
      <c r="N48" s="5"/>
      <c r="O48" s="6"/>
    </row>
    <row r="49" spans="2:15">
      <c r="B49" s="5"/>
      <c r="C49" s="5"/>
      <c r="E49" s="6"/>
      <c r="F49" s="6"/>
      <c r="G49" s="6"/>
      <c r="H49" s="1"/>
      <c r="I49" s="5"/>
      <c r="J49" s="5"/>
      <c r="K49" s="5"/>
      <c r="L49" s="5"/>
      <c r="M49" s="5"/>
      <c r="N49" s="5"/>
      <c r="O49" s="6"/>
    </row>
    <row r="50" spans="2:15">
      <c r="B50" s="5"/>
      <c r="C50" s="5"/>
      <c r="E50" s="6"/>
      <c r="F50" s="6"/>
      <c r="G50" s="6"/>
      <c r="H50" s="1"/>
      <c r="I50" s="5"/>
      <c r="J50" s="5"/>
      <c r="K50" s="5"/>
      <c r="L50" s="5"/>
      <c r="M50" s="5"/>
      <c r="N50" s="5"/>
      <c r="O50" s="6"/>
    </row>
    <row r="51" spans="2:15">
      <c r="B51" s="5"/>
      <c r="C51" s="5"/>
      <c r="E51" s="6"/>
      <c r="F51" s="6"/>
      <c r="G51" s="6"/>
      <c r="H51" s="1"/>
      <c r="I51" s="5"/>
      <c r="J51" s="5"/>
      <c r="K51" s="5"/>
      <c r="L51" s="5"/>
      <c r="M51" s="5"/>
      <c r="N51" s="5"/>
      <c r="O51" s="6"/>
    </row>
    <row r="52" spans="2:15" ht="15.95" customHeight="1">
      <c r="B52" s="972" t="s">
        <v>29</v>
      </c>
      <c r="C52" s="972"/>
      <c r="D52" s="972" t="s">
        <v>29</v>
      </c>
      <c r="E52" s="972"/>
      <c r="F52" s="972" t="s">
        <v>29</v>
      </c>
      <c r="G52" s="972"/>
      <c r="H52" s="1"/>
      <c r="I52" s="972" t="s">
        <v>29</v>
      </c>
      <c r="J52" s="972"/>
      <c r="K52" s="5"/>
      <c r="L52" s="5"/>
      <c r="M52" s="5"/>
      <c r="N52" s="5"/>
      <c r="O52" s="5"/>
    </row>
    <row r="53" spans="2:15">
      <c r="B53" s="5"/>
      <c r="C53" s="5"/>
      <c r="D53" s="5"/>
      <c r="E53" s="5"/>
      <c r="F53" s="5"/>
      <c r="G53" s="5"/>
      <c r="H53" s="5"/>
      <c r="I53" s="6"/>
      <c r="J53" s="6"/>
    </row>
  </sheetData>
  <mergeCells count="19">
    <mergeCell ref="B52:C52"/>
    <mergeCell ref="D52:E52"/>
    <mergeCell ref="F52:G52"/>
    <mergeCell ref="I52:J52"/>
    <mergeCell ref="I9:I10"/>
    <mergeCell ref="B45:C45"/>
    <mergeCell ref="D45:E45"/>
    <mergeCell ref="F45:G45"/>
    <mergeCell ref="B46:C46"/>
    <mergeCell ref="D46:E46"/>
    <mergeCell ref="F46:G46"/>
    <mergeCell ref="I46:J46"/>
    <mergeCell ref="D9:D10"/>
    <mergeCell ref="C9:C10"/>
    <mergeCell ref="B9:B10"/>
    <mergeCell ref="H9:H10"/>
    <mergeCell ref="C6:E6"/>
    <mergeCell ref="J9:J10"/>
    <mergeCell ref="E9:G9"/>
  </mergeCells>
  <pageMargins left="0.7" right="0.7" top="0.75" bottom="0.75" header="0.3" footer="0.3"/>
  <pageSetup paperSize="9" orientation="portrait" horizontalDpi="0" verticalDpi="0"/>
  <legacy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6"/>
  <dimension ref="B1:O52"/>
  <sheetViews>
    <sheetView showGridLines="0" zoomScale="95" workbookViewId="0">
      <selection activeCell="F13" sqref="F13"/>
    </sheetView>
  </sheetViews>
  <sheetFormatPr defaultColWidth="8.875" defaultRowHeight="12.75"/>
  <cols>
    <col min="1" max="1" width="2" style="1" customWidth="1"/>
    <col min="2" max="2" width="8.875" style="73" customWidth="1"/>
    <col min="3" max="3" width="17.875" style="1" customWidth="1"/>
    <col min="4" max="4" width="16.375" style="1" customWidth="1"/>
    <col min="5" max="6" width="14" style="1" customWidth="1"/>
    <col min="7" max="7" width="11.875" style="1" customWidth="1"/>
    <col min="8" max="8" width="10.375" style="1" customWidth="1"/>
    <col min="9" max="9" width="10.125" style="2" customWidth="1"/>
    <col min="10" max="10" width="11.625" style="2" customWidth="1"/>
    <col min="11" max="11" width="12" style="2" customWidth="1"/>
    <col min="12" max="219" width="8.875" style="1"/>
    <col min="220" max="220" width="5" style="1" customWidth="1"/>
    <col min="221" max="221" width="33.375" style="1" customWidth="1"/>
    <col min="222" max="222" width="6.5" style="1" customWidth="1"/>
    <col min="223" max="223" width="29.5" style="1" customWidth="1"/>
    <col min="224" max="224" width="23.625" style="1" customWidth="1"/>
    <col min="225" max="225" width="8" style="1" customWidth="1"/>
    <col min="226" max="226" width="9.125" style="1" customWidth="1"/>
    <col min="227" max="227" width="13.875" style="1" customWidth="1"/>
    <col min="228" max="228" width="13.5" style="1" customWidth="1"/>
    <col min="229" max="475" width="8.875" style="1"/>
    <col min="476" max="476" width="5" style="1" customWidth="1"/>
    <col min="477" max="477" width="33.375" style="1" customWidth="1"/>
    <col min="478" max="478" width="6.5" style="1" customWidth="1"/>
    <col min="479" max="479" width="29.5" style="1" customWidth="1"/>
    <col min="480" max="480" width="23.625" style="1" customWidth="1"/>
    <col min="481" max="481" width="8" style="1" customWidth="1"/>
    <col min="482" max="482" width="9.125" style="1" customWidth="1"/>
    <col min="483" max="483" width="13.875" style="1" customWidth="1"/>
    <col min="484" max="484" width="13.5" style="1" customWidth="1"/>
    <col min="485" max="731" width="8.875" style="1"/>
    <col min="732" max="732" width="5" style="1" customWidth="1"/>
    <col min="733" max="733" width="33.375" style="1" customWidth="1"/>
    <col min="734" max="734" width="6.5" style="1" customWidth="1"/>
    <col min="735" max="735" width="29.5" style="1" customWidth="1"/>
    <col min="736" max="736" width="23.625" style="1" customWidth="1"/>
    <col min="737" max="737" width="8" style="1" customWidth="1"/>
    <col min="738" max="738" width="9.125" style="1" customWidth="1"/>
    <col min="739" max="739" width="13.875" style="1" customWidth="1"/>
    <col min="740" max="740" width="13.5" style="1" customWidth="1"/>
    <col min="741" max="987" width="8.875" style="1"/>
    <col min="988" max="988" width="5" style="1" customWidth="1"/>
    <col min="989" max="989" width="33.375" style="1" customWidth="1"/>
    <col min="990" max="990" width="6.5" style="1" customWidth="1"/>
    <col min="991" max="991" width="29.5" style="1" customWidth="1"/>
    <col min="992" max="992" width="23.625" style="1" customWidth="1"/>
    <col min="993" max="993" width="8" style="1" customWidth="1"/>
    <col min="994" max="994" width="9.125" style="1" customWidth="1"/>
    <col min="995" max="995" width="13.875" style="1" customWidth="1"/>
    <col min="996" max="996" width="13.5" style="1" customWidth="1"/>
    <col min="997" max="1243" width="8.875" style="1"/>
    <col min="1244" max="1244" width="5" style="1" customWidth="1"/>
    <col min="1245" max="1245" width="33.375" style="1" customWidth="1"/>
    <col min="1246" max="1246" width="6.5" style="1" customWidth="1"/>
    <col min="1247" max="1247" width="29.5" style="1" customWidth="1"/>
    <col min="1248" max="1248" width="23.625" style="1" customWidth="1"/>
    <col min="1249" max="1249" width="8" style="1" customWidth="1"/>
    <col min="1250" max="1250" width="9.125" style="1" customWidth="1"/>
    <col min="1251" max="1251" width="13.875" style="1" customWidth="1"/>
    <col min="1252" max="1252" width="13.5" style="1" customWidth="1"/>
    <col min="1253" max="1499" width="8.875" style="1"/>
    <col min="1500" max="1500" width="5" style="1" customWidth="1"/>
    <col min="1501" max="1501" width="33.375" style="1" customWidth="1"/>
    <col min="1502" max="1502" width="6.5" style="1" customWidth="1"/>
    <col min="1503" max="1503" width="29.5" style="1" customWidth="1"/>
    <col min="1504" max="1504" width="23.625" style="1" customWidth="1"/>
    <col min="1505" max="1505" width="8" style="1" customWidth="1"/>
    <col min="1506" max="1506" width="9.125" style="1" customWidth="1"/>
    <col min="1507" max="1507" width="13.875" style="1" customWidth="1"/>
    <col min="1508" max="1508" width="13.5" style="1" customWidth="1"/>
    <col min="1509" max="1755" width="8.875" style="1"/>
    <col min="1756" max="1756" width="5" style="1" customWidth="1"/>
    <col min="1757" max="1757" width="33.375" style="1" customWidth="1"/>
    <col min="1758" max="1758" width="6.5" style="1" customWidth="1"/>
    <col min="1759" max="1759" width="29.5" style="1" customWidth="1"/>
    <col min="1760" max="1760" width="23.625" style="1" customWidth="1"/>
    <col min="1761" max="1761" width="8" style="1" customWidth="1"/>
    <col min="1762" max="1762" width="9.125" style="1" customWidth="1"/>
    <col min="1763" max="1763" width="13.875" style="1" customWidth="1"/>
    <col min="1764" max="1764" width="13.5" style="1" customWidth="1"/>
    <col min="1765" max="2011" width="8.875" style="1"/>
    <col min="2012" max="2012" width="5" style="1" customWidth="1"/>
    <col min="2013" max="2013" width="33.375" style="1" customWidth="1"/>
    <col min="2014" max="2014" width="6.5" style="1" customWidth="1"/>
    <col min="2015" max="2015" width="29.5" style="1" customWidth="1"/>
    <col min="2016" max="2016" width="23.625" style="1" customWidth="1"/>
    <col min="2017" max="2017" width="8" style="1" customWidth="1"/>
    <col min="2018" max="2018" width="9.125" style="1" customWidth="1"/>
    <col min="2019" max="2019" width="13.875" style="1" customWidth="1"/>
    <col min="2020" max="2020" width="13.5" style="1" customWidth="1"/>
    <col min="2021" max="2267" width="8.875" style="1"/>
    <col min="2268" max="2268" width="5" style="1" customWidth="1"/>
    <col min="2269" max="2269" width="33.375" style="1" customWidth="1"/>
    <col min="2270" max="2270" width="6.5" style="1" customWidth="1"/>
    <col min="2271" max="2271" width="29.5" style="1" customWidth="1"/>
    <col min="2272" max="2272" width="23.625" style="1" customWidth="1"/>
    <col min="2273" max="2273" width="8" style="1" customWidth="1"/>
    <col min="2274" max="2274" width="9.125" style="1" customWidth="1"/>
    <col min="2275" max="2275" width="13.875" style="1" customWidth="1"/>
    <col min="2276" max="2276" width="13.5" style="1" customWidth="1"/>
    <col min="2277" max="2523" width="8.875" style="1"/>
    <col min="2524" max="2524" width="5" style="1" customWidth="1"/>
    <col min="2525" max="2525" width="33.375" style="1" customWidth="1"/>
    <col min="2526" max="2526" width="6.5" style="1" customWidth="1"/>
    <col min="2527" max="2527" width="29.5" style="1" customWidth="1"/>
    <col min="2528" max="2528" width="23.625" style="1" customWidth="1"/>
    <col min="2529" max="2529" width="8" style="1" customWidth="1"/>
    <col min="2530" max="2530" width="9.125" style="1" customWidth="1"/>
    <col min="2531" max="2531" width="13.875" style="1" customWidth="1"/>
    <col min="2532" max="2532" width="13.5" style="1" customWidth="1"/>
    <col min="2533" max="2779" width="8.875" style="1"/>
    <col min="2780" max="2780" width="5" style="1" customWidth="1"/>
    <col min="2781" max="2781" width="33.375" style="1" customWidth="1"/>
    <col min="2782" max="2782" width="6.5" style="1" customWidth="1"/>
    <col min="2783" max="2783" width="29.5" style="1" customWidth="1"/>
    <col min="2784" max="2784" width="23.625" style="1" customWidth="1"/>
    <col min="2785" max="2785" width="8" style="1" customWidth="1"/>
    <col min="2786" max="2786" width="9.125" style="1" customWidth="1"/>
    <col min="2787" max="2787" width="13.875" style="1" customWidth="1"/>
    <col min="2788" max="2788" width="13.5" style="1" customWidth="1"/>
    <col min="2789" max="3035" width="8.875" style="1"/>
    <col min="3036" max="3036" width="5" style="1" customWidth="1"/>
    <col min="3037" max="3037" width="33.375" style="1" customWidth="1"/>
    <col min="3038" max="3038" width="6.5" style="1" customWidth="1"/>
    <col min="3039" max="3039" width="29.5" style="1" customWidth="1"/>
    <col min="3040" max="3040" width="23.625" style="1" customWidth="1"/>
    <col min="3041" max="3041" width="8" style="1" customWidth="1"/>
    <col min="3042" max="3042" width="9.125" style="1" customWidth="1"/>
    <col min="3043" max="3043" width="13.875" style="1" customWidth="1"/>
    <col min="3044" max="3044" width="13.5" style="1" customWidth="1"/>
    <col min="3045" max="3291" width="8.875" style="1"/>
    <col min="3292" max="3292" width="5" style="1" customWidth="1"/>
    <col min="3293" max="3293" width="33.375" style="1" customWidth="1"/>
    <col min="3294" max="3294" width="6.5" style="1" customWidth="1"/>
    <col min="3295" max="3295" width="29.5" style="1" customWidth="1"/>
    <col min="3296" max="3296" width="23.625" style="1" customWidth="1"/>
    <col min="3297" max="3297" width="8" style="1" customWidth="1"/>
    <col min="3298" max="3298" width="9.125" style="1" customWidth="1"/>
    <col min="3299" max="3299" width="13.875" style="1" customWidth="1"/>
    <col min="3300" max="3300" width="13.5" style="1" customWidth="1"/>
    <col min="3301" max="3547" width="8.875" style="1"/>
    <col min="3548" max="3548" width="5" style="1" customWidth="1"/>
    <col min="3549" max="3549" width="33.375" style="1" customWidth="1"/>
    <col min="3550" max="3550" width="6.5" style="1" customWidth="1"/>
    <col min="3551" max="3551" width="29.5" style="1" customWidth="1"/>
    <col min="3552" max="3552" width="23.625" style="1" customWidth="1"/>
    <col min="3553" max="3553" width="8" style="1" customWidth="1"/>
    <col min="3554" max="3554" width="9.125" style="1" customWidth="1"/>
    <col min="3555" max="3555" width="13.875" style="1" customWidth="1"/>
    <col min="3556" max="3556" width="13.5" style="1" customWidth="1"/>
    <col min="3557" max="3803" width="8.875" style="1"/>
    <col min="3804" max="3804" width="5" style="1" customWidth="1"/>
    <col min="3805" max="3805" width="33.375" style="1" customWidth="1"/>
    <col min="3806" max="3806" width="6.5" style="1" customWidth="1"/>
    <col min="3807" max="3807" width="29.5" style="1" customWidth="1"/>
    <col min="3808" max="3808" width="23.625" style="1" customWidth="1"/>
    <col min="3809" max="3809" width="8" style="1" customWidth="1"/>
    <col min="3810" max="3810" width="9.125" style="1" customWidth="1"/>
    <col min="3811" max="3811" width="13.875" style="1" customWidth="1"/>
    <col min="3812" max="3812" width="13.5" style="1" customWidth="1"/>
    <col min="3813" max="4059" width="8.875" style="1"/>
    <col min="4060" max="4060" width="5" style="1" customWidth="1"/>
    <col min="4061" max="4061" width="33.375" style="1" customWidth="1"/>
    <col min="4062" max="4062" width="6.5" style="1" customWidth="1"/>
    <col min="4063" max="4063" width="29.5" style="1" customWidth="1"/>
    <col min="4064" max="4064" width="23.625" style="1" customWidth="1"/>
    <col min="4065" max="4065" width="8" style="1" customWidth="1"/>
    <col min="4066" max="4066" width="9.125" style="1" customWidth="1"/>
    <col min="4067" max="4067" width="13.875" style="1" customWidth="1"/>
    <col min="4068" max="4068" width="13.5" style="1" customWidth="1"/>
    <col min="4069" max="4315" width="8.875" style="1"/>
    <col min="4316" max="4316" width="5" style="1" customWidth="1"/>
    <col min="4317" max="4317" width="33.375" style="1" customWidth="1"/>
    <col min="4318" max="4318" width="6.5" style="1" customWidth="1"/>
    <col min="4319" max="4319" width="29.5" style="1" customWidth="1"/>
    <col min="4320" max="4320" width="23.625" style="1" customWidth="1"/>
    <col min="4321" max="4321" width="8" style="1" customWidth="1"/>
    <col min="4322" max="4322" width="9.125" style="1" customWidth="1"/>
    <col min="4323" max="4323" width="13.875" style="1" customWidth="1"/>
    <col min="4324" max="4324" width="13.5" style="1" customWidth="1"/>
    <col min="4325" max="4571" width="8.875" style="1"/>
    <col min="4572" max="4572" width="5" style="1" customWidth="1"/>
    <col min="4573" max="4573" width="33.375" style="1" customWidth="1"/>
    <col min="4574" max="4574" width="6.5" style="1" customWidth="1"/>
    <col min="4575" max="4575" width="29.5" style="1" customWidth="1"/>
    <col min="4576" max="4576" width="23.625" style="1" customWidth="1"/>
    <col min="4577" max="4577" width="8" style="1" customWidth="1"/>
    <col min="4578" max="4578" width="9.125" style="1" customWidth="1"/>
    <col min="4579" max="4579" width="13.875" style="1" customWidth="1"/>
    <col min="4580" max="4580" width="13.5" style="1" customWidth="1"/>
    <col min="4581" max="4827" width="8.875" style="1"/>
    <col min="4828" max="4828" width="5" style="1" customWidth="1"/>
    <col min="4829" max="4829" width="33.375" style="1" customWidth="1"/>
    <col min="4830" max="4830" width="6.5" style="1" customWidth="1"/>
    <col min="4831" max="4831" width="29.5" style="1" customWidth="1"/>
    <col min="4832" max="4832" width="23.625" style="1" customWidth="1"/>
    <col min="4833" max="4833" width="8" style="1" customWidth="1"/>
    <col min="4834" max="4834" width="9.125" style="1" customWidth="1"/>
    <col min="4835" max="4835" width="13.875" style="1" customWidth="1"/>
    <col min="4836" max="4836" width="13.5" style="1" customWidth="1"/>
    <col min="4837" max="5083" width="8.875" style="1"/>
    <col min="5084" max="5084" width="5" style="1" customWidth="1"/>
    <col min="5085" max="5085" width="33.375" style="1" customWidth="1"/>
    <col min="5086" max="5086" width="6.5" style="1" customWidth="1"/>
    <col min="5087" max="5087" width="29.5" style="1" customWidth="1"/>
    <col min="5088" max="5088" width="23.625" style="1" customWidth="1"/>
    <col min="5089" max="5089" width="8" style="1" customWidth="1"/>
    <col min="5090" max="5090" width="9.125" style="1" customWidth="1"/>
    <col min="5091" max="5091" width="13.875" style="1" customWidth="1"/>
    <col min="5092" max="5092" width="13.5" style="1" customWidth="1"/>
    <col min="5093" max="5339" width="8.875" style="1"/>
    <col min="5340" max="5340" width="5" style="1" customWidth="1"/>
    <col min="5341" max="5341" width="33.375" style="1" customWidth="1"/>
    <col min="5342" max="5342" width="6.5" style="1" customWidth="1"/>
    <col min="5343" max="5343" width="29.5" style="1" customWidth="1"/>
    <col min="5344" max="5344" width="23.625" style="1" customWidth="1"/>
    <col min="5345" max="5345" width="8" style="1" customWidth="1"/>
    <col min="5346" max="5346" width="9.125" style="1" customWidth="1"/>
    <col min="5347" max="5347" width="13.875" style="1" customWidth="1"/>
    <col min="5348" max="5348" width="13.5" style="1" customWidth="1"/>
    <col min="5349" max="5595" width="8.875" style="1"/>
    <col min="5596" max="5596" width="5" style="1" customWidth="1"/>
    <col min="5597" max="5597" width="33.375" style="1" customWidth="1"/>
    <col min="5598" max="5598" width="6.5" style="1" customWidth="1"/>
    <col min="5599" max="5599" width="29.5" style="1" customWidth="1"/>
    <col min="5600" max="5600" width="23.625" style="1" customWidth="1"/>
    <col min="5601" max="5601" width="8" style="1" customWidth="1"/>
    <col min="5602" max="5602" width="9.125" style="1" customWidth="1"/>
    <col min="5603" max="5603" width="13.875" style="1" customWidth="1"/>
    <col min="5604" max="5604" width="13.5" style="1" customWidth="1"/>
    <col min="5605" max="5851" width="8.875" style="1"/>
    <col min="5852" max="5852" width="5" style="1" customWidth="1"/>
    <col min="5853" max="5853" width="33.375" style="1" customWidth="1"/>
    <col min="5854" max="5854" width="6.5" style="1" customWidth="1"/>
    <col min="5855" max="5855" width="29.5" style="1" customWidth="1"/>
    <col min="5856" max="5856" width="23.625" style="1" customWidth="1"/>
    <col min="5857" max="5857" width="8" style="1" customWidth="1"/>
    <col min="5858" max="5858" width="9.125" style="1" customWidth="1"/>
    <col min="5859" max="5859" width="13.875" style="1" customWidth="1"/>
    <col min="5860" max="5860" width="13.5" style="1" customWidth="1"/>
    <col min="5861" max="6107" width="8.875" style="1"/>
    <col min="6108" max="6108" width="5" style="1" customWidth="1"/>
    <col min="6109" max="6109" width="33.375" style="1" customWidth="1"/>
    <col min="6110" max="6110" width="6.5" style="1" customWidth="1"/>
    <col min="6111" max="6111" width="29.5" style="1" customWidth="1"/>
    <col min="6112" max="6112" width="23.625" style="1" customWidth="1"/>
    <col min="6113" max="6113" width="8" style="1" customWidth="1"/>
    <col min="6114" max="6114" width="9.125" style="1" customWidth="1"/>
    <col min="6115" max="6115" width="13.875" style="1" customWidth="1"/>
    <col min="6116" max="6116" width="13.5" style="1" customWidth="1"/>
    <col min="6117" max="6363" width="8.875" style="1"/>
    <col min="6364" max="6364" width="5" style="1" customWidth="1"/>
    <col min="6365" max="6365" width="33.375" style="1" customWidth="1"/>
    <col min="6366" max="6366" width="6.5" style="1" customWidth="1"/>
    <col min="6367" max="6367" width="29.5" style="1" customWidth="1"/>
    <col min="6368" max="6368" width="23.625" style="1" customWidth="1"/>
    <col min="6369" max="6369" width="8" style="1" customWidth="1"/>
    <col min="6370" max="6370" width="9.125" style="1" customWidth="1"/>
    <col min="6371" max="6371" width="13.875" style="1" customWidth="1"/>
    <col min="6372" max="6372" width="13.5" style="1" customWidth="1"/>
    <col min="6373" max="6619" width="8.875" style="1"/>
    <col min="6620" max="6620" width="5" style="1" customWidth="1"/>
    <col min="6621" max="6621" width="33.375" style="1" customWidth="1"/>
    <col min="6622" max="6622" width="6.5" style="1" customWidth="1"/>
    <col min="6623" max="6623" width="29.5" style="1" customWidth="1"/>
    <col min="6624" max="6624" width="23.625" style="1" customWidth="1"/>
    <col min="6625" max="6625" width="8" style="1" customWidth="1"/>
    <col min="6626" max="6626" width="9.125" style="1" customWidth="1"/>
    <col min="6627" max="6627" width="13.875" style="1" customWidth="1"/>
    <col min="6628" max="6628" width="13.5" style="1" customWidth="1"/>
    <col min="6629" max="6875" width="8.875" style="1"/>
    <col min="6876" max="6876" width="5" style="1" customWidth="1"/>
    <col min="6877" max="6877" width="33.375" style="1" customWidth="1"/>
    <col min="6878" max="6878" width="6.5" style="1" customWidth="1"/>
    <col min="6879" max="6879" width="29.5" style="1" customWidth="1"/>
    <col min="6880" max="6880" width="23.625" style="1" customWidth="1"/>
    <col min="6881" max="6881" width="8" style="1" customWidth="1"/>
    <col min="6882" max="6882" width="9.125" style="1" customWidth="1"/>
    <col min="6883" max="6883" width="13.875" style="1" customWidth="1"/>
    <col min="6884" max="6884" width="13.5" style="1" customWidth="1"/>
    <col min="6885" max="7131" width="8.875" style="1"/>
    <col min="7132" max="7132" width="5" style="1" customWidth="1"/>
    <col min="7133" max="7133" width="33.375" style="1" customWidth="1"/>
    <col min="7134" max="7134" width="6.5" style="1" customWidth="1"/>
    <col min="7135" max="7135" width="29.5" style="1" customWidth="1"/>
    <col min="7136" max="7136" width="23.625" style="1" customWidth="1"/>
    <col min="7137" max="7137" width="8" style="1" customWidth="1"/>
    <col min="7138" max="7138" width="9.125" style="1" customWidth="1"/>
    <col min="7139" max="7139" width="13.875" style="1" customWidth="1"/>
    <col min="7140" max="7140" width="13.5" style="1" customWidth="1"/>
    <col min="7141" max="7387" width="8.875" style="1"/>
    <col min="7388" max="7388" width="5" style="1" customWidth="1"/>
    <col min="7389" max="7389" width="33.375" style="1" customWidth="1"/>
    <col min="7390" max="7390" width="6.5" style="1" customWidth="1"/>
    <col min="7391" max="7391" width="29.5" style="1" customWidth="1"/>
    <col min="7392" max="7392" width="23.625" style="1" customWidth="1"/>
    <col min="7393" max="7393" width="8" style="1" customWidth="1"/>
    <col min="7394" max="7394" width="9.125" style="1" customWidth="1"/>
    <col min="7395" max="7395" width="13.875" style="1" customWidth="1"/>
    <col min="7396" max="7396" width="13.5" style="1" customWidth="1"/>
    <col min="7397" max="7643" width="8.875" style="1"/>
    <col min="7644" max="7644" width="5" style="1" customWidth="1"/>
    <col min="7645" max="7645" width="33.375" style="1" customWidth="1"/>
    <col min="7646" max="7646" width="6.5" style="1" customWidth="1"/>
    <col min="7647" max="7647" width="29.5" style="1" customWidth="1"/>
    <col min="7648" max="7648" width="23.625" style="1" customWidth="1"/>
    <col min="7649" max="7649" width="8" style="1" customWidth="1"/>
    <col min="7650" max="7650" width="9.125" style="1" customWidth="1"/>
    <col min="7651" max="7651" width="13.875" style="1" customWidth="1"/>
    <col min="7652" max="7652" width="13.5" style="1" customWidth="1"/>
    <col min="7653" max="7899" width="8.875" style="1"/>
    <col min="7900" max="7900" width="5" style="1" customWidth="1"/>
    <col min="7901" max="7901" width="33.375" style="1" customWidth="1"/>
    <col min="7902" max="7902" width="6.5" style="1" customWidth="1"/>
    <col min="7903" max="7903" width="29.5" style="1" customWidth="1"/>
    <col min="7904" max="7904" width="23.625" style="1" customWidth="1"/>
    <col min="7905" max="7905" width="8" style="1" customWidth="1"/>
    <col min="7906" max="7906" width="9.125" style="1" customWidth="1"/>
    <col min="7907" max="7907" width="13.875" style="1" customWidth="1"/>
    <col min="7908" max="7908" width="13.5" style="1" customWidth="1"/>
    <col min="7909" max="8155" width="8.875" style="1"/>
    <col min="8156" max="8156" width="5" style="1" customWidth="1"/>
    <col min="8157" max="8157" width="33.375" style="1" customWidth="1"/>
    <col min="8158" max="8158" width="6.5" style="1" customWidth="1"/>
    <col min="8159" max="8159" width="29.5" style="1" customWidth="1"/>
    <col min="8160" max="8160" width="23.625" style="1" customWidth="1"/>
    <col min="8161" max="8161" width="8" style="1" customWidth="1"/>
    <col min="8162" max="8162" width="9.125" style="1" customWidth="1"/>
    <col min="8163" max="8163" width="13.875" style="1" customWidth="1"/>
    <col min="8164" max="8164" width="13.5" style="1" customWidth="1"/>
    <col min="8165" max="8411" width="8.875" style="1"/>
    <col min="8412" max="8412" width="5" style="1" customWidth="1"/>
    <col min="8413" max="8413" width="33.375" style="1" customWidth="1"/>
    <col min="8414" max="8414" width="6.5" style="1" customWidth="1"/>
    <col min="8415" max="8415" width="29.5" style="1" customWidth="1"/>
    <col min="8416" max="8416" width="23.625" style="1" customWidth="1"/>
    <col min="8417" max="8417" width="8" style="1" customWidth="1"/>
    <col min="8418" max="8418" width="9.125" style="1" customWidth="1"/>
    <col min="8419" max="8419" width="13.875" style="1" customWidth="1"/>
    <col min="8420" max="8420" width="13.5" style="1" customWidth="1"/>
    <col min="8421" max="8667" width="8.875" style="1"/>
    <col min="8668" max="8668" width="5" style="1" customWidth="1"/>
    <col min="8669" max="8669" width="33.375" style="1" customWidth="1"/>
    <col min="8670" max="8670" width="6.5" style="1" customWidth="1"/>
    <col min="8671" max="8671" width="29.5" style="1" customWidth="1"/>
    <col min="8672" max="8672" width="23.625" style="1" customWidth="1"/>
    <col min="8673" max="8673" width="8" style="1" customWidth="1"/>
    <col min="8674" max="8674" width="9.125" style="1" customWidth="1"/>
    <col min="8675" max="8675" width="13.875" style="1" customWidth="1"/>
    <col min="8676" max="8676" width="13.5" style="1" customWidth="1"/>
    <col min="8677" max="8923" width="8.875" style="1"/>
    <col min="8924" max="8924" width="5" style="1" customWidth="1"/>
    <col min="8925" max="8925" width="33.375" style="1" customWidth="1"/>
    <col min="8926" max="8926" width="6.5" style="1" customWidth="1"/>
    <col min="8927" max="8927" width="29.5" style="1" customWidth="1"/>
    <col min="8928" max="8928" width="23.625" style="1" customWidth="1"/>
    <col min="8929" max="8929" width="8" style="1" customWidth="1"/>
    <col min="8930" max="8930" width="9.125" style="1" customWidth="1"/>
    <col min="8931" max="8931" width="13.875" style="1" customWidth="1"/>
    <col min="8932" max="8932" width="13.5" style="1" customWidth="1"/>
    <col min="8933" max="9179" width="8.875" style="1"/>
    <col min="9180" max="9180" width="5" style="1" customWidth="1"/>
    <col min="9181" max="9181" width="33.375" style="1" customWidth="1"/>
    <col min="9182" max="9182" width="6.5" style="1" customWidth="1"/>
    <col min="9183" max="9183" width="29.5" style="1" customWidth="1"/>
    <col min="9184" max="9184" width="23.625" style="1" customWidth="1"/>
    <col min="9185" max="9185" width="8" style="1" customWidth="1"/>
    <col min="9186" max="9186" width="9.125" style="1" customWidth="1"/>
    <col min="9187" max="9187" width="13.875" style="1" customWidth="1"/>
    <col min="9188" max="9188" width="13.5" style="1" customWidth="1"/>
    <col min="9189" max="9435" width="8.875" style="1"/>
    <col min="9436" max="9436" width="5" style="1" customWidth="1"/>
    <col min="9437" max="9437" width="33.375" style="1" customWidth="1"/>
    <col min="9438" max="9438" width="6.5" style="1" customWidth="1"/>
    <col min="9439" max="9439" width="29.5" style="1" customWidth="1"/>
    <col min="9440" max="9440" width="23.625" style="1" customWidth="1"/>
    <col min="9441" max="9441" width="8" style="1" customWidth="1"/>
    <col min="9442" max="9442" width="9.125" style="1" customWidth="1"/>
    <col min="9443" max="9443" width="13.875" style="1" customWidth="1"/>
    <col min="9444" max="9444" width="13.5" style="1" customWidth="1"/>
    <col min="9445" max="9691" width="8.875" style="1"/>
    <col min="9692" max="9692" width="5" style="1" customWidth="1"/>
    <col min="9693" max="9693" width="33.375" style="1" customWidth="1"/>
    <col min="9694" max="9694" width="6.5" style="1" customWidth="1"/>
    <col min="9695" max="9695" width="29.5" style="1" customWidth="1"/>
    <col min="9696" max="9696" width="23.625" style="1" customWidth="1"/>
    <col min="9697" max="9697" width="8" style="1" customWidth="1"/>
    <col min="9698" max="9698" width="9.125" style="1" customWidth="1"/>
    <col min="9699" max="9699" width="13.875" style="1" customWidth="1"/>
    <col min="9700" max="9700" width="13.5" style="1" customWidth="1"/>
    <col min="9701" max="9947" width="8.875" style="1"/>
    <col min="9948" max="9948" width="5" style="1" customWidth="1"/>
    <col min="9949" max="9949" width="33.375" style="1" customWidth="1"/>
    <col min="9950" max="9950" width="6.5" style="1" customWidth="1"/>
    <col min="9951" max="9951" width="29.5" style="1" customWidth="1"/>
    <col min="9952" max="9952" width="23.625" style="1" customWidth="1"/>
    <col min="9953" max="9953" width="8" style="1" customWidth="1"/>
    <col min="9954" max="9954" width="9.125" style="1" customWidth="1"/>
    <col min="9955" max="9955" width="13.875" style="1" customWidth="1"/>
    <col min="9956" max="9956" width="13.5" style="1" customWidth="1"/>
    <col min="9957" max="10203" width="8.875" style="1"/>
    <col min="10204" max="10204" width="5" style="1" customWidth="1"/>
    <col min="10205" max="10205" width="33.375" style="1" customWidth="1"/>
    <col min="10206" max="10206" width="6.5" style="1" customWidth="1"/>
    <col min="10207" max="10207" width="29.5" style="1" customWidth="1"/>
    <col min="10208" max="10208" width="23.625" style="1" customWidth="1"/>
    <col min="10209" max="10209" width="8" style="1" customWidth="1"/>
    <col min="10210" max="10210" width="9.125" style="1" customWidth="1"/>
    <col min="10211" max="10211" width="13.875" style="1" customWidth="1"/>
    <col min="10212" max="10212" width="13.5" style="1" customWidth="1"/>
    <col min="10213" max="10459" width="8.875" style="1"/>
    <col min="10460" max="10460" width="5" style="1" customWidth="1"/>
    <col min="10461" max="10461" width="33.375" style="1" customWidth="1"/>
    <col min="10462" max="10462" width="6.5" style="1" customWidth="1"/>
    <col min="10463" max="10463" width="29.5" style="1" customWidth="1"/>
    <col min="10464" max="10464" width="23.625" style="1" customWidth="1"/>
    <col min="10465" max="10465" width="8" style="1" customWidth="1"/>
    <col min="10466" max="10466" width="9.125" style="1" customWidth="1"/>
    <col min="10467" max="10467" width="13.875" style="1" customWidth="1"/>
    <col min="10468" max="10468" width="13.5" style="1" customWidth="1"/>
    <col min="10469" max="10715" width="8.875" style="1"/>
    <col min="10716" max="10716" width="5" style="1" customWidth="1"/>
    <col min="10717" max="10717" width="33.375" style="1" customWidth="1"/>
    <col min="10718" max="10718" width="6.5" style="1" customWidth="1"/>
    <col min="10719" max="10719" width="29.5" style="1" customWidth="1"/>
    <col min="10720" max="10720" width="23.625" style="1" customWidth="1"/>
    <col min="10721" max="10721" width="8" style="1" customWidth="1"/>
    <col min="10722" max="10722" width="9.125" style="1" customWidth="1"/>
    <col min="10723" max="10723" width="13.875" style="1" customWidth="1"/>
    <col min="10724" max="10724" width="13.5" style="1" customWidth="1"/>
    <col min="10725" max="10971" width="8.875" style="1"/>
    <col min="10972" max="10972" width="5" style="1" customWidth="1"/>
    <col min="10973" max="10973" width="33.375" style="1" customWidth="1"/>
    <col min="10974" max="10974" width="6.5" style="1" customWidth="1"/>
    <col min="10975" max="10975" width="29.5" style="1" customWidth="1"/>
    <col min="10976" max="10976" width="23.625" style="1" customWidth="1"/>
    <col min="10977" max="10977" width="8" style="1" customWidth="1"/>
    <col min="10978" max="10978" width="9.125" style="1" customWidth="1"/>
    <col min="10979" max="10979" width="13.875" style="1" customWidth="1"/>
    <col min="10980" max="10980" width="13.5" style="1" customWidth="1"/>
    <col min="10981" max="11227" width="8.875" style="1"/>
    <col min="11228" max="11228" width="5" style="1" customWidth="1"/>
    <col min="11229" max="11229" width="33.375" style="1" customWidth="1"/>
    <col min="11230" max="11230" width="6.5" style="1" customWidth="1"/>
    <col min="11231" max="11231" width="29.5" style="1" customWidth="1"/>
    <col min="11232" max="11232" width="23.625" style="1" customWidth="1"/>
    <col min="11233" max="11233" width="8" style="1" customWidth="1"/>
    <col min="11234" max="11234" width="9.125" style="1" customWidth="1"/>
    <col min="11235" max="11235" width="13.875" style="1" customWidth="1"/>
    <col min="11236" max="11236" width="13.5" style="1" customWidth="1"/>
    <col min="11237" max="11483" width="8.875" style="1"/>
    <col min="11484" max="11484" width="5" style="1" customWidth="1"/>
    <col min="11485" max="11485" width="33.375" style="1" customWidth="1"/>
    <col min="11486" max="11486" width="6.5" style="1" customWidth="1"/>
    <col min="11487" max="11487" width="29.5" style="1" customWidth="1"/>
    <col min="11488" max="11488" width="23.625" style="1" customWidth="1"/>
    <col min="11489" max="11489" width="8" style="1" customWidth="1"/>
    <col min="11490" max="11490" width="9.125" style="1" customWidth="1"/>
    <col min="11491" max="11491" width="13.875" style="1" customWidth="1"/>
    <col min="11492" max="11492" width="13.5" style="1" customWidth="1"/>
    <col min="11493" max="11739" width="8.875" style="1"/>
    <col min="11740" max="11740" width="5" style="1" customWidth="1"/>
    <col min="11741" max="11741" width="33.375" style="1" customWidth="1"/>
    <col min="11742" max="11742" width="6.5" style="1" customWidth="1"/>
    <col min="11743" max="11743" width="29.5" style="1" customWidth="1"/>
    <col min="11744" max="11744" width="23.625" style="1" customWidth="1"/>
    <col min="11745" max="11745" width="8" style="1" customWidth="1"/>
    <col min="11746" max="11746" width="9.125" style="1" customWidth="1"/>
    <col min="11747" max="11747" width="13.875" style="1" customWidth="1"/>
    <col min="11748" max="11748" width="13.5" style="1" customWidth="1"/>
    <col min="11749" max="11995" width="8.875" style="1"/>
    <col min="11996" max="11996" width="5" style="1" customWidth="1"/>
    <col min="11997" max="11997" width="33.375" style="1" customWidth="1"/>
    <col min="11998" max="11998" width="6.5" style="1" customWidth="1"/>
    <col min="11999" max="11999" width="29.5" style="1" customWidth="1"/>
    <col min="12000" max="12000" width="23.625" style="1" customWidth="1"/>
    <col min="12001" max="12001" width="8" style="1" customWidth="1"/>
    <col min="12002" max="12002" width="9.125" style="1" customWidth="1"/>
    <col min="12003" max="12003" width="13.875" style="1" customWidth="1"/>
    <col min="12004" max="12004" width="13.5" style="1" customWidth="1"/>
    <col min="12005" max="12251" width="8.875" style="1"/>
    <col min="12252" max="12252" width="5" style="1" customWidth="1"/>
    <col min="12253" max="12253" width="33.375" style="1" customWidth="1"/>
    <col min="12254" max="12254" width="6.5" style="1" customWidth="1"/>
    <col min="12255" max="12255" width="29.5" style="1" customWidth="1"/>
    <col min="12256" max="12256" width="23.625" style="1" customWidth="1"/>
    <col min="12257" max="12257" width="8" style="1" customWidth="1"/>
    <col min="12258" max="12258" width="9.125" style="1" customWidth="1"/>
    <col min="12259" max="12259" width="13.875" style="1" customWidth="1"/>
    <col min="12260" max="12260" width="13.5" style="1" customWidth="1"/>
    <col min="12261" max="12507" width="8.875" style="1"/>
    <col min="12508" max="12508" width="5" style="1" customWidth="1"/>
    <col min="12509" max="12509" width="33.375" style="1" customWidth="1"/>
    <col min="12510" max="12510" width="6.5" style="1" customWidth="1"/>
    <col min="12511" max="12511" width="29.5" style="1" customWidth="1"/>
    <col min="12512" max="12512" width="23.625" style="1" customWidth="1"/>
    <col min="12513" max="12513" width="8" style="1" customWidth="1"/>
    <col min="12514" max="12514" width="9.125" style="1" customWidth="1"/>
    <col min="12515" max="12515" width="13.875" style="1" customWidth="1"/>
    <col min="12516" max="12516" width="13.5" style="1" customWidth="1"/>
    <col min="12517" max="12763" width="8.875" style="1"/>
    <col min="12764" max="12764" width="5" style="1" customWidth="1"/>
    <col min="12765" max="12765" width="33.375" style="1" customWidth="1"/>
    <col min="12766" max="12766" width="6.5" style="1" customWidth="1"/>
    <col min="12767" max="12767" width="29.5" style="1" customWidth="1"/>
    <col min="12768" max="12768" width="23.625" style="1" customWidth="1"/>
    <col min="12769" max="12769" width="8" style="1" customWidth="1"/>
    <col min="12770" max="12770" width="9.125" style="1" customWidth="1"/>
    <col min="12771" max="12771" width="13.875" style="1" customWidth="1"/>
    <col min="12772" max="12772" width="13.5" style="1" customWidth="1"/>
    <col min="12773" max="13019" width="8.875" style="1"/>
    <col min="13020" max="13020" width="5" style="1" customWidth="1"/>
    <col min="13021" max="13021" width="33.375" style="1" customWidth="1"/>
    <col min="13022" max="13022" width="6.5" style="1" customWidth="1"/>
    <col min="13023" max="13023" width="29.5" style="1" customWidth="1"/>
    <col min="13024" max="13024" width="23.625" style="1" customWidth="1"/>
    <col min="13025" max="13025" width="8" style="1" customWidth="1"/>
    <col min="13026" max="13026" width="9.125" style="1" customWidth="1"/>
    <col min="13027" max="13027" width="13.875" style="1" customWidth="1"/>
    <col min="13028" max="13028" width="13.5" style="1" customWidth="1"/>
    <col min="13029" max="13275" width="8.875" style="1"/>
    <col min="13276" max="13276" width="5" style="1" customWidth="1"/>
    <col min="13277" max="13277" width="33.375" style="1" customWidth="1"/>
    <col min="13278" max="13278" width="6.5" style="1" customWidth="1"/>
    <col min="13279" max="13279" width="29.5" style="1" customWidth="1"/>
    <col min="13280" max="13280" width="23.625" style="1" customWidth="1"/>
    <col min="13281" max="13281" width="8" style="1" customWidth="1"/>
    <col min="13282" max="13282" width="9.125" style="1" customWidth="1"/>
    <col min="13283" max="13283" width="13.875" style="1" customWidth="1"/>
    <col min="13284" max="13284" width="13.5" style="1" customWidth="1"/>
    <col min="13285" max="13531" width="8.875" style="1"/>
    <col min="13532" max="13532" width="5" style="1" customWidth="1"/>
    <col min="13533" max="13533" width="33.375" style="1" customWidth="1"/>
    <col min="13534" max="13534" width="6.5" style="1" customWidth="1"/>
    <col min="13535" max="13535" width="29.5" style="1" customWidth="1"/>
    <col min="13536" max="13536" width="23.625" style="1" customWidth="1"/>
    <col min="13537" max="13537" width="8" style="1" customWidth="1"/>
    <col min="13538" max="13538" width="9.125" style="1" customWidth="1"/>
    <col min="13539" max="13539" width="13.875" style="1" customWidth="1"/>
    <col min="13540" max="13540" width="13.5" style="1" customWidth="1"/>
    <col min="13541" max="13787" width="8.875" style="1"/>
    <col min="13788" max="13788" width="5" style="1" customWidth="1"/>
    <col min="13789" max="13789" width="33.375" style="1" customWidth="1"/>
    <col min="13790" max="13790" width="6.5" style="1" customWidth="1"/>
    <col min="13791" max="13791" width="29.5" style="1" customWidth="1"/>
    <col min="13792" max="13792" width="23.625" style="1" customWidth="1"/>
    <col min="13793" max="13793" width="8" style="1" customWidth="1"/>
    <col min="13794" max="13794" width="9.125" style="1" customWidth="1"/>
    <col min="13795" max="13795" width="13.875" style="1" customWidth="1"/>
    <col min="13796" max="13796" width="13.5" style="1" customWidth="1"/>
    <col min="13797" max="14043" width="8.875" style="1"/>
    <col min="14044" max="14044" width="5" style="1" customWidth="1"/>
    <col min="14045" max="14045" width="33.375" style="1" customWidth="1"/>
    <col min="14046" max="14046" width="6.5" style="1" customWidth="1"/>
    <col min="14047" max="14047" width="29.5" style="1" customWidth="1"/>
    <col min="14048" max="14048" width="23.625" style="1" customWidth="1"/>
    <col min="14049" max="14049" width="8" style="1" customWidth="1"/>
    <col min="14050" max="14050" width="9.125" style="1" customWidth="1"/>
    <col min="14051" max="14051" width="13.875" style="1" customWidth="1"/>
    <col min="14052" max="14052" width="13.5" style="1" customWidth="1"/>
    <col min="14053" max="14299" width="8.875" style="1"/>
    <col min="14300" max="14300" width="5" style="1" customWidth="1"/>
    <col min="14301" max="14301" width="33.375" style="1" customWidth="1"/>
    <col min="14302" max="14302" width="6.5" style="1" customWidth="1"/>
    <col min="14303" max="14303" width="29.5" style="1" customWidth="1"/>
    <col min="14304" max="14304" width="23.625" style="1" customWidth="1"/>
    <col min="14305" max="14305" width="8" style="1" customWidth="1"/>
    <col min="14306" max="14306" width="9.125" style="1" customWidth="1"/>
    <col min="14307" max="14307" width="13.875" style="1" customWidth="1"/>
    <col min="14308" max="14308" width="13.5" style="1" customWidth="1"/>
    <col min="14309" max="14555" width="8.875" style="1"/>
    <col min="14556" max="14556" width="5" style="1" customWidth="1"/>
    <col min="14557" max="14557" width="33.375" style="1" customWidth="1"/>
    <col min="14558" max="14558" width="6.5" style="1" customWidth="1"/>
    <col min="14559" max="14559" width="29.5" style="1" customWidth="1"/>
    <col min="14560" max="14560" width="23.625" style="1" customWidth="1"/>
    <col min="14561" max="14561" width="8" style="1" customWidth="1"/>
    <col min="14562" max="14562" width="9.125" style="1" customWidth="1"/>
    <col min="14563" max="14563" width="13.875" style="1" customWidth="1"/>
    <col min="14564" max="14564" width="13.5" style="1" customWidth="1"/>
    <col min="14565" max="14811" width="8.875" style="1"/>
    <col min="14812" max="14812" width="5" style="1" customWidth="1"/>
    <col min="14813" max="14813" width="33.375" style="1" customWidth="1"/>
    <col min="14814" max="14814" width="6.5" style="1" customWidth="1"/>
    <col min="14815" max="14815" width="29.5" style="1" customWidth="1"/>
    <col min="14816" max="14816" width="23.625" style="1" customWidth="1"/>
    <col min="14817" max="14817" width="8" style="1" customWidth="1"/>
    <col min="14818" max="14818" width="9.125" style="1" customWidth="1"/>
    <col min="14819" max="14819" width="13.875" style="1" customWidth="1"/>
    <col min="14820" max="14820" width="13.5" style="1" customWidth="1"/>
    <col min="14821" max="15067" width="8.875" style="1"/>
    <col min="15068" max="15068" width="5" style="1" customWidth="1"/>
    <col min="15069" max="15069" width="33.375" style="1" customWidth="1"/>
    <col min="15070" max="15070" width="6.5" style="1" customWidth="1"/>
    <col min="15071" max="15071" width="29.5" style="1" customWidth="1"/>
    <col min="15072" max="15072" width="23.625" style="1" customWidth="1"/>
    <col min="15073" max="15073" width="8" style="1" customWidth="1"/>
    <col min="15074" max="15074" width="9.125" style="1" customWidth="1"/>
    <col min="15075" max="15075" width="13.875" style="1" customWidth="1"/>
    <col min="15076" max="15076" width="13.5" style="1" customWidth="1"/>
    <col min="15077" max="15323" width="8.875" style="1"/>
    <col min="15324" max="15324" width="5" style="1" customWidth="1"/>
    <col min="15325" max="15325" width="33.375" style="1" customWidth="1"/>
    <col min="15326" max="15326" width="6.5" style="1" customWidth="1"/>
    <col min="15327" max="15327" width="29.5" style="1" customWidth="1"/>
    <col min="15328" max="15328" width="23.625" style="1" customWidth="1"/>
    <col min="15329" max="15329" width="8" style="1" customWidth="1"/>
    <col min="15330" max="15330" width="9.125" style="1" customWidth="1"/>
    <col min="15331" max="15331" width="13.875" style="1" customWidth="1"/>
    <col min="15332" max="15332" width="13.5" style="1" customWidth="1"/>
    <col min="15333" max="15579" width="8.875" style="1"/>
    <col min="15580" max="15580" width="5" style="1" customWidth="1"/>
    <col min="15581" max="15581" width="33.375" style="1" customWidth="1"/>
    <col min="15582" max="15582" width="6.5" style="1" customWidth="1"/>
    <col min="15583" max="15583" width="29.5" style="1" customWidth="1"/>
    <col min="15584" max="15584" width="23.625" style="1" customWidth="1"/>
    <col min="15585" max="15585" width="8" style="1" customWidth="1"/>
    <col min="15586" max="15586" width="9.125" style="1" customWidth="1"/>
    <col min="15587" max="15587" width="13.875" style="1" customWidth="1"/>
    <col min="15588" max="15588" width="13.5" style="1" customWidth="1"/>
    <col min="15589" max="15835" width="8.875" style="1"/>
    <col min="15836" max="15836" width="5" style="1" customWidth="1"/>
    <col min="15837" max="15837" width="33.375" style="1" customWidth="1"/>
    <col min="15838" max="15838" width="6.5" style="1" customWidth="1"/>
    <col min="15839" max="15839" width="29.5" style="1" customWidth="1"/>
    <col min="15840" max="15840" width="23.625" style="1" customWidth="1"/>
    <col min="15841" max="15841" width="8" style="1" customWidth="1"/>
    <col min="15842" max="15842" width="9.125" style="1" customWidth="1"/>
    <col min="15843" max="15843" width="13.875" style="1" customWidth="1"/>
    <col min="15844" max="15844" width="13.5" style="1" customWidth="1"/>
    <col min="15845" max="16384" width="8.875" style="1"/>
  </cols>
  <sheetData>
    <row r="1" spans="2:11" s="31" customFormat="1">
      <c r="B1" s="70"/>
      <c r="C1" s="30"/>
      <c r="I1" s="30"/>
      <c r="K1" s="30"/>
    </row>
    <row r="2" spans="2:11" s="11" customFormat="1">
      <c r="B2" s="140" t="s">
        <v>253</v>
      </c>
      <c r="C2" s="140" t="s">
        <v>132</v>
      </c>
    </row>
    <row r="3" spans="2:11" s="11" customFormat="1">
      <c r="B3" s="209" t="s">
        <v>254</v>
      </c>
      <c r="C3" s="209" t="s">
        <v>255</v>
      </c>
    </row>
    <row r="4" spans="2:11" s="11" customFormat="1">
      <c r="B4" s="140" t="s">
        <v>256</v>
      </c>
      <c r="C4" s="140" t="s">
        <v>133</v>
      </c>
    </row>
    <row r="5" spans="2:11" s="31" customFormat="1">
      <c r="B5" s="70"/>
      <c r="C5" s="30"/>
      <c r="I5" s="30"/>
      <c r="K5" s="30"/>
    </row>
    <row r="6" spans="2:11" s="3" customFormat="1" ht="27" customHeight="1">
      <c r="B6" s="97" t="s">
        <v>117</v>
      </c>
      <c r="C6" s="96" t="s">
        <v>175</v>
      </c>
      <c r="D6" s="83"/>
      <c r="E6" s="83"/>
      <c r="F6" s="63"/>
      <c r="G6" s="63"/>
      <c r="H6" s="63"/>
      <c r="I6" s="74"/>
      <c r="J6" s="42"/>
      <c r="K6" s="42"/>
    </row>
    <row r="7" spans="2:11" s="3" customFormat="1" ht="27.95" customHeight="1">
      <c r="B7" s="71"/>
      <c r="C7" s="98" t="s">
        <v>269</v>
      </c>
      <c r="D7" s="7"/>
      <c r="E7" s="7"/>
      <c r="F7" s="7"/>
      <c r="G7" s="7"/>
      <c r="H7" s="7"/>
      <c r="I7" s="75"/>
      <c r="J7" s="7"/>
      <c r="K7" s="7"/>
    </row>
    <row r="8" spans="2:11" s="3" customFormat="1" ht="6.95" customHeight="1">
      <c r="B8" s="71"/>
      <c r="C8" s="43"/>
      <c r="D8" s="7"/>
      <c r="E8" s="7"/>
      <c r="F8" s="7"/>
      <c r="G8" s="7"/>
      <c r="H8" s="7"/>
      <c r="I8" s="75"/>
      <c r="J8" s="7"/>
      <c r="K8" s="7"/>
    </row>
    <row r="9" spans="2:11" s="4" customFormat="1" ht="20.100000000000001" customHeight="1">
      <c r="B9" s="1228" t="s">
        <v>1</v>
      </c>
      <c r="C9" s="1225" t="s">
        <v>82</v>
      </c>
      <c r="D9" s="1225" t="s">
        <v>28</v>
      </c>
      <c r="E9" s="1225" t="s">
        <v>101</v>
      </c>
      <c r="F9" s="1225"/>
      <c r="G9" s="1225"/>
      <c r="H9" s="1225"/>
      <c r="I9" s="1225" t="s">
        <v>94</v>
      </c>
      <c r="J9" s="1225" t="s">
        <v>95</v>
      </c>
      <c r="K9" s="1225" t="s">
        <v>2</v>
      </c>
    </row>
    <row r="10" spans="2:11" s="4" customFormat="1" ht="59.1" customHeight="1">
      <c r="B10" s="1228"/>
      <c r="C10" s="1225"/>
      <c r="D10" s="1225"/>
      <c r="E10" s="118" t="s">
        <v>270</v>
      </c>
      <c r="F10" s="118" t="s">
        <v>112</v>
      </c>
      <c r="G10" s="118" t="s">
        <v>102</v>
      </c>
      <c r="H10" s="118" t="s">
        <v>93</v>
      </c>
      <c r="I10" s="1225"/>
      <c r="J10" s="1225"/>
      <c r="K10" s="1225"/>
    </row>
    <row r="11" spans="2:11">
      <c r="B11" s="132">
        <v>1</v>
      </c>
      <c r="C11" s="126" t="s">
        <v>109</v>
      </c>
      <c r="D11" s="126" t="s">
        <v>266</v>
      </c>
      <c r="E11" s="133">
        <v>0.85</v>
      </c>
      <c r="F11" s="133">
        <v>0</v>
      </c>
      <c r="G11" s="133">
        <v>0.1</v>
      </c>
      <c r="H11" s="133">
        <f>SUM(E11:G11)</f>
        <v>0.95</v>
      </c>
      <c r="I11" s="134" t="s">
        <v>99</v>
      </c>
      <c r="J11" s="126" t="s">
        <v>100</v>
      </c>
      <c r="K11" s="126"/>
    </row>
    <row r="12" spans="2:11">
      <c r="B12" s="132">
        <v>2</v>
      </c>
      <c r="C12" s="126" t="s">
        <v>156</v>
      </c>
      <c r="D12" s="126" t="s">
        <v>221</v>
      </c>
      <c r="E12" s="133">
        <v>0.19</v>
      </c>
      <c r="F12" s="133">
        <v>0.54</v>
      </c>
      <c r="G12" s="133">
        <v>0.1</v>
      </c>
      <c r="H12" s="133">
        <f>SUM(E12:G12)</f>
        <v>0.83</v>
      </c>
      <c r="I12" s="134" t="s">
        <v>96</v>
      </c>
      <c r="J12" s="126" t="s">
        <v>97</v>
      </c>
      <c r="K12" s="126"/>
    </row>
    <row r="13" spans="2:11">
      <c r="B13" s="132">
        <v>3</v>
      </c>
      <c r="C13" s="126" t="s">
        <v>98</v>
      </c>
      <c r="D13" s="126" t="s">
        <v>222</v>
      </c>
      <c r="E13" s="133">
        <v>0.19</v>
      </c>
      <c r="F13" s="133">
        <v>0.5</v>
      </c>
      <c r="G13" s="133">
        <v>0.08</v>
      </c>
      <c r="H13" s="133">
        <f t="shared" ref="H13" si="0">SUM(E13:G13)</f>
        <v>0.76999999999999991</v>
      </c>
      <c r="I13" s="134" t="s">
        <v>104</v>
      </c>
      <c r="J13" s="126" t="s">
        <v>97</v>
      </c>
      <c r="K13" s="126"/>
    </row>
    <row r="14" spans="2:11">
      <c r="B14" s="132">
        <v>4</v>
      </c>
      <c r="C14" s="126" t="s">
        <v>103</v>
      </c>
      <c r="D14" s="126" t="s">
        <v>223</v>
      </c>
      <c r="E14" s="133">
        <v>0.19</v>
      </c>
      <c r="F14" s="133">
        <v>0.45</v>
      </c>
      <c r="G14" s="133">
        <v>0.09</v>
      </c>
      <c r="H14" s="133">
        <f>SUM(E14:G14)</f>
        <v>0.73</v>
      </c>
      <c r="I14" s="134" t="s">
        <v>96</v>
      </c>
      <c r="J14" s="126" t="s">
        <v>97</v>
      </c>
      <c r="K14" s="126"/>
    </row>
    <row r="15" spans="2:11">
      <c r="B15" s="132">
        <v>5</v>
      </c>
      <c r="C15" s="126"/>
      <c r="D15" s="126"/>
      <c r="E15" s="126"/>
      <c r="F15" s="126"/>
      <c r="G15" s="126"/>
      <c r="H15" s="126"/>
      <c r="I15" s="134"/>
      <c r="J15" s="126"/>
      <c r="K15" s="126"/>
    </row>
    <row r="16" spans="2:11">
      <c r="B16" s="132">
        <v>6</v>
      </c>
      <c r="C16" s="126"/>
      <c r="D16" s="126"/>
      <c r="E16" s="126"/>
      <c r="F16" s="126"/>
      <c r="G16" s="126"/>
      <c r="H16" s="126"/>
      <c r="I16" s="134"/>
      <c r="J16" s="126"/>
      <c r="K16" s="126"/>
    </row>
    <row r="17" spans="2:11">
      <c r="B17" s="132">
        <v>7</v>
      </c>
      <c r="C17" s="126"/>
      <c r="D17" s="126"/>
      <c r="E17" s="126"/>
      <c r="F17" s="126"/>
      <c r="G17" s="126"/>
      <c r="H17" s="126"/>
      <c r="I17" s="134"/>
      <c r="J17" s="126"/>
      <c r="K17" s="126"/>
    </row>
    <row r="18" spans="2:11">
      <c r="B18" s="132">
        <v>8</v>
      </c>
      <c r="C18" s="126"/>
      <c r="D18" s="126"/>
      <c r="E18" s="126"/>
      <c r="F18" s="126"/>
      <c r="G18" s="126"/>
      <c r="H18" s="126"/>
      <c r="I18" s="134"/>
      <c r="J18" s="126"/>
      <c r="K18" s="126"/>
    </row>
    <row r="19" spans="2:11">
      <c r="B19" s="132">
        <v>9</v>
      </c>
      <c r="C19" s="126"/>
      <c r="D19" s="126"/>
      <c r="E19" s="126"/>
      <c r="F19" s="126"/>
      <c r="G19" s="126"/>
      <c r="H19" s="126"/>
      <c r="I19" s="134"/>
      <c r="J19" s="126"/>
      <c r="K19" s="126"/>
    </row>
    <row r="20" spans="2:11">
      <c r="B20" s="132">
        <v>10</v>
      </c>
      <c r="C20" s="126"/>
      <c r="D20" s="126"/>
      <c r="E20" s="126"/>
      <c r="F20" s="126"/>
      <c r="G20" s="126"/>
      <c r="H20" s="126"/>
      <c r="I20" s="134"/>
      <c r="J20" s="126"/>
      <c r="K20" s="126"/>
    </row>
    <row r="21" spans="2:11">
      <c r="B21" s="132">
        <v>11</v>
      </c>
      <c r="C21" s="126"/>
      <c r="D21" s="126"/>
      <c r="E21" s="126"/>
      <c r="F21" s="126"/>
      <c r="G21" s="126"/>
      <c r="H21" s="126"/>
      <c r="I21" s="134"/>
      <c r="J21" s="126"/>
      <c r="K21" s="126"/>
    </row>
    <row r="22" spans="2:11">
      <c r="B22" s="132">
        <v>12</v>
      </c>
      <c r="C22" s="126"/>
      <c r="D22" s="126"/>
      <c r="E22" s="126"/>
      <c r="F22" s="126"/>
      <c r="G22" s="126"/>
      <c r="H22" s="126"/>
      <c r="I22" s="134"/>
      <c r="J22" s="126"/>
      <c r="K22" s="126"/>
    </row>
    <row r="23" spans="2:11">
      <c r="B23" s="132">
        <v>13</v>
      </c>
      <c r="C23" s="126"/>
      <c r="D23" s="126"/>
      <c r="E23" s="126"/>
      <c r="F23" s="126"/>
      <c r="G23" s="126"/>
      <c r="H23" s="126"/>
      <c r="I23" s="134"/>
      <c r="J23" s="126"/>
      <c r="K23" s="126"/>
    </row>
    <row r="24" spans="2:11">
      <c r="B24" s="132">
        <v>14</v>
      </c>
      <c r="C24" s="126"/>
      <c r="D24" s="126"/>
      <c r="E24" s="126"/>
      <c r="F24" s="126"/>
      <c r="G24" s="126"/>
      <c r="H24" s="126"/>
      <c r="I24" s="134"/>
      <c r="J24" s="126"/>
      <c r="K24" s="126"/>
    </row>
    <row r="25" spans="2:11">
      <c r="B25" s="132">
        <v>15</v>
      </c>
      <c r="C25" s="126"/>
      <c r="D25" s="126"/>
      <c r="E25" s="126"/>
      <c r="F25" s="126"/>
      <c r="G25" s="126"/>
      <c r="H25" s="126"/>
      <c r="I25" s="134"/>
      <c r="J25" s="126"/>
      <c r="K25" s="126"/>
    </row>
    <row r="26" spans="2:11">
      <c r="B26" s="132">
        <v>16</v>
      </c>
      <c r="C26" s="126"/>
      <c r="D26" s="126"/>
      <c r="E26" s="126"/>
      <c r="F26" s="126"/>
      <c r="G26" s="126"/>
      <c r="H26" s="126"/>
      <c r="I26" s="134"/>
      <c r="J26" s="126"/>
      <c r="K26" s="126"/>
    </row>
    <row r="27" spans="2:11">
      <c r="B27" s="132">
        <v>17</v>
      </c>
      <c r="C27" s="126"/>
      <c r="D27" s="126"/>
      <c r="E27" s="126"/>
      <c r="F27" s="126"/>
      <c r="G27" s="126"/>
      <c r="H27" s="126"/>
      <c r="I27" s="134"/>
      <c r="J27" s="126"/>
      <c r="K27" s="126"/>
    </row>
    <row r="28" spans="2:11">
      <c r="B28" s="132">
        <v>18</v>
      </c>
      <c r="C28" s="126"/>
      <c r="D28" s="126"/>
      <c r="E28" s="126"/>
      <c r="F28" s="126"/>
      <c r="G28" s="126"/>
      <c r="H28" s="126"/>
      <c r="I28" s="134"/>
      <c r="J28" s="126"/>
      <c r="K28" s="126"/>
    </row>
    <row r="29" spans="2:11">
      <c r="B29" s="132">
        <v>19</v>
      </c>
      <c r="C29" s="126"/>
      <c r="D29" s="126"/>
      <c r="E29" s="126"/>
      <c r="F29" s="126"/>
      <c r="G29" s="126"/>
      <c r="H29" s="126"/>
      <c r="I29" s="134"/>
      <c r="J29" s="126"/>
      <c r="K29" s="126"/>
    </row>
    <row r="30" spans="2:11">
      <c r="B30" s="132">
        <v>20</v>
      </c>
      <c r="C30" s="126"/>
      <c r="D30" s="126"/>
      <c r="E30" s="126"/>
      <c r="F30" s="126"/>
      <c r="G30" s="126"/>
      <c r="H30" s="126"/>
      <c r="I30" s="134"/>
      <c r="J30" s="126"/>
      <c r="K30" s="126"/>
    </row>
    <row r="31" spans="2:11">
      <c r="B31" s="132">
        <v>21</v>
      </c>
      <c r="C31" s="126"/>
      <c r="D31" s="126"/>
      <c r="E31" s="126"/>
      <c r="F31" s="126"/>
      <c r="G31" s="126"/>
      <c r="H31" s="126"/>
      <c r="I31" s="134"/>
      <c r="J31" s="126"/>
      <c r="K31" s="126"/>
    </row>
    <row r="32" spans="2:11">
      <c r="B32" s="132">
        <v>22</v>
      </c>
      <c r="C32" s="126"/>
      <c r="D32" s="126"/>
      <c r="E32" s="126"/>
      <c r="F32" s="126"/>
      <c r="G32" s="126"/>
      <c r="H32" s="126"/>
      <c r="I32" s="134"/>
      <c r="J32" s="126"/>
      <c r="K32" s="126"/>
    </row>
    <row r="33" spans="2:15">
      <c r="B33" s="132">
        <v>23</v>
      </c>
      <c r="C33" s="126"/>
      <c r="D33" s="126"/>
      <c r="E33" s="126"/>
      <c r="F33" s="126"/>
      <c r="G33" s="126"/>
      <c r="H33" s="126"/>
      <c r="I33" s="134"/>
      <c r="J33" s="126"/>
      <c r="K33" s="126"/>
    </row>
    <row r="34" spans="2:15">
      <c r="B34" s="132">
        <v>24</v>
      </c>
      <c r="C34" s="126"/>
      <c r="D34" s="126"/>
      <c r="E34" s="126"/>
      <c r="F34" s="126"/>
      <c r="G34" s="126"/>
      <c r="H34" s="126"/>
      <c r="I34" s="134"/>
      <c r="J34" s="126"/>
      <c r="K34" s="126"/>
    </row>
    <row r="35" spans="2:15">
      <c r="B35" s="132">
        <v>25</v>
      </c>
      <c r="C35" s="126"/>
      <c r="D35" s="126"/>
      <c r="E35" s="126"/>
      <c r="F35" s="126"/>
      <c r="G35" s="126"/>
      <c r="H35" s="126"/>
      <c r="I35" s="134"/>
      <c r="J35" s="126"/>
      <c r="K35" s="126"/>
    </row>
    <row r="36" spans="2:15">
      <c r="B36" s="132">
        <v>26</v>
      </c>
      <c r="C36" s="126"/>
      <c r="D36" s="126"/>
      <c r="E36" s="126"/>
      <c r="F36" s="126"/>
      <c r="G36" s="126"/>
      <c r="H36" s="126"/>
      <c r="I36" s="134"/>
      <c r="J36" s="126"/>
      <c r="K36" s="126"/>
    </row>
    <row r="37" spans="2:15">
      <c r="B37" s="132">
        <v>27</v>
      </c>
      <c r="C37" s="126"/>
      <c r="D37" s="126"/>
      <c r="E37" s="126"/>
      <c r="F37" s="126"/>
      <c r="G37" s="126"/>
      <c r="H37" s="126"/>
      <c r="I37" s="134"/>
      <c r="J37" s="126"/>
      <c r="K37" s="126"/>
    </row>
    <row r="38" spans="2:15">
      <c r="B38" s="132">
        <v>28</v>
      </c>
      <c r="C38" s="126"/>
      <c r="D38" s="126"/>
      <c r="E38" s="126"/>
      <c r="F38" s="126"/>
      <c r="G38" s="126"/>
      <c r="H38" s="126"/>
      <c r="I38" s="134"/>
      <c r="J38" s="126"/>
      <c r="K38" s="126"/>
    </row>
    <row r="39" spans="2:15">
      <c r="B39" s="132">
        <v>29</v>
      </c>
      <c r="C39" s="126"/>
      <c r="D39" s="126"/>
      <c r="E39" s="126"/>
      <c r="F39" s="126"/>
      <c r="G39" s="126"/>
      <c r="H39" s="126"/>
      <c r="I39" s="134"/>
      <c r="J39" s="126"/>
      <c r="K39" s="126"/>
    </row>
    <row r="40" spans="2:15">
      <c r="B40" s="132">
        <v>30</v>
      </c>
      <c r="C40" s="126"/>
      <c r="D40" s="126"/>
      <c r="E40" s="126"/>
      <c r="F40" s="126"/>
      <c r="G40" s="126"/>
      <c r="H40" s="126"/>
      <c r="I40" s="134"/>
      <c r="J40" s="126"/>
      <c r="K40" s="126"/>
    </row>
    <row r="41" spans="2:15">
      <c r="B41" s="132">
        <v>31</v>
      </c>
      <c r="C41" s="126"/>
      <c r="D41" s="126"/>
      <c r="E41" s="126"/>
      <c r="F41" s="126"/>
      <c r="G41" s="126"/>
      <c r="H41" s="126"/>
      <c r="I41" s="134"/>
      <c r="J41" s="126"/>
      <c r="K41" s="126"/>
    </row>
    <row r="42" spans="2:15">
      <c r="B42" s="132">
        <v>32</v>
      </c>
      <c r="C42" s="126"/>
      <c r="D42" s="126"/>
      <c r="E42" s="126"/>
      <c r="F42" s="126"/>
      <c r="G42" s="126"/>
      <c r="H42" s="126"/>
      <c r="I42" s="134"/>
      <c r="J42" s="126"/>
      <c r="K42" s="126"/>
    </row>
    <row r="43" spans="2:15">
      <c r="B43" s="124" t="s">
        <v>33</v>
      </c>
      <c r="C43" s="121"/>
      <c r="D43" s="122"/>
      <c r="E43" s="122"/>
      <c r="F43" s="122"/>
      <c r="G43" s="122"/>
      <c r="H43" s="122"/>
      <c r="I43" s="123"/>
      <c r="J43" s="125"/>
      <c r="K43" s="123"/>
    </row>
    <row r="44" spans="2:15">
      <c r="B44" s="72"/>
      <c r="C44" s="5"/>
      <c r="D44" s="5"/>
      <c r="E44" s="5"/>
      <c r="F44" s="5"/>
      <c r="G44" s="5"/>
      <c r="H44" s="5"/>
      <c r="I44" s="6"/>
      <c r="J44" s="6"/>
      <c r="K44" s="6"/>
    </row>
    <row r="45" spans="2:15" ht="15.95" customHeight="1">
      <c r="B45" s="975" t="s">
        <v>34</v>
      </c>
      <c r="C45" s="975"/>
      <c r="D45" s="975" t="s">
        <v>35</v>
      </c>
      <c r="E45" s="975"/>
      <c r="F45" s="975" t="s">
        <v>35</v>
      </c>
      <c r="G45" s="975"/>
      <c r="I45" s="38" t="s">
        <v>250</v>
      </c>
      <c r="J45" s="38"/>
      <c r="K45" s="38"/>
      <c r="L45" s="38"/>
      <c r="M45" s="38"/>
      <c r="N45" s="38"/>
      <c r="O45" s="38"/>
    </row>
    <row r="46" spans="2:15" ht="15.95" customHeight="1">
      <c r="B46" s="975" t="s">
        <v>268</v>
      </c>
      <c r="C46" s="975"/>
      <c r="D46" s="975" t="s">
        <v>88</v>
      </c>
      <c r="E46" s="975"/>
      <c r="F46" s="975" t="s">
        <v>70</v>
      </c>
      <c r="G46" s="975"/>
      <c r="I46" s="975" t="s">
        <v>73</v>
      </c>
      <c r="J46" s="975"/>
      <c r="K46" s="38"/>
      <c r="L46" s="5"/>
      <c r="M46" s="38"/>
      <c r="N46" s="38"/>
      <c r="O46" s="38"/>
    </row>
    <row r="47" spans="2:15">
      <c r="B47" s="5"/>
      <c r="C47" s="5"/>
      <c r="E47" s="6"/>
      <c r="F47" s="6"/>
      <c r="G47" s="6"/>
      <c r="I47" s="5"/>
      <c r="J47" s="5"/>
      <c r="K47" s="5"/>
      <c r="L47" s="5"/>
      <c r="M47" s="5"/>
      <c r="N47" s="5"/>
      <c r="O47" s="6"/>
    </row>
    <row r="48" spans="2:15">
      <c r="B48" s="5"/>
      <c r="C48" s="5"/>
      <c r="E48" s="6"/>
      <c r="F48" s="6"/>
      <c r="G48" s="6"/>
      <c r="I48" s="5"/>
      <c r="J48" s="5"/>
      <c r="K48" s="5"/>
      <c r="L48" s="5"/>
      <c r="M48" s="5"/>
      <c r="N48" s="5"/>
      <c r="O48" s="6"/>
    </row>
    <row r="49" spans="2:15">
      <c r="B49" s="5"/>
      <c r="C49" s="5"/>
      <c r="E49" s="6"/>
      <c r="F49" s="6"/>
      <c r="G49" s="6"/>
      <c r="I49" s="5"/>
      <c r="J49" s="5"/>
      <c r="K49" s="5"/>
      <c r="L49" s="5"/>
      <c r="M49" s="5"/>
      <c r="N49" s="5"/>
      <c r="O49" s="6"/>
    </row>
    <row r="50" spans="2:15">
      <c r="B50" s="5"/>
      <c r="C50" s="5"/>
      <c r="E50" s="6"/>
      <c r="F50" s="6"/>
      <c r="G50" s="6"/>
      <c r="I50" s="5"/>
      <c r="J50" s="5"/>
      <c r="K50" s="5"/>
      <c r="L50" s="5"/>
      <c r="M50" s="5"/>
      <c r="N50" s="5"/>
      <c r="O50" s="6"/>
    </row>
    <row r="51" spans="2:15">
      <c r="B51" s="5"/>
      <c r="C51" s="5"/>
      <c r="E51" s="6"/>
      <c r="F51" s="6"/>
      <c r="G51" s="6"/>
      <c r="I51" s="5"/>
      <c r="J51" s="5"/>
      <c r="K51" s="5"/>
      <c r="L51" s="5"/>
      <c r="M51" s="5"/>
      <c r="N51" s="5"/>
      <c r="O51" s="6"/>
    </row>
    <row r="52" spans="2:15" ht="15.95" customHeight="1">
      <c r="B52" s="972" t="s">
        <v>29</v>
      </c>
      <c r="C52" s="972"/>
      <c r="D52" s="972" t="s">
        <v>29</v>
      </c>
      <c r="E52" s="972"/>
      <c r="F52" s="972" t="s">
        <v>29</v>
      </c>
      <c r="G52" s="972"/>
      <c r="I52" s="972" t="s">
        <v>29</v>
      </c>
      <c r="J52" s="972"/>
      <c r="K52" s="5"/>
      <c r="L52" s="5"/>
      <c r="M52" s="5"/>
      <c r="N52" s="5"/>
      <c r="O52" s="5"/>
    </row>
  </sheetData>
  <mergeCells count="18">
    <mergeCell ref="B9:B10"/>
    <mergeCell ref="C9:C10"/>
    <mergeCell ref="D9:D10"/>
    <mergeCell ref="B52:C52"/>
    <mergeCell ref="D52:E52"/>
    <mergeCell ref="B45:C45"/>
    <mergeCell ref="B46:C46"/>
    <mergeCell ref="K9:K10"/>
    <mergeCell ref="F45:G45"/>
    <mergeCell ref="I46:J46"/>
    <mergeCell ref="F52:G52"/>
    <mergeCell ref="I9:I10"/>
    <mergeCell ref="E9:H9"/>
    <mergeCell ref="I52:J52"/>
    <mergeCell ref="J9:J10"/>
    <mergeCell ref="D45:E45"/>
    <mergeCell ref="F46:G46"/>
    <mergeCell ref="D46:E46"/>
  </mergeCells>
  <phoneticPr fontId="6" type="noConversion"/>
  <pageMargins left="0.7" right="0.7" top="0.75" bottom="0.75" header="0.3" footer="0.3"/>
  <pageSetup paperSize="9" orientation="landscape" horizontalDpi="0" verticalDpi="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37">
    <pageSetUpPr fitToPage="1"/>
  </sheetPr>
  <dimension ref="B1:O43"/>
  <sheetViews>
    <sheetView showGridLines="0" zoomScale="157" zoomScaleNormal="157" workbookViewId="0">
      <selection activeCell="C7" sqref="C7"/>
    </sheetView>
  </sheetViews>
  <sheetFormatPr defaultColWidth="8.875" defaultRowHeight="12.75"/>
  <cols>
    <col min="1" max="1" width="2" style="1" customWidth="1"/>
    <col min="2" max="2" width="8.375" style="1" customWidth="1"/>
    <col min="3" max="3" width="19" style="1" customWidth="1"/>
    <col min="4" max="4" width="8.375" style="2" customWidth="1"/>
    <col min="5" max="5" width="9.375" style="2" customWidth="1"/>
    <col min="6" max="6" width="8.125" style="2" customWidth="1"/>
    <col min="7" max="7" width="9.375" style="2" customWidth="1"/>
    <col min="8" max="8" width="7.375" style="2" customWidth="1"/>
    <col min="9" max="9" width="10" style="2" customWidth="1"/>
    <col min="10" max="10" width="8.375" style="2" customWidth="1"/>
    <col min="11" max="11" width="10.125" style="2" customWidth="1"/>
    <col min="12" max="12" width="10" style="2" customWidth="1"/>
    <col min="13" max="13" width="10.625" style="2" customWidth="1"/>
    <col min="14" max="14" width="13.5" style="2" customWidth="1"/>
    <col min="15" max="222" width="8.875" style="1"/>
    <col min="223" max="223" width="5" style="1" customWidth="1"/>
    <col min="224" max="224" width="33.375" style="1" customWidth="1"/>
    <col min="225" max="225" width="6.5" style="1" customWidth="1"/>
    <col min="226" max="226" width="29.5" style="1" customWidth="1"/>
    <col min="227" max="227" width="23.625" style="1" customWidth="1"/>
    <col min="228" max="228" width="8" style="1" customWidth="1"/>
    <col min="229" max="229" width="9.125" style="1" customWidth="1"/>
    <col min="230" max="230" width="13.875" style="1" customWidth="1"/>
    <col min="231" max="231" width="13.5" style="1" customWidth="1"/>
    <col min="232" max="478" width="8.875" style="1"/>
    <col min="479" max="479" width="5" style="1" customWidth="1"/>
    <col min="480" max="480" width="33.375" style="1" customWidth="1"/>
    <col min="481" max="481" width="6.5" style="1" customWidth="1"/>
    <col min="482" max="482" width="29.5" style="1" customWidth="1"/>
    <col min="483" max="483" width="23.625" style="1" customWidth="1"/>
    <col min="484" max="484" width="8" style="1" customWidth="1"/>
    <col min="485" max="485" width="9.125" style="1" customWidth="1"/>
    <col min="486" max="486" width="13.875" style="1" customWidth="1"/>
    <col min="487" max="487" width="13.5" style="1" customWidth="1"/>
    <col min="488" max="734" width="8.875" style="1"/>
    <col min="735" max="735" width="5" style="1" customWidth="1"/>
    <col min="736" max="736" width="33.375" style="1" customWidth="1"/>
    <col min="737" max="737" width="6.5" style="1" customWidth="1"/>
    <col min="738" max="738" width="29.5" style="1" customWidth="1"/>
    <col min="739" max="739" width="23.625" style="1" customWidth="1"/>
    <col min="740" max="740" width="8" style="1" customWidth="1"/>
    <col min="741" max="741" width="9.125" style="1" customWidth="1"/>
    <col min="742" max="742" width="13.875" style="1" customWidth="1"/>
    <col min="743" max="743" width="13.5" style="1" customWidth="1"/>
    <col min="744" max="990" width="8.875" style="1"/>
    <col min="991" max="991" width="5" style="1" customWidth="1"/>
    <col min="992" max="992" width="33.375" style="1" customWidth="1"/>
    <col min="993" max="993" width="6.5" style="1" customWidth="1"/>
    <col min="994" max="994" width="29.5" style="1" customWidth="1"/>
    <col min="995" max="995" width="23.625" style="1" customWidth="1"/>
    <col min="996" max="996" width="8" style="1" customWidth="1"/>
    <col min="997" max="997" width="9.125" style="1" customWidth="1"/>
    <col min="998" max="998" width="13.875" style="1" customWidth="1"/>
    <col min="999" max="999" width="13.5" style="1" customWidth="1"/>
    <col min="1000" max="1246" width="8.875" style="1"/>
    <col min="1247" max="1247" width="5" style="1" customWidth="1"/>
    <col min="1248" max="1248" width="33.375" style="1" customWidth="1"/>
    <col min="1249" max="1249" width="6.5" style="1" customWidth="1"/>
    <col min="1250" max="1250" width="29.5" style="1" customWidth="1"/>
    <col min="1251" max="1251" width="23.625" style="1" customWidth="1"/>
    <col min="1252" max="1252" width="8" style="1" customWidth="1"/>
    <col min="1253" max="1253" width="9.125" style="1" customWidth="1"/>
    <col min="1254" max="1254" width="13.875" style="1" customWidth="1"/>
    <col min="1255" max="1255" width="13.5" style="1" customWidth="1"/>
    <col min="1256" max="1502" width="8.875" style="1"/>
    <col min="1503" max="1503" width="5" style="1" customWidth="1"/>
    <col min="1504" max="1504" width="33.375" style="1" customWidth="1"/>
    <col min="1505" max="1505" width="6.5" style="1" customWidth="1"/>
    <col min="1506" max="1506" width="29.5" style="1" customWidth="1"/>
    <col min="1507" max="1507" width="23.625" style="1" customWidth="1"/>
    <col min="1508" max="1508" width="8" style="1" customWidth="1"/>
    <col min="1509" max="1509" width="9.125" style="1" customWidth="1"/>
    <col min="1510" max="1510" width="13.875" style="1" customWidth="1"/>
    <col min="1511" max="1511" width="13.5" style="1" customWidth="1"/>
    <col min="1512" max="1758" width="8.875" style="1"/>
    <col min="1759" max="1759" width="5" style="1" customWidth="1"/>
    <col min="1760" max="1760" width="33.375" style="1" customWidth="1"/>
    <col min="1761" max="1761" width="6.5" style="1" customWidth="1"/>
    <col min="1762" max="1762" width="29.5" style="1" customWidth="1"/>
    <col min="1763" max="1763" width="23.625" style="1" customWidth="1"/>
    <col min="1764" max="1764" width="8" style="1" customWidth="1"/>
    <col min="1765" max="1765" width="9.125" style="1" customWidth="1"/>
    <col min="1766" max="1766" width="13.875" style="1" customWidth="1"/>
    <col min="1767" max="1767" width="13.5" style="1" customWidth="1"/>
    <col min="1768" max="2014" width="8.875" style="1"/>
    <col min="2015" max="2015" width="5" style="1" customWidth="1"/>
    <col min="2016" max="2016" width="33.375" style="1" customWidth="1"/>
    <col min="2017" max="2017" width="6.5" style="1" customWidth="1"/>
    <col min="2018" max="2018" width="29.5" style="1" customWidth="1"/>
    <col min="2019" max="2019" width="23.625" style="1" customWidth="1"/>
    <col min="2020" max="2020" width="8" style="1" customWidth="1"/>
    <col min="2021" max="2021" width="9.125" style="1" customWidth="1"/>
    <col min="2022" max="2022" width="13.875" style="1" customWidth="1"/>
    <col min="2023" max="2023" width="13.5" style="1" customWidth="1"/>
    <col min="2024" max="2270" width="8.875" style="1"/>
    <col min="2271" max="2271" width="5" style="1" customWidth="1"/>
    <col min="2272" max="2272" width="33.375" style="1" customWidth="1"/>
    <col min="2273" max="2273" width="6.5" style="1" customWidth="1"/>
    <col min="2274" max="2274" width="29.5" style="1" customWidth="1"/>
    <col min="2275" max="2275" width="23.625" style="1" customWidth="1"/>
    <col min="2276" max="2276" width="8" style="1" customWidth="1"/>
    <col min="2277" max="2277" width="9.125" style="1" customWidth="1"/>
    <col min="2278" max="2278" width="13.875" style="1" customWidth="1"/>
    <col min="2279" max="2279" width="13.5" style="1" customWidth="1"/>
    <col min="2280" max="2526" width="8.875" style="1"/>
    <col min="2527" max="2527" width="5" style="1" customWidth="1"/>
    <col min="2528" max="2528" width="33.375" style="1" customWidth="1"/>
    <col min="2529" max="2529" width="6.5" style="1" customWidth="1"/>
    <col min="2530" max="2530" width="29.5" style="1" customWidth="1"/>
    <col min="2531" max="2531" width="23.625" style="1" customWidth="1"/>
    <col min="2532" max="2532" width="8" style="1" customWidth="1"/>
    <col min="2533" max="2533" width="9.125" style="1" customWidth="1"/>
    <col min="2534" max="2534" width="13.875" style="1" customWidth="1"/>
    <col min="2535" max="2535" width="13.5" style="1" customWidth="1"/>
    <col min="2536" max="2782" width="8.875" style="1"/>
    <col min="2783" max="2783" width="5" style="1" customWidth="1"/>
    <col min="2784" max="2784" width="33.375" style="1" customWidth="1"/>
    <col min="2785" max="2785" width="6.5" style="1" customWidth="1"/>
    <col min="2786" max="2786" width="29.5" style="1" customWidth="1"/>
    <col min="2787" max="2787" width="23.625" style="1" customWidth="1"/>
    <col min="2788" max="2788" width="8" style="1" customWidth="1"/>
    <col min="2789" max="2789" width="9.125" style="1" customWidth="1"/>
    <col min="2790" max="2790" width="13.875" style="1" customWidth="1"/>
    <col min="2791" max="2791" width="13.5" style="1" customWidth="1"/>
    <col min="2792" max="3038" width="8.875" style="1"/>
    <col min="3039" max="3039" width="5" style="1" customWidth="1"/>
    <col min="3040" max="3040" width="33.375" style="1" customWidth="1"/>
    <col min="3041" max="3041" width="6.5" style="1" customWidth="1"/>
    <col min="3042" max="3042" width="29.5" style="1" customWidth="1"/>
    <col min="3043" max="3043" width="23.625" style="1" customWidth="1"/>
    <col min="3044" max="3044" width="8" style="1" customWidth="1"/>
    <col min="3045" max="3045" width="9.125" style="1" customWidth="1"/>
    <col min="3046" max="3046" width="13.875" style="1" customWidth="1"/>
    <col min="3047" max="3047" width="13.5" style="1" customWidth="1"/>
    <col min="3048" max="3294" width="8.875" style="1"/>
    <col min="3295" max="3295" width="5" style="1" customWidth="1"/>
    <col min="3296" max="3296" width="33.375" style="1" customWidth="1"/>
    <col min="3297" max="3297" width="6.5" style="1" customWidth="1"/>
    <col min="3298" max="3298" width="29.5" style="1" customWidth="1"/>
    <col min="3299" max="3299" width="23.625" style="1" customWidth="1"/>
    <col min="3300" max="3300" width="8" style="1" customWidth="1"/>
    <col min="3301" max="3301" width="9.125" style="1" customWidth="1"/>
    <col min="3302" max="3302" width="13.875" style="1" customWidth="1"/>
    <col min="3303" max="3303" width="13.5" style="1" customWidth="1"/>
    <col min="3304" max="3550" width="8.875" style="1"/>
    <col min="3551" max="3551" width="5" style="1" customWidth="1"/>
    <col min="3552" max="3552" width="33.375" style="1" customWidth="1"/>
    <col min="3553" max="3553" width="6.5" style="1" customWidth="1"/>
    <col min="3554" max="3554" width="29.5" style="1" customWidth="1"/>
    <col min="3555" max="3555" width="23.625" style="1" customWidth="1"/>
    <col min="3556" max="3556" width="8" style="1" customWidth="1"/>
    <col min="3557" max="3557" width="9.125" style="1" customWidth="1"/>
    <col min="3558" max="3558" width="13.875" style="1" customWidth="1"/>
    <col min="3559" max="3559" width="13.5" style="1" customWidth="1"/>
    <col min="3560" max="3806" width="8.875" style="1"/>
    <col min="3807" max="3807" width="5" style="1" customWidth="1"/>
    <col min="3808" max="3808" width="33.375" style="1" customWidth="1"/>
    <col min="3809" max="3809" width="6.5" style="1" customWidth="1"/>
    <col min="3810" max="3810" width="29.5" style="1" customWidth="1"/>
    <col min="3811" max="3811" width="23.625" style="1" customWidth="1"/>
    <col min="3812" max="3812" width="8" style="1" customWidth="1"/>
    <col min="3813" max="3813" width="9.125" style="1" customWidth="1"/>
    <col min="3814" max="3814" width="13.875" style="1" customWidth="1"/>
    <col min="3815" max="3815" width="13.5" style="1" customWidth="1"/>
    <col min="3816" max="4062" width="8.875" style="1"/>
    <col min="4063" max="4063" width="5" style="1" customWidth="1"/>
    <col min="4064" max="4064" width="33.375" style="1" customWidth="1"/>
    <col min="4065" max="4065" width="6.5" style="1" customWidth="1"/>
    <col min="4066" max="4066" width="29.5" style="1" customWidth="1"/>
    <col min="4067" max="4067" width="23.625" style="1" customWidth="1"/>
    <col min="4068" max="4068" width="8" style="1" customWidth="1"/>
    <col min="4069" max="4069" width="9.125" style="1" customWidth="1"/>
    <col min="4070" max="4070" width="13.875" style="1" customWidth="1"/>
    <col min="4071" max="4071" width="13.5" style="1" customWidth="1"/>
    <col min="4072" max="4318" width="8.875" style="1"/>
    <col min="4319" max="4319" width="5" style="1" customWidth="1"/>
    <col min="4320" max="4320" width="33.375" style="1" customWidth="1"/>
    <col min="4321" max="4321" width="6.5" style="1" customWidth="1"/>
    <col min="4322" max="4322" width="29.5" style="1" customWidth="1"/>
    <col min="4323" max="4323" width="23.625" style="1" customWidth="1"/>
    <col min="4324" max="4324" width="8" style="1" customWidth="1"/>
    <col min="4325" max="4325" width="9.125" style="1" customWidth="1"/>
    <col min="4326" max="4326" width="13.875" style="1" customWidth="1"/>
    <col min="4327" max="4327" width="13.5" style="1" customWidth="1"/>
    <col min="4328" max="4574" width="8.875" style="1"/>
    <col min="4575" max="4575" width="5" style="1" customWidth="1"/>
    <col min="4576" max="4576" width="33.375" style="1" customWidth="1"/>
    <col min="4577" max="4577" width="6.5" style="1" customWidth="1"/>
    <col min="4578" max="4578" width="29.5" style="1" customWidth="1"/>
    <col min="4579" max="4579" width="23.625" style="1" customWidth="1"/>
    <col min="4580" max="4580" width="8" style="1" customWidth="1"/>
    <col min="4581" max="4581" width="9.125" style="1" customWidth="1"/>
    <col min="4582" max="4582" width="13.875" style="1" customWidth="1"/>
    <col min="4583" max="4583" width="13.5" style="1" customWidth="1"/>
    <col min="4584" max="4830" width="8.875" style="1"/>
    <col min="4831" max="4831" width="5" style="1" customWidth="1"/>
    <col min="4832" max="4832" width="33.375" style="1" customWidth="1"/>
    <col min="4833" max="4833" width="6.5" style="1" customWidth="1"/>
    <col min="4834" max="4834" width="29.5" style="1" customWidth="1"/>
    <col min="4835" max="4835" width="23.625" style="1" customWidth="1"/>
    <col min="4836" max="4836" width="8" style="1" customWidth="1"/>
    <col min="4837" max="4837" width="9.125" style="1" customWidth="1"/>
    <col min="4838" max="4838" width="13.875" style="1" customWidth="1"/>
    <col min="4839" max="4839" width="13.5" style="1" customWidth="1"/>
    <col min="4840" max="5086" width="8.875" style="1"/>
    <col min="5087" max="5087" width="5" style="1" customWidth="1"/>
    <col min="5088" max="5088" width="33.375" style="1" customWidth="1"/>
    <col min="5089" max="5089" width="6.5" style="1" customWidth="1"/>
    <col min="5090" max="5090" width="29.5" style="1" customWidth="1"/>
    <col min="5091" max="5091" width="23.625" style="1" customWidth="1"/>
    <col min="5092" max="5092" width="8" style="1" customWidth="1"/>
    <col min="5093" max="5093" width="9.125" style="1" customWidth="1"/>
    <col min="5094" max="5094" width="13.875" style="1" customWidth="1"/>
    <col min="5095" max="5095" width="13.5" style="1" customWidth="1"/>
    <col min="5096" max="5342" width="8.875" style="1"/>
    <col min="5343" max="5343" width="5" style="1" customWidth="1"/>
    <col min="5344" max="5344" width="33.375" style="1" customWidth="1"/>
    <col min="5345" max="5345" width="6.5" style="1" customWidth="1"/>
    <col min="5346" max="5346" width="29.5" style="1" customWidth="1"/>
    <col min="5347" max="5347" width="23.625" style="1" customWidth="1"/>
    <col min="5348" max="5348" width="8" style="1" customWidth="1"/>
    <col min="5349" max="5349" width="9.125" style="1" customWidth="1"/>
    <col min="5350" max="5350" width="13.875" style="1" customWidth="1"/>
    <col min="5351" max="5351" width="13.5" style="1" customWidth="1"/>
    <col min="5352" max="5598" width="8.875" style="1"/>
    <col min="5599" max="5599" width="5" style="1" customWidth="1"/>
    <col min="5600" max="5600" width="33.375" style="1" customWidth="1"/>
    <col min="5601" max="5601" width="6.5" style="1" customWidth="1"/>
    <col min="5602" max="5602" width="29.5" style="1" customWidth="1"/>
    <col min="5603" max="5603" width="23.625" style="1" customWidth="1"/>
    <col min="5604" max="5604" width="8" style="1" customWidth="1"/>
    <col min="5605" max="5605" width="9.125" style="1" customWidth="1"/>
    <col min="5606" max="5606" width="13.875" style="1" customWidth="1"/>
    <col min="5607" max="5607" width="13.5" style="1" customWidth="1"/>
    <col min="5608" max="5854" width="8.875" style="1"/>
    <col min="5855" max="5855" width="5" style="1" customWidth="1"/>
    <col min="5856" max="5856" width="33.375" style="1" customWidth="1"/>
    <col min="5857" max="5857" width="6.5" style="1" customWidth="1"/>
    <col min="5858" max="5858" width="29.5" style="1" customWidth="1"/>
    <col min="5859" max="5859" width="23.625" style="1" customWidth="1"/>
    <col min="5860" max="5860" width="8" style="1" customWidth="1"/>
    <col min="5861" max="5861" width="9.125" style="1" customWidth="1"/>
    <col min="5862" max="5862" width="13.875" style="1" customWidth="1"/>
    <col min="5863" max="5863" width="13.5" style="1" customWidth="1"/>
    <col min="5864" max="6110" width="8.875" style="1"/>
    <col min="6111" max="6111" width="5" style="1" customWidth="1"/>
    <col min="6112" max="6112" width="33.375" style="1" customWidth="1"/>
    <col min="6113" max="6113" width="6.5" style="1" customWidth="1"/>
    <col min="6114" max="6114" width="29.5" style="1" customWidth="1"/>
    <col min="6115" max="6115" width="23.625" style="1" customWidth="1"/>
    <col min="6116" max="6116" width="8" style="1" customWidth="1"/>
    <col min="6117" max="6117" width="9.125" style="1" customWidth="1"/>
    <col min="6118" max="6118" width="13.875" style="1" customWidth="1"/>
    <col min="6119" max="6119" width="13.5" style="1" customWidth="1"/>
    <col min="6120" max="6366" width="8.875" style="1"/>
    <col min="6367" max="6367" width="5" style="1" customWidth="1"/>
    <col min="6368" max="6368" width="33.375" style="1" customWidth="1"/>
    <col min="6369" max="6369" width="6.5" style="1" customWidth="1"/>
    <col min="6370" max="6370" width="29.5" style="1" customWidth="1"/>
    <col min="6371" max="6371" width="23.625" style="1" customWidth="1"/>
    <col min="6372" max="6372" width="8" style="1" customWidth="1"/>
    <col min="6373" max="6373" width="9.125" style="1" customWidth="1"/>
    <col min="6374" max="6374" width="13.875" style="1" customWidth="1"/>
    <col min="6375" max="6375" width="13.5" style="1" customWidth="1"/>
    <col min="6376" max="6622" width="8.875" style="1"/>
    <col min="6623" max="6623" width="5" style="1" customWidth="1"/>
    <col min="6624" max="6624" width="33.375" style="1" customWidth="1"/>
    <col min="6625" max="6625" width="6.5" style="1" customWidth="1"/>
    <col min="6626" max="6626" width="29.5" style="1" customWidth="1"/>
    <col min="6627" max="6627" width="23.625" style="1" customWidth="1"/>
    <col min="6628" max="6628" width="8" style="1" customWidth="1"/>
    <col min="6629" max="6629" width="9.125" style="1" customWidth="1"/>
    <col min="6630" max="6630" width="13.875" style="1" customWidth="1"/>
    <col min="6631" max="6631" width="13.5" style="1" customWidth="1"/>
    <col min="6632" max="6878" width="8.875" style="1"/>
    <col min="6879" max="6879" width="5" style="1" customWidth="1"/>
    <col min="6880" max="6880" width="33.375" style="1" customWidth="1"/>
    <col min="6881" max="6881" width="6.5" style="1" customWidth="1"/>
    <col min="6882" max="6882" width="29.5" style="1" customWidth="1"/>
    <col min="6883" max="6883" width="23.625" style="1" customWidth="1"/>
    <col min="6884" max="6884" width="8" style="1" customWidth="1"/>
    <col min="6885" max="6885" width="9.125" style="1" customWidth="1"/>
    <col min="6886" max="6886" width="13.875" style="1" customWidth="1"/>
    <col min="6887" max="6887" width="13.5" style="1" customWidth="1"/>
    <col min="6888" max="7134" width="8.875" style="1"/>
    <col min="7135" max="7135" width="5" style="1" customWidth="1"/>
    <col min="7136" max="7136" width="33.375" style="1" customWidth="1"/>
    <col min="7137" max="7137" width="6.5" style="1" customWidth="1"/>
    <col min="7138" max="7138" width="29.5" style="1" customWidth="1"/>
    <col min="7139" max="7139" width="23.625" style="1" customWidth="1"/>
    <col min="7140" max="7140" width="8" style="1" customWidth="1"/>
    <col min="7141" max="7141" width="9.125" style="1" customWidth="1"/>
    <col min="7142" max="7142" width="13.875" style="1" customWidth="1"/>
    <col min="7143" max="7143" width="13.5" style="1" customWidth="1"/>
    <col min="7144" max="7390" width="8.875" style="1"/>
    <col min="7391" max="7391" width="5" style="1" customWidth="1"/>
    <col min="7392" max="7392" width="33.375" style="1" customWidth="1"/>
    <col min="7393" max="7393" width="6.5" style="1" customWidth="1"/>
    <col min="7394" max="7394" width="29.5" style="1" customWidth="1"/>
    <col min="7395" max="7395" width="23.625" style="1" customWidth="1"/>
    <col min="7396" max="7396" width="8" style="1" customWidth="1"/>
    <col min="7397" max="7397" width="9.125" style="1" customWidth="1"/>
    <col min="7398" max="7398" width="13.875" style="1" customWidth="1"/>
    <col min="7399" max="7399" width="13.5" style="1" customWidth="1"/>
    <col min="7400" max="7646" width="8.875" style="1"/>
    <col min="7647" max="7647" width="5" style="1" customWidth="1"/>
    <col min="7648" max="7648" width="33.375" style="1" customWidth="1"/>
    <col min="7649" max="7649" width="6.5" style="1" customWidth="1"/>
    <col min="7650" max="7650" width="29.5" style="1" customWidth="1"/>
    <col min="7651" max="7651" width="23.625" style="1" customWidth="1"/>
    <col min="7652" max="7652" width="8" style="1" customWidth="1"/>
    <col min="7653" max="7653" width="9.125" style="1" customWidth="1"/>
    <col min="7654" max="7654" width="13.875" style="1" customWidth="1"/>
    <col min="7655" max="7655" width="13.5" style="1" customWidth="1"/>
    <col min="7656" max="7902" width="8.875" style="1"/>
    <col min="7903" max="7903" width="5" style="1" customWidth="1"/>
    <col min="7904" max="7904" width="33.375" style="1" customWidth="1"/>
    <col min="7905" max="7905" width="6.5" style="1" customWidth="1"/>
    <col min="7906" max="7906" width="29.5" style="1" customWidth="1"/>
    <col min="7907" max="7907" width="23.625" style="1" customWidth="1"/>
    <col min="7908" max="7908" width="8" style="1" customWidth="1"/>
    <col min="7909" max="7909" width="9.125" style="1" customWidth="1"/>
    <col min="7910" max="7910" width="13.875" style="1" customWidth="1"/>
    <col min="7911" max="7911" width="13.5" style="1" customWidth="1"/>
    <col min="7912" max="8158" width="8.875" style="1"/>
    <col min="8159" max="8159" width="5" style="1" customWidth="1"/>
    <col min="8160" max="8160" width="33.375" style="1" customWidth="1"/>
    <col min="8161" max="8161" width="6.5" style="1" customWidth="1"/>
    <col min="8162" max="8162" width="29.5" style="1" customWidth="1"/>
    <col min="8163" max="8163" width="23.625" style="1" customWidth="1"/>
    <col min="8164" max="8164" width="8" style="1" customWidth="1"/>
    <col min="8165" max="8165" width="9.125" style="1" customWidth="1"/>
    <col min="8166" max="8166" width="13.875" style="1" customWidth="1"/>
    <col min="8167" max="8167" width="13.5" style="1" customWidth="1"/>
    <col min="8168" max="8414" width="8.875" style="1"/>
    <col min="8415" max="8415" width="5" style="1" customWidth="1"/>
    <col min="8416" max="8416" width="33.375" style="1" customWidth="1"/>
    <col min="8417" max="8417" width="6.5" style="1" customWidth="1"/>
    <col min="8418" max="8418" width="29.5" style="1" customWidth="1"/>
    <col min="8419" max="8419" width="23.625" style="1" customWidth="1"/>
    <col min="8420" max="8420" width="8" style="1" customWidth="1"/>
    <col min="8421" max="8421" width="9.125" style="1" customWidth="1"/>
    <col min="8422" max="8422" width="13.875" style="1" customWidth="1"/>
    <col min="8423" max="8423" width="13.5" style="1" customWidth="1"/>
    <col min="8424" max="8670" width="8.875" style="1"/>
    <col min="8671" max="8671" width="5" style="1" customWidth="1"/>
    <col min="8672" max="8672" width="33.375" style="1" customWidth="1"/>
    <col min="8673" max="8673" width="6.5" style="1" customWidth="1"/>
    <col min="8674" max="8674" width="29.5" style="1" customWidth="1"/>
    <col min="8675" max="8675" width="23.625" style="1" customWidth="1"/>
    <col min="8676" max="8676" width="8" style="1" customWidth="1"/>
    <col min="8677" max="8677" width="9.125" style="1" customWidth="1"/>
    <col min="8678" max="8678" width="13.875" style="1" customWidth="1"/>
    <col min="8679" max="8679" width="13.5" style="1" customWidth="1"/>
    <col min="8680" max="8926" width="8.875" style="1"/>
    <col min="8927" max="8927" width="5" style="1" customWidth="1"/>
    <col min="8928" max="8928" width="33.375" style="1" customWidth="1"/>
    <col min="8929" max="8929" width="6.5" style="1" customWidth="1"/>
    <col min="8930" max="8930" width="29.5" style="1" customWidth="1"/>
    <col min="8931" max="8931" width="23.625" style="1" customWidth="1"/>
    <col min="8932" max="8932" width="8" style="1" customWidth="1"/>
    <col min="8933" max="8933" width="9.125" style="1" customWidth="1"/>
    <col min="8934" max="8934" width="13.875" style="1" customWidth="1"/>
    <col min="8935" max="8935" width="13.5" style="1" customWidth="1"/>
    <col min="8936" max="9182" width="8.875" style="1"/>
    <col min="9183" max="9183" width="5" style="1" customWidth="1"/>
    <col min="9184" max="9184" width="33.375" style="1" customWidth="1"/>
    <col min="9185" max="9185" width="6.5" style="1" customWidth="1"/>
    <col min="9186" max="9186" width="29.5" style="1" customWidth="1"/>
    <col min="9187" max="9187" width="23.625" style="1" customWidth="1"/>
    <col min="9188" max="9188" width="8" style="1" customWidth="1"/>
    <col min="9189" max="9189" width="9.125" style="1" customWidth="1"/>
    <col min="9190" max="9190" width="13.875" style="1" customWidth="1"/>
    <col min="9191" max="9191" width="13.5" style="1" customWidth="1"/>
    <col min="9192" max="9438" width="8.875" style="1"/>
    <col min="9439" max="9439" width="5" style="1" customWidth="1"/>
    <col min="9440" max="9440" width="33.375" style="1" customWidth="1"/>
    <col min="9441" max="9441" width="6.5" style="1" customWidth="1"/>
    <col min="9442" max="9442" width="29.5" style="1" customWidth="1"/>
    <col min="9443" max="9443" width="23.625" style="1" customWidth="1"/>
    <col min="9444" max="9444" width="8" style="1" customWidth="1"/>
    <col min="9445" max="9445" width="9.125" style="1" customWidth="1"/>
    <col min="9446" max="9446" width="13.875" style="1" customWidth="1"/>
    <col min="9447" max="9447" width="13.5" style="1" customWidth="1"/>
    <col min="9448" max="9694" width="8.875" style="1"/>
    <col min="9695" max="9695" width="5" style="1" customWidth="1"/>
    <col min="9696" max="9696" width="33.375" style="1" customWidth="1"/>
    <col min="9697" max="9697" width="6.5" style="1" customWidth="1"/>
    <col min="9698" max="9698" width="29.5" style="1" customWidth="1"/>
    <col min="9699" max="9699" width="23.625" style="1" customWidth="1"/>
    <col min="9700" max="9700" width="8" style="1" customWidth="1"/>
    <col min="9701" max="9701" width="9.125" style="1" customWidth="1"/>
    <col min="9702" max="9702" width="13.875" style="1" customWidth="1"/>
    <col min="9703" max="9703" width="13.5" style="1" customWidth="1"/>
    <col min="9704" max="9950" width="8.875" style="1"/>
    <col min="9951" max="9951" width="5" style="1" customWidth="1"/>
    <col min="9952" max="9952" width="33.375" style="1" customWidth="1"/>
    <col min="9953" max="9953" width="6.5" style="1" customWidth="1"/>
    <col min="9954" max="9954" width="29.5" style="1" customWidth="1"/>
    <col min="9955" max="9955" width="23.625" style="1" customWidth="1"/>
    <col min="9956" max="9956" width="8" style="1" customWidth="1"/>
    <col min="9957" max="9957" width="9.125" style="1" customWidth="1"/>
    <col min="9958" max="9958" width="13.875" style="1" customWidth="1"/>
    <col min="9959" max="9959" width="13.5" style="1" customWidth="1"/>
    <col min="9960" max="10206" width="8.875" style="1"/>
    <col min="10207" max="10207" width="5" style="1" customWidth="1"/>
    <col min="10208" max="10208" width="33.375" style="1" customWidth="1"/>
    <col min="10209" max="10209" width="6.5" style="1" customWidth="1"/>
    <col min="10210" max="10210" width="29.5" style="1" customWidth="1"/>
    <col min="10211" max="10211" width="23.625" style="1" customWidth="1"/>
    <col min="10212" max="10212" width="8" style="1" customWidth="1"/>
    <col min="10213" max="10213" width="9.125" style="1" customWidth="1"/>
    <col min="10214" max="10214" width="13.875" style="1" customWidth="1"/>
    <col min="10215" max="10215" width="13.5" style="1" customWidth="1"/>
    <col min="10216" max="10462" width="8.875" style="1"/>
    <col min="10463" max="10463" width="5" style="1" customWidth="1"/>
    <col min="10464" max="10464" width="33.375" style="1" customWidth="1"/>
    <col min="10465" max="10465" width="6.5" style="1" customWidth="1"/>
    <col min="10466" max="10466" width="29.5" style="1" customWidth="1"/>
    <col min="10467" max="10467" width="23.625" style="1" customWidth="1"/>
    <col min="10468" max="10468" width="8" style="1" customWidth="1"/>
    <col min="10469" max="10469" width="9.125" style="1" customWidth="1"/>
    <col min="10470" max="10470" width="13.875" style="1" customWidth="1"/>
    <col min="10471" max="10471" width="13.5" style="1" customWidth="1"/>
    <col min="10472" max="10718" width="8.875" style="1"/>
    <col min="10719" max="10719" width="5" style="1" customWidth="1"/>
    <col min="10720" max="10720" width="33.375" style="1" customWidth="1"/>
    <col min="10721" max="10721" width="6.5" style="1" customWidth="1"/>
    <col min="10722" max="10722" width="29.5" style="1" customWidth="1"/>
    <col min="10723" max="10723" width="23.625" style="1" customWidth="1"/>
    <col min="10724" max="10724" width="8" style="1" customWidth="1"/>
    <col min="10725" max="10725" width="9.125" style="1" customWidth="1"/>
    <col min="10726" max="10726" width="13.875" style="1" customWidth="1"/>
    <col min="10727" max="10727" width="13.5" style="1" customWidth="1"/>
    <col min="10728" max="10974" width="8.875" style="1"/>
    <col min="10975" max="10975" width="5" style="1" customWidth="1"/>
    <col min="10976" max="10976" width="33.375" style="1" customWidth="1"/>
    <col min="10977" max="10977" width="6.5" style="1" customWidth="1"/>
    <col min="10978" max="10978" width="29.5" style="1" customWidth="1"/>
    <col min="10979" max="10979" width="23.625" style="1" customWidth="1"/>
    <col min="10980" max="10980" width="8" style="1" customWidth="1"/>
    <col min="10981" max="10981" width="9.125" style="1" customWidth="1"/>
    <col min="10982" max="10982" width="13.875" style="1" customWidth="1"/>
    <col min="10983" max="10983" width="13.5" style="1" customWidth="1"/>
    <col min="10984" max="11230" width="8.875" style="1"/>
    <col min="11231" max="11231" width="5" style="1" customWidth="1"/>
    <col min="11232" max="11232" width="33.375" style="1" customWidth="1"/>
    <col min="11233" max="11233" width="6.5" style="1" customWidth="1"/>
    <col min="11234" max="11234" width="29.5" style="1" customWidth="1"/>
    <col min="11235" max="11235" width="23.625" style="1" customWidth="1"/>
    <col min="11236" max="11236" width="8" style="1" customWidth="1"/>
    <col min="11237" max="11237" width="9.125" style="1" customWidth="1"/>
    <col min="11238" max="11238" width="13.875" style="1" customWidth="1"/>
    <col min="11239" max="11239" width="13.5" style="1" customWidth="1"/>
    <col min="11240" max="11486" width="8.875" style="1"/>
    <col min="11487" max="11487" width="5" style="1" customWidth="1"/>
    <col min="11488" max="11488" width="33.375" style="1" customWidth="1"/>
    <col min="11489" max="11489" width="6.5" style="1" customWidth="1"/>
    <col min="11490" max="11490" width="29.5" style="1" customWidth="1"/>
    <col min="11491" max="11491" width="23.625" style="1" customWidth="1"/>
    <col min="11492" max="11492" width="8" style="1" customWidth="1"/>
    <col min="11493" max="11493" width="9.125" style="1" customWidth="1"/>
    <col min="11494" max="11494" width="13.875" style="1" customWidth="1"/>
    <col min="11495" max="11495" width="13.5" style="1" customWidth="1"/>
    <col min="11496" max="11742" width="8.875" style="1"/>
    <col min="11743" max="11743" width="5" style="1" customWidth="1"/>
    <col min="11744" max="11744" width="33.375" style="1" customWidth="1"/>
    <col min="11745" max="11745" width="6.5" style="1" customWidth="1"/>
    <col min="11746" max="11746" width="29.5" style="1" customWidth="1"/>
    <col min="11747" max="11747" width="23.625" style="1" customWidth="1"/>
    <col min="11748" max="11748" width="8" style="1" customWidth="1"/>
    <col min="11749" max="11749" width="9.125" style="1" customWidth="1"/>
    <col min="11750" max="11750" width="13.875" style="1" customWidth="1"/>
    <col min="11751" max="11751" width="13.5" style="1" customWidth="1"/>
    <col min="11752" max="11998" width="8.875" style="1"/>
    <col min="11999" max="11999" width="5" style="1" customWidth="1"/>
    <col min="12000" max="12000" width="33.375" style="1" customWidth="1"/>
    <col min="12001" max="12001" width="6.5" style="1" customWidth="1"/>
    <col min="12002" max="12002" width="29.5" style="1" customWidth="1"/>
    <col min="12003" max="12003" width="23.625" style="1" customWidth="1"/>
    <col min="12004" max="12004" width="8" style="1" customWidth="1"/>
    <col min="12005" max="12005" width="9.125" style="1" customWidth="1"/>
    <col min="12006" max="12006" width="13.875" style="1" customWidth="1"/>
    <col min="12007" max="12007" width="13.5" style="1" customWidth="1"/>
    <col min="12008" max="12254" width="8.875" style="1"/>
    <col min="12255" max="12255" width="5" style="1" customWidth="1"/>
    <col min="12256" max="12256" width="33.375" style="1" customWidth="1"/>
    <col min="12257" max="12257" width="6.5" style="1" customWidth="1"/>
    <col min="12258" max="12258" width="29.5" style="1" customWidth="1"/>
    <col min="12259" max="12259" width="23.625" style="1" customWidth="1"/>
    <col min="12260" max="12260" width="8" style="1" customWidth="1"/>
    <col min="12261" max="12261" width="9.125" style="1" customWidth="1"/>
    <col min="12262" max="12262" width="13.875" style="1" customWidth="1"/>
    <col min="12263" max="12263" width="13.5" style="1" customWidth="1"/>
    <col min="12264" max="12510" width="8.875" style="1"/>
    <col min="12511" max="12511" width="5" style="1" customWidth="1"/>
    <col min="12512" max="12512" width="33.375" style="1" customWidth="1"/>
    <col min="12513" max="12513" width="6.5" style="1" customWidth="1"/>
    <col min="12514" max="12514" width="29.5" style="1" customWidth="1"/>
    <col min="12515" max="12515" width="23.625" style="1" customWidth="1"/>
    <col min="12516" max="12516" width="8" style="1" customWidth="1"/>
    <col min="12517" max="12517" width="9.125" style="1" customWidth="1"/>
    <col min="12518" max="12518" width="13.875" style="1" customWidth="1"/>
    <col min="12519" max="12519" width="13.5" style="1" customWidth="1"/>
    <col min="12520" max="12766" width="8.875" style="1"/>
    <col min="12767" max="12767" width="5" style="1" customWidth="1"/>
    <col min="12768" max="12768" width="33.375" style="1" customWidth="1"/>
    <col min="12769" max="12769" width="6.5" style="1" customWidth="1"/>
    <col min="12770" max="12770" width="29.5" style="1" customWidth="1"/>
    <col min="12771" max="12771" width="23.625" style="1" customWidth="1"/>
    <col min="12772" max="12772" width="8" style="1" customWidth="1"/>
    <col min="12773" max="12773" width="9.125" style="1" customWidth="1"/>
    <col min="12774" max="12774" width="13.875" style="1" customWidth="1"/>
    <col min="12775" max="12775" width="13.5" style="1" customWidth="1"/>
    <col min="12776" max="13022" width="8.875" style="1"/>
    <col min="13023" max="13023" width="5" style="1" customWidth="1"/>
    <col min="13024" max="13024" width="33.375" style="1" customWidth="1"/>
    <col min="13025" max="13025" width="6.5" style="1" customWidth="1"/>
    <col min="13026" max="13026" width="29.5" style="1" customWidth="1"/>
    <col min="13027" max="13027" width="23.625" style="1" customWidth="1"/>
    <col min="13028" max="13028" width="8" style="1" customWidth="1"/>
    <col min="13029" max="13029" width="9.125" style="1" customWidth="1"/>
    <col min="13030" max="13030" width="13.875" style="1" customWidth="1"/>
    <col min="13031" max="13031" width="13.5" style="1" customWidth="1"/>
    <col min="13032" max="13278" width="8.875" style="1"/>
    <col min="13279" max="13279" width="5" style="1" customWidth="1"/>
    <col min="13280" max="13280" width="33.375" style="1" customWidth="1"/>
    <col min="13281" max="13281" width="6.5" style="1" customWidth="1"/>
    <col min="13282" max="13282" width="29.5" style="1" customWidth="1"/>
    <col min="13283" max="13283" width="23.625" style="1" customWidth="1"/>
    <col min="13284" max="13284" width="8" style="1" customWidth="1"/>
    <col min="13285" max="13285" width="9.125" style="1" customWidth="1"/>
    <col min="13286" max="13286" width="13.875" style="1" customWidth="1"/>
    <col min="13287" max="13287" width="13.5" style="1" customWidth="1"/>
    <col min="13288" max="13534" width="8.875" style="1"/>
    <col min="13535" max="13535" width="5" style="1" customWidth="1"/>
    <col min="13536" max="13536" width="33.375" style="1" customWidth="1"/>
    <col min="13537" max="13537" width="6.5" style="1" customWidth="1"/>
    <col min="13538" max="13538" width="29.5" style="1" customWidth="1"/>
    <col min="13539" max="13539" width="23.625" style="1" customWidth="1"/>
    <col min="13540" max="13540" width="8" style="1" customWidth="1"/>
    <col min="13541" max="13541" width="9.125" style="1" customWidth="1"/>
    <col min="13542" max="13542" width="13.875" style="1" customWidth="1"/>
    <col min="13543" max="13543" width="13.5" style="1" customWidth="1"/>
    <col min="13544" max="13790" width="8.875" style="1"/>
    <col min="13791" max="13791" width="5" style="1" customWidth="1"/>
    <col min="13792" max="13792" width="33.375" style="1" customWidth="1"/>
    <col min="13793" max="13793" width="6.5" style="1" customWidth="1"/>
    <col min="13794" max="13794" width="29.5" style="1" customWidth="1"/>
    <col min="13795" max="13795" width="23.625" style="1" customWidth="1"/>
    <col min="13796" max="13796" width="8" style="1" customWidth="1"/>
    <col min="13797" max="13797" width="9.125" style="1" customWidth="1"/>
    <col min="13798" max="13798" width="13.875" style="1" customWidth="1"/>
    <col min="13799" max="13799" width="13.5" style="1" customWidth="1"/>
    <col min="13800" max="14046" width="8.875" style="1"/>
    <col min="14047" max="14047" width="5" style="1" customWidth="1"/>
    <col min="14048" max="14048" width="33.375" style="1" customWidth="1"/>
    <col min="14049" max="14049" width="6.5" style="1" customWidth="1"/>
    <col min="14050" max="14050" width="29.5" style="1" customWidth="1"/>
    <col min="14051" max="14051" width="23.625" style="1" customWidth="1"/>
    <col min="14052" max="14052" width="8" style="1" customWidth="1"/>
    <col min="14053" max="14053" width="9.125" style="1" customWidth="1"/>
    <col min="14054" max="14054" width="13.875" style="1" customWidth="1"/>
    <col min="14055" max="14055" width="13.5" style="1" customWidth="1"/>
    <col min="14056" max="14302" width="8.875" style="1"/>
    <col min="14303" max="14303" width="5" style="1" customWidth="1"/>
    <col min="14304" max="14304" width="33.375" style="1" customWidth="1"/>
    <col min="14305" max="14305" width="6.5" style="1" customWidth="1"/>
    <col min="14306" max="14306" width="29.5" style="1" customWidth="1"/>
    <col min="14307" max="14307" width="23.625" style="1" customWidth="1"/>
    <col min="14308" max="14308" width="8" style="1" customWidth="1"/>
    <col min="14309" max="14309" width="9.125" style="1" customWidth="1"/>
    <col min="14310" max="14310" width="13.875" style="1" customWidth="1"/>
    <col min="14311" max="14311" width="13.5" style="1" customWidth="1"/>
    <col min="14312" max="14558" width="8.875" style="1"/>
    <col min="14559" max="14559" width="5" style="1" customWidth="1"/>
    <col min="14560" max="14560" width="33.375" style="1" customWidth="1"/>
    <col min="14561" max="14561" width="6.5" style="1" customWidth="1"/>
    <col min="14562" max="14562" width="29.5" style="1" customWidth="1"/>
    <col min="14563" max="14563" width="23.625" style="1" customWidth="1"/>
    <col min="14564" max="14564" width="8" style="1" customWidth="1"/>
    <col min="14565" max="14565" width="9.125" style="1" customWidth="1"/>
    <col min="14566" max="14566" width="13.875" style="1" customWidth="1"/>
    <col min="14567" max="14567" width="13.5" style="1" customWidth="1"/>
    <col min="14568" max="14814" width="8.875" style="1"/>
    <col min="14815" max="14815" width="5" style="1" customWidth="1"/>
    <col min="14816" max="14816" width="33.375" style="1" customWidth="1"/>
    <col min="14817" max="14817" width="6.5" style="1" customWidth="1"/>
    <col min="14818" max="14818" width="29.5" style="1" customWidth="1"/>
    <col min="14819" max="14819" width="23.625" style="1" customWidth="1"/>
    <col min="14820" max="14820" width="8" style="1" customWidth="1"/>
    <col min="14821" max="14821" width="9.125" style="1" customWidth="1"/>
    <col min="14822" max="14822" width="13.875" style="1" customWidth="1"/>
    <col min="14823" max="14823" width="13.5" style="1" customWidth="1"/>
    <col min="14824" max="15070" width="8.875" style="1"/>
    <col min="15071" max="15071" width="5" style="1" customWidth="1"/>
    <col min="15072" max="15072" width="33.375" style="1" customWidth="1"/>
    <col min="15073" max="15073" width="6.5" style="1" customWidth="1"/>
    <col min="15074" max="15074" width="29.5" style="1" customWidth="1"/>
    <col min="15075" max="15075" width="23.625" style="1" customWidth="1"/>
    <col min="15076" max="15076" width="8" style="1" customWidth="1"/>
    <col min="15077" max="15077" width="9.125" style="1" customWidth="1"/>
    <col min="15078" max="15078" width="13.875" style="1" customWidth="1"/>
    <col min="15079" max="15079" width="13.5" style="1" customWidth="1"/>
    <col min="15080" max="15326" width="8.875" style="1"/>
    <col min="15327" max="15327" width="5" style="1" customWidth="1"/>
    <col min="15328" max="15328" width="33.375" style="1" customWidth="1"/>
    <col min="15329" max="15329" width="6.5" style="1" customWidth="1"/>
    <col min="15330" max="15330" width="29.5" style="1" customWidth="1"/>
    <col min="15331" max="15331" width="23.625" style="1" customWidth="1"/>
    <col min="15332" max="15332" width="8" style="1" customWidth="1"/>
    <col min="15333" max="15333" width="9.125" style="1" customWidth="1"/>
    <col min="15334" max="15334" width="13.875" style="1" customWidth="1"/>
    <col min="15335" max="15335" width="13.5" style="1" customWidth="1"/>
    <col min="15336" max="15582" width="8.875" style="1"/>
    <col min="15583" max="15583" width="5" style="1" customWidth="1"/>
    <col min="15584" max="15584" width="33.375" style="1" customWidth="1"/>
    <col min="15585" max="15585" width="6.5" style="1" customWidth="1"/>
    <col min="15586" max="15586" width="29.5" style="1" customWidth="1"/>
    <col min="15587" max="15587" width="23.625" style="1" customWidth="1"/>
    <col min="15588" max="15588" width="8" style="1" customWidth="1"/>
    <col min="15589" max="15589" width="9.125" style="1" customWidth="1"/>
    <col min="15590" max="15590" width="13.875" style="1" customWidth="1"/>
    <col min="15591" max="15591" width="13.5" style="1" customWidth="1"/>
    <col min="15592" max="15838" width="8.875" style="1"/>
    <col min="15839" max="15839" width="5" style="1" customWidth="1"/>
    <col min="15840" max="15840" width="33.375" style="1" customWidth="1"/>
    <col min="15841" max="15841" width="6.5" style="1" customWidth="1"/>
    <col min="15842" max="15842" width="29.5" style="1" customWidth="1"/>
    <col min="15843" max="15843" width="23.625" style="1" customWidth="1"/>
    <col min="15844" max="15844" width="8" style="1" customWidth="1"/>
    <col min="15845" max="15845" width="9.125" style="1" customWidth="1"/>
    <col min="15846" max="15846" width="13.875" style="1" customWidth="1"/>
    <col min="15847" max="15847" width="13.5" style="1" customWidth="1"/>
    <col min="15848" max="16384" width="8.875" style="1"/>
  </cols>
  <sheetData>
    <row r="1" spans="2:14" s="31" customFormat="1">
      <c r="B1" s="30"/>
      <c r="C1" s="30"/>
      <c r="D1" s="30"/>
      <c r="E1" s="30"/>
      <c r="F1" s="30"/>
      <c r="G1" s="30"/>
      <c r="H1" s="30"/>
      <c r="I1" s="30"/>
      <c r="J1" s="30"/>
      <c r="K1" s="30"/>
      <c r="L1" s="30"/>
      <c r="M1" s="30"/>
      <c r="N1" s="30"/>
    </row>
    <row r="2" spans="2:14" s="11" customFormat="1">
      <c r="B2" s="140" t="s">
        <v>253</v>
      </c>
      <c r="C2" s="140" t="s">
        <v>132</v>
      </c>
    </row>
    <row r="3" spans="2:14" s="11" customFormat="1">
      <c r="B3" s="209" t="s">
        <v>254</v>
      </c>
      <c r="C3" s="209" t="s">
        <v>255</v>
      </c>
    </row>
    <row r="4" spans="2:14" s="11" customFormat="1">
      <c r="B4" s="140" t="s">
        <v>256</v>
      </c>
      <c r="C4" s="140" t="s">
        <v>133</v>
      </c>
    </row>
    <row r="5" spans="2:14" s="31" customFormat="1">
      <c r="B5" s="30"/>
      <c r="C5" s="30"/>
      <c r="D5" s="30"/>
      <c r="E5" s="30"/>
      <c r="F5" s="30"/>
      <c r="G5" s="30"/>
      <c r="H5" s="30"/>
      <c r="I5" s="30"/>
      <c r="J5" s="30"/>
      <c r="K5" s="30"/>
      <c r="L5" s="30"/>
      <c r="M5" s="30"/>
      <c r="N5" s="30"/>
    </row>
    <row r="6" spans="2:14" s="3" customFormat="1" ht="27" customHeight="1">
      <c r="B6" s="92" t="s">
        <v>251</v>
      </c>
      <c r="C6" s="93" t="s">
        <v>277</v>
      </c>
      <c r="D6" s="94"/>
      <c r="E6" s="94"/>
      <c r="F6" s="94"/>
      <c r="G6" s="94"/>
      <c r="H6" s="76"/>
      <c r="I6" s="76"/>
      <c r="J6" s="76"/>
      <c r="K6" s="76"/>
      <c r="L6" s="74"/>
      <c r="M6" s="74"/>
      <c r="N6" s="42"/>
    </row>
    <row r="7" spans="2:14" s="3" customFormat="1" ht="15.95" customHeight="1">
      <c r="C7" s="43"/>
      <c r="D7" s="75"/>
      <c r="E7" s="75"/>
      <c r="F7" s="75"/>
      <c r="G7" s="75"/>
      <c r="H7" s="75"/>
      <c r="I7" s="75"/>
      <c r="J7" s="75"/>
      <c r="K7" s="75"/>
      <c r="L7" s="75"/>
      <c r="M7" s="75"/>
      <c r="N7" s="7"/>
    </row>
    <row r="8" spans="2:14" s="4" customFormat="1" ht="20.100000000000001" customHeight="1">
      <c r="B8" s="1225" t="s">
        <v>1</v>
      </c>
      <c r="C8" s="1225" t="s">
        <v>271</v>
      </c>
      <c r="D8" s="1225" t="s">
        <v>105</v>
      </c>
      <c r="E8" s="1225"/>
      <c r="F8" s="1225"/>
      <c r="G8" s="1225"/>
      <c r="H8" s="1225"/>
      <c r="I8" s="1225"/>
      <c r="J8" s="1225"/>
      <c r="K8" s="1225"/>
      <c r="L8" s="1229" t="s">
        <v>87</v>
      </c>
      <c r="M8" s="1230"/>
      <c r="N8" s="1225" t="s">
        <v>2</v>
      </c>
    </row>
    <row r="9" spans="2:14" s="4" customFormat="1" ht="20.100000000000001" customHeight="1">
      <c r="B9" s="1225"/>
      <c r="C9" s="1225"/>
      <c r="D9" s="1231" t="s">
        <v>83</v>
      </c>
      <c r="E9" s="1230"/>
      <c r="F9" s="1231" t="s">
        <v>84</v>
      </c>
      <c r="G9" s="1230"/>
      <c r="H9" s="1231" t="s">
        <v>85</v>
      </c>
      <c r="I9" s="1230"/>
      <c r="J9" s="1231" t="s">
        <v>86</v>
      </c>
      <c r="K9" s="1230"/>
      <c r="L9" s="1226" t="s">
        <v>111</v>
      </c>
      <c r="M9" s="1226" t="s">
        <v>126</v>
      </c>
      <c r="N9" s="1225"/>
    </row>
    <row r="10" spans="2:14" s="4" customFormat="1" ht="29.1" customHeight="1">
      <c r="B10" s="1225"/>
      <c r="C10" s="1225"/>
      <c r="D10" s="118" t="s">
        <v>67</v>
      </c>
      <c r="E10" s="118" t="s">
        <v>126</v>
      </c>
      <c r="F10" s="118" t="s">
        <v>67</v>
      </c>
      <c r="G10" s="118" t="s">
        <v>126</v>
      </c>
      <c r="H10" s="118" t="s">
        <v>67</v>
      </c>
      <c r="I10" s="118" t="s">
        <v>126</v>
      </c>
      <c r="J10" s="118" t="s">
        <v>67</v>
      </c>
      <c r="K10" s="118" t="s">
        <v>126</v>
      </c>
      <c r="L10" s="1227"/>
      <c r="M10" s="1227"/>
      <c r="N10" s="1225"/>
    </row>
    <row r="11" spans="2:14">
      <c r="B11" s="205">
        <v>1</v>
      </c>
      <c r="C11" s="206" t="s">
        <v>272</v>
      </c>
      <c r="D11" s="127">
        <v>0.8</v>
      </c>
      <c r="E11" s="128" t="s">
        <v>68</v>
      </c>
      <c r="F11" s="127">
        <v>0.75</v>
      </c>
      <c r="G11" s="128" t="s">
        <v>68</v>
      </c>
      <c r="H11" s="127">
        <v>0.8</v>
      </c>
      <c r="I11" s="128" t="s">
        <v>68</v>
      </c>
      <c r="J11" s="127">
        <v>0.77</v>
      </c>
      <c r="K11" s="128" t="s">
        <v>68</v>
      </c>
      <c r="L11" s="128"/>
      <c r="M11" s="128"/>
      <c r="N11" s="129"/>
    </row>
    <row r="12" spans="2:14">
      <c r="B12" s="205">
        <v>2</v>
      </c>
      <c r="C12" s="207" t="s">
        <v>273</v>
      </c>
      <c r="D12" s="127">
        <v>0.78</v>
      </c>
      <c r="E12" s="128" t="s">
        <v>68</v>
      </c>
      <c r="F12" s="127">
        <v>0.71</v>
      </c>
      <c r="G12" s="128" t="s">
        <v>68</v>
      </c>
      <c r="H12" s="127">
        <v>0.6</v>
      </c>
      <c r="I12" s="128" t="s">
        <v>114</v>
      </c>
      <c r="J12" s="127">
        <v>0.8</v>
      </c>
      <c r="K12" s="128" t="s">
        <v>68</v>
      </c>
      <c r="L12" s="128"/>
      <c r="M12" s="128"/>
      <c r="N12" s="129"/>
    </row>
    <row r="13" spans="2:14">
      <c r="B13" s="205">
        <v>3</v>
      </c>
      <c r="C13" s="206" t="s">
        <v>274</v>
      </c>
      <c r="D13" s="127">
        <v>0.71</v>
      </c>
      <c r="E13" s="128" t="s">
        <v>68</v>
      </c>
      <c r="F13" s="127">
        <v>0.8</v>
      </c>
      <c r="G13" s="128" t="s">
        <v>68</v>
      </c>
      <c r="H13" s="127">
        <v>0.63</v>
      </c>
      <c r="I13" s="128" t="s">
        <v>114</v>
      </c>
      <c r="J13" s="127">
        <v>0.79</v>
      </c>
      <c r="K13" s="128" t="s">
        <v>68</v>
      </c>
      <c r="L13" s="128"/>
      <c r="M13" s="128"/>
      <c r="N13" s="129"/>
    </row>
    <row r="14" spans="2:14">
      <c r="B14" s="205">
        <v>4</v>
      </c>
      <c r="C14" s="206" t="s">
        <v>275</v>
      </c>
      <c r="D14" s="127">
        <v>0.77</v>
      </c>
      <c r="E14" s="128" t="s">
        <v>68</v>
      </c>
      <c r="F14" s="127">
        <v>0.77</v>
      </c>
      <c r="G14" s="128" t="s">
        <v>68</v>
      </c>
      <c r="H14" s="127">
        <v>0.77</v>
      </c>
      <c r="I14" s="128" t="s">
        <v>68</v>
      </c>
      <c r="J14" s="127">
        <v>0.6</v>
      </c>
      <c r="K14" s="128" t="s">
        <v>114</v>
      </c>
      <c r="L14" s="128"/>
      <c r="M14" s="128"/>
      <c r="N14" s="129"/>
    </row>
    <row r="15" spans="2:14">
      <c r="B15" s="205">
        <v>5</v>
      </c>
      <c r="C15" s="206" t="s">
        <v>276</v>
      </c>
      <c r="D15" s="127">
        <v>0.81</v>
      </c>
      <c r="E15" s="128" t="s">
        <v>68</v>
      </c>
      <c r="F15" s="127">
        <v>0.84</v>
      </c>
      <c r="G15" s="128" t="s">
        <v>68</v>
      </c>
      <c r="H15" s="127">
        <v>0.79</v>
      </c>
      <c r="I15" s="128" t="s">
        <v>68</v>
      </c>
      <c r="J15" s="127">
        <v>0.82</v>
      </c>
      <c r="K15" s="128" t="s">
        <v>68</v>
      </c>
      <c r="L15" s="130"/>
      <c r="M15" s="130"/>
      <c r="N15" s="131"/>
    </row>
    <row r="16" spans="2:14">
      <c r="B16" s="205">
        <v>6</v>
      </c>
      <c r="C16" s="206"/>
      <c r="D16" s="130"/>
      <c r="E16" s="130"/>
      <c r="F16" s="130"/>
      <c r="G16" s="130"/>
      <c r="H16" s="130"/>
      <c r="I16" s="130"/>
      <c r="J16" s="130"/>
      <c r="K16" s="130"/>
      <c r="L16" s="130"/>
      <c r="M16" s="130"/>
      <c r="N16" s="131"/>
    </row>
    <row r="17" spans="2:14">
      <c r="B17" s="205">
        <v>7</v>
      </c>
      <c r="C17" s="206"/>
      <c r="D17" s="130"/>
      <c r="E17" s="130"/>
      <c r="F17" s="130"/>
      <c r="G17" s="130"/>
      <c r="H17" s="130"/>
      <c r="I17" s="130"/>
      <c r="J17" s="130"/>
      <c r="K17" s="130"/>
      <c r="L17" s="130"/>
      <c r="M17" s="130"/>
      <c r="N17" s="131"/>
    </row>
    <row r="18" spans="2:14">
      <c r="B18" s="205">
        <v>8</v>
      </c>
      <c r="C18" s="206"/>
      <c r="D18" s="130"/>
      <c r="E18" s="130"/>
      <c r="F18" s="130"/>
      <c r="G18" s="130"/>
      <c r="H18" s="130"/>
      <c r="I18" s="130"/>
      <c r="J18" s="130"/>
      <c r="K18" s="130"/>
      <c r="L18" s="130"/>
      <c r="M18" s="130"/>
      <c r="N18" s="131"/>
    </row>
    <row r="19" spans="2:14">
      <c r="B19" s="205">
        <v>9</v>
      </c>
      <c r="C19" s="206"/>
      <c r="D19" s="130"/>
      <c r="E19" s="130"/>
      <c r="F19" s="130"/>
      <c r="G19" s="130"/>
      <c r="H19" s="130"/>
      <c r="I19" s="130"/>
      <c r="J19" s="130"/>
      <c r="K19" s="130"/>
      <c r="L19" s="130"/>
      <c r="M19" s="130"/>
      <c r="N19" s="131"/>
    </row>
    <row r="20" spans="2:14">
      <c r="B20" s="205">
        <v>10</v>
      </c>
      <c r="C20" s="206"/>
      <c r="D20" s="130"/>
      <c r="E20" s="130"/>
      <c r="F20" s="130"/>
      <c r="G20" s="130"/>
      <c r="H20" s="130"/>
      <c r="I20" s="130"/>
      <c r="J20" s="130"/>
      <c r="K20" s="130"/>
      <c r="L20" s="130"/>
      <c r="M20" s="130"/>
      <c r="N20" s="131"/>
    </row>
    <row r="21" spans="2:14">
      <c r="B21" s="205">
        <v>11</v>
      </c>
      <c r="C21" s="206"/>
      <c r="D21" s="130"/>
      <c r="E21" s="130"/>
      <c r="F21" s="130"/>
      <c r="G21" s="130"/>
      <c r="H21" s="130"/>
      <c r="I21" s="130"/>
      <c r="J21" s="130"/>
      <c r="K21" s="130"/>
      <c r="L21" s="130"/>
      <c r="M21" s="130"/>
      <c r="N21" s="131"/>
    </row>
    <row r="22" spans="2:14">
      <c r="B22" s="205">
        <v>12</v>
      </c>
      <c r="C22" s="206"/>
      <c r="D22" s="130"/>
      <c r="E22" s="130"/>
      <c r="F22" s="130"/>
      <c r="G22" s="130"/>
      <c r="H22" s="130"/>
      <c r="I22" s="130"/>
      <c r="J22" s="130"/>
      <c r="K22" s="130"/>
      <c r="L22" s="130"/>
      <c r="M22" s="130"/>
      <c r="N22" s="131"/>
    </row>
    <row r="23" spans="2:14">
      <c r="B23" s="205">
        <v>13</v>
      </c>
      <c r="C23" s="206"/>
      <c r="D23" s="130"/>
      <c r="E23" s="130"/>
      <c r="F23" s="130"/>
      <c r="G23" s="130"/>
      <c r="H23" s="130"/>
      <c r="I23" s="130"/>
      <c r="J23" s="130"/>
      <c r="K23" s="130"/>
      <c r="L23" s="130"/>
      <c r="M23" s="130"/>
      <c r="N23" s="131"/>
    </row>
    <row r="24" spans="2:14">
      <c r="B24" s="205">
        <v>14</v>
      </c>
      <c r="C24" s="206"/>
      <c r="D24" s="130"/>
      <c r="E24" s="130"/>
      <c r="F24" s="130"/>
      <c r="G24" s="130"/>
      <c r="H24" s="130"/>
      <c r="I24" s="130"/>
      <c r="J24" s="130"/>
      <c r="K24" s="130"/>
      <c r="L24" s="130"/>
      <c r="M24" s="130"/>
      <c r="N24" s="131"/>
    </row>
    <row r="25" spans="2:14">
      <c r="B25" s="205">
        <v>15</v>
      </c>
      <c r="C25" s="206"/>
      <c r="D25" s="130"/>
      <c r="E25" s="130"/>
      <c r="F25" s="130"/>
      <c r="G25" s="130"/>
      <c r="H25" s="130"/>
      <c r="I25" s="130"/>
      <c r="J25" s="130"/>
      <c r="K25" s="130"/>
      <c r="L25" s="130"/>
      <c r="M25" s="130"/>
      <c r="N25" s="131"/>
    </row>
    <row r="26" spans="2:14">
      <c r="B26" s="205">
        <v>16</v>
      </c>
      <c r="C26" s="206"/>
      <c r="D26" s="130"/>
      <c r="E26" s="130"/>
      <c r="F26" s="130"/>
      <c r="G26" s="130"/>
      <c r="H26" s="130"/>
      <c r="I26" s="130"/>
      <c r="J26" s="130"/>
      <c r="K26" s="130"/>
      <c r="L26" s="130"/>
      <c r="M26" s="130"/>
      <c r="N26" s="131"/>
    </row>
    <row r="27" spans="2:14">
      <c r="B27" s="205">
        <v>17</v>
      </c>
      <c r="C27" s="206"/>
      <c r="D27" s="130"/>
      <c r="E27" s="130"/>
      <c r="F27" s="130"/>
      <c r="G27" s="130"/>
      <c r="H27" s="130"/>
      <c r="I27" s="130"/>
      <c r="J27" s="130"/>
      <c r="K27" s="130"/>
      <c r="L27" s="130"/>
      <c r="M27" s="130"/>
      <c r="N27" s="131"/>
    </row>
    <row r="28" spans="2:14">
      <c r="B28" s="205">
        <v>18</v>
      </c>
      <c r="C28" s="206"/>
      <c r="D28" s="130"/>
      <c r="E28" s="130"/>
      <c r="F28" s="130"/>
      <c r="G28" s="130"/>
      <c r="H28" s="130"/>
      <c r="I28" s="130"/>
      <c r="J28" s="130"/>
      <c r="K28" s="130"/>
      <c r="L28" s="130"/>
      <c r="M28" s="130"/>
      <c r="N28" s="131"/>
    </row>
    <row r="29" spans="2:14">
      <c r="B29" s="205">
        <v>19</v>
      </c>
      <c r="C29" s="206"/>
      <c r="D29" s="130"/>
      <c r="E29" s="130"/>
      <c r="F29" s="130"/>
      <c r="G29" s="130"/>
      <c r="H29" s="130"/>
      <c r="I29" s="130"/>
      <c r="J29" s="130"/>
      <c r="K29" s="130"/>
      <c r="L29" s="130"/>
      <c r="M29" s="130"/>
      <c r="N29" s="131"/>
    </row>
    <row r="30" spans="2:14">
      <c r="B30" s="205">
        <v>20</v>
      </c>
      <c r="C30" s="206"/>
      <c r="D30" s="130"/>
      <c r="E30" s="130"/>
      <c r="F30" s="130"/>
      <c r="G30" s="130"/>
      <c r="H30" s="130"/>
      <c r="I30" s="130"/>
      <c r="J30" s="130"/>
      <c r="K30" s="130"/>
      <c r="L30" s="130"/>
      <c r="M30" s="130"/>
      <c r="N30" s="131"/>
    </row>
    <row r="31" spans="2:14">
      <c r="B31" s="205">
        <v>21</v>
      </c>
      <c r="C31" s="206"/>
      <c r="D31" s="130"/>
      <c r="E31" s="130"/>
      <c r="F31" s="130"/>
      <c r="G31" s="130"/>
      <c r="H31" s="130"/>
      <c r="I31" s="130"/>
      <c r="J31" s="130"/>
      <c r="K31" s="130"/>
      <c r="L31" s="130"/>
      <c r="M31" s="130"/>
      <c r="N31" s="131"/>
    </row>
    <row r="32" spans="2:14">
      <c r="B32" s="205">
        <v>22</v>
      </c>
      <c r="C32" s="206"/>
      <c r="D32" s="130"/>
      <c r="E32" s="130"/>
      <c r="F32" s="130"/>
      <c r="G32" s="130"/>
      <c r="H32" s="130"/>
      <c r="I32" s="130"/>
      <c r="J32" s="130"/>
      <c r="K32" s="130"/>
      <c r="L32" s="130"/>
      <c r="M32" s="130"/>
      <c r="N32" s="131"/>
    </row>
    <row r="33" spans="2:15">
      <c r="B33" s="120" t="s">
        <v>33</v>
      </c>
      <c r="C33" s="121"/>
      <c r="D33" s="123"/>
      <c r="E33" s="123"/>
      <c r="F33" s="123"/>
      <c r="G33" s="123"/>
      <c r="H33" s="123"/>
      <c r="I33" s="123"/>
      <c r="J33" s="123"/>
      <c r="K33" s="123"/>
      <c r="L33" s="123"/>
      <c r="M33" s="125"/>
      <c r="N33" s="123"/>
    </row>
    <row r="34" spans="2:15">
      <c r="B34" s="5"/>
      <c r="C34" s="5"/>
      <c r="D34" s="6"/>
      <c r="E34" s="6"/>
      <c r="F34" s="6"/>
      <c r="G34" s="6"/>
      <c r="H34" s="6"/>
      <c r="I34" s="6"/>
      <c r="J34" s="6"/>
      <c r="K34" s="6"/>
      <c r="L34" s="6"/>
      <c r="M34" s="6"/>
      <c r="N34" s="6"/>
    </row>
    <row r="35" spans="2:15" ht="15.95" customHeight="1">
      <c r="B35" s="975" t="s">
        <v>35</v>
      </c>
      <c r="C35" s="975"/>
      <c r="F35" s="975" t="s">
        <v>35</v>
      </c>
      <c r="G35" s="975"/>
      <c r="K35" s="975" t="s">
        <v>250</v>
      </c>
      <c r="L35" s="975"/>
      <c r="M35" s="975"/>
      <c r="N35" s="1"/>
      <c r="O35" s="38"/>
    </row>
    <row r="36" spans="2:15" ht="15.95" customHeight="1">
      <c r="B36" s="975" t="s">
        <v>88</v>
      </c>
      <c r="C36" s="975"/>
      <c r="F36" s="975" t="s">
        <v>70</v>
      </c>
      <c r="G36" s="975"/>
      <c r="K36" s="975" t="s">
        <v>113</v>
      </c>
      <c r="L36" s="975"/>
      <c r="M36" s="975"/>
      <c r="N36" s="1"/>
      <c r="O36" s="38"/>
    </row>
    <row r="37" spans="2:15">
      <c r="C37" s="6"/>
      <c r="F37" s="6"/>
      <c r="G37" s="6"/>
      <c r="K37" s="6"/>
      <c r="L37" s="6"/>
      <c r="M37" s="6"/>
      <c r="N37" s="1"/>
      <c r="O37" s="6"/>
    </row>
    <row r="38" spans="2:15">
      <c r="C38" s="6"/>
      <c r="F38" s="6"/>
      <c r="G38" s="6"/>
      <c r="K38" s="6"/>
      <c r="L38" s="6"/>
      <c r="M38" s="6"/>
      <c r="N38" s="1"/>
      <c r="O38" s="6"/>
    </row>
    <row r="39" spans="2:15">
      <c r="C39" s="6"/>
      <c r="F39" s="6"/>
      <c r="G39" s="6"/>
      <c r="K39" s="6"/>
      <c r="L39" s="6"/>
      <c r="M39" s="6"/>
      <c r="N39" s="1"/>
      <c r="O39" s="6"/>
    </row>
    <row r="40" spans="2:15">
      <c r="C40" s="6"/>
      <c r="F40" s="6"/>
      <c r="G40" s="6"/>
      <c r="K40" s="6"/>
      <c r="L40" s="6"/>
      <c r="M40" s="6"/>
      <c r="N40" s="1"/>
      <c r="O40" s="6"/>
    </row>
    <row r="41" spans="2:15">
      <c r="C41" s="6"/>
      <c r="F41" s="6"/>
      <c r="G41" s="6"/>
      <c r="K41" s="6"/>
      <c r="L41" s="6"/>
      <c r="M41" s="6"/>
      <c r="N41" s="1"/>
      <c r="O41" s="6"/>
    </row>
    <row r="42" spans="2:15" ht="15.95" customHeight="1">
      <c r="B42" s="972" t="s">
        <v>29</v>
      </c>
      <c r="C42" s="972"/>
      <c r="F42" s="972" t="s">
        <v>29</v>
      </c>
      <c r="G42" s="972"/>
      <c r="K42" s="972" t="s">
        <v>29</v>
      </c>
      <c r="L42" s="972"/>
      <c r="M42" s="972"/>
      <c r="N42" s="1"/>
      <c r="O42" s="5"/>
    </row>
    <row r="43" spans="2:15">
      <c r="B43" s="5"/>
      <c r="C43" s="5"/>
      <c r="D43" s="6"/>
      <c r="E43" s="6"/>
      <c r="F43" s="6"/>
      <c r="G43" s="6"/>
      <c r="H43" s="6"/>
      <c r="I43" s="6"/>
      <c r="J43" s="6"/>
      <c r="K43" s="6"/>
      <c r="L43" s="6"/>
      <c r="M43" s="6"/>
      <c r="N43" s="6"/>
    </row>
  </sheetData>
  <mergeCells count="20">
    <mergeCell ref="N8:N10"/>
    <mergeCell ref="B36:C36"/>
    <mergeCell ref="L8:M8"/>
    <mergeCell ref="F35:G35"/>
    <mergeCell ref="F36:G36"/>
    <mergeCell ref="B8:B10"/>
    <mergeCell ref="C8:C10"/>
    <mergeCell ref="D8:K8"/>
    <mergeCell ref="D9:E9"/>
    <mergeCell ref="F9:G9"/>
    <mergeCell ref="H9:I9"/>
    <mergeCell ref="J9:K9"/>
    <mergeCell ref="L9:L10"/>
    <mergeCell ref="M9:M10"/>
    <mergeCell ref="B42:C42"/>
    <mergeCell ref="F42:G42"/>
    <mergeCell ref="K36:M36"/>
    <mergeCell ref="K35:M35"/>
    <mergeCell ref="K42:M42"/>
    <mergeCell ref="B35:C35"/>
  </mergeCells>
  <pageMargins left="0.25" right="0.25" top="0.75" bottom="0.75" header="0.3" footer="0.3"/>
  <pageSetup paperSize="9" scale="74"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62</vt:i4>
      </vt:variant>
      <vt:variant>
        <vt:lpstr>Named Ranges</vt:lpstr>
      </vt:variant>
      <vt:variant>
        <vt:i4>21</vt:i4>
      </vt:variant>
    </vt:vector>
  </HeadingPairs>
  <TitlesOfParts>
    <vt:vector size="83" baseType="lpstr">
      <vt:lpstr>A7.0.DM Biểu mẫu</vt:lpstr>
      <vt:lpstr>A7.1.Muc tieu Công ty</vt:lpstr>
      <vt:lpstr>A7.2.Mục tiêu tổng hợp</vt:lpstr>
      <vt:lpstr>A7.2.Mục tiêu tổng hợp (SL)</vt:lpstr>
      <vt:lpstr>A7.3.Mục tiêu Phòng Năm</vt:lpstr>
      <vt:lpstr>Mục tiêu c Chi phân bổ</vt:lpstr>
      <vt:lpstr>A7.5.Mục tiêu Phòng Tháng</vt:lpstr>
      <vt:lpstr>A7.8.KPI Cong ty Nam 2025</vt:lpstr>
      <vt:lpstr>Bảng đánh giá KPI (ĐK thêm)</vt:lpstr>
      <vt:lpstr>A7.10.NH KPI CÁ NHÂN</vt:lpstr>
      <vt:lpstr>A7.9.KPI Ban HCNS năm 2026</vt:lpstr>
      <vt:lpstr>1.KPI nam.PGĐ(HC-TS-ATNB)</vt:lpstr>
      <vt:lpstr>2.KPI nam.PGĐ(CSKH-LĐ TL)</vt:lpstr>
      <vt:lpstr>3.KPI nam.PGD(NS-PC)</vt:lpstr>
      <vt:lpstr>4.1.KPI nam.NV HCNS-Nhi</vt:lpstr>
      <vt:lpstr>A7.6.Mục tiêu NV Năm 2026</vt:lpstr>
      <vt:lpstr>4.2.KPI nam.NV HCNS-Nhu</vt:lpstr>
      <vt:lpstr>5.KPI nam.NV VTLT</vt:lpstr>
      <vt:lpstr>6.KPI nam.Lai xe (2)</vt:lpstr>
      <vt:lpstr>6.KPI nam.Lai xe (1)</vt:lpstr>
      <vt:lpstr>7.KPI nam.NV CSKH (4NV) (4)</vt:lpstr>
      <vt:lpstr>7.KPI nam.NV CSKH (4NV) (3)</vt:lpstr>
      <vt:lpstr>7.KPI nam.NV CSKH (4NV) (1)</vt:lpstr>
      <vt:lpstr>7.KPI nam.NV CSKH (4NV) (2)</vt:lpstr>
      <vt:lpstr>A7.9.KPI Ban HCNS Quy 1.26</vt:lpstr>
      <vt:lpstr>A7.4.Mục tiêu Phòng 4 quý.2026</vt:lpstr>
      <vt:lpstr>A7.7.Mục tiêu Nhân viên Q1.26</vt:lpstr>
      <vt:lpstr>Bảng xác nhận KPI - Quý 2</vt:lpstr>
      <vt:lpstr>Bảng xác nhận KPI (ĐK thêm)-Q2</vt:lpstr>
      <vt:lpstr>Bảng tổng hợp kết quả KPI Q2</vt:lpstr>
      <vt:lpstr>A7.9.KPI Ban HCNS Quy 2.26</vt:lpstr>
      <vt:lpstr>A7.13.KPI Quan ly.Q2</vt:lpstr>
      <vt:lpstr>1.KPI Q2.PGĐ Ban(HC-TS-ATNB</vt:lpstr>
      <vt:lpstr>2.KPI Q2.PGĐ(CSKH-LĐ TL)</vt:lpstr>
      <vt:lpstr>3.KPI Q2.PGĐ(NS-PC)</vt:lpstr>
      <vt:lpstr>4.1.KPI Q2.NV HCNS-Nhi</vt:lpstr>
      <vt:lpstr>4.2.KPI Q2.NV HCNS-Nhu</vt:lpstr>
      <vt:lpstr>5.KPI Q2.NV VTLT</vt:lpstr>
      <vt:lpstr>6.KPI Q2.NV Lai xe (2)</vt:lpstr>
      <vt:lpstr>6.KPI Q2.NV Lai xe (1)</vt:lpstr>
      <vt:lpstr>7.KPI Q2.NV CSKH (4NV) (4)</vt:lpstr>
      <vt:lpstr>7.KPI Q2.NV CSKH (4NV) (3)</vt:lpstr>
      <vt:lpstr>7.KPI Q2.NV CSKH (4NV) (2)</vt:lpstr>
      <vt:lpstr>7.KPI Q2.NV CSKH (4NV) (1)</vt:lpstr>
      <vt:lpstr>A7.12.KPI Quản lý - Năm</vt:lpstr>
      <vt:lpstr>A7.13.KPI Quan ly.Q4</vt:lpstr>
      <vt:lpstr>1.KPI Q4.PGĐ Ban(HC-TS-ATNB)</vt:lpstr>
      <vt:lpstr>2.KPI Q4.PGĐ(CSKH-LĐ TL)</vt:lpstr>
      <vt:lpstr>3.KPI Q4.PGĐ(NS-PC)</vt:lpstr>
      <vt:lpstr>4.1.KPI Q4.Nv HCNS-Nhi</vt:lpstr>
      <vt:lpstr>4.2.KPI Q4.NV HCNS-Nhu</vt:lpstr>
      <vt:lpstr>5.KPI Q4.NV VTLT</vt:lpstr>
      <vt:lpstr>6.KPI Q4.NV Lai xe (Bốn)</vt:lpstr>
      <vt:lpstr>6.KPI Q4.NV Lai xe (Khiêm)</vt:lpstr>
      <vt:lpstr>7.KPI Q4.NV CSKH (1)</vt:lpstr>
      <vt:lpstr>7.KPI Q4.NV CSKH (2)</vt:lpstr>
      <vt:lpstr>7.KPI Q4.NV CSKH (3)</vt:lpstr>
      <vt:lpstr>7.KPI Q4.NV CSKH (4)</vt:lpstr>
      <vt:lpstr>A7.15.Tiêu chí thái độ hành vi</vt:lpstr>
      <vt:lpstr>A7.16.Tổng hợp KPI cá nhân -Quý</vt:lpstr>
      <vt:lpstr>A7.17.Tổng hợp KPI cá nhân -Năm</vt:lpstr>
      <vt:lpstr>A7.18.Tổng hợp KPI Phòng</vt:lpstr>
      <vt:lpstr>'1.KPI Q2.PGĐ Ban(HC-TS-ATNB'!Print_Area</vt:lpstr>
      <vt:lpstr>'1.KPI Q4.PGĐ Ban(HC-TS-ATNB)'!Print_Area</vt:lpstr>
      <vt:lpstr>'2.KPI Q2.PGĐ(CSKH-LĐ TL)'!Print_Area</vt:lpstr>
      <vt:lpstr>'2.KPI Q4.PGĐ(CSKH-LĐ TL)'!Print_Area</vt:lpstr>
      <vt:lpstr>'3.KPI Q2.PGĐ(NS-PC)'!Print_Area</vt:lpstr>
      <vt:lpstr>'3.KPI Q4.PGĐ(NS-PC)'!Print_Area</vt:lpstr>
      <vt:lpstr>'A7.13.KPI Quan ly.Q2'!Print_Area</vt:lpstr>
      <vt:lpstr>'A7.18.Tổng hợp KPI Phòng'!Print_Area</vt:lpstr>
      <vt:lpstr>'A7.9.KPI Ban HCNS năm 2026'!Print_Area</vt:lpstr>
      <vt:lpstr>'A7.9.KPI Ban HCNS Quy 1.26'!Print_Area</vt:lpstr>
      <vt:lpstr>'A7.9.KPI Ban HCNS Quy 2.26'!Print_Area</vt:lpstr>
      <vt:lpstr>'Bảng đánh giá KPI (ĐK thêm)'!Print_Area</vt:lpstr>
      <vt:lpstr>'Bảng xác nhận KPI - Quý 2'!Print_Area</vt:lpstr>
      <vt:lpstr>'Bảng xác nhận KPI (ĐK thêm)-Q2'!Print_Area</vt:lpstr>
      <vt:lpstr>'Mục tiêu c Chi phân bổ'!Print_Area</vt:lpstr>
      <vt:lpstr>'A7.9.KPI Ban HCNS năm 2026'!Print_Titles</vt:lpstr>
      <vt:lpstr>'A7.9.KPI Ban HCNS Quy 1.26'!Print_Titles</vt:lpstr>
      <vt:lpstr>'A7.9.KPI Ban HCNS Quy 2.26'!Print_Titles</vt:lpstr>
      <vt:lpstr>'Bảng xác nhận KPI - Quý 2'!Print_Titles</vt:lpstr>
      <vt:lpstr>'Bảng xác nhận KPI (ĐK thêm)-Q2'!Print_Titles</vt:lpstr>
      <vt:lpstr>'Mục tiêu c Chi phân bổ'!Print_Titles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Nhu Nguyen</cp:lastModifiedBy>
  <cp:lastPrinted>2026-07-13T06:34:32Z</cp:lastPrinted>
  <dcterms:created xsi:type="dcterms:W3CDTF">2020-07-25T09:56:07Z</dcterms:created>
  <dcterms:modified xsi:type="dcterms:W3CDTF">2026-08-24T08:36:49Z</dcterms:modified>
</cp:coreProperties>
</file>