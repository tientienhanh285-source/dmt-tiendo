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y phuong\A 2017 nghi sinh01.01.2018\A 2017 nghi sinh01.01.2018\O E\NAM 2026\THANG 06.2026\"/>
    </mc:Choice>
  </mc:AlternateContent>
  <bookViews>
    <workbookView xWindow="0" yWindow="0" windowWidth="21600" windowHeight="9732" firstSheet="70" activeTab="76"/>
  </bookViews>
  <sheets>
    <sheet name="03.2020" sheetId="16" r:id="rId1"/>
    <sheet name="04.2020" sheetId="17" r:id="rId2"/>
    <sheet name="05.2020" sheetId="18" r:id="rId3"/>
    <sheet name="06.2020" sheetId="19" r:id="rId4"/>
    <sheet name="07.2020" sheetId="20" r:id="rId5"/>
    <sheet name="08.2020" sheetId="21" r:id="rId6"/>
    <sheet name="09.2020" sheetId="22" r:id="rId7"/>
    <sheet name="10.2020" sheetId="23" r:id="rId8"/>
    <sheet name="11.2020" sheetId="24" r:id="rId9"/>
    <sheet name="12.2020" sheetId="25" r:id="rId10"/>
    <sheet name="01.2021" sheetId="26" r:id="rId11"/>
    <sheet name="02.2021" sheetId="27" r:id="rId12"/>
    <sheet name="03.2021" sheetId="28" r:id="rId13"/>
    <sheet name="04.2021" sheetId="29" r:id="rId14"/>
    <sheet name="05.2021" sheetId="30" r:id="rId15"/>
    <sheet name="Sheet1" sheetId="31" r:id="rId16"/>
    <sheet name="06.2021" sheetId="33" r:id="rId17"/>
    <sheet name="07.2021" sheetId="34" r:id="rId18"/>
    <sheet name="08.2021" sheetId="35" r:id="rId19"/>
    <sheet name="09.2021" sheetId="36" r:id="rId20"/>
    <sheet name="10.2021" sheetId="37" r:id="rId21"/>
    <sheet name="11.2021" sheetId="38" r:id="rId22"/>
    <sheet name="12.2021" sheetId="39" r:id="rId23"/>
    <sheet name="01.2022" sheetId="40" r:id="rId24"/>
    <sheet name="02.2022" sheetId="41" r:id="rId25"/>
    <sheet name="03.2022" sheetId="42" r:id="rId26"/>
    <sheet name="04.2022" sheetId="43" r:id="rId27"/>
    <sheet name="05.2022" sheetId="44" r:id="rId28"/>
    <sheet name="06.2022" sheetId="45" r:id="rId29"/>
    <sheet name="07.2022" sheetId="46" r:id="rId30"/>
    <sheet name="08.2022" sheetId="47" r:id="rId31"/>
    <sheet name="09.2022" sheetId="48" r:id="rId32"/>
    <sheet name="10.2022" sheetId="49" r:id="rId33"/>
    <sheet name="11.2022" sheetId="50" r:id="rId34"/>
    <sheet name="12.2022" sheetId="51" r:id="rId35"/>
    <sheet name="01.2023" sheetId="52" r:id="rId36"/>
    <sheet name="02.2023" sheetId="53" r:id="rId37"/>
    <sheet name="03.2023" sheetId="54" r:id="rId38"/>
    <sheet name="04.2023" sheetId="55" r:id="rId39"/>
    <sheet name="05.2023" sheetId="56" r:id="rId40"/>
    <sheet name="06.2023" sheetId="57" r:id="rId41"/>
    <sheet name="07.2023" sheetId="58" r:id="rId42"/>
    <sheet name="08.2023" sheetId="59" r:id="rId43"/>
    <sheet name="09.2023" sheetId="60" r:id="rId44"/>
    <sheet name="10.2023" sheetId="61" r:id="rId45"/>
    <sheet name="11.2023" sheetId="62" r:id="rId46"/>
    <sheet name="12.2023" sheetId="63" r:id="rId47"/>
    <sheet name="01.2024" sheetId="64" r:id="rId48"/>
    <sheet name="02.2024" sheetId="65" r:id="rId49"/>
    <sheet name="03.2024" sheetId="66" r:id="rId50"/>
    <sheet name="04.2024" sheetId="67" r:id="rId51"/>
    <sheet name="05.2024" sheetId="68" r:id="rId52"/>
    <sheet name="06.2024" sheetId="69" r:id="rId53"/>
    <sheet name="07.2024" sheetId="70" r:id="rId54"/>
    <sheet name="08.2024" sheetId="71" r:id="rId55"/>
    <sheet name="09.2024" sheetId="72" r:id="rId56"/>
    <sheet name="10.2024" sheetId="73" r:id="rId57"/>
    <sheet name="11.2024" sheetId="74" r:id="rId58"/>
    <sheet name="12.2024" sheetId="75" r:id="rId59"/>
    <sheet name="01.2025" sheetId="76" r:id="rId60"/>
    <sheet name="02.2025" sheetId="77" r:id="rId61"/>
    <sheet name="03.2025" sheetId="78" r:id="rId62"/>
    <sheet name="04.2025" sheetId="79" r:id="rId63"/>
    <sheet name="05.2025" sheetId="80" r:id="rId64"/>
    <sheet name="06.2025" sheetId="81" r:id="rId65"/>
    <sheet name="07.2025" sheetId="82" r:id="rId66"/>
    <sheet name="08.2025" sheetId="83" r:id="rId67"/>
    <sheet name="09.2025" sheetId="84" r:id="rId68"/>
    <sheet name="10.2025" sheetId="85" r:id="rId69"/>
    <sheet name="11.2025" sheetId="86" r:id="rId70"/>
    <sheet name="12.2025" sheetId="88" r:id="rId71"/>
    <sheet name="01.2026" sheetId="89" r:id="rId72"/>
    <sheet name="02.2026" sheetId="90" r:id="rId73"/>
    <sheet name="03.2026" sheetId="91" r:id="rId74"/>
    <sheet name="04.2026" sheetId="92" r:id="rId75"/>
    <sheet name="05.2026 " sheetId="93" r:id="rId76"/>
    <sheet name="06.2026" sheetId="94" r:id="rId7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9" i="94" l="1"/>
  <c r="A8" i="94"/>
  <c r="A9" i="94" s="1"/>
  <c r="A11" i="94" s="1"/>
  <c r="A13" i="94" s="1"/>
  <c r="A14" i="94" s="1"/>
  <c r="A15" i="94" s="1"/>
  <c r="A16" i="94" s="1"/>
  <c r="A17" i="94" s="1"/>
  <c r="A18" i="94" s="1"/>
  <c r="A20" i="94" s="1"/>
  <c r="I20" i="94"/>
  <c r="H20" i="94"/>
  <c r="G20" i="94"/>
  <c r="I19" i="94"/>
  <c r="H19" i="94"/>
  <c r="G19" i="94"/>
  <c r="I18" i="94"/>
  <c r="H18" i="94"/>
  <c r="G18" i="94"/>
  <c r="J18" i="94" s="1"/>
  <c r="L18" i="94" s="1"/>
  <c r="M18" i="94" s="1"/>
  <c r="N18" i="94" s="1"/>
  <c r="I17" i="94"/>
  <c r="H17" i="94"/>
  <c r="G17" i="94"/>
  <c r="I16" i="94"/>
  <c r="H16" i="94"/>
  <c r="G16" i="94"/>
  <c r="J16" i="94" s="1"/>
  <c r="L16" i="94" s="1"/>
  <c r="M16" i="94" s="1"/>
  <c r="N16" i="94" s="1"/>
  <c r="I15" i="94"/>
  <c r="H15" i="94"/>
  <c r="G15" i="94"/>
  <c r="I14" i="94"/>
  <c r="H14" i="94"/>
  <c r="G14" i="94"/>
  <c r="J14" i="94" s="1"/>
  <c r="L14" i="94" s="1"/>
  <c r="M14" i="94" s="1"/>
  <c r="N14" i="94" s="1"/>
  <c r="I13" i="94"/>
  <c r="H13" i="94"/>
  <c r="G13" i="94"/>
  <c r="I11" i="94"/>
  <c r="H11" i="94"/>
  <c r="G11" i="94"/>
  <c r="J11" i="94" s="1"/>
  <c r="L11" i="94" s="1"/>
  <c r="M11" i="94" s="1"/>
  <c r="N11" i="94" s="1"/>
  <c r="I9" i="94"/>
  <c r="H9" i="94"/>
  <c r="G9" i="94"/>
  <c r="I8" i="94"/>
  <c r="H8" i="94"/>
  <c r="G8" i="94"/>
  <c r="J8" i="94" s="1"/>
  <c r="L8" i="94" s="1"/>
  <c r="M8" i="94" s="1"/>
  <c r="N8" i="94" s="1"/>
  <c r="I7" i="94"/>
  <c r="H7" i="94"/>
  <c r="G7" i="94"/>
  <c r="J19" i="94" l="1"/>
  <c r="L19" i="94" s="1"/>
  <c r="M19" i="94" s="1"/>
  <c r="N19" i="94" s="1"/>
  <c r="J7" i="94"/>
  <c r="L7" i="94" s="1"/>
  <c r="M7" i="94" s="1"/>
  <c r="N7" i="94" s="1"/>
  <c r="J9" i="94"/>
  <c r="L9" i="94" s="1"/>
  <c r="M9" i="94" s="1"/>
  <c r="N9" i="94" s="1"/>
  <c r="J13" i="94"/>
  <c r="L13" i="94" s="1"/>
  <c r="M13" i="94" s="1"/>
  <c r="N13" i="94" s="1"/>
  <c r="J15" i="94"/>
  <c r="L15" i="94" s="1"/>
  <c r="M15" i="94" s="1"/>
  <c r="N15" i="94" s="1"/>
  <c r="J17" i="94"/>
  <c r="L17" i="94" s="1"/>
  <c r="M17" i="94" s="1"/>
  <c r="N17" i="94" s="1"/>
  <c r="J20" i="94"/>
  <c r="L20" i="94" s="1"/>
  <c r="M20" i="94" s="1"/>
  <c r="N20" i="94" s="1"/>
  <c r="I22" i="93"/>
  <c r="H22" i="93"/>
  <c r="G22" i="93"/>
  <c r="I21" i="93"/>
  <c r="H21" i="93"/>
  <c r="G21" i="93"/>
  <c r="J21" i="93" s="1"/>
  <c r="L21" i="93" s="1"/>
  <c r="M21" i="93" s="1"/>
  <c r="N21" i="93" s="1"/>
  <c r="I20" i="93"/>
  <c r="H20" i="93"/>
  <c r="G20" i="93"/>
  <c r="I19" i="93"/>
  <c r="H19" i="93"/>
  <c r="G19" i="93"/>
  <c r="J19" i="93" s="1"/>
  <c r="L19" i="93" s="1"/>
  <c r="M19" i="93" s="1"/>
  <c r="N19" i="93" s="1"/>
  <c r="I18" i="93"/>
  <c r="H18" i="93"/>
  <c r="G18" i="93"/>
  <c r="I17" i="93"/>
  <c r="H17" i="93"/>
  <c r="G17" i="93"/>
  <c r="J17" i="93" s="1"/>
  <c r="L17" i="93" s="1"/>
  <c r="M17" i="93" s="1"/>
  <c r="N17" i="93" s="1"/>
  <c r="I16" i="93"/>
  <c r="H16" i="93"/>
  <c r="G16" i="93"/>
  <c r="I15" i="93"/>
  <c r="H15" i="93"/>
  <c r="G15" i="93"/>
  <c r="J15" i="93" s="1"/>
  <c r="L15" i="93" s="1"/>
  <c r="M15" i="93" s="1"/>
  <c r="N15" i="93" s="1"/>
  <c r="I14" i="93"/>
  <c r="H14" i="93"/>
  <c r="G14" i="93"/>
  <c r="I12" i="93"/>
  <c r="H12" i="93"/>
  <c r="G12" i="93"/>
  <c r="J12" i="93" s="1"/>
  <c r="L12" i="93" s="1"/>
  <c r="M12" i="93" s="1"/>
  <c r="N12" i="93" s="1"/>
  <c r="I10" i="93"/>
  <c r="H10" i="93"/>
  <c r="G10" i="93"/>
  <c r="I9" i="93"/>
  <c r="H9" i="93"/>
  <c r="G9" i="93"/>
  <c r="J9" i="93" s="1"/>
  <c r="L9" i="93" s="1"/>
  <c r="M9" i="93" s="1"/>
  <c r="N9" i="93" s="1"/>
  <c r="I8" i="93"/>
  <c r="H8" i="93"/>
  <c r="G8" i="93"/>
  <c r="A8" i="93"/>
  <c r="A9" i="93" s="1"/>
  <c r="A10" i="93" s="1"/>
  <c r="A12" i="93" s="1"/>
  <c r="A14" i="93" s="1"/>
  <c r="A15" i="93" s="1"/>
  <c r="A16" i="93" s="1"/>
  <c r="A17" i="93" s="1"/>
  <c r="A18" i="93" s="1"/>
  <c r="A19" i="93" s="1"/>
  <c r="A20" i="93" s="1"/>
  <c r="A21" i="93" s="1"/>
  <c r="A22" i="93" s="1"/>
  <c r="I7" i="93"/>
  <c r="H7" i="93"/>
  <c r="G7" i="93"/>
  <c r="J14" i="93" l="1"/>
  <c r="L14" i="93" s="1"/>
  <c r="M14" i="93" s="1"/>
  <c r="N14" i="93" s="1"/>
  <c r="J16" i="93"/>
  <c r="L16" i="93" s="1"/>
  <c r="M16" i="93" s="1"/>
  <c r="N16" i="93" s="1"/>
  <c r="J18" i="93"/>
  <c r="L18" i="93" s="1"/>
  <c r="M18" i="93" s="1"/>
  <c r="N18" i="93" s="1"/>
  <c r="J20" i="93"/>
  <c r="L20" i="93" s="1"/>
  <c r="M20" i="93" s="1"/>
  <c r="N20" i="93" s="1"/>
  <c r="J22" i="93"/>
  <c r="L22" i="93" s="1"/>
  <c r="M22" i="93" s="1"/>
  <c r="N22" i="93" s="1"/>
  <c r="J7" i="93"/>
  <c r="L7" i="93" s="1"/>
  <c r="M7" i="93" s="1"/>
  <c r="N7" i="93" s="1"/>
  <c r="J8" i="93"/>
  <c r="L8" i="93" s="1"/>
  <c r="M8" i="93" s="1"/>
  <c r="N8" i="93" s="1"/>
  <c r="J10" i="93"/>
  <c r="L10" i="93" s="1"/>
  <c r="M10" i="93" s="1"/>
  <c r="N10" i="93" s="1"/>
  <c r="I22" i="92"/>
  <c r="H22" i="92"/>
  <c r="J22" i="92" s="1"/>
  <c r="L22" i="92" s="1"/>
  <c r="M22" i="92" s="1"/>
  <c r="N22" i="92" s="1"/>
  <c r="G22" i="92"/>
  <c r="I21" i="92"/>
  <c r="H21" i="92"/>
  <c r="G21" i="92"/>
  <c r="I20" i="92"/>
  <c r="H20" i="92"/>
  <c r="J20" i="92" s="1"/>
  <c r="L20" i="92" s="1"/>
  <c r="M20" i="92" s="1"/>
  <c r="N20" i="92" s="1"/>
  <c r="G20" i="92"/>
  <c r="I19" i="92"/>
  <c r="H19" i="92"/>
  <c r="G19" i="92"/>
  <c r="I18" i="92"/>
  <c r="H18" i="92"/>
  <c r="J18" i="92" s="1"/>
  <c r="L18" i="92" s="1"/>
  <c r="M18" i="92" s="1"/>
  <c r="N18" i="92" s="1"/>
  <c r="G18" i="92"/>
  <c r="I17" i="92"/>
  <c r="H17" i="92"/>
  <c r="G17" i="92"/>
  <c r="I16" i="92"/>
  <c r="H16" i="92"/>
  <c r="J16" i="92" s="1"/>
  <c r="L16" i="92" s="1"/>
  <c r="M16" i="92" s="1"/>
  <c r="N16" i="92" s="1"/>
  <c r="G16" i="92"/>
  <c r="I15" i="92"/>
  <c r="H15" i="92"/>
  <c r="G15" i="92"/>
  <c r="I14" i="92"/>
  <c r="H14" i="92"/>
  <c r="G14" i="92"/>
  <c r="I12" i="92"/>
  <c r="H12" i="92"/>
  <c r="G12" i="92"/>
  <c r="I10" i="92"/>
  <c r="H10" i="92"/>
  <c r="G10" i="92"/>
  <c r="I9" i="92"/>
  <c r="H9" i="92"/>
  <c r="G9" i="92"/>
  <c r="I8" i="92"/>
  <c r="H8" i="92"/>
  <c r="J8" i="92" s="1"/>
  <c r="L8" i="92" s="1"/>
  <c r="M8" i="92" s="1"/>
  <c r="N8" i="92" s="1"/>
  <c r="G8" i="92"/>
  <c r="A8" i="92"/>
  <c r="A9" i="92" s="1"/>
  <c r="A10" i="92" s="1"/>
  <c r="A12" i="92" s="1"/>
  <c r="A14" i="92" s="1"/>
  <c r="A15" i="92" s="1"/>
  <c r="A16" i="92" s="1"/>
  <c r="A17" i="92" s="1"/>
  <c r="A18" i="92" s="1"/>
  <c r="A19" i="92" s="1"/>
  <c r="A20" i="92" s="1"/>
  <c r="A21" i="92" s="1"/>
  <c r="A22" i="92" s="1"/>
  <c r="I7" i="92"/>
  <c r="H7" i="92"/>
  <c r="J7" i="92" s="1"/>
  <c r="L7" i="92" s="1"/>
  <c r="M7" i="92" s="1"/>
  <c r="N7" i="92" s="1"/>
  <c r="G7" i="92"/>
  <c r="J10" i="92" l="1"/>
  <c r="L10" i="92" s="1"/>
  <c r="M10" i="92" s="1"/>
  <c r="N10" i="92" s="1"/>
  <c r="J14" i="92"/>
  <c r="L14" i="92" s="1"/>
  <c r="M14" i="92" s="1"/>
  <c r="N14" i="92" s="1"/>
  <c r="J15" i="92"/>
  <c r="L15" i="92" s="1"/>
  <c r="M15" i="92" s="1"/>
  <c r="N15" i="92" s="1"/>
  <c r="J17" i="92"/>
  <c r="L17" i="92" s="1"/>
  <c r="M17" i="92" s="1"/>
  <c r="N17" i="92" s="1"/>
  <c r="J19" i="92"/>
  <c r="L19" i="92" s="1"/>
  <c r="M19" i="92" s="1"/>
  <c r="N19" i="92" s="1"/>
  <c r="J21" i="92"/>
  <c r="L21" i="92" s="1"/>
  <c r="M21" i="92" s="1"/>
  <c r="N21" i="92" s="1"/>
  <c r="J12" i="92"/>
  <c r="L12" i="92" s="1"/>
  <c r="M12" i="92" s="1"/>
  <c r="N12" i="92" s="1"/>
  <c r="J9" i="92"/>
  <c r="L9" i="92" s="1"/>
  <c r="M9" i="92" s="1"/>
  <c r="N9" i="92" s="1"/>
  <c r="I22" i="91"/>
  <c r="H22" i="91"/>
  <c r="J22" i="91" s="1"/>
  <c r="L22" i="91" s="1"/>
  <c r="M22" i="91" s="1"/>
  <c r="N22" i="91" s="1"/>
  <c r="G22" i="91"/>
  <c r="I21" i="91"/>
  <c r="H21" i="91"/>
  <c r="G21" i="91"/>
  <c r="I20" i="91"/>
  <c r="H20" i="91"/>
  <c r="J20" i="91" s="1"/>
  <c r="L20" i="91" s="1"/>
  <c r="M20" i="91" s="1"/>
  <c r="N20" i="91" s="1"/>
  <c r="G20" i="91"/>
  <c r="I19" i="91"/>
  <c r="H19" i="91"/>
  <c r="G19" i="91"/>
  <c r="I18" i="91"/>
  <c r="H18" i="91"/>
  <c r="J18" i="91" s="1"/>
  <c r="L18" i="91" s="1"/>
  <c r="M18" i="91" s="1"/>
  <c r="N18" i="91" s="1"/>
  <c r="G18" i="91"/>
  <c r="I17" i="91"/>
  <c r="H17" i="91"/>
  <c r="G17" i="91"/>
  <c r="I16" i="91"/>
  <c r="H16" i="91"/>
  <c r="J16" i="91" s="1"/>
  <c r="L16" i="91" s="1"/>
  <c r="M16" i="91" s="1"/>
  <c r="N16" i="91" s="1"/>
  <c r="G16" i="91"/>
  <c r="I15" i="91"/>
  <c r="H15" i="91"/>
  <c r="G15" i="91"/>
  <c r="I14" i="91"/>
  <c r="H14" i="91"/>
  <c r="G14" i="91"/>
  <c r="I12" i="91"/>
  <c r="H12" i="91"/>
  <c r="G12" i="91"/>
  <c r="I10" i="91"/>
  <c r="H10" i="91"/>
  <c r="G10" i="91"/>
  <c r="I9" i="91"/>
  <c r="H9" i="91"/>
  <c r="J9" i="91" s="1"/>
  <c r="L9" i="91" s="1"/>
  <c r="M9" i="91" s="1"/>
  <c r="N9" i="91" s="1"/>
  <c r="G9" i="91"/>
  <c r="I8" i="91"/>
  <c r="H8" i="91"/>
  <c r="G8" i="91"/>
  <c r="A8" i="91"/>
  <c r="A9" i="91" s="1"/>
  <c r="A10" i="91" s="1"/>
  <c r="A12" i="91" s="1"/>
  <c r="A14" i="91" s="1"/>
  <c r="A15" i="91" s="1"/>
  <c r="A16" i="91" s="1"/>
  <c r="A17" i="91" s="1"/>
  <c r="A18" i="91" s="1"/>
  <c r="A19" i="91" s="1"/>
  <c r="A20" i="91" s="1"/>
  <c r="A21" i="91" s="1"/>
  <c r="A22" i="91" s="1"/>
  <c r="I7" i="91"/>
  <c r="H7" i="91"/>
  <c r="G7" i="91"/>
  <c r="J14" i="91" l="1"/>
  <c r="L14" i="91" s="1"/>
  <c r="M14" i="91" s="1"/>
  <c r="N14" i="91" s="1"/>
  <c r="J15" i="91"/>
  <c r="L15" i="91" s="1"/>
  <c r="M15" i="91" s="1"/>
  <c r="N15" i="91" s="1"/>
  <c r="J17" i="91"/>
  <c r="L17" i="91" s="1"/>
  <c r="M17" i="91" s="1"/>
  <c r="N17" i="91" s="1"/>
  <c r="J19" i="91"/>
  <c r="L19" i="91" s="1"/>
  <c r="M19" i="91" s="1"/>
  <c r="N19" i="91" s="1"/>
  <c r="J21" i="91"/>
  <c r="L21" i="91" s="1"/>
  <c r="M21" i="91" s="1"/>
  <c r="N21" i="91" s="1"/>
  <c r="J12" i="91"/>
  <c r="L12" i="91" s="1"/>
  <c r="M12" i="91" s="1"/>
  <c r="N12" i="91" s="1"/>
  <c r="J7" i="91"/>
  <c r="L7" i="91" s="1"/>
  <c r="M7" i="91" s="1"/>
  <c r="N7" i="91" s="1"/>
  <c r="J8" i="91"/>
  <c r="L8" i="91" s="1"/>
  <c r="M8" i="91" s="1"/>
  <c r="N8" i="91" s="1"/>
  <c r="J10" i="91"/>
  <c r="L10" i="91" s="1"/>
  <c r="M10" i="91" s="1"/>
  <c r="N10" i="91" s="1"/>
  <c r="I22" i="90"/>
  <c r="H22" i="90"/>
  <c r="G22" i="90"/>
  <c r="J22" i="90" s="1"/>
  <c r="L22" i="90" s="1"/>
  <c r="M22" i="90" s="1"/>
  <c r="N22" i="90" s="1"/>
  <c r="I21" i="90"/>
  <c r="H21" i="90"/>
  <c r="G21" i="90"/>
  <c r="I20" i="90"/>
  <c r="H20" i="90"/>
  <c r="G20" i="90"/>
  <c r="J20" i="90" s="1"/>
  <c r="L20" i="90" s="1"/>
  <c r="M20" i="90" s="1"/>
  <c r="N20" i="90" s="1"/>
  <c r="I19" i="90"/>
  <c r="H19" i="90"/>
  <c r="G19" i="90"/>
  <c r="I18" i="90"/>
  <c r="H18" i="90"/>
  <c r="G18" i="90"/>
  <c r="J18" i="90" s="1"/>
  <c r="L18" i="90" s="1"/>
  <c r="M18" i="90" s="1"/>
  <c r="N18" i="90" s="1"/>
  <c r="I17" i="90"/>
  <c r="H17" i="90"/>
  <c r="G17" i="90"/>
  <c r="I16" i="90"/>
  <c r="H16" i="90"/>
  <c r="G16" i="90"/>
  <c r="J16" i="90" s="1"/>
  <c r="L16" i="90" s="1"/>
  <c r="M16" i="90" s="1"/>
  <c r="N16" i="90" s="1"/>
  <c r="I15" i="90"/>
  <c r="H15" i="90"/>
  <c r="G15" i="90"/>
  <c r="I14" i="90"/>
  <c r="H14" i="90"/>
  <c r="G14" i="90"/>
  <c r="J14" i="90" s="1"/>
  <c r="L14" i="90" s="1"/>
  <c r="M14" i="90" s="1"/>
  <c r="N14" i="90" s="1"/>
  <c r="I12" i="90"/>
  <c r="H12" i="90"/>
  <c r="G12" i="90"/>
  <c r="I10" i="90"/>
  <c r="H10" i="90"/>
  <c r="G10" i="90"/>
  <c r="J10" i="90" s="1"/>
  <c r="L10" i="90" s="1"/>
  <c r="M10" i="90" s="1"/>
  <c r="N10" i="90" s="1"/>
  <c r="I9" i="90"/>
  <c r="H9" i="90"/>
  <c r="G9" i="90"/>
  <c r="I8" i="90"/>
  <c r="H8" i="90"/>
  <c r="G8" i="90"/>
  <c r="A8" i="90"/>
  <c r="A9" i="90" s="1"/>
  <c r="A10" i="90" s="1"/>
  <c r="A12" i="90" s="1"/>
  <c r="A14" i="90" s="1"/>
  <c r="A15" i="90" s="1"/>
  <c r="A16" i="90" s="1"/>
  <c r="A17" i="90" s="1"/>
  <c r="A18" i="90" s="1"/>
  <c r="A19" i="90" s="1"/>
  <c r="A20" i="90" s="1"/>
  <c r="A21" i="90" s="1"/>
  <c r="A22" i="90" s="1"/>
  <c r="I7" i="90"/>
  <c r="H7" i="90"/>
  <c r="G7" i="90"/>
  <c r="J7" i="90" s="1"/>
  <c r="L7" i="90" s="1"/>
  <c r="M7" i="90" s="1"/>
  <c r="N7" i="90" s="1"/>
  <c r="J15" i="90" l="1"/>
  <c r="L15" i="90" s="1"/>
  <c r="M15" i="90" s="1"/>
  <c r="N15" i="90" s="1"/>
  <c r="J17" i="90"/>
  <c r="L17" i="90" s="1"/>
  <c r="M17" i="90" s="1"/>
  <c r="N17" i="90" s="1"/>
  <c r="J19" i="90"/>
  <c r="L19" i="90" s="1"/>
  <c r="M19" i="90" s="1"/>
  <c r="N19" i="90" s="1"/>
  <c r="J21" i="90"/>
  <c r="L21" i="90" s="1"/>
  <c r="M21" i="90" s="1"/>
  <c r="N21" i="90" s="1"/>
  <c r="J12" i="90"/>
  <c r="L12" i="90" s="1"/>
  <c r="M12" i="90" s="1"/>
  <c r="N12" i="90" s="1"/>
  <c r="J8" i="90"/>
  <c r="L8" i="90" s="1"/>
  <c r="M8" i="90" s="1"/>
  <c r="N8" i="90" s="1"/>
  <c r="J9" i="90"/>
  <c r="L9" i="90" s="1"/>
  <c r="M9" i="90" s="1"/>
  <c r="N9" i="90" s="1"/>
  <c r="I22" i="89"/>
  <c r="H22" i="89"/>
  <c r="G22" i="89"/>
  <c r="I21" i="89"/>
  <c r="H21" i="89"/>
  <c r="G21" i="89"/>
  <c r="J21" i="89" s="1"/>
  <c r="L21" i="89" s="1"/>
  <c r="M21" i="89" s="1"/>
  <c r="N21" i="89" s="1"/>
  <c r="I20" i="89"/>
  <c r="H20" i="89"/>
  <c r="G20" i="89"/>
  <c r="I19" i="89"/>
  <c r="H19" i="89"/>
  <c r="G19" i="89"/>
  <c r="J19" i="89" s="1"/>
  <c r="L19" i="89" s="1"/>
  <c r="M19" i="89" s="1"/>
  <c r="N19" i="89" s="1"/>
  <c r="I18" i="89"/>
  <c r="H18" i="89"/>
  <c r="G18" i="89"/>
  <c r="I17" i="89"/>
  <c r="H17" i="89"/>
  <c r="G17" i="89"/>
  <c r="J17" i="89" s="1"/>
  <c r="L17" i="89" s="1"/>
  <c r="M17" i="89" s="1"/>
  <c r="N17" i="89" s="1"/>
  <c r="I16" i="89"/>
  <c r="H16" i="89"/>
  <c r="G16" i="89"/>
  <c r="I15" i="89"/>
  <c r="H15" i="89"/>
  <c r="G15" i="89"/>
  <c r="J15" i="89" s="1"/>
  <c r="L15" i="89" s="1"/>
  <c r="M15" i="89" s="1"/>
  <c r="N15" i="89" s="1"/>
  <c r="I14" i="89"/>
  <c r="H14" i="89"/>
  <c r="G14" i="89"/>
  <c r="I12" i="89"/>
  <c r="H12" i="89"/>
  <c r="G12" i="89"/>
  <c r="J12" i="89" s="1"/>
  <c r="L12" i="89" s="1"/>
  <c r="M12" i="89" s="1"/>
  <c r="N12" i="89" s="1"/>
  <c r="I10" i="89"/>
  <c r="H10" i="89"/>
  <c r="G10" i="89"/>
  <c r="J10" i="89" s="1"/>
  <c r="L10" i="89" s="1"/>
  <c r="M10" i="89" s="1"/>
  <c r="N10" i="89" s="1"/>
  <c r="I9" i="89"/>
  <c r="H9" i="89"/>
  <c r="G9" i="89"/>
  <c r="I8" i="89"/>
  <c r="H8" i="89"/>
  <c r="G8" i="89"/>
  <c r="J8" i="89" s="1"/>
  <c r="L8" i="89" s="1"/>
  <c r="M8" i="89" s="1"/>
  <c r="N8" i="89" s="1"/>
  <c r="A8" i="89"/>
  <c r="A9" i="89" s="1"/>
  <c r="A10" i="89" s="1"/>
  <c r="A12" i="89" s="1"/>
  <c r="A14" i="89" s="1"/>
  <c r="A15" i="89" s="1"/>
  <c r="A16" i="89" s="1"/>
  <c r="A17" i="89" s="1"/>
  <c r="A18" i="89" s="1"/>
  <c r="A19" i="89" s="1"/>
  <c r="A20" i="89" s="1"/>
  <c r="A21" i="89" s="1"/>
  <c r="A22" i="89" s="1"/>
  <c r="I7" i="89"/>
  <c r="H7" i="89"/>
  <c r="G7" i="89"/>
  <c r="J7" i="89" s="1"/>
  <c r="L7" i="89" s="1"/>
  <c r="M7" i="89" s="1"/>
  <c r="N7" i="89" s="1"/>
  <c r="J14" i="89" l="1"/>
  <c r="L14" i="89" s="1"/>
  <c r="M14" i="89" s="1"/>
  <c r="N14" i="89" s="1"/>
  <c r="J16" i="89"/>
  <c r="L16" i="89" s="1"/>
  <c r="M16" i="89" s="1"/>
  <c r="N16" i="89" s="1"/>
  <c r="J18" i="89"/>
  <c r="L18" i="89" s="1"/>
  <c r="M18" i="89" s="1"/>
  <c r="N18" i="89" s="1"/>
  <c r="J20" i="89"/>
  <c r="L20" i="89" s="1"/>
  <c r="M20" i="89" s="1"/>
  <c r="N20" i="89" s="1"/>
  <c r="J22" i="89"/>
  <c r="L22" i="89" s="1"/>
  <c r="M22" i="89" s="1"/>
  <c r="N22" i="89" s="1"/>
  <c r="J9" i="89"/>
  <c r="L9" i="89" s="1"/>
  <c r="M9" i="89" s="1"/>
  <c r="N9" i="89" s="1"/>
  <c r="I22" i="88"/>
  <c r="H22" i="88"/>
  <c r="G22" i="88"/>
  <c r="I21" i="88"/>
  <c r="H21" i="88"/>
  <c r="G21" i="88"/>
  <c r="J21" i="88" s="1"/>
  <c r="L21" i="88" s="1"/>
  <c r="M21" i="88" s="1"/>
  <c r="N21" i="88" s="1"/>
  <c r="I20" i="88"/>
  <c r="H20" i="88"/>
  <c r="G20" i="88"/>
  <c r="I19" i="88"/>
  <c r="H19" i="88"/>
  <c r="G19" i="88"/>
  <c r="J19" i="88" s="1"/>
  <c r="L19" i="88" s="1"/>
  <c r="M19" i="88" s="1"/>
  <c r="N19" i="88" s="1"/>
  <c r="I18" i="88"/>
  <c r="H18" i="88"/>
  <c r="G18" i="88"/>
  <c r="I17" i="88"/>
  <c r="H17" i="88"/>
  <c r="G17" i="88"/>
  <c r="J17" i="88" s="1"/>
  <c r="L17" i="88" s="1"/>
  <c r="M17" i="88" s="1"/>
  <c r="N17" i="88" s="1"/>
  <c r="I16" i="88"/>
  <c r="H16" i="88"/>
  <c r="G16" i="88"/>
  <c r="I15" i="88"/>
  <c r="H15" i="88"/>
  <c r="G15" i="88"/>
  <c r="J15" i="88" s="1"/>
  <c r="L15" i="88" s="1"/>
  <c r="M15" i="88" s="1"/>
  <c r="N15" i="88" s="1"/>
  <c r="I14" i="88"/>
  <c r="H14" i="88"/>
  <c r="G14" i="88"/>
  <c r="I12" i="88"/>
  <c r="H12" i="88"/>
  <c r="G12" i="88"/>
  <c r="J12" i="88" s="1"/>
  <c r="L12" i="88" s="1"/>
  <c r="M12" i="88" s="1"/>
  <c r="N12" i="88" s="1"/>
  <c r="I10" i="88"/>
  <c r="H10" i="88"/>
  <c r="G10" i="88"/>
  <c r="J10" i="88" s="1"/>
  <c r="L10" i="88" s="1"/>
  <c r="M10" i="88" s="1"/>
  <c r="N10" i="88" s="1"/>
  <c r="I9" i="88"/>
  <c r="H9" i="88"/>
  <c r="G9" i="88"/>
  <c r="I8" i="88"/>
  <c r="H8" i="88"/>
  <c r="G8" i="88"/>
  <c r="J8" i="88" s="1"/>
  <c r="L8" i="88" s="1"/>
  <c r="M8" i="88" s="1"/>
  <c r="N8" i="88" s="1"/>
  <c r="A8" i="88"/>
  <c r="A9" i="88" s="1"/>
  <c r="A10" i="88" s="1"/>
  <c r="A12" i="88" s="1"/>
  <c r="A14" i="88" s="1"/>
  <c r="A15" i="88" s="1"/>
  <c r="A16" i="88" s="1"/>
  <c r="A17" i="88" s="1"/>
  <c r="A18" i="88" s="1"/>
  <c r="A19" i="88" s="1"/>
  <c r="A20" i="88" s="1"/>
  <c r="A21" i="88" s="1"/>
  <c r="A22" i="88" s="1"/>
  <c r="I7" i="88"/>
  <c r="H7" i="88"/>
  <c r="G7" i="88"/>
  <c r="J7" i="88" s="1"/>
  <c r="L7" i="88" s="1"/>
  <c r="M7" i="88" s="1"/>
  <c r="N7" i="88" s="1"/>
  <c r="J14" i="88" l="1"/>
  <c r="L14" i="88" s="1"/>
  <c r="M14" i="88" s="1"/>
  <c r="N14" i="88" s="1"/>
  <c r="J16" i="88"/>
  <c r="L16" i="88" s="1"/>
  <c r="M16" i="88" s="1"/>
  <c r="N16" i="88" s="1"/>
  <c r="J18" i="88"/>
  <c r="L18" i="88" s="1"/>
  <c r="M18" i="88" s="1"/>
  <c r="N18" i="88" s="1"/>
  <c r="J20" i="88"/>
  <c r="L20" i="88" s="1"/>
  <c r="M20" i="88" s="1"/>
  <c r="N20" i="88" s="1"/>
  <c r="J22" i="88"/>
  <c r="L22" i="88" s="1"/>
  <c r="M22" i="88" s="1"/>
  <c r="N22" i="88" s="1"/>
  <c r="J9" i="88"/>
  <c r="L9" i="88" s="1"/>
  <c r="M9" i="88" s="1"/>
  <c r="N9" i="88" s="1"/>
  <c r="I22" i="86"/>
  <c r="H22" i="86"/>
  <c r="G22" i="86"/>
  <c r="J22" i="86" s="1"/>
  <c r="L22" i="86" s="1"/>
  <c r="M22" i="86" s="1"/>
  <c r="N22" i="86" s="1"/>
  <c r="I21" i="86"/>
  <c r="H21" i="86"/>
  <c r="G21" i="86"/>
  <c r="I20" i="86"/>
  <c r="H20" i="86"/>
  <c r="G20" i="86"/>
  <c r="J20" i="86" s="1"/>
  <c r="L20" i="86" s="1"/>
  <c r="M20" i="86" s="1"/>
  <c r="N20" i="86" s="1"/>
  <c r="I19" i="86"/>
  <c r="H19" i="86"/>
  <c r="G19" i="86"/>
  <c r="I18" i="86"/>
  <c r="H18" i="86"/>
  <c r="G18" i="86"/>
  <c r="J18" i="86" s="1"/>
  <c r="L18" i="86" s="1"/>
  <c r="M18" i="86" s="1"/>
  <c r="N18" i="86" s="1"/>
  <c r="I17" i="86"/>
  <c r="H17" i="86"/>
  <c r="G17" i="86"/>
  <c r="I16" i="86"/>
  <c r="H16" i="86"/>
  <c r="G16" i="86"/>
  <c r="J16" i="86" s="1"/>
  <c r="L16" i="86" s="1"/>
  <c r="M16" i="86" s="1"/>
  <c r="N16" i="86" s="1"/>
  <c r="I15" i="86"/>
  <c r="H15" i="86"/>
  <c r="G15" i="86"/>
  <c r="I14" i="86"/>
  <c r="H14" i="86"/>
  <c r="G14" i="86"/>
  <c r="J14" i="86" s="1"/>
  <c r="L14" i="86" s="1"/>
  <c r="M14" i="86" s="1"/>
  <c r="N14" i="86" s="1"/>
  <c r="I12" i="86"/>
  <c r="H12" i="86"/>
  <c r="G12" i="86"/>
  <c r="J12" i="86" s="1"/>
  <c r="L12" i="86" s="1"/>
  <c r="M12" i="86" s="1"/>
  <c r="N12" i="86" s="1"/>
  <c r="I10" i="86"/>
  <c r="H10" i="86"/>
  <c r="G10" i="86"/>
  <c r="I9" i="86"/>
  <c r="H9" i="86"/>
  <c r="G9" i="86"/>
  <c r="J9" i="86" s="1"/>
  <c r="L9" i="86" s="1"/>
  <c r="M9" i="86" s="1"/>
  <c r="N9" i="86" s="1"/>
  <c r="I8" i="86"/>
  <c r="H8" i="86"/>
  <c r="G8" i="86"/>
  <c r="A8" i="86"/>
  <c r="A9" i="86" s="1"/>
  <c r="A10" i="86" s="1"/>
  <c r="A12" i="86" s="1"/>
  <c r="A14" i="86" s="1"/>
  <c r="A15" i="86" s="1"/>
  <c r="A16" i="86" s="1"/>
  <c r="A17" i="86" s="1"/>
  <c r="A18" i="86" s="1"/>
  <c r="A19" i="86" s="1"/>
  <c r="A20" i="86" s="1"/>
  <c r="A21" i="86" s="1"/>
  <c r="A22" i="86" s="1"/>
  <c r="I7" i="86"/>
  <c r="H7" i="86"/>
  <c r="G7" i="86"/>
  <c r="J15" i="86" l="1"/>
  <c r="L15" i="86" s="1"/>
  <c r="M15" i="86" s="1"/>
  <c r="N15" i="86" s="1"/>
  <c r="J17" i="86"/>
  <c r="L17" i="86" s="1"/>
  <c r="M17" i="86" s="1"/>
  <c r="N17" i="86" s="1"/>
  <c r="J19" i="86"/>
  <c r="L19" i="86" s="1"/>
  <c r="M19" i="86" s="1"/>
  <c r="N19" i="86" s="1"/>
  <c r="J21" i="86"/>
  <c r="L21" i="86" s="1"/>
  <c r="M21" i="86" s="1"/>
  <c r="N21" i="86" s="1"/>
  <c r="J7" i="86"/>
  <c r="L7" i="86" s="1"/>
  <c r="M7" i="86" s="1"/>
  <c r="N7" i="86" s="1"/>
  <c r="J8" i="86"/>
  <c r="L8" i="86" s="1"/>
  <c r="M8" i="86" s="1"/>
  <c r="N8" i="86" s="1"/>
  <c r="J10" i="86"/>
  <c r="L10" i="86" s="1"/>
  <c r="M10" i="86" s="1"/>
  <c r="N10" i="86" s="1"/>
  <c r="I22" i="85"/>
  <c r="H22" i="85"/>
  <c r="G22" i="85"/>
  <c r="I21" i="85"/>
  <c r="H21" i="85"/>
  <c r="G21" i="85"/>
  <c r="J21" i="85" s="1"/>
  <c r="L21" i="85" s="1"/>
  <c r="M21" i="85" s="1"/>
  <c r="N21" i="85" s="1"/>
  <c r="I20" i="85"/>
  <c r="H20" i="85"/>
  <c r="G20" i="85"/>
  <c r="I19" i="85"/>
  <c r="H19" i="85"/>
  <c r="G19" i="85"/>
  <c r="J19" i="85" s="1"/>
  <c r="L19" i="85" s="1"/>
  <c r="M19" i="85" s="1"/>
  <c r="N19" i="85" s="1"/>
  <c r="I18" i="85"/>
  <c r="H18" i="85"/>
  <c r="G18" i="85"/>
  <c r="I17" i="85"/>
  <c r="H17" i="85"/>
  <c r="G17" i="85"/>
  <c r="J17" i="85" s="1"/>
  <c r="L17" i="85" s="1"/>
  <c r="M17" i="85" s="1"/>
  <c r="N17" i="85" s="1"/>
  <c r="I16" i="85"/>
  <c r="H16" i="85"/>
  <c r="G16" i="85"/>
  <c r="I15" i="85"/>
  <c r="H15" i="85"/>
  <c r="G15" i="85"/>
  <c r="J15" i="85" s="1"/>
  <c r="L15" i="85" s="1"/>
  <c r="M15" i="85" s="1"/>
  <c r="N15" i="85" s="1"/>
  <c r="I14" i="85"/>
  <c r="H14" i="85"/>
  <c r="G14" i="85"/>
  <c r="I12" i="85"/>
  <c r="H12" i="85"/>
  <c r="G12" i="85"/>
  <c r="J12" i="85" s="1"/>
  <c r="L12" i="85" s="1"/>
  <c r="M12" i="85" s="1"/>
  <c r="N12" i="85" s="1"/>
  <c r="I10" i="85"/>
  <c r="H10" i="85"/>
  <c r="G10" i="85"/>
  <c r="I9" i="85"/>
  <c r="H9" i="85"/>
  <c r="G9" i="85"/>
  <c r="J9" i="85" s="1"/>
  <c r="L9" i="85" s="1"/>
  <c r="M9" i="85" s="1"/>
  <c r="N9" i="85" s="1"/>
  <c r="I8" i="85"/>
  <c r="H8" i="85"/>
  <c r="G8" i="85"/>
  <c r="A8" i="85"/>
  <c r="A9" i="85" s="1"/>
  <c r="A10" i="85" s="1"/>
  <c r="A12" i="85" s="1"/>
  <c r="A14" i="85" s="1"/>
  <c r="A15" i="85" s="1"/>
  <c r="A16" i="85" s="1"/>
  <c r="A17" i="85" s="1"/>
  <c r="A18" i="85" s="1"/>
  <c r="A19" i="85" s="1"/>
  <c r="A20" i="85" s="1"/>
  <c r="A21" i="85" s="1"/>
  <c r="A22" i="85" s="1"/>
  <c r="I7" i="85"/>
  <c r="H7" i="85"/>
  <c r="G7" i="85"/>
  <c r="J14" i="85" l="1"/>
  <c r="L14" i="85" s="1"/>
  <c r="M14" i="85" s="1"/>
  <c r="N14" i="85" s="1"/>
  <c r="J16" i="85"/>
  <c r="L16" i="85" s="1"/>
  <c r="M16" i="85" s="1"/>
  <c r="N16" i="85" s="1"/>
  <c r="J18" i="85"/>
  <c r="L18" i="85" s="1"/>
  <c r="M18" i="85" s="1"/>
  <c r="N18" i="85" s="1"/>
  <c r="J20" i="85"/>
  <c r="L20" i="85" s="1"/>
  <c r="M20" i="85" s="1"/>
  <c r="N20" i="85" s="1"/>
  <c r="J22" i="85"/>
  <c r="L22" i="85" s="1"/>
  <c r="M22" i="85" s="1"/>
  <c r="N22" i="85" s="1"/>
  <c r="J7" i="85"/>
  <c r="L7" i="85" s="1"/>
  <c r="M7" i="85" s="1"/>
  <c r="N7" i="85" s="1"/>
  <c r="J8" i="85"/>
  <c r="L8" i="85" s="1"/>
  <c r="M8" i="85" s="1"/>
  <c r="N8" i="85" s="1"/>
  <c r="J10" i="85"/>
  <c r="L10" i="85" s="1"/>
  <c r="M10" i="85" s="1"/>
  <c r="N10" i="85" s="1"/>
  <c r="I22" i="84"/>
  <c r="H22" i="84"/>
  <c r="G22" i="84"/>
  <c r="J22" i="84" s="1"/>
  <c r="L22" i="84" s="1"/>
  <c r="M22" i="84" s="1"/>
  <c r="N22" i="84" s="1"/>
  <c r="I21" i="84"/>
  <c r="H21" i="84"/>
  <c r="J21" i="84" s="1"/>
  <c r="L21" i="84" s="1"/>
  <c r="M21" i="84" s="1"/>
  <c r="N21" i="84" s="1"/>
  <c r="G21" i="84"/>
  <c r="I20" i="84"/>
  <c r="H20" i="84"/>
  <c r="J20" i="84" s="1"/>
  <c r="L20" i="84" s="1"/>
  <c r="M20" i="84" s="1"/>
  <c r="N20" i="84" s="1"/>
  <c r="G20" i="84"/>
  <c r="I19" i="84"/>
  <c r="H19" i="84"/>
  <c r="J19" i="84" s="1"/>
  <c r="L19" i="84" s="1"/>
  <c r="M19" i="84" s="1"/>
  <c r="N19" i="84" s="1"/>
  <c r="G19" i="84"/>
  <c r="I18" i="84"/>
  <c r="H18" i="84"/>
  <c r="J18" i="84" s="1"/>
  <c r="L18" i="84" s="1"/>
  <c r="M18" i="84" s="1"/>
  <c r="N18" i="84" s="1"/>
  <c r="G18" i="84"/>
  <c r="I17" i="84"/>
  <c r="H17" i="84"/>
  <c r="J17" i="84" s="1"/>
  <c r="L17" i="84" s="1"/>
  <c r="M17" i="84" s="1"/>
  <c r="N17" i="84" s="1"/>
  <c r="G17" i="84"/>
  <c r="I16" i="84"/>
  <c r="H16" i="84"/>
  <c r="J16" i="84" s="1"/>
  <c r="L16" i="84" s="1"/>
  <c r="M16" i="84" s="1"/>
  <c r="N16" i="84" s="1"/>
  <c r="G16" i="84"/>
  <c r="I15" i="84"/>
  <c r="H15" i="84"/>
  <c r="G15" i="84"/>
  <c r="J14" i="84"/>
  <c r="L14" i="84" s="1"/>
  <c r="M14" i="84" s="1"/>
  <c r="N14" i="84" s="1"/>
  <c r="I14" i="84"/>
  <c r="H14" i="84"/>
  <c r="G14" i="84"/>
  <c r="I12" i="84"/>
  <c r="H12" i="84"/>
  <c r="G12" i="84"/>
  <c r="I10" i="84"/>
  <c r="H10" i="84"/>
  <c r="G10" i="84"/>
  <c r="I9" i="84"/>
  <c r="H9" i="84"/>
  <c r="G9" i="84"/>
  <c r="I8" i="84"/>
  <c r="H8" i="84"/>
  <c r="J8" i="84" s="1"/>
  <c r="L8" i="84" s="1"/>
  <c r="M8" i="84" s="1"/>
  <c r="N8" i="84" s="1"/>
  <c r="G8" i="84"/>
  <c r="A8" i="84"/>
  <c r="A9" i="84" s="1"/>
  <c r="A10" i="84" s="1"/>
  <c r="A12" i="84" s="1"/>
  <c r="A14" i="84" s="1"/>
  <c r="A15" i="84" s="1"/>
  <c r="A16" i="84" s="1"/>
  <c r="A17" i="84" s="1"/>
  <c r="A18" i="84" s="1"/>
  <c r="A19" i="84" s="1"/>
  <c r="A20" i="84" s="1"/>
  <c r="A21" i="84" s="1"/>
  <c r="A22" i="84" s="1"/>
  <c r="I7" i="84"/>
  <c r="H7" i="84"/>
  <c r="J7" i="84" s="1"/>
  <c r="L7" i="84" s="1"/>
  <c r="M7" i="84" s="1"/>
  <c r="N7" i="84" s="1"/>
  <c r="G7" i="84"/>
  <c r="J10" i="84" l="1"/>
  <c r="L10" i="84" s="1"/>
  <c r="M10" i="84" s="1"/>
  <c r="N10" i="84" s="1"/>
  <c r="J15" i="84"/>
  <c r="L15" i="84" s="1"/>
  <c r="M15" i="84" s="1"/>
  <c r="N15" i="84" s="1"/>
  <c r="J12" i="84"/>
  <c r="L12" i="84" s="1"/>
  <c r="M12" i="84" s="1"/>
  <c r="N12" i="84" s="1"/>
  <c r="J9" i="84"/>
  <c r="L9" i="84" s="1"/>
  <c r="M9" i="84" s="1"/>
  <c r="N9" i="84" s="1"/>
  <c r="I22" i="83"/>
  <c r="H22" i="83"/>
  <c r="G22" i="83"/>
  <c r="I21" i="83"/>
  <c r="H21" i="83"/>
  <c r="J21" i="83" s="1"/>
  <c r="L21" i="83" s="1"/>
  <c r="M21" i="83" s="1"/>
  <c r="N21" i="83" s="1"/>
  <c r="G21" i="83"/>
  <c r="I20" i="83"/>
  <c r="H20" i="83"/>
  <c r="G20" i="83"/>
  <c r="I19" i="83"/>
  <c r="H19" i="83"/>
  <c r="J19" i="83" s="1"/>
  <c r="L19" i="83" s="1"/>
  <c r="M19" i="83" s="1"/>
  <c r="N19" i="83" s="1"/>
  <c r="G19" i="83"/>
  <c r="I18" i="83"/>
  <c r="H18" i="83"/>
  <c r="G18" i="83"/>
  <c r="I17" i="83"/>
  <c r="H17" i="83"/>
  <c r="J17" i="83" s="1"/>
  <c r="L17" i="83" s="1"/>
  <c r="M17" i="83" s="1"/>
  <c r="N17" i="83" s="1"/>
  <c r="G17" i="83"/>
  <c r="I16" i="83"/>
  <c r="H16" i="83"/>
  <c r="G16" i="83"/>
  <c r="I15" i="83"/>
  <c r="H15" i="83"/>
  <c r="G15" i="83"/>
  <c r="I14" i="83"/>
  <c r="H14" i="83"/>
  <c r="G14" i="83"/>
  <c r="I12" i="83"/>
  <c r="H12" i="83"/>
  <c r="G12" i="83"/>
  <c r="I10" i="83"/>
  <c r="H10" i="83"/>
  <c r="G10" i="83"/>
  <c r="I9" i="83"/>
  <c r="H9" i="83"/>
  <c r="J9" i="83" s="1"/>
  <c r="L9" i="83" s="1"/>
  <c r="M9" i="83" s="1"/>
  <c r="N9" i="83" s="1"/>
  <c r="G9" i="83"/>
  <c r="I8" i="83"/>
  <c r="H8" i="83"/>
  <c r="G8" i="83"/>
  <c r="A8" i="83"/>
  <c r="A9" i="83" s="1"/>
  <c r="A10" i="83" s="1"/>
  <c r="A12" i="83" s="1"/>
  <c r="A14" i="83" s="1"/>
  <c r="A15" i="83" s="1"/>
  <c r="A16" i="83" s="1"/>
  <c r="A17" i="83" s="1"/>
  <c r="A18" i="83" s="1"/>
  <c r="A19" i="83" s="1"/>
  <c r="A20" i="83" s="1"/>
  <c r="A21" i="83" s="1"/>
  <c r="A22" i="83" s="1"/>
  <c r="I7" i="83"/>
  <c r="H7" i="83"/>
  <c r="G7" i="83"/>
  <c r="J12" i="83" l="1"/>
  <c r="L12" i="83" s="1"/>
  <c r="M12" i="83" s="1"/>
  <c r="N12" i="83" s="1"/>
  <c r="J15" i="83"/>
  <c r="L15" i="83" s="1"/>
  <c r="M15" i="83" s="1"/>
  <c r="N15" i="83" s="1"/>
  <c r="J7" i="83"/>
  <c r="L7" i="83" s="1"/>
  <c r="M7" i="83" s="1"/>
  <c r="N7" i="83" s="1"/>
  <c r="J8" i="83"/>
  <c r="L8" i="83" s="1"/>
  <c r="M8" i="83" s="1"/>
  <c r="N8" i="83" s="1"/>
  <c r="J10" i="83"/>
  <c r="L10" i="83" s="1"/>
  <c r="M10" i="83" s="1"/>
  <c r="N10" i="83" s="1"/>
  <c r="J14" i="83"/>
  <c r="L14" i="83" s="1"/>
  <c r="M14" i="83" s="1"/>
  <c r="N14" i="83" s="1"/>
  <c r="J16" i="83"/>
  <c r="L16" i="83" s="1"/>
  <c r="M16" i="83" s="1"/>
  <c r="N16" i="83" s="1"/>
  <c r="J18" i="83"/>
  <c r="L18" i="83" s="1"/>
  <c r="M18" i="83" s="1"/>
  <c r="N18" i="83" s="1"/>
  <c r="J20" i="83"/>
  <c r="L20" i="83" s="1"/>
  <c r="M20" i="83" s="1"/>
  <c r="N20" i="83" s="1"/>
  <c r="J22" i="83"/>
  <c r="L22" i="83" s="1"/>
  <c r="M22" i="83" s="1"/>
  <c r="N22" i="83" s="1"/>
  <c r="I22" i="82"/>
  <c r="H22" i="82"/>
  <c r="G22" i="82"/>
  <c r="J22" i="82" s="1"/>
  <c r="L22" i="82" s="1"/>
  <c r="M22" i="82" s="1"/>
  <c r="N22" i="82" s="1"/>
  <c r="I21" i="82"/>
  <c r="H21" i="82"/>
  <c r="J21" i="82" s="1"/>
  <c r="L21" i="82" s="1"/>
  <c r="M21" i="82" s="1"/>
  <c r="N21" i="82" s="1"/>
  <c r="G21" i="82"/>
  <c r="I20" i="82"/>
  <c r="H20" i="82"/>
  <c r="J20" i="82" s="1"/>
  <c r="L20" i="82" s="1"/>
  <c r="M20" i="82" s="1"/>
  <c r="N20" i="82" s="1"/>
  <c r="G20" i="82"/>
  <c r="I19" i="82"/>
  <c r="H19" i="82"/>
  <c r="J19" i="82" s="1"/>
  <c r="L19" i="82" s="1"/>
  <c r="M19" i="82" s="1"/>
  <c r="N19" i="82" s="1"/>
  <c r="G19" i="82"/>
  <c r="I18" i="82"/>
  <c r="H18" i="82"/>
  <c r="J18" i="82" s="1"/>
  <c r="L18" i="82" s="1"/>
  <c r="M18" i="82" s="1"/>
  <c r="N18" i="82" s="1"/>
  <c r="G18" i="82"/>
  <c r="I17" i="82"/>
  <c r="H17" i="82"/>
  <c r="J17" i="82" s="1"/>
  <c r="L17" i="82" s="1"/>
  <c r="M17" i="82" s="1"/>
  <c r="N17" i="82" s="1"/>
  <c r="G17" i="82"/>
  <c r="I16" i="82"/>
  <c r="H16" i="82"/>
  <c r="G16" i="82"/>
  <c r="I15" i="82"/>
  <c r="H15" i="82"/>
  <c r="G15" i="82"/>
  <c r="I14" i="82"/>
  <c r="H14" i="82"/>
  <c r="J14" i="82" s="1"/>
  <c r="L14" i="82" s="1"/>
  <c r="M14" i="82" s="1"/>
  <c r="N14" i="82" s="1"/>
  <c r="G14" i="82"/>
  <c r="I12" i="82"/>
  <c r="H12" i="82"/>
  <c r="J12" i="82" s="1"/>
  <c r="L12" i="82" s="1"/>
  <c r="M12" i="82" s="1"/>
  <c r="N12" i="82" s="1"/>
  <c r="G12" i="82"/>
  <c r="I10" i="82"/>
  <c r="H10" i="82"/>
  <c r="G10" i="82"/>
  <c r="I9" i="82"/>
  <c r="H9" i="82"/>
  <c r="J9" i="82" s="1"/>
  <c r="L9" i="82" s="1"/>
  <c r="M9" i="82" s="1"/>
  <c r="N9" i="82" s="1"/>
  <c r="G9" i="82"/>
  <c r="I8" i="82"/>
  <c r="H8" i="82"/>
  <c r="G8" i="82"/>
  <c r="A8" i="82"/>
  <c r="A9" i="82" s="1"/>
  <c r="A10" i="82" s="1"/>
  <c r="A12" i="82" s="1"/>
  <c r="A14" i="82" s="1"/>
  <c r="A15" i="82" s="1"/>
  <c r="A16" i="82" s="1"/>
  <c r="A17" i="82" s="1"/>
  <c r="A18" i="82" s="1"/>
  <c r="A19" i="82" s="1"/>
  <c r="A20" i="82" s="1"/>
  <c r="A21" i="82" s="1"/>
  <c r="A22" i="82" s="1"/>
  <c r="I7" i="82"/>
  <c r="H7" i="82"/>
  <c r="G7" i="82"/>
  <c r="J15" i="82" l="1"/>
  <c r="L15" i="82" s="1"/>
  <c r="M15" i="82" s="1"/>
  <c r="N15" i="82" s="1"/>
  <c r="J16" i="82"/>
  <c r="L16" i="82" s="1"/>
  <c r="M16" i="82" s="1"/>
  <c r="N16" i="82" s="1"/>
  <c r="J7" i="82"/>
  <c r="L7" i="82" s="1"/>
  <c r="M7" i="82" s="1"/>
  <c r="N7" i="82" s="1"/>
  <c r="J8" i="82"/>
  <c r="L8" i="82" s="1"/>
  <c r="M8" i="82" s="1"/>
  <c r="N8" i="82" s="1"/>
  <c r="J10" i="82"/>
  <c r="L10" i="82" s="1"/>
  <c r="M10" i="82" s="1"/>
  <c r="N10" i="82" s="1"/>
  <c r="I22" i="81"/>
  <c r="H22" i="81"/>
  <c r="G22" i="81"/>
  <c r="J22" i="81" s="1"/>
  <c r="L22" i="81" s="1"/>
  <c r="M22" i="81" s="1"/>
  <c r="N22" i="81" s="1"/>
  <c r="I21" i="81"/>
  <c r="H21" i="81"/>
  <c r="G21" i="81"/>
  <c r="J21" i="81" s="1"/>
  <c r="L21" i="81" s="1"/>
  <c r="M21" i="81" s="1"/>
  <c r="N21" i="81" s="1"/>
  <c r="I20" i="81"/>
  <c r="H20" i="81"/>
  <c r="G20" i="81"/>
  <c r="J20" i="81" s="1"/>
  <c r="L20" i="81" s="1"/>
  <c r="M20" i="81" s="1"/>
  <c r="N20" i="81" s="1"/>
  <c r="I19" i="81"/>
  <c r="H19" i="81"/>
  <c r="G19" i="81"/>
  <c r="J19" i="81" s="1"/>
  <c r="L19" i="81" s="1"/>
  <c r="M19" i="81" s="1"/>
  <c r="N19" i="81" s="1"/>
  <c r="I18" i="81"/>
  <c r="H18" i="81"/>
  <c r="G18" i="81"/>
  <c r="J18" i="81" s="1"/>
  <c r="L18" i="81" s="1"/>
  <c r="M18" i="81" s="1"/>
  <c r="N18" i="81" s="1"/>
  <c r="I17" i="81"/>
  <c r="H17" i="81"/>
  <c r="G17" i="81"/>
  <c r="J17" i="81" s="1"/>
  <c r="L17" i="81" s="1"/>
  <c r="M17" i="81" s="1"/>
  <c r="N17" i="81" s="1"/>
  <c r="I16" i="81"/>
  <c r="H16" i="81"/>
  <c r="G16" i="81"/>
  <c r="J16" i="81" s="1"/>
  <c r="L16" i="81" s="1"/>
  <c r="M16" i="81" s="1"/>
  <c r="N16" i="81" s="1"/>
  <c r="I15" i="81"/>
  <c r="H15" i="81"/>
  <c r="G15" i="81"/>
  <c r="J15" i="81" s="1"/>
  <c r="L15" i="81" s="1"/>
  <c r="M15" i="81" s="1"/>
  <c r="N15" i="81" s="1"/>
  <c r="I14" i="81"/>
  <c r="H14" i="81"/>
  <c r="G14" i="81"/>
  <c r="J14" i="81" s="1"/>
  <c r="L14" i="81" s="1"/>
  <c r="M14" i="81" s="1"/>
  <c r="N14" i="81" s="1"/>
  <c r="I12" i="81"/>
  <c r="H12" i="81"/>
  <c r="G12" i="81"/>
  <c r="J12" i="81" s="1"/>
  <c r="L12" i="81" s="1"/>
  <c r="M12" i="81" s="1"/>
  <c r="N12" i="81" s="1"/>
  <c r="I10" i="81"/>
  <c r="H10" i="81"/>
  <c r="G10" i="81"/>
  <c r="I9" i="81"/>
  <c r="H9" i="81"/>
  <c r="G9" i="81"/>
  <c r="J9" i="81" s="1"/>
  <c r="L9" i="81" s="1"/>
  <c r="M9" i="81" s="1"/>
  <c r="N9" i="81" s="1"/>
  <c r="I8" i="81"/>
  <c r="H8" i="81"/>
  <c r="G8" i="81"/>
  <c r="A8" i="81"/>
  <c r="A9" i="81" s="1"/>
  <c r="A10" i="81" s="1"/>
  <c r="A12" i="81" s="1"/>
  <c r="A14" i="81" s="1"/>
  <c r="A15" i="81" s="1"/>
  <c r="A16" i="81" s="1"/>
  <c r="A17" i="81" s="1"/>
  <c r="A18" i="81" s="1"/>
  <c r="A19" i="81" s="1"/>
  <c r="A20" i="81" s="1"/>
  <c r="A21" i="81" s="1"/>
  <c r="A22" i="81" s="1"/>
  <c r="I7" i="81"/>
  <c r="H7" i="81"/>
  <c r="G7" i="81"/>
  <c r="J7" i="81" l="1"/>
  <c r="L7" i="81" s="1"/>
  <c r="M7" i="81" s="1"/>
  <c r="N7" i="81" s="1"/>
  <c r="J8" i="81"/>
  <c r="L8" i="81" s="1"/>
  <c r="M8" i="81" s="1"/>
  <c r="N8" i="81" s="1"/>
  <c r="J10" i="81"/>
  <c r="L10" i="81" s="1"/>
  <c r="M10" i="81" s="1"/>
  <c r="N10" i="81" s="1"/>
  <c r="I22" i="80"/>
  <c r="H22" i="80"/>
  <c r="G22" i="80"/>
  <c r="J22" i="80" s="1"/>
  <c r="L22" i="80" s="1"/>
  <c r="M22" i="80" s="1"/>
  <c r="N22" i="80" s="1"/>
  <c r="I21" i="80"/>
  <c r="H21" i="80"/>
  <c r="G21" i="80"/>
  <c r="I20" i="80"/>
  <c r="H20" i="80"/>
  <c r="G20" i="80"/>
  <c r="J20" i="80" s="1"/>
  <c r="L20" i="80" s="1"/>
  <c r="M20" i="80" s="1"/>
  <c r="N20" i="80" s="1"/>
  <c r="I19" i="80"/>
  <c r="H19" i="80"/>
  <c r="G19" i="80"/>
  <c r="I18" i="80"/>
  <c r="H18" i="80"/>
  <c r="G18" i="80"/>
  <c r="J18" i="80" s="1"/>
  <c r="L18" i="80" s="1"/>
  <c r="M18" i="80" s="1"/>
  <c r="N18" i="80" s="1"/>
  <c r="I17" i="80"/>
  <c r="H17" i="80"/>
  <c r="G17" i="80"/>
  <c r="I16" i="80"/>
  <c r="H16" i="80"/>
  <c r="G16" i="80"/>
  <c r="J16" i="80" s="1"/>
  <c r="L16" i="80" s="1"/>
  <c r="M16" i="80" s="1"/>
  <c r="N16" i="80" s="1"/>
  <c r="I15" i="80"/>
  <c r="H15" i="80"/>
  <c r="G15" i="80"/>
  <c r="I14" i="80"/>
  <c r="H14" i="80"/>
  <c r="G14" i="80"/>
  <c r="J14" i="80" s="1"/>
  <c r="L14" i="80" s="1"/>
  <c r="M14" i="80" s="1"/>
  <c r="N14" i="80" s="1"/>
  <c r="I12" i="80"/>
  <c r="H12" i="80"/>
  <c r="G12" i="80"/>
  <c r="I10" i="80"/>
  <c r="H10" i="80"/>
  <c r="G10" i="80"/>
  <c r="I9" i="80"/>
  <c r="H9" i="80"/>
  <c r="G9" i="80"/>
  <c r="I8" i="80"/>
  <c r="H8" i="80"/>
  <c r="G8" i="80"/>
  <c r="J8" i="80" s="1"/>
  <c r="L8" i="80" s="1"/>
  <c r="M8" i="80" s="1"/>
  <c r="N8" i="80" s="1"/>
  <c r="I7" i="80"/>
  <c r="H7" i="80"/>
  <c r="G7" i="80"/>
  <c r="A8" i="80"/>
  <c r="A9" i="80" s="1"/>
  <c r="A10" i="80" s="1"/>
  <c r="A12" i="80" s="1"/>
  <c r="A14" i="80" s="1"/>
  <c r="A15" i="80" s="1"/>
  <c r="A16" i="80" s="1"/>
  <c r="A17" i="80" s="1"/>
  <c r="A18" i="80" s="1"/>
  <c r="A19" i="80" s="1"/>
  <c r="A20" i="80" s="1"/>
  <c r="A21" i="80" s="1"/>
  <c r="A22" i="80" s="1"/>
  <c r="J10" i="80" l="1"/>
  <c r="L10" i="80" s="1"/>
  <c r="M10" i="80" s="1"/>
  <c r="N10" i="80" s="1"/>
  <c r="J7" i="80"/>
  <c r="L7" i="80" s="1"/>
  <c r="M7" i="80" s="1"/>
  <c r="N7" i="80" s="1"/>
  <c r="J9" i="80"/>
  <c r="L9" i="80" s="1"/>
  <c r="M9" i="80" s="1"/>
  <c r="N9" i="80" s="1"/>
  <c r="J12" i="80"/>
  <c r="L12" i="80" s="1"/>
  <c r="M12" i="80" s="1"/>
  <c r="N12" i="80" s="1"/>
  <c r="J15" i="80"/>
  <c r="L15" i="80" s="1"/>
  <c r="M15" i="80" s="1"/>
  <c r="N15" i="80" s="1"/>
  <c r="J17" i="80"/>
  <c r="L17" i="80" s="1"/>
  <c r="M17" i="80" s="1"/>
  <c r="N17" i="80" s="1"/>
  <c r="J19" i="80"/>
  <c r="L19" i="80" s="1"/>
  <c r="M19" i="80" s="1"/>
  <c r="N19" i="80" s="1"/>
  <c r="J21" i="80"/>
  <c r="L21" i="80" s="1"/>
  <c r="M21" i="80" s="1"/>
  <c r="N21" i="80" s="1"/>
  <c r="I23" i="79"/>
  <c r="H23" i="79"/>
  <c r="J23" i="79" s="1"/>
  <c r="L23" i="79" s="1"/>
  <c r="M23" i="79" s="1"/>
  <c r="N23" i="79" s="1"/>
  <c r="G23" i="79"/>
  <c r="I22" i="79"/>
  <c r="H22" i="79"/>
  <c r="G22" i="79"/>
  <c r="I21" i="79"/>
  <c r="H21" i="79"/>
  <c r="J21" i="79" s="1"/>
  <c r="L21" i="79" s="1"/>
  <c r="M21" i="79" s="1"/>
  <c r="N21" i="79" s="1"/>
  <c r="G21" i="79"/>
  <c r="I20" i="79"/>
  <c r="H20" i="79"/>
  <c r="G20" i="79"/>
  <c r="I19" i="79"/>
  <c r="H19" i="79"/>
  <c r="J19" i="79" s="1"/>
  <c r="L19" i="79" s="1"/>
  <c r="M19" i="79" s="1"/>
  <c r="N19" i="79" s="1"/>
  <c r="G19" i="79"/>
  <c r="I18" i="79"/>
  <c r="H18" i="79"/>
  <c r="G18" i="79"/>
  <c r="I17" i="79"/>
  <c r="H17" i="79"/>
  <c r="J17" i="79" s="1"/>
  <c r="L17" i="79" s="1"/>
  <c r="M17" i="79" s="1"/>
  <c r="N17" i="79" s="1"/>
  <c r="G17" i="79"/>
  <c r="I16" i="79"/>
  <c r="H16" i="79"/>
  <c r="G16" i="79"/>
  <c r="I15" i="79"/>
  <c r="H15" i="79"/>
  <c r="J15" i="79" s="1"/>
  <c r="L15" i="79" s="1"/>
  <c r="M15" i="79" s="1"/>
  <c r="N15" i="79" s="1"/>
  <c r="G15" i="79"/>
  <c r="I13" i="79"/>
  <c r="H13" i="79"/>
  <c r="G13" i="79"/>
  <c r="I11" i="79"/>
  <c r="H11" i="79"/>
  <c r="G11" i="79"/>
  <c r="I10" i="79"/>
  <c r="H10" i="79"/>
  <c r="J10" i="79" s="1"/>
  <c r="L10" i="79" s="1"/>
  <c r="M10" i="79" s="1"/>
  <c r="N10" i="79" s="1"/>
  <c r="G10" i="79"/>
  <c r="I9" i="79"/>
  <c r="H9" i="79"/>
  <c r="G9" i="79"/>
  <c r="I8" i="79"/>
  <c r="H8" i="79"/>
  <c r="J8" i="79" s="1"/>
  <c r="L8" i="79" s="1"/>
  <c r="M8" i="79" s="1"/>
  <c r="N8" i="79" s="1"/>
  <c r="G8" i="79"/>
  <c r="A8" i="79"/>
  <c r="A9" i="79" s="1"/>
  <c r="A10" i="79" s="1"/>
  <c r="A11" i="79" s="1"/>
  <c r="A13" i="79" s="1"/>
  <c r="A15" i="79" s="1"/>
  <c r="A16" i="79" s="1"/>
  <c r="A17" i="79" s="1"/>
  <c r="A18" i="79" s="1"/>
  <c r="A19" i="79" s="1"/>
  <c r="A20" i="79" s="1"/>
  <c r="A21" i="79" s="1"/>
  <c r="A22" i="79" s="1"/>
  <c r="A23" i="79" s="1"/>
  <c r="I7" i="79"/>
  <c r="H7" i="79"/>
  <c r="J7" i="79" s="1"/>
  <c r="G7" i="79"/>
  <c r="J16" i="79" l="1"/>
  <c r="L16" i="79" s="1"/>
  <c r="M16" i="79" s="1"/>
  <c r="N16" i="79" s="1"/>
  <c r="J18" i="79"/>
  <c r="L18" i="79" s="1"/>
  <c r="M18" i="79" s="1"/>
  <c r="N18" i="79" s="1"/>
  <c r="J20" i="79"/>
  <c r="L20" i="79" s="1"/>
  <c r="M20" i="79" s="1"/>
  <c r="N20" i="79" s="1"/>
  <c r="J22" i="79"/>
  <c r="L22" i="79" s="1"/>
  <c r="M22" i="79" s="1"/>
  <c r="N22" i="79" s="1"/>
  <c r="J13" i="79"/>
  <c r="L13" i="79" s="1"/>
  <c r="M13" i="79" s="1"/>
  <c r="N13" i="79" s="1"/>
  <c r="J9" i="79"/>
  <c r="L9" i="79" s="1"/>
  <c r="M9" i="79" s="1"/>
  <c r="N9" i="79" s="1"/>
  <c r="J11" i="79"/>
  <c r="L11" i="79" s="1"/>
  <c r="M11" i="79" s="1"/>
  <c r="N11" i="79" s="1"/>
  <c r="I23" i="78"/>
  <c r="H23" i="78"/>
  <c r="J23" i="78" s="1"/>
  <c r="L23" i="78" s="1"/>
  <c r="M23" i="78" s="1"/>
  <c r="N23" i="78" s="1"/>
  <c r="G23" i="78"/>
  <c r="I22" i="78"/>
  <c r="H22" i="78"/>
  <c r="G22" i="78"/>
  <c r="I21" i="78"/>
  <c r="H21" i="78"/>
  <c r="J21" i="78" s="1"/>
  <c r="L21" i="78" s="1"/>
  <c r="M21" i="78" s="1"/>
  <c r="N21" i="78" s="1"/>
  <c r="G21" i="78"/>
  <c r="I20" i="78"/>
  <c r="H20" i="78"/>
  <c r="G20" i="78"/>
  <c r="I19" i="78"/>
  <c r="H19" i="78"/>
  <c r="J19" i="78" s="1"/>
  <c r="L19" i="78" s="1"/>
  <c r="M19" i="78" s="1"/>
  <c r="N19" i="78" s="1"/>
  <c r="G19" i="78"/>
  <c r="I18" i="78"/>
  <c r="H18" i="78"/>
  <c r="G18" i="78"/>
  <c r="I17" i="78"/>
  <c r="H17" i="78"/>
  <c r="G17" i="78"/>
  <c r="I16" i="78"/>
  <c r="H16" i="78"/>
  <c r="G16" i="78"/>
  <c r="I15" i="78"/>
  <c r="H15" i="78"/>
  <c r="J15" i="78" s="1"/>
  <c r="L15" i="78" s="1"/>
  <c r="M15" i="78" s="1"/>
  <c r="N15" i="78" s="1"/>
  <c r="G15" i="78"/>
  <c r="I13" i="78"/>
  <c r="H13" i="78"/>
  <c r="G13" i="78"/>
  <c r="I11" i="78"/>
  <c r="H11" i="78"/>
  <c r="G11" i="78"/>
  <c r="I10" i="78"/>
  <c r="H10" i="78"/>
  <c r="J10" i="78" s="1"/>
  <c r="L10" i="78" s="1"/>
  <c r="M10" i="78" s="1"/>
  <c r="N10" i="78" s="1"/>
  <c r="G10" i="78"/>
  <c r="I9" i="78"/>
  <c r="H9" i="78"/>
  <c r="G9" i="78"/>
  <c r="I8" i="78"/>
  <c r="H8" i="78"/>
  <c r="J8" i="78" s="1"/>
  <c r="L8" i="78" s="1"/>
  <c r="M8" i="78" s="1"/>
  <c r="N8" i="78" s="1"/>
  <c r="G8" i="78"/>
  <c r="A8" i="78"/>
  <c r="A9" i="78" s="1"/>
  <c r="A10" i="78" s="1"/>
  <c r="A11" i="78" s="1"/>
  <c r="A13" i="78" s="1"/>
  <c r="A15" i="78" s="1"/>
  <c r="A16" i="78" s="1"/>
  <c r="A17" i="78" s="1"/>
  <c r="A18" i="78" s="1"/>
  <c r="A19" i="78" s="1"/>
  <c r="A20" i="78" s="1"/>
  <c r="A21" i="78" s="1"/>
  <c r="A22" i="78" s="1"/>
  <c r="A23" i="78" s="1"/>
  <c r="I7" i="78"/>
  <c r="H7" i="78"/>
  <c r="G7" i="78"/>
  <c r="J13" i="78" l="1"/>
  <c r="L13" i="78" s="1"/>
  <c r="M13" i="78" s="1"/>
  <c r="N13" i="78" s="1"/>
  <c r="J7" i="78"/>
  <c r="L7" i="78" s="1"/>
  <c r="M7" i="78" s="1"/>
  <c r="N7" i="78" s="1"/>
  <c r="J16" i="78"/>
  <c r="L16" i="78" s="1"/>
  <c r="M16" i="78" s="1"/>
  <c r="N16" i="78" s="1"/>
  <c r="J17" i="78"/>
  <c r="L17" i="78" s="1"/>
  <c r="M17" i="78" s="1"/>
  <c r="N17" i="78" s="1"/>
  <c r="J18" i="78"/>
  <c r="L18" i="78" s="1"/>
  <c r="M18" i="78" s="1"/>
  <c r="N18" i="78" s="1"/>
  <c r="J20" i="78"/>
  <c r="L20" i="78" s="1"/>
  <c r="M20" i="78" s="1"/>
  <c r="N20" i="78" s="1"/>
  <c r="J22" i="78"/>
  <c r="L22" i="78" s="1"/>
  <c r="M22" i="78" s="1"/>
  <c r="N22" i="78" s="1"/>
  <c r="J9" i="78"/>
  <c r="L9" i="78" s="1"/>
  <c r="M9" i="78" s="1"/>
  <c r="N9" i="78" s="1"/>
  <c r="J11" i="78"/>
  <c r="L11" i="78" s="1"/>
  <c r="M11" i="78" s="1"/>
  <c r="N11" i="78" s="1"/>
  <c r="A10" i="77"/>
  <c r="A11" i="77"/>
  <c r="G10" i="77"/>
  <c r="J10" i="77" s="1"/>
  <c r="L10" i="77" s="1"/>
  <c r="M10" i="77" s="1"/>
  <c r="N10" i="77" s="1"/>
  <c r="H10" i="77"/>
  <c r="I10" i="77"/>
  <c r="I23" i="77" l="1"/>
  <c r="H23" i="77"/>
  <c r="G23" i="77"/>
  <c r="I22" i="77"/>
  <c r="H22" i="77"/>
  <c r="G22" i="77"/>
  <c r="I21" i="77"/>
  <c r="H21" i="77"/>
  <c r="G21" i="77"/>
  <c r="I20" i="77"/>
  <c r="H20" i="77"/>
  <c r="G20" i="77"/>
  <c r="I19" i="77"/>
  <c r="H19" i="77"/>
  <c r="G19" i="77"/>
  <c r="I18" i="77"/>
  <c r="H18" i="77"/>
  <c r="G18" i="77"/>
  <c r="I17" i="77"/>
  <c r="H17" i="77"/>
  <c r="G17" i="77"/>
  <c r="I16" i="77"/>
  <c r="H16" i="77"/>
  <c r="G16" i="77"/>
  <c r="I15" i="77"/>
  <c r="H15" i="77"/>
  <c r="G15" i="77"/>
  <c r="I13" i="77"/>
  <c r="H13" i="77"/>
  <c r="G13" i="77"/>
  <c r="I11" i="77"/>
  <c r="H11" i="77"/>
  <c r="G11" i="77"/>
  <c r="I9" i="77"/>
  <c r="H9" i="77"/>
  <c r="G9" i="77"/>
  <c r="I8" i="77"/>
  <c r="H8" i="77"/>
  <c r="G8" i="77"/>
  <c r="A8" i="77"/>
  <c r="I7" i="77"/>
  <c r="H7" i="77"/>
  <c r="G7" i="77"/>
  <c r="J11" i="77" l="1"/>
  <c r="L11" i="77" s="1"/>
  <c r="M11" i="77" s="1"/>
  <c r="N11" i="77" s="1"/>
  <c r="J13" i="77"/>
  <c r="L13" i="77" s="1"/>
  <c r="M13" i="77" s="1"/>
  <c r="N13" i="77" s="1"/>
  <c r="A13" i="77"/>
  <c r="A15" i="77" s="1"/>
  <c r="A16" i="77" s="1"/>
  <c r="A17" i="77" s="1"/>
  <c r="A18" i="77" s="1"/>
  <c r="A19" i="77" s="1"/>
  <c r="A20" i="77" s="1"/>
  <c r="A21" i="77" s="1"/>
  <c r="A22" i="77" s="1"/>
  <c r="A23" i="77" s="1"/>
  <c r="A9" i="77"/>
  <c r="J16" i="77"/>
  <c r="L16" i="77" s="1"/>
  <c r="M16" i="77" s="1"/>
  <c r="N16" i="77" s="1"/>
  <c r="J18" i="77"/>
  <c r="L18" i="77" s="1"/>
  <c r="M18" i="77" s="1"/>
  <c r="N18" i="77" s="1"/>
  <c r="J20" i="77"/>
  <c r="L20" i="77" s="1"/>
  <c r="M20" i="77" s="1"/>
  <c r="N20" i="77" s="1"/>
  <c r="J22" i="77"/>
  <c r="L22" i="77" s="1"/>
  <c r="M22" i="77" s="1"/>
  <c r="N22" i="77" s="1"/>
  <c r="J23" i="77"/>
  <c r="L23" i="77" s="1"/>
  <c r="M23" i="77" s="1"/>
  <c r="N23" i="77" s="1"/>
  <c r="J7" i="77"/>
  <c r="L7" i="77" s="1"/>
  <c r="M7" i="77" s="1"/>
  <c r="N7" i="77" s="1"/>
  <c r="J8" i="77"/>
  <c r="L8" i="77" s="1"/>
  <c r="M8" i="77" s="1"/>
  <c r="N8" i="77" s="1"/>
  <c r="J9" i="77"/>
  <c r="L9" i="77" s="1"/>
  <c r="M9" i="77" s="1"/>
  <c r="N9" i="77" s="1"/>
  <c r="J15" i="77"/>
  <c r="L15" i="77" s="1"/>
  <c r="M15" i="77" s="1"/>
  <c r="N15" i="77" s="1"/>
  <c r="J17" i="77"/>
  <c r="L17" i="77" s="1"/>
  <c r="M17" i="77" s="1"/>
  <c r="N17" i="77" s="1"/>
  <c r="J19" i="77"/>
  <c r="L19" i="77" s="1"/>
  <c r="M19" i="77" s="1"/>
  <c r="N19" i="77" s="1"/>
  <c r="J21" i="77"/>
  <c r="L21" i="77" s="1"/>
  <c r="M21" i="77" s="1"/>
  <c r="N21" i="77" s="1"/>
  <c r="I25" i="76"/>
  <c r="H25" i="76"/>
  <c r="G25" i="76"/>
  <c r="J25" i="76" s="1"/>
  <c r="L25" i="76" s="1"/>
  <c r="M25" i="76" s="1"/>
  <c r="N25" i="76" s="1"/>
  <c r="I24" i="76"/>
  <c r="H24" i="76"/>
  <c r="G24" i="76"/>
  <c r="I23" i="76"/>
  <c r="H23" i="76"/>
  <c r="G23" i="76"/>
  <c r="I22" i="76"/>
  <c r="H22" i="76"/>
  <c r="J22" i="76" s="1"/>
  <c r="L22" i="76" s="1"/>
  <c r="M22" i="76" s="1"/>
  <c r="N22" i="76" s="1"/>
  <c r="G22" i="76"/>
  <c r="I21" i="76"/>
  <c r="H21" i="76"/>
  <c r="G21" i="76"/>
  <c r="I20" i="76"/>
  <c r="H20" i="76"/>
  <c r="J20" i="76" s="1"/>
  <c r="L20" i="76" s="1"/>
  <c r="M20" i="76" s="1"/>
  <c r="N20" i="76" s="1"/>
  <c r="G20" i="76"/>
  <c r="I19" i="76"/>
  <c r="H19" i="76"/>
  <c r="G19" i="76"/>
  <c r="I18" i="76"/>
  <c r="H18" i="76"/>
  <c r="G18" i="76"/>
  <c r="I17" i="76"/>
  <c r="H17" i="76"/>
  <c r="G17" i="76"/>
  <c r="J17" i="76" s="1"/>
  <c r="L17" i="76" s="1"/>
  <c r="M17" i="76" s="1"/>
  <c r="N17" i="76" s="1"/>
  <c r="I15" i="76"/>
  <c r="H15" i="76"/>
  <c r="G15" i="76"/>
  <c r="I13" i="76"/>
  <c r="H13" i="76"/>
  <c r="G13" i="76"/>
  <c r="J13" i="76" s="1"/>
  <c r="L13" i="76" s="1"/>
  <c r="M13" i="76" s="1"/>
  <c r="N13" i="76" s="1"/>
  <c r="I12" i="76"/>
  <c r="H12" i="76"/>
  <c r="G12" i="76"/>
  <c r="I11" i="76"/>
  <c r="H11" i="76"/>
  <c r="G11" i="76"/>
  <c r="J11" i="76" s="1"/>
  <c r="L11" i="76" s="1"/>
  <c r="M11" i="76" s="1"/>
  <c r="N11" i="76" s="1"/>
  <c r="I10" i="76"/>
  <c r="H10" i="76"/>
  <c r="G10" i="76"/>
  <c r="I9" i="76"/>
  <c r="H9" i="76"/>
  <c r="G9" i="76"/>
  <c r="J9" i="76" s="1"/>
  <c r="L9" i="76" s="1"/>
  <c r="M9" i="76" s="1"/>
  <c r="N9" i="76" s="1"/>
  <c r="I8" i="76"/>
  <c r="H8" i="76"/>
  <c r="G8" i="76"/>
  <c r="A8" i="76"/>
  <c r="A9" i="76" s="1"/>
  <c r="A10" i="76" s="1"/>
  <c r="A11" i="76" s="1"/>
  <c r="A12" i="76" s="1"/>
  <c r="A13" i="76" s="1"/>
  <c r="A15" i="76" s="1"/>
  <c r="A17" i="76" s="1"/>
  <c r="A18" i="76" s="1"/>
  <c r="A19" i="76" s="1"/>
  <c r="A20" i="76" s="1"/>
  <c r="A21" i="76" s="1"/>
  <c r="A22" i="76" s="1"/>
  <c r="A23" i="76" s="1"/>
  <c r="A24" i="76" s="1"/>
  <c r="A25" i="76" s="1"/>
  <c r="I7" i="76"/>
  <c r="H7" i="76"/>
  <c r="G7" i="76"/>
  <c r="J24" i="76" l="1"/>
  <c r="L24" i="76" s="1"/>
  <c r="M24" i="76" s="1"/>
  <c r="N24" i="76" s="1"/>
  <c r="J7" i="76"/>
  <c r="L7" i="76" s="1"/>
  <c r="M7" i="76" s="1"/>
  <c r="N7" i="76" s="1"/>
  <c r="J8" i="76"/>
  <c r="L8" i="76" s="1"/>
  <c r="M8" i="76" s="1"/>
  <c r="N8" i="76" s="1"/>
  <c r="J10" i="76"/>
  <c r="L10" i="76" s="1"/>
  <c r="M10" i="76" s="1"/>
  <c r="N10" i="76" s="1"/>
  <c r="J12" i="76"/>
  <c r="L12" i="76" s="1"/>
  <c r="M12" i="76" s="1"/>
  <c r="N12" i="76" s="1"/>
  <c r="J15" i="76"/>
  <c r="L15" i="76" s="1"/>
  <c r="M15" i="76" s="1"/>
  <c r="N15" i="76" s="1"/>
  <c r="J18" i="76"/>
  <c r="L18" i="76" s="1"/>
  <c r="M18" i="76" s="1"/>
  <c r="N18" i="76" s="1"/>
  <c r="J19" i="76"/>
  <c r="L19" i="76" s="1"/>
  <c r="M19" i="76" s="1"/>
  <c r="N19" i="76" s="1"/>
  <c r="J21" i="76"/>
  <c r="L21" i="76" s="1"/>
  <c r="M21" i="76" s="1"/>
  <c r="N21" i="76" s="1"/>
  <c r="J23" i="76"/>
  <c r="L23" i="76" s="1"/>
  <c r="M23" i="76" s="1"/>
  <c r="N23" i="76" s="1"/>
  <c r="M17" i="75"/>
  <c r="M18" i="75"/>
  <c r="N17" i="75"/>
  <c r="I25" i="75" l="1"/>
  <c r="H25" i="75"/>
  <c r="G25" i="75"/>
  <c r="I24" i="75"/>
  <c r="H24" i="75"/>
  <c r="J24" i="75" s="1"/>
  <c r="L24" i="75" s="1"/>
  <c r="M24" i="75" s="1"/>
  <c r="N24" i="75" s="1"/>
  <c r="G24" i="75"/>
  <c r="I23" i="75"/>
  <c r="H23" i="75"/>
  <c r="G23" i="75"/>
  <c r="I22" i="75"/>
  <c r="H22" i="75"/>
  <c r="J22" i="75" s="1"/>
  <c r="L22" i="75" s="1"/>
  <c r="M22" i="75" s="1"/>
  <c r="N22" i="75" s="1"/>
  <c r="G22" i="75"/>
  <c r="I21" i="75"/>
  <c r="H21" i="75"/>
  <c r="G21" i="75"/>
  <c r="I20" i="75"/>
  <c r="H20" i="75"/>
  <c r="J20" i="75" s="1"/>
  <c r="L20" i="75" s="1"/>
  <c r="M20" i="75" s="1"/>
  <c r="N20" i="75" s="1"/>
  <c r="G20" i="75"/>
  <c r="I19" i="75"/>
  <c r="H19" i="75"/>
  <c r="G19" i="75"/>
  <c r="I18" i="75"/>
  <c r="H18" i="75"/>
  <c r="G18" i="75"/>
  <c r="I17" i="75"/>
  <c r="H17" i="75"/>
  <c r="G17" i="75"/>
  <c r="I15" i="75"/>
  <c r="H15" i="75"/>
  <c r="G15" i="75"/>
  <c r="I13" i="75"/>
  <c r="H13" i="75"/>
  <c r="G13" i="75"/>
  <c r="I12" i="75"/>
  <c r="H12" i="75"/>
  <c r="J12" i="75" s="1"/>
  <c r="L12" i="75" s="1"/>
  <c r="M12" i="75" s="1"/>
  <c r="N12" i="75" s="1"/>
  <c r="G12" i="75"/>
  <c r="I11" i="75"/>
  <c r="H11" i="75"/>
  <c r="G11" i="75"/>
  <c r="I10" i="75"/>
  <c r="H10" i="75"/>
  <c r="J10" i="75" s="1"/>
  <c r="L10" i="75" s="1"/>
  <c r="M10" i="75" s="1"/>
  <c r="N10" i="75" s="1"/>
  <c r="G10" i="75"/>
  <c r="I9" i="75"/>
  <c r="H9" i="75"/>
  <c r="G9" i="75"/>
  <c r="I8" i="75"/>
  <c r="H8" i="75"/>
  <c r="J8" i="75" s="1"/>
  <c r="L8" i="75" s="1"/>
  <c r="M8" i="75" s="1"/>
  <c r="N8" i="75" s="1"/>
  <c r="G8" i="75"/>
  <c r="A8" i="75"/>
  <c r="A9" i="75" s="1"/>
  <c r="A10" i="75" s="1"/>
  <c r="A11" i="75" s="1"/>
  <c r="A12" i="75" s="1"/>
  <c r="A13" i="75" s="1"/>
  <c r="A15" i="75" s="1"/>
  <c r="A17" i="75" s="1"/>
  <c r="A18" i="75" s="1"/>
  <c r="A19" i="75" s="1"/>
  <c r="A20" i="75" s="1"/>
  <c r="A21" i="75" s="1"/>
  <c r="A22" i="75" s="1"/>
  <c r="A23" i="75" s="1"/>
  <c r="A24" i="75" s="1"/>
  <c r="A25" i="75" s="1"/>
  <c r="I7" i="75"/>
  <c r="H7" i="75"/>
  <c r="J7" i="75" s="1"/>
  <c r="L7" i="75" s="1"/>
  <c r="M7" i="75" s="1"/>
  <c r="N7" i="75" s="1"/>
  <c r="G7" i="75"/>
  <c r="J15" i="75" l="1"/>
  <c r="L15" i="75" s="1"/>
  <c r="M15" i="75" s="1"/>
  <c r="N15" i="75" s="1"/>
  <c r="J18" i="75"/>
  <c r="L18" i="75" s="1"/>
  <c r="N18" i="75" s="1"/>
  <c r="J9" i="75"/>
  <c r="L9" i="75" s="1"/>
  <c r="M9" i="75" s="1"/>
  <c r="N9" i="75" s="1"/>
  <c r="J11" i="75"/>
  <c r="L11" i="75" s="1"/>
  <c r="M11" i="75" s="1"/>
  <c r="N11" i="75" s="1"/>
  <c r="J13" i="75"/>
  <c r="L13" i="75" s="1"/>
  <c r="M13" i="75" s="1"/>
  <c r="N13" i="75" s="1"/>
  <c r="J17" i="75"/>
  <c r="L17" i="75" s="1"/>
  <c r="J19" i="75"/>
  <c r="L19" i="75" s="1"/>
  <c r="M19" i="75" s="1"/>
  <c r="N19" i="75" s="1"/>
  <c r="J21" i="75"/>
  <c r="L21" i="75" s="1"/>
  <c r="M21" i="75" s="1"/>
  <c r="N21" i="75" s="1"/>
  <c r="J23" i="75"/>
  <c r="L23" i="75" s="1"/>
  <c r="M23" i="75" s="1"/>
  <c r="N23" i="75" s="1"/>
  <c r="J25" i="75"/>
  <c r="L25" i="75" s="1"/>
  <c r="M25" i="75" s="1"/>
  <c r="N25" i="75" s="1"/>
  <c r="I25" i="74"/>
  <c r="H25" i="74"/>
  <c r="G25" i="74"/>
  <c r="J25" i="74" s="1"/>
  <c r="L25" i="74" s="1"/>
  <c r="M25" i="74" s="1"/>
  <c r="N25" i="74" s="1"/>
  <c r="I24" i="74"/>
  <c r="H24" i="74"/>
  <c r="G24" i="74"/>
  <c r="J24" i="74" s="1"/>
  <c r="L24" i="74" s="1"/>
  <c r="M24" i="74" s="1"/>
  <c r="N24" i="74" s="1"/>
  <c r="I23" i="74"/>
  <c r="H23" i="74"/>
  <c r="G23" i="74"/>
  <c r="I22" i="74"/>
  <c r="H22" i="74"/>
  <c r="G22" i="74"/>
  <c r="J22" i="74" s="1"/>
  <c r="L22" i="74" s="1"/>
  <c r="M22" i="74" s="1"/>
  <c r="N22" i="74" s="1"/>
  <c r="I21" i="74"/>
  <c r="H21" i="74"/>
  <c r="G21" i="74"/>
  <c r="I20" i="74"/>
  <c r="H20" i="74"/>
  <c r="G20" i="74"/>
  <c r="J20" i="74" s="1"/>
  <c r="L20" i="74" s="1"/>
  <c r="M20" i="74" s="1"/>
  <c r="N20" i="74" s="1"/>
  <c r="I19" i="74"/>
  <c r="H19" i="74"/>
  <c r="G19" i="74"/>
  <c r="I18" i="74"/>
  <c r="H18" i="74"/>
  <c r="G18" i="74"/>
  <c r="J18" i="74" s="1"/>
  <c r="L18" i="74" s="1"/>
  <c r="M18" i="74" s="1"/>
  <c r="N18" i="74" s="1"/>
  <c r="I17" i="74"/>
  <c r="H17" i="74"/>
  <c r="G17" i="74"/>
  <c r="I15" i="74"/>
  <c r="H15" i="74"/>
  <c r="G15" i="74"/>
  <c r="J15" i="74" s="1"/>
  <c r="L15" i="74" s="1"/>
  <c r="M15" i="74" s="1"/>
  <c r="N15" i="74" s="1"/>
  <c r="I13" i="74"/>
  <c r="H13" i="74"/>
  <c r="G13" i="74"/>
  <c r="J13" i="74" s="1"/>
  <c r="L13" i="74" s="1"/>
  <c r="M13" i="74" s="1"/>
  <c r="N13" i="74" s="1"/>
  <c r="I12" i="74"/>
  <c r="H12" i="74"/>
  <c r="G12" i="74"/>
  <c r="I11" i="74"/>
  <c r="H11" i="74"/>
  <c r="G11" i="74"/>
  <c r="J11" i="74" s="1"/>
  <c r="L11" i="74" s="1"/>
  <c r="M11" i="74" s="1"/>
  <c r="N11" i="74" s="1"/>
  <c r="I10" i="74"/>
  <c r="H10" i="74"/>
  <c r="G10" i="74"/>
  <c r="I9" i="74"/>
  <c r="H9" i="74"/>
  <c r="G9" i="74"/>
  <c r="J9" i="74" s="1"/>
  <c r="L9" i="74" s="1"/>
  <c r="M9" i="74" s="1"/>
  <c r="N9" i="74" s="1"/>
  <c r="I8" i="74"/>
  <c r="H8" i="74"/>
  <c r="G8" i="74"/>
  <c r="A8" i="74"/>
  <c r="A9" i="74" s="1"/>
  <c r="A10" i="74" s="1"/>
  <c r="A11" i="74" s="1"/>
  <c r="A12" i="74" s="1"/>
  <c r="A13" i="74" s="1"/>
  <c r="A15" i="74" s="1"/>
  <c r="A17" i="74" s="1"/>
  <c r="A18" i="74" s="1"/>
  <c r="A19" i="74" s="1"/>
  <c r="A20" i="74" s="1"/>
  <c r="A21" i="74" s="1"/>
  <c r="A22" i="74" s="1"/>
  <c r="A23" i="74" s="1"/>
  <c r="A24" i="74" s="1"/>
  <c r="A25" i="74" s="1"/>
  <c r="I7" i="74"/>
  <c r="H7" i="74"/>
  <c r="G7" i="74"/>
  <c r="J17" i="74" l="1"/>
  <c r="L17" i="74" s="1"/>
  <c r="J19" i="74"/>
  <c r="L19" i="74" s="1"/>
  <c r="M19" i="74" s="1"/>
  <c r="N19" i="74" s="1"/>
  <c r="J21" i="74"/>
  <c r="L21" i="74" s="1"/>
  <c r="M21" i="74" s="1"/>
  <c r="N21" i="74" s="1"/>
  <c r="J23" i="74"/>
  <c r="L23" i="74" s="1"/>
  <c r="M23" i="74" s="1"/>
  <c r="N23" i="74" s="1"/>
  <c r="J7" i="74"/>
  <c r="L7" i="74" s="1"/>
  <c r="M7" i="74" s="1"/>
  <c r="N7" i="74" s="1"/>
  <c r="J8" i="74"/>
  <c r="L8" i="74" s="1"/>
  <c r="M8" i="74" s="1"/>
  <c r="N8" i="74" s="1"/>
  <c r="J10" i="74"/>
  <c r="L10" i="74" s="1"/>
  <c r="M10" i="74" s="1"/>
  <c r="N10" i="74" s="1"/>
  <c r="J12" i="74"/>
  <c r="L12" i="74" s="1"/>
  <c r="M12" i="74" s="1"/>
  <c r="N12" i="74" s="1"/>
  <c r="I25" i="73"/>
  <c r="H25" i="73"/>
  <c r="J25" i="73" s="1"/>
  <c r="L25" i="73" s="1"/>
  <c r="M25" i="73" s="1"/>
  <c r="N25" i="73" s="1"/>
  <c r="G25" i="73"/>
  <c r="I24" i="73"/>
  <c r="H24" i="73"/>
  <c r="J24" i="73" s="1"/>
  <c r="L24" i="73" s="1"/>
  <c r="M24" i="73" s="1"/>
  <c r="N24" i="73" s="1"/>
  <c r="G24" i="73"/>
  <c r="I23" i="73"/>
  <c r="H23" i="73"/>
  <c r="G23" i="73"/>
  <c r="I22" i="73"/>
  <c r="H22" i="73"/>
  <c r="J22" i="73" s="1"/>
  <c r="L22" i="73" s="1"/>
  <c r="M22" i="73" s="1"/>
  <c r="N22" i="73" s="1"/>
  <c r="G22" i="73"/>
  <c r="I21" i="73"/>
  <c r="H21" i="73"/>
  <c r="G21" i="73"/>
  <c r="I20" i="73"/>
  <c r="H20" i="73"/>
  <c r="J20" i="73" s="1"/>
  <c r="L20" i="73" s="1"/>
  <c r="M20" i="73" s="1"/>
  <c r="N20" i="73" s="1"/>
  <c r="G20" i="73"/>
  <c r="I19" i="73"/>
  <c r="H19" i="73"/>
  <c r="G19" i="73"/>
  <c r="I18" i="73"/>
  <c r="H18" i="73"/>
  <c r="G18" i="73"/>
  <c r="I17" i="73"/>
  <c r="H17" i="73"/>
  <c r="G17" i="73"/>
  <c r="I15" i="73"/>
  <c r="H15" i="73"/>
  <c r="J15" i="73" s="1"/>
  <c r="L15" i="73" s="1"/>
  <c r="M15" i="73" s="1"/>
  <c r="N15" i="73" s="1"/>
  <c r="G15" i="73"/>
  <c r="I13" i="73"/>
  <c r="H13" i="73"/>
  <c r="G13" i="73"/>
  <c r="I12" i="73"/>
  <c r="H12" i="73"/>
  <c r="J12" i="73" s="1"/>
  <c r="L12" i="73" s="1"/>
  <c r="M12" i="73" s="1"/>
  <c r="N12" i="73" s="1"/>
  <c r="G12" i="73"/>
  <c r="I11" i="73"/>
  <c r="H11" i="73"/>
  <c r="G11" i="73"/>
  <c r="I10" i="73"/>
  <c r="H10" i="73"/>
  <c r="J10" i="73" s="1"/>
  <c r="L10" i="73" s="1"/>
  <c r="M10" i="73" s="1"/>
  <c r="N10" i="73" s="1"/>
  <c r="G10" i="73"/>
  <c r="I9" i="73"/>
  <c r="H9" i="73"/>
  <c r="G9" i="73"/>
  <c r="I8" i="73"/>
  <c r="H8" i="73"/>
  <c r="J8" i="73" s="1"/>
  <c r="L8" i="73" s="1"/>
  <c r="M8" i="73" s="1"/>
  <c r="N8" i="73" s="1"/>
  <c r="G8" i="73"/>
  <c r="A8" i="73"/>
  <c r="A9" i="73" s="1"/>
  <c r="A10" i="73" s="1"/>
  <c r="A11" i="73" s="1"/>
  <c r="A12" i="73" s="1"/>
  <c r="A13" i="73" s="1"/>
  <c r="A15" i="73" s="1"/>
  <c r="A17" i="73" s="1"/>
  <c r="A18" i="73" s="1"/>
  <c r="A19" i="73" s="1"/>
  <c r="A20" i="73" s="1"/>
  <c r="A21" i="73" s="1"/>
  <c r="A22" i="73" s="1"/>
  <c r="A23" i="73" s="1"/>
  <c r="A24" i="73" s="1"/>
  <c r="A25" i="73" s="1"/>
  <c r="I7" i="73"/>
  <c r="H7" i="73"/>
  <c r="G7" i="73"/>
  <c r="J7" i="73" l="1"/>
  <c r="L7" i="73" s="1"/>
  <c r="M7" i="73" s="1"/>
  <c r="N7" i="73" s="1"/>
  <c r="J18" i="73"/>
  <c r="L18" i="73" s="1"/>
  <c r="J17" i="73"/>
  <c r="L17" i="73" s="1"/>
  <c r="J19" i="73"/>
  <c r="L19" i="73" s="1"/>
  <c r="M19" i="73" s="1"/>
  <c r="N19" i="73" s="1"/>
  <c r="J21" i="73"/>
  <c r="L21" i="73" s="1"/>
  <c r="M21" i="73" s="1"/>
  <c r="N21" i="73" s="1"/>
  <c r="J23" i="73"/>
  <c r="L23" i="73" s="1"/>
  <c r="M23" i="73" s="1"/>
  <c r="N23" i="73" s="1"/>
  <c r="J9" i="73"/>
  <c r="L9" i="73" s="1"/>
  <c r="M9" i="73" s="1"/>
  <c r="N9" i="73" s="1"/>
  <c r="J11" i="73"/>
  <c r="L11" i="73" s="1"/>
  <c r="M11" i="73" s="1"/>
  <c r="N11" i="73" s="1"/>
  <c r="J13" i="73"/>
  <c r="L13" i="73" s="1"/>
  <c r="M13" i="73" s="1"/>
  <c r="N13" i="73" s="1"/>
  <c r="I25" i="72"/>
  <c r="H25" i="72"/>
  <c r="G25" i="72"/>
  <c r="J25" i="72" s="1"/>
  <c r="L25" i="72" s="1"/>
  <c r="M25" i="72" s="1"/>
  <c r="N25" i="72" s="1"/>
  <c r="I24" i="72"/>
  <c r="H24" i="72"/>
  <c r="G24" i="72"/>
  <c r="I23" i="72"/>
  <c r="H23" i="72"/>
  <c r="G23" i="72"/>
  <c r="J23" i="72" s="1"/>
  <c r="L23" i="72" s="1"/>
  <c r="M23" i="72" s="1"/>
  <c r="N23" i="72" s="1"/>
  <c r="I22" i="72"/>
  <c r="H22" i="72"/>
  <c r="G22" i="72"/>
  <c r="I21" i="72"/>
  <c r="H21" i="72"/>
  <c r="G21" i="72"/>
  <c r="J21" i="72" s="1"/>
  <c r="L21" i="72" s="1"/>
  <c r="M21" i="72" s="1"/>
  <c r="N21" i="72" s="1"/>
  <c r="I20" i="72"/>
  <c r="H20" i="72"/>
  <c r="G20" i="72"/>
  <c r="I19" i="72"/>
  <c r="H19" i="72"/>
  <c r="G19" i="72"/>
  <c r="J19" i="72" s="1"/>
  <c r="L19" i="72" s="1"/>
  <c r="M19" i="72" s="1"/>
  <c r="N19" i="72" s="1"/>
  <c r="I18" i="72"/>
  <c r="H18" i="72"/>
  <c r="G18" i="72"/>
  <c r="I17" i="72"/>
  <c r="H17" i="72"/>
  <c r="G17" i="72"/>
  <c r="J17" i="72" s="1"/>
  <c r="L17" i="72" s="1"/>
  <c r="I15" i="72"/>
  <c r="H15" i="72"/>
  <c r="G15" i="72"/>
  <c r="I13" i="72"/>
  <c r="H13" i="72"/>
  <c r="G13" i="72"/>
  <c r="J13" i="72" s="1"/>
  <c r="L13" i="72" s="1"/>
  <c r="M13" i="72" s="1"/>
  <c r="N13" i="72" s="1"/>
  <c r="I12" i="72"/>
  <c r="H12" i="72"/>
  <c r="G12" i="72"/>
  <c r="I11" i="72"/>
  <c r="H11" i="72"/>
  <c r="G11" i="72"/>
  <c r="J11" i="72" s="1"/>
  <c r="L11" i="72" s="1"/>
  <c r="M11" i="72" s="1"/>
  <c r="N11" i="72" s="1"/>
  <c r="I10" i="72"/>
  <c r="H10" i="72"/>
  <c r="G10" i="72"/>
  <c r="I9" i="72"/>
  <c r="H9" i="72"/>
  <c r="G9" i="72"/>
  <c r="J9" i="72" s="1"/>
  <c r="L9" i="72" s="1"/>
  <c r="M9" i="72" s="1"/>
  <c r="N9" i="72" s="1"/>
  <c r="I8" i="72"/>
  <c r="H8" i="72"/>
  <c r="G8" i="72"/>
  <c r="A8" i="72"/>
  <c r="A9" i="72" s="1"/>
  <c r="A10" i="72" s="1"/>
  <c r="A11" i="72" s="1"/>
  <c r="A12" i="72" s="1"/>
  <c r="A13" i="72" s="1"/>
  <c r="A15" i="72" s="1"/>
  <c r="A17" i="72" s="1"/>
  <c r="A18" i="72" s="1"/>
  <c r="A19" i="72" s="1"/>
  <c r="A20" i="72" s="1"/>
  <c r="A21" i="72" s="1"/>
  <c r="A22" i="72" s="1"/>
  <c r="A23" i="72" s="1"/>
  <c r="A24" i="72" s="1"/>
  <c r="A25" i="72" s="1"/>
  <c r="I7" i="72"/>
  <c r="H7" i="72"/>
  <c r="G7" i="72"/>
  <c r="N18" i="73" l="1"/>
  <c r="M18" i="73"/>
  <c r="J7" i="72"/>
  <c r="L7" i="72" s="1"/>
  <c r="M7" i="72" s="1"/>
  <c r="N7" i="72" s="1"/>
  <c r="J8" i="72"/>
  <c r="L8" i="72" s="1"/>
  <c r="M8" i="72" s="1"/>
  <c r="N8" i="72" s="1"/>
  <c r="J10" i="72"/>
  <c r="L10" i="72" s="1"/>
  <c r="M10" i="72" s="1"/>
  <c r="N10" i="72" s="1"/>
  <c r="J12" i="72"/>
  <c r="L12" i="72" s="1"/>
  <c r="M12" i="72" s="1"/>
  <c r="N12" i="72" s="1"/>
  <c r="J15" i="72"/>
  <c r="L15" i="72" s="1"/>
  <c r="M15" i="72" s="1"/>
  <c r="N15" i="72" s="1"/>
  <c r="J18" i="72"/>
  <c r="L18" i="72" s="1"/>
  <c r="M18" i="72" s="1"/>
  <c r="N18" i="72" s="1"/>
  <c r="J20" i="72"/>
  <c r="L20" i="72" s="1"/>
  <c r="M20" i="72" s="1"/>
  <c r="N20" i="72" s="1"/>
  <c r="J22" i="72"/>
  <c r="L22" i="72" s="1"/>
  <c r="M22" i="72" s="1"/>
  <c r="N22" i="72" s="1"/>
  <c r="J24" i="72"/>
  <c r="L24" i="72" s="1"/>
  <c r="M24" i="72" s="1"/>
  <c r="N24" i="72" s="1"/>
  <c r="M23" i="71"/>
  <c r="N23" i="71" s="1"/>
  <c r="L23" i="71"/>
  <c r="L24" i="71"/>
  <c r="M24" i="71" s="1"/>
  <c r="N24" i="71" s="1"/>
  <c r="J23" i="71"/>
  <c r="I23" i="71"/>
  <c r="I24" i="71"/>
  <c r="H23" i="71"/>
  <c r="H24" i="71"/>
  <c r="J24" i="71" s="1"/>
  <c r="G23" i="71"/>
  <c r="G24" i="71"/>
  <c r="A23" i="71"/>
  <c r="A24" i="71"/>
  <c r="I25" i="71"/>
  <c r="H25" i="71"/>
  <c r="G25" i="71"/>
  <c r="I22" i="71"/>
  <c r="H22" i="71"/>
  <c r="G22" i="71"/>
  <c r="I21" i="71"/>
  <c r="H21" i="71"/>
  <c r="G21" i="71"/>
  <c r="J21" i="71" s="1"/>
  <c r="L21" i="71" s="1"/>
  <c r="M21" i="71" s="1"/>
  <c r="N21" i="71" s="1"/>
  <c r="I20" i="71"/>
  <c r="H20" i="71"/>
  <c r="G20" i="71"/>
  <c r="I19" i="71"/>
  <c r="H19" i="71"/>
  <c r="G19" i="71"/>
  <c r="J19" i="71" s="1"/>
  <c r="L19" i="71" s="1"/>
  <c r="M19" i="71" s="1"/>
  <c r="N19" i="71" s="1"/>
  <c r="I18" i="71"/>
  <c r="H18" i="71"/>
  <c r="G18" i="71"/>
  <c r="I17" i="71"/>
  <c r="H17" i="71"/>
  <c r="G17" i="71"/>
  <c r="J17" i="71" s="1"/>
  <c r="L17" i="71" s="1"/>
  <c r="M17" i="71" s="1"/>
  <c r="N17" i="71" s="1"/>
  <c r="I15" i="71"/>
  <c r="H15" i="71"/>
  <c r="G15" i="71"/>
  <c r="I13" i="71"/>
  <c r="H13" i="71"/>
  <c r="G13" i="71"/>
  <c r="J13" i="71" s="1"/>
  <c r="L13" i="71" s="1"/>
  <c r="M13" i="71" s="1"/>
  <c r="N13" i="71" s="1"/>
  <c r="I12" i="71"/>
  <c r="H12" i="71"/>
  <c r="G12" i="71"/>
  <c r="I11" i="71"/>
  <c r="H11" i="71"/>
  <c r="G11" i="71"/>
  <c r="J11" i="71" s="1"/>
  <c r="L11" i="71" s="1"/>
  <c r="M11" i="71" s="1"/>
  <c r="N11" i="71" s="1"/>
  <c r="I10" i="71"/>
  <c r="H10" i="71"/>
  <c r="G10" i="71"/>
  <c r="I9" i="71"/>
  <c r="H9" i="71"/>
  <c r="G9" i="71"/>
  <c r="J9" i="71" s="1"/>
  <c r="L9" i="71" s="1"/>
  <c r="M9" i="71" s="1"/>
  <c r="N9" i="71" s="1"/>
  <c r="I8" i="71"/>
  <c r="H8" i="71"/>
  <c r="G8" i="71"/>
  <c r="A8" i="71"/>
  <c r="A9" i="71" s="1"/>
  <c r="A10" i="71" s="1"/>
  <c r="A11" i="71" s="1"/>
  <c r="A12" i="71" s="1"/>
  <c r="A13" i="71" s="1"/>
  <c r="A15" i="71" s="1"/>
  <c r="A17" i="71" s="1"/>
  <c r="A18" i="71" s="1"/>
  <c r="A19" i="71" s="1"/>
  <c r="A20" i="71" s="1"/>
  <c r="A21" i="71" s="1"/>
  <c r="A22" i="71" s="1"/>
  <c r="A25" i="71" s="1"/>
  <c r="I7" i="71"/>
  <c r="H7" i="71"/>
  <c r="G7" i="71"/>
  <c r="J25" i="71" l="1"/>
  <c r="L25" i="71" s="1"/>
  <c r="M25" i="71" s="1"/>
  <c r="N25" i="71" s="1"/>
  <c r="J7" i="71"/>
  <c r="L7" i="71" s="1"/>
  <c r="M7" i="71" s="1"/>
  <c r="N7" i="71" s="1"/>
  <c r="J8" i="71"/>
  <c r="L8" i="71" s="1"/>
  <c r="M8" i="71" s="1"/>
  <c r="N8" i="71" s="1"/>
  <c r="J10" i="71"/>
  <c r="L10" i="71" s="1"/>
  <c r="M10" i="71" s="1"/>
  <c r="N10" i="71" s="1"/>
  <c r="J12" i="71"/>
  <c r="L12" i="71" s="1"/>
  <c r="M12" i="71" s="1"/>
  <c r="N12" i="71" s="1"/>
  <c r="J15" i="71"/>
  <c r="L15" i="71" s="1"/>
  <c r="M15" i="71" s="1"/>
  <c r="N15" i="71" s="1"/>
  <c r="J18" i="71"/>
  <c r="L18" i="71" s="1"/>
  <c r="M18" i="71" s="1"/>
  <c r="N18" i="71" s="1"/>
  <c r="J20" i="71"/>
  <c r="L20" i="71" s="1"/>
  <c r="M20" i="71" s="1"/>
  <c r="N20" i="71" s="1"/>
  <c r="J22" i="71"/>
  <c r="L22" i="71" s="1"/>
  <c r="M22" i="71" s="1"/>
  <c r="N22" i="71" s="1"/>
  <c r="A10" i="70"/>
  <c r="I24" i="70"/>
  <c r="H24" i="70"/>
  <c r="G24" i="70"/>
  <c r="I23" i="70"/>
  <c r="H23" i="70"/>
  <c r="G23" i="70"/>
  <c r="I22" i="70"/>
  <c r="H22" i="70"/>
  <c r="G22" i="70"/>
  <c r="I21" i="70"/>
  <c r="H21" i="70"/>
  <c r="G21" i="70"/>
  <c r="I20" i="70"/>
  <c r="H20" i="70"/>
  <c r="G20" i="70"/>
  <c r="I19" i="70"/>
  <c r="H19" i="70"/>
  <c r="G19" i="70"/>
  <c r="I18" i="70"/>
  <c r="H18" i="70"/>
  <c r="G18" i="70"/>
  <c r="I17" i="70"/>
  <c r="H17" i="70"/>
  <c r="G17" i="70"/>
  <c r="I15" i="70"/>
  <c r="H15" i="70"/>
  <c r="G15" i="70"/>
  <c r="I13" i="70"/>
  <c r="H13" i="70"/>
  <c r="G13" i="70"/>
  <c r="I12" i="70"/>
  <c r="H12" i="70"/>
  <c r="G12" i="70"/>
  <c r="I11" i="70"/>
  <c r="H11" i="70"/>
  <c r="G11" i="70"/>
  <c r="I10" i="70"/>
  <c r="H10" i="70"/>
  <c r="G10" i="70"/>
  <c r="I9" i="70"/>
  <c r="H9" i="70"/>
  <c r="G9" i="70"/>
  <c r="I8" i="70"/>
  <c r="H8" i="70"/>
  <c r="G8" i="70"/>
  <c r="A8" i="70"/>
  <c r="A9" i="70" s="1"/>
  <c r="A11" i="70" s="1"/>
  <c r="A12" i="70" s="1"/>
  <c r="A13" i="70" s="1"/>
  <c r="A15" i="70" s="1"/>
  <c r="A17" i="70" s="1"/>
  <c r="A18" i="70" s="1"/>
  <c r="A19" i="70" s="1"/>
  <c r="A20" i="70" s="1"/>
  <c r="A21" i="70" s="1"/>
  <c r="A22" i="70" s="1"/>
  <c r="A23" i="70" s="1"/>
  <c r="A24" i="70" s="1"/>
  <c r="I7" i="70"/>
  <c r="H7" i="70"/>
  <c r="G7" i="70"/>
  <c r="J9" i="70" l="1"/>
  <c r="L9" i="70" s="1"/>
  <c r="M9" i="70" s="1"/>
  <c r="N9" i="70" s="1"/>
  <c r="J17" i="70"/>
  <c r="L17" i="70" s="1"/>
  <c r="M17" i="70" s="1"/>
  <c r="N17" i="70" s="1"/>
  <c r="J19" i="70"/>
  <c r="L19" i="70" s="1"/>
  <c r="M19" i="70" s="1"/>
  <c r="N19" i="70" s="1"/>
  <c r="J21" i="70"/>
  <c r="L21" i="70" s="1"/>
  <c r="M21" i="70" s="1"/>
  <c r="N21" i="70" s="1"/>
  <c r="J23" i="70"/>
  <c r="L23" i="70" s="1"/>
  <c r="M23" i="70" s="1"/>
  <c r="N23" i="70" s="1"/>
  <c r="J10" i="70"/>
  <c r="L10" i="70" s="1"/>
  <c r="M10" i="70" s="1"/>
  <c r="N10" i="70" s="1"/>
  <c r="J12" i="70"/>
  <c r="L12" i="70" s="1"/>
  <c r="M12" i="70" s="1"/>
  <c r="N12" i="70" s="1"/>
  <c r="J15" i="70"/>
  <c r="L15" i="70" s="1"/>
  <c r="M15" i="70" s="1"/>
  <c r="N15" i="70" s="1"/>
  <c r="J18" i="70"/>
  <c r="L18" i="70" s="1"/>
  <c r="M18" i="70" s="1"/>
  <c r="N18" i="70" s="1"/>
  <c r="J20" i="70"/>
  <c r="L20" i="70" s="1"/>
  <c r="M20" i="70" s="1"/>
  <c r="N20" i="70" s="1"/>
  <c r="J22" i="70"/>
  <c r="L22" i="70" s="1"/>
  <c r="M22" i="70" s="1"/>
  <c r="N22" i="70" s="1"/>
  <c r="J24" i="70"/>
  <c r="L24" i="70" s="1"/>
  <c r="M24" i="70" s="1"/>
  <c r="N24" i="70" s="1"/>
  <c r="J7" i="70"/>
  <c r="L7" i="70" s="1"/>
  <c r="M7" i="70" s="1"/>
  <c r="N7" i="70" s="1"/>
  <c r="J8" i="70"/>
  <c r="L8" i="70" s="1"/>
  <c r="M8" i="70" s="1"/>
  <c r="N8" i="70" s="1"/>
  <c r="J11" i="70"/>
  <c r="L11" i="70" s="1"/>
  <c r="M11" i="70" s="1"/>
  <c r="N11" i="70" s="1"/>
  <c r="J13" i="70"/>
  <c r="L13" i="70" s="1"/>
  <c r="M13" i="70" s="1"/>
  <c r="N13" i="70" s="1"/>
  <c r="I25" i="69"/>
  <c r="H25" i="69"/>
  <c r="G25" i="69"/>
  <c r="J25" i="69" s="1"/>
  <c r="L25" i="69" s="1"/>
  <c r="M25" i="69" s="1"/>
  <c r="N25" i="69" s="1"/>
  <c r="I24" i="69"/>
  <c r="H24" i="69"/>
  <c r="G24" i="69"/>
  <c r="I23" i="69"/>
  <c r="H23" i="69"/>
  <c r="G23" i="69"/>
  <c r="J23" i="69" s="1"/>
  <c r="L23" i="69" s="1"/>
  <c r="M23" i="69" s="1"/>
  <c r="N23" i="69" s="1"/>
  <c r="I22" i="69"/>
  <c r="H22" i="69"/>
  <c r="G22" i="69"/>
  <c r="I21" i="69"/>
  <c r="H21" i="69"/>
  <c r="G21" i="69"/>
  <c r="J21" i="69" s="1"/>
  <c r="L21" i="69" s="1"/>
  <c r="M21" i="69" s="1"/>
  <c r="N21" i="69" s="1"/>
  <c r="I20" i="69"/>
  <c r="H20" i="69"/>
  <c r="G20" i="69"/>
  <c r="I19" i="69"/>
  <c r="H19" i="69"/>
  <c r="G19" i="69"/>
  <c r="J19" i="69" s="1"/>
  <c r="L19" i="69" s="1"/>
  <c r="M19" i="69" s="1"/>
  <c r="N19" i="69" s="1"/>
  <c r="I18" i="69"/>
  <c r="H18" i="69"/>
  <c r="G18" i="69"/>
  <c r="I16" i="69"/>
  <c r="H16" i="69"/>
  <c r="G16" i="69"/>
  <c r="J16" i="69" s="1"/>
  <c r="L16" i="69" s="1"/>
  <c r="M16" i="69" s="1"/>
  <c r="N16" i="69" s="1"/>
  <c r="I14" i="69"/>
  <c r="H14" i="69"/>
  <c r="G14" i="69"/>
  <c r="I13" i="69"/>
  <c r="H13" i="69"/>
  <c r="G13" i="69"/>
  <c r="J13" i="69" s="1"/>
  <c r="L13" i="69" s="1"/>
  <c r="M13" i="69" s="1"/>
  <c r="N13" i="69" s="1"/>
  <c r="I12" i="69"/>
  <c r="H12" i="69"/>
  <c r="G12" i="69"/>
  <c r="I11" i="69"/>
  <c r="H11" i="69"/>
  <c r="G11" i="69"/>
  <c r="J11" i="69" s="1"/>
  <c r="L11" i="69" s="1"/>
  <c r="M11" i="69" s="1"/>
  <c r="N11" i="69" s="1"/>
  <c r="I10" i="69"/>
  <c r="H10" i="69"/>
  <c r="G10" i="69"/>
  <c r="I9" i="69"/>
  <c r="H9" i="69"/>
  <c r="G9" i="69"/>
  <c r="J9" i="69" s="1"/>
  <c r="L9" i="69" s="1"/>
  <c r="M9" i="69" s="1"/>
  <c r="N9" i="69" s="1"/>
  <c r="I8" i="69"/>
  <c r="H8" i="69"/>
  <c r="G8" i="69"/>
  <c r="A8" i="69"/>
  <c r="A9" i="69" s="1"/>
  <c r="A10" i="69" s="1"/>
  <c r="A11" i="69" s="1"/>
  <c r="A12" i="69" s="1"/>
  <c r="A13" i="69" s="1"/>
  <c r="A14" i="69" s="1"/>
  <c r="A16" i="69" s="1"/>
  <c r="A18" i="69" s="1"/>
  <c r="A19" i="69" s="1"/>
  <c r="A20" i="69" s="1"/>
  <c r="A21" i="69" s="1"/>
  <c r="A22" i="69" s="1"/>
  <c r="A23" i="69" s="1"/>
  <c r="A24" i="69" s="1"/>
  <c r="A25" i="69" s="1"/>
  <c r="I7" i="69"/>
  <c r="H7" i="69"/>
  <c r="G7" i="69"/>
  <c r="J7" i="69" l="1"/>
  <c r="L7" i="69" s="1"/>
  <c r="M7" i="69" s="1"/>
  <c r="N7" i="69" s="1"/>
  <c r="J8" i="69"/>
  <c r="L8" i="69" s="1"/>
  <c r="M8" i="69" s="1"/>
  <c r="N8" i="69" s="1"/>
  <c r="J10" i="69"/>
  <c r="L10" i="69" s="1"/>
  <c r="M10" i="69" s="1"/>
  <c r="N10" i="69" s="1"/>
  <c r="J12" i="69"/>
  <c r="L12" i="69" s="1"/>
  <c r="M12" i="69" s="1"/>
  <c r="N12" i="69" s="1"/>
  <c r="J14" i="69"/>
  <c r="L14" i="69" s="1"/>
  <c r="M14" i="69" s="1"/>
  <c r="N14" i="69" s="1"/>
  <c r="J18" i="69"/>
  <c r="L18" i="69" s="1"/>
  <c r="M18" i="69" s="1"/>
  <c r="N18" i="69" s="1"/>
  <c r="J20" i="69"/>
  <c r="L20" i="69" s="1"/>
  <c r="M20" i="69" s="1"/>
  <c r="N20" i="69" s="1"/>
  <c r="J22" i="69"/>
  <c r="L22" i="69" s="1"/>
  <c r="M22" i="69" s="1"/>
  <c r="N22" i="69" s="1"/>
  <c r="J24" i="69"/>
  <c r="L24" i="69" s="1"/>
  <c r="M24" i="69" s="1"/>
  <c r="N24" i="69" s="1"/>
  <c r="I25" i="68"/>
  <c r="H25" i="68"/>
  <c r="G25" i="68"/>
  <c r="J25" i="68" s="1"/>
  <c r="L25" i="68" s="1"/>
  <c r="M25" i="68" s="1"/>
  <c r="N25" i="68" s="1"/>
  <c r="I24" i="68"/>
  <c r="H24" i="68"/>
  <c r="G24" i="68"/>
  <c r="I23" i="68"/>
  <c r="H23" i="68"/>
  <c r="G23" i="68"/>
  <c r="J23" i="68" s="1"/>
  <c r="L23" i="68" s="1"/>
  <c r="M23" i="68" s="1"/>
  <c r="N23" i="68" s="1"/>
  <c r="I22" i="68"/>
  <c r="H22" i="68"/>
  <c r="G22" i="68"/>
  <c r="I21" i="68"/>
  <c r="H21" i="68"/>
  <c r="G21" i="68"/>
  <c r="J21" i="68" s="1"/>
  <c r="L21" i="68" s="1"/>
  <c r="M21" i="68" s="1"/>
  <c r="N21" i="68" s="1"/>
  <c r="I20" i="68"/>
  <c r="H20" i="68"/>
  <c r="G20" i="68"/>
  <c r="I19" i="68"/>
  <c r="H19" i="68"/>
  <c r="G19" i="68"/>
  <c r="J19" i="68" s="1"/>
  <c r="L19" i="68" s="1"/>
  <c r="M19" i="68" s="1"/>
  <c r="N19" i="68" s="1"/>
  <c r="I18" i="68"/>
  <c r="H18" i="68"/>
  <c r="G18" i="68"/>
  <c r="I16" i="68"/>
  <c r="H16" i="68"/>
  <c r="G16" i="68"/>
  <c r="J16" i="68" s="1"/>
  <c r="L16" i="68" s="1"/>
  <c r="M16" i="68" s="1"/>
  <c r="N16" i="68" s="1"/>
  <c r="I14" i="68"/>
  <c r="H14" i="68"/>
  <c r="G14" i="68"/>
  <c r="I13" i="68"/>
  <c r="H13" i="68"/>
  <c r="G13" i="68"/>
  <c r="J13" i="68" s="1"/>
  <c r="L13" i="68" s="1"/>
  <c r="M13" i="68" s="1"/>
  <c r="N13" i="68" s="1"/>
  <c r="I12" i="68"/>
  <c r="H12" i="68"/>
  <c r="G12" i="68"/>
  <c r="I11" i="68"/>
  <c r="H11" i="68"/>
  <c r="G11" i="68"/>
  <c r="J11" i="68" s="1"/>
  <c r="L11" i="68" s="1"/>
  <c r="M11" i="68" s="1"/>
  <c r="N11" i="68" s="1"/>
  <c r="I10" i="68"/>
  <c r="H10" i="68"/>
  <c r="G10" i="68"/>
  <c r="I9" i="68"/>
  <c r="H9" i="68"/>
  <c r="G9" i="68"/>
  <c r="J9" i="68" s="1"/>
  <c r="L9" i="68" s="1"/>
  <c r="M9" i="68" s="1"/>
  <c r="N9" i="68" s="1"/>
  <c r="I8" i="68"/>
  <c r="H8" i="68"/>
  <c r="G8" i="68"/>
  <c r="A8" i="68"/>
  <c r="A9" i="68" s="1"/>
  <c r="A10" i="68" s="1"/>
  <c r="A11" i="68" s="1"/>
  <c r="A12" i="68" s="1"/>
  <c r="A13" i="68" s="1"/>
  <c r="A14" i="68" s="1"/>
  <c r="A16" i="68" s="1"/>
  <c r="A18" i="68" s="1"/>
  <c r="A19" i="68" s="1"/>
  <c r="A20" i="68" s="1"/>
  <c r="A21" i="68" s="1"/>
  <c r="A22" i="68" s="1"/>
  <c r="A23" i="68" s="1"/>
  <c r="A24" i="68" s="1"/>
  <c r="A25" i="68" s="1"/>
  <c r="I7" i="68"/>
  <c r="H7" i="68"/>
  <c r="G7" i="68"/>
  <c r="J7" i="68" l="1"/>
  <c r="L7" i="68" s="1"/>
  <c r="M7" i="68" s="1"/>
  <c r="N7" i="68" s="1"/>
  <c r="J8" i="68"/>
  <c r="L8" i="68" s="1"/>
  <c r="M8" i="68" s="1"/>
  <c r="N8" i="68" s="1"/>
  <c r="J10" i="68"/>
  <c r="L10" i="68" s="1"/>
  <c r="M10" i="68" s="1"/>
  <c r="N10" i="68" s="1"/>
  <c r="J12" i="68"/>
  <c r="L12" i="68" s="1"/>
  <c r="M12" i="68" s="1"/>
  <c r="N12" i="68" s="1"/>
  <c r="J14" i="68"/>
  <c r="L14" i="68" s="1"/>
  <c r="M14" i="68" s="1"/>
  <c r="N14" i="68" s="1"/>
  <c r="J18" i="68"/>
  <c r="L18" i="68" s="1"/>
  <c r="M18" i="68" s="1"/>
  <c r="N18" i="68" s="1"/>
  <c r="J20" i="68"/>
  <c r="L20" i="68" s="1"/>
  <c r="M20" i="68" s="1"/>
  <c r="N20" i="68" s="1"/>
  <c r="J22" i="68"/>
  <c r="L22" i="68" s="1"/>
  <c r="M22" i="68" s="1"/>
  <c r="N22" i="68" s="1"/>
  <c r="J24" i="68"/>
  <c r="L24" i="68" s="1"/>
  <c r="M24" i="68" s="1"/>
  <c r="N24" i="68" s="1"/>
  <c r="I25" i="67"/>
  <c r="H25" i="67"/>
  <c r="G25" i="67"/>
  <c r="J25" i="67" s="1"/>
  <c r="L25" i="67" s="1"/>
  <c r="M25" i="67" s="1"/>
  <c r="N25" i="67" s="1"/>
  <c r="I24" i="67"/>
  <c r="H24" i="67"/>
  <c r="G24" i="67"/>
  <c r="I23" i="67"/>
  <c r="H23" i="67"/>
  <c r="G23" i="67"/>
  <c r="J23" i="67" s="1"/>
  <c r="L23" i="67" s="1"/>
  <c r="M23" i="67" s="1"/>
  <c r="N23" i="67" s="1"/>
  <c r="I22" i="67"/>
  <c r="H22" i="67"/>
  <c r="G22" i="67"/>
  <c r="I21" i="67"/>
  <c r="H21" i="67"/>
  <c r="G21" i="67"/>
  <c r="J21" i="67" s="1"/>
  <c r="L21" i="67" s="1"/>
  <c r="M21" i="67" s="1"/>
  <c r="N21" i="67" s="1"/>
  <c r="I20" i="67"/>
  <c r="H20" i="67"/>
  <c r="G20" i="67"/>
  <c r="I19" i="67"/>
  <c r="H19" i="67"/>
  <c r="G19" i="67"/>
  <c r="I18" i="67"/>
  <c r="H18" i="67"/>
  <c r="G18" i="67"/>
  <c r="I16" i="67"/>
  <c r="H16" i="67"/>
  <c r="G16" i="67"/>
  <c r="J16" i="67" s="1"/>
  <c r="L16" i="67" s="1"/>
  <c r="M16" i="67" s="1"/>
  <c r="N16" i="67" s="1"/>
  <c r="I14" i="67"/>
  <c r="H14" i="67"/>
  <c r="G14" i="67"/>
  <c r="I13" i="67"/>
  <c r="H13" i="67"/>
  <c r="G13" i="67"/>
  <c r="J13" i="67" s="1"/>
  <c r="L13" i="67" s="1"/>
  <c r="M13" i="67" s="1"/>
  <c r="N13" i="67" s="1"/>
  <c r="I12" i="67"/>
  <c r="H12" i="67"/>
  <c r="G12" i="67"/>
  <c r="I11" i="67"/>
  <c r="H11" i="67"/>
  <c r="G11" i="67"/>
  <c r="J11" i="67" s="1"/>
  <c r="L11" i="67" s="1"/>
  <c r="M11" i="67" s="1"/>
  <c r="N11" i="67" s="1"/>
  <c r="I10" i="67"/>
  <c r="H10" i="67"/>
  <c r="G10" i="67"/>
  <c r="I9" i="67"/>
  <c r="H9" i="67"/>
  <c r="G9" i="67"/>
  <c r="J9" i="67" s="1"/>
  <c r="L9" i="67" s="1"/>
  <c r="M9" i="67" s="1"/>
  <c r="N9" i="67" s="1"/>
  <c r="I8" i="67"/>
  <c r="H8" i="67"/>
  <c r="G8" i="67"/>
  <c r="A8" i="67"/>
  <c r="A9" i="67" s="1"/>
  <c r="A10" i="67" s="1"/>
  <c r="A11" i="67" s="1"/>
  <c r="A12" i="67" s="1"/>
  <c r="A13" i="67" s="1"/>
  <c r="A14" i="67" s="1"/>
  <c r="A16" i="67" s="1"/>
  <c r="A18" i="67" s="1"/>
  <c r="A19" i="67" s="1"/>
  <c r="A20" i="67" s="1"/>
  <c r="A21" i="67" s="1"/>
  <c r="A22" i="67" s="1"/>
  <c r="A23" i="67" s="1"/>
  <c r="A24" i="67" s="1"/>
  <c r="A25" i="67" s="1"/>
  <c r="I7" i="67"/>
  <c r="H7" i="67"/>
  <c r="G7" i="67"/>
  <c r="J19" i="67" l="1"/>
  <c r="L19" i="67" s="1"/>
  <c r="M19" i="67" s="1"/>
  <c r="N19" i="67" s="1"/>
  <c r="J7" i="67"/>
  <c r="L7" i="67" s="1"/>
  <c r="M7" i="67" s="1"/>
  <c r="N7" i="67" s="1"/>
  <c r="J8" i="67"/>
  <c r="L8" i="67" s="1"/>
  <c r="M8" i="67" s="1"/>
  <c r="N8" i="67" s="1"/>
  <c r="J10" i="67"/>
  <c r="L10" i="67" s="1"/>
  <c r="M10" i="67" s="1"/>
  <c r="N10" i="67" s="1"/>
  <c r="J12" i="67"/>
  <c r="L12" i="67" s="1"/>
  <c r="M12" i="67" s="1"/>
  <c r="N12" i="67" s="1"/>
  <c r="J14" i="67"/>
  <c r="L14" i="67" s="1"/>
  <c r="M14" i="67" s="1"/>
  <c r="N14" i="67" s="1"/>
  <c r="J18" i="67"/>
  <c r="L18" i="67" s="1"/>
  <c r="M18" i="67" s="1"/>
  <c r="N18" i="67" s="1"/>
  <c r="J20" i="67"/>
  <c r="L20" i="67" s="1"/>
  <c r="M20" i="67" s="1"/>
  <c r="N20" i="67" s="1"/>
  <c r="J22" i="67"/>
  <c r="L22" i="67" s="1"/>
  <c r="M22" i="67" s="1"/>
  <c r="N22" i="67" s="1"/>
  <c r="J24" i="67"/>
  <c r="L24" i="67" s="1"/>
  <c r="M24" i="67" s="1"/>
  <c r="N24" i="67" s="1"/>
  <c r="I25" i="66"/>
  <c r="H25" i="66"/>
  <c r="G25" i="66"/>
  <c r="J25" i="66" s="1"/>
  <c r="L25" i="66" s="1"/>
  <c r="M25" i="66" s="1"/>
  <c r="N25" i="66" s="1"/>
  <c r="I24" i="66"/>
  <c r="H24" i="66"/>
  <c r="G24" i="66"/>
  <c r="I23" i="66"/>
  <c r="H23" i="66"/>
  <c r="G23" i="66"/>
  <c r="J23" i="66" s="1"/>
  <c r="L23" i="66" s="1"/>
  <c r="M23" i="66" s="1"/>
  <c r="N23" i="66" s="1"/>
  <c r="I22" i="66"/>
  <c r="H22" i="66"/>
  <c r="G22" i="66"/>
  <c r="I21" i="66"/>
  <c r="H21" i="66"/>
  <c r="G21" i="66"/>
  <c r="J21" i="66" s="1"/>
  <c r="L21" i="66" s="1"/>
  <c r="M21" i="66" s="1"/>
  <c r="N21" i="66" s="1"/>
  <c r="I20" i="66"/>
  <c r="H20" i="66"/>
  <c r="G20" i="66"/>
  <c r="I19" i="66"/>
  <c r="H19" i="66"/>
  <c r="G19" i="66"/>
  <c r="J19" i="66" s="1"/>
  <c r="L19" i="66" s="1"/>
  <c r="M19" i="66" s="1"/>
  <c r="N19" i="66" s="1"/>
  <c r="I18" i="66"/>
  <c r="H18" i="66"/>
  <c r="G18" i="66"/>
  <c r="I16" i="66"/>
  <c r="H16" i="66"/>
  <c r="G16" i="66"/>
  <c r="J16" i="66" s="1"/>
  <c r="L16" i="66" s="1"/>
  <c r="M16" i="66" s="1"/>
  <c r="N16" i="66" s="1"/>
  <c r="I14" i="66"/>
  <c r="H14" i="66"/>
  <c r="G14" i="66"/>
  <c r="I13" i="66"/>
  <c r="H13" i="66"/>
  <c r="G13" i="66"/>
  <c r="J13" i="66" s="1"/>
  <c r="L13" i="66" s="1"/>
  <c r="M13" i="66" s="1"/>
  <c r="N13" i="66" s="1"/>
  <c r="I12" i="66"/>
  <c r="H12" i="66"/>
  <c r="G12" i="66"/>
  <c r="I11" i="66"/>
  <c r="H11" i="66"/>
  <c r="G11" i="66"/>
  <c r="J11" i="66" s="1"/>
  <c r="L11" i="66" s="1"/>
  <c r="M11" i="66" s="1"/>
  <c r="N11" i="66" s="1"/>
  <c r="I10" i="66"/>
  <c r="H10" i="66"/>
  <c r="G10" i="66"/>
  <c r="I9" i="66"/>
  <c r="H9" i="66"/>
  <c r="G9" i="66"/>
  <c r="J9" i="66" s="1"/>
  <c r="L9" i="66" s="1"/>
  <c r="M9" i="66" s="1"/>
  <c r="N9" i="66" s="1"/>
  <c r="I8" i="66"/>
  <c r="H8" i="66"/>
  <c r="G8" i="66"/>
  <c r="A8" i="66"/>
  <c r="A9" i="66" s="1"/>
  <c r="A10" i="66" s="1"/>
  <c r="A11" i="66" s="1"/>
  <c r="A12" i="66" s="1"/>
  <c r="A13" i="66" s="1"/>
  <c r="A14" i="66" s="1"/>
  <c r="A16" i="66" s="1"/>
  <c r="A18" i="66" s="1"/>
  <c r="A19" i="66" s="1"/>
  <c r="A20" i="66" s="1"/>
  <c r="A21" i="66" s="1"/>
  <c r="A22" i="66" s="1"/>
  <c r="A23" i="66" s="1"/>
  <c r="A24" i="66" s="1"/>
  <c r="A25" i="66" s="1"/>
  <c r="I7" i="66"/>
  <c r="H7" i="66"/>
  <c r="G7" i="66"/>
  <c r="J7" i="66" l="1"/>
  <c r="L7" i="66" s="1"/>
  <c r="M7" i="66" s="1"/>
  <c r="N7" i="66" s="1"/>
  <c r="J8" i="66"/>
  <c r="L8" i="66" s="1"/>
  <c r="M8" i="66" s="1"/>
  <c r="N8" i="66" s="1"/>
  <c r="J10" i="66"/>
  <c r="L10" i="66" s="1"/>
  <c r="M10" i="66" s="1"/>
  <c r="N10" i="66" s="1"/>
  <c r="J12" i="66"/>
  <c r="L12" i="66" s="1"/>
  <c r="M12" i="66" s="1"/>
  <c r="N12" i="66" s="1"/>
  <c r="J14" i="66"/>
  <c r="L14" i="66" s="1"/>
  <c r="M14" i="66" s="1"/>
  <c r="N14" i="66" s="1"/>
  <c r="J18" i="66"/>
  <c r="L18" i="66" s="1"/>
  <c r="M18" i="66" s="1"/>
  <c r="N18" i="66" s="1"/>
  <c r="J20" i="66"/>
  <c r="L20" i="66" s="1"/>
  <c r="M20" i="66" s="1"/>
  <c r="N20" i="66" s="1"/>
  <c r="J22" i="66"/>
  <c r="L22" i="66" s="1"/>
  <c r="M22" i="66" s="1"/>
  <c r="N22" i="66" s="1"/>
  <c r="J24" i="66"/>
  <c r="L24" i="66" s="1"/>
  <c r="M24" i="66" s="1"/>
  <c r="N24" i="66" s="1"/>
  <c r="I25" i="65"/>
  <c r="H25" i="65"/>
  <c r="G25" i="65"/>
  <c r="I24" i="65"/>
  <c r="H24" i="65"/>
  <c r="G24" i="65"/>
  <c r="J24" i="65" s="1"/>
  <c r="L24" i="65" s="1"/>
  <c r="M24" i="65" s="1"/>
  <c r="N24" i="65" s="1"/>
  <c r="I23" i="65"/>
  <c r="H23" i="65"/>
  <c r="G23" i="65"/>
  <c r="I22" i="65"/>
  <c r="H22" i="65"/>
  <c r="G22" i="65"/>
  <c r="J22" i="65" s="1"/>
  <c r="L22" i="65" s="1"/>
  <c r="M22" i="65" s="1"/>
  <c r="N22" i="65" s="1"/>
  <c r="I21" i="65"/>
  <c r="H21" i="65"/>
  <c r="G21" i="65"/>
  <c r="I20" i="65"/>
  <c r="H20" i="65"/>
  <c r="G20" i="65"/>
  <c r="J20" i="65" s="1"/>
  <c r="L20" i="65" s="1"/>
  <c r="M20" i="65" s="1"/>
  <c r="N20" i="65" s="1"/>
  <c r="I19" i="65"/>
  <c r="H19" i="65"/>
  <c r="G19" i="65"/>
  <c r="I18" i="65"/>
  <c r="H18" i="65"/>
  <c r="G18" i="65"/>
  <c r="J18" i="65" s="1"/>
  <c r="L18" i="65" s="1"/>
  <c r="M18" i="65" s="1"/>
  <c r="N18" i="65" s="1"/>
  <c r="I16" i="65"/>
  <c r="H16" i="65"/>
  <c r="G16" i="65"/>
  <c r="I14" i="65"/>
  <c r="H14" i="65"/>
  <c r="G14" i="65"/>
  <c r="J14" i="65" s="1"/>
  <c r="L14" i="65" s="1"/>
  <c r="M14" i="65" s="1"/>
  <c r="N14" i="65" s="1"/>
  <c r="I13" i="65"/>
  <c r="H13" i="65"/>
  <c r="G13" i="65"/>
  <c r="I12" i="65"/>
  <c r="H12" i="65"/>
  <c r="G12" i="65"/>
  <c r="J12" i="65" s="1"/>
  <c r="L12" i="65" s="1"/>
  <c r="M12" i="65" s="1"/>
  <c r="N12" i="65" s="1"/>
  <c r="I11" i="65"/>
  <c r="H11" i="65"/>
  <c r="G11" i="65"/>
  <c r="I10" i="65"/>
  <c r="H10" i="65"/>
  <c r="G10" i="65"/>
  <c r="J10" i="65" s="1"/>
  <c r="L10" i="65" s="1"/>
  <c r="M10" i="65" s="1"/>
  <c r="N10" i="65" s="1"/>
  <c r="I9" i="65"/>
  <c r="H9" i="65"/>
  <c r="G9" i="65"/>
  <c r="I8" i="65"/>
  <c r="H8" i="65"/>
  <c r="G8" i="65"/>
  <c r="J8" i="65" s="1"/>
  <c r="L8" i="65" s="1"/>
  <c r="M8" i="65" s="1"/>
  <c r="N8" i="65" s="1"/>
  <c r="A8" i="65"/>
  <c r="A9" i="65" s="1"/>
  <c r="A10" i="65" s="1"/>
  <c r="A11" i="65" s="1"/>
  <c r="A12" i="65" s="1"/>
  <c r="A13" i="65" s="1"/>
  <c r="A14" i="65" s="1"/>
  <c r="A16" i="65" s="1"/>
  <c r="A18" i="65" s="1"/>
  <c r="A19" i="65" s="1"/>
  <c r="A20" i="65" s="1"/>
  <c r="A21" i="65" s="1"/>
  <c r="A22" i="65" s="1"/>
  <c r="A23" i="65" s="1"/>
  <c r="A24" i="65" s="1"/>
  <c r="A25" i="65" s="1"/>
  <c r="I7" i="65"/>
  <c r="H7" i="65"/>
  <c r="G7" i="65"/>
  <c r="J7" i="65" s="1"/>
  <c r="L7" i="65" s="1"/>
  <c r="M7" i="65" s="1"/>
  <c r="N7" i="65" s="1"/>
  <c r="J9" i="65" l="1"/>
  <c r="L9" i="65" s="1"/>
  <c r="M9" i="65" s="1"/>
  <c r="N9" i="65" s="1"/>
  <c r="J11" i="65"/>
  <c r="L11" i="65" s="1"/>
  <c r="M11" i="65" s="1"/>
  <c r="N11" i="65" s="1"/>
  <c r="J13" i="65"/>
  <c r="L13" i="65" s="1"/>
  <c r="M13" i="65" s="1"/>
  <c r="N13" i="65" s="1"/>
  <c r="J16" i="65"/>
  <c r="L16" i="65" s="1"/>
  <c r="M16" i="65" s="1"/>
  <c r="N16" i="65" s="1"/>
  <c r="J19" i="65"/>
  <c r="L19" i="65" s="1"/>
  <c r="M19" i="65" s="1"/>
  <c r="N19" i="65" s="1"/>
  <c r="J21" i="65"/>
  <c r="L21" i="65" s="1"/>
  <c r="M21" i="65" s="1"/>
  <c r="N21" i="65" s="1"/>
  <c r="J23" i="65"/>
  <c r="L23" i="65" s="1"/>
  <c r="M23" i="65" s="1"/>
  <c r="N23" i="65" s="1"/>
  <c r="J25" i="65"/>
  <c r="L25" i="65" s="1"/>
  <c r="M25" i="65" s="1"/>
  <c r="N25" i="65" s="1"/>
  <c r="I25" i="64"/>
  <c r="H25" i="64"/>
  <c r="G25" i="64"/>
  <c r="I24" i="64"/>
  <c r="H24" i="64"/>
  <c r="J24" i="64" s="1"/>
  <c r="L24" i="64" s="1"/>
  <c r="M24" i="64" s="1"/>
  <c r="N24" i="64" s="1"/>
  <c r="G24" i="64"/>
  <c r="I23" i="64"/>
  <c r="H23" i="64"/>
  <c r="G23" i="64"/>
  <c r="I22" i="64"/>
  <c r="H22" i="64"/>
  <c r="J22" i="64" s="1"/>
  <c r="L22" i="64" s="1"/>
  <c r="M22" i="64" s="1"/>
  <c r="N22" i="64" s="1"/>
  <c r="G22" i="64"/>
  <c r="I21" i="64"/>
  <c r="H21" i="64"/>
  <c r="G21" i="64"/>
  <c r="I20" i="64"/>
  <c r="H20" i="64"/>
  <c r="J20" i="64" s="1"/>
  <c r="L20" i="64" s="1"/>
  <c r="M20" i="64" s="1"/>
  <c r="N20" i="64" s="1"/>
  <c r="G20" i="64"/>
  <c r="I19" i="64"/>
  <c r="H19" i="64"/>
  <c r="G19" i="64"/>
  <c r="I18" i="64"/>
  <c r="H18" i="64"/>
  <c r="G18" i="64"/>
  <c r="I16" i="64"/>
  <c r="H16" i="64"/>
  <c r="G16" i="64"/>
  <c r="I14" i="64"/>
  <c r="H14" i="64"/>
  <c r="J14" i="64" s="1"/>
  <c r="L14" i="64" s="1"/>
  <c r="M14" i="64" s="1"/>
  <c r="N14" i="64" s="1"/>
  <c r="G14" i="64"/>
  <c r="I13" i="64"/>
  <c r="H13" i="64"/>
  <c r="G13" i="64"/>
  <c r="I12" i="64"/>
  <c r="H12" i="64"/>
  <c r="J12" i="64" s="1"/>
  <c r="L12" i="64" s="1"/>
  <c r="M12" i="64" s="1"/>
  <c r="N12" i="64" s="1"/>
  <c r="G12" i="64"/>
  <c r="I11" i="64"/>
  <c r="H11" i="64"/>
  <c r="G11" i="64"/>
  <c r="I10" i="64"/>
  <c r="H10" i="64"/>
  <c r="J10" i="64" s="1"/>
  <c r="L10" i="64" s="1"/>
  <c r="M10" i="64" s="1"/>
  <c r="N10" i="64" s="1"/>
  <c r="G10" i="64"/>
  <c r="I9" i="64"/>
  <c r="H9" i="64"/>
  <c r="G9" i="64"/>
  <c r="I8" i="64"/>
  <c r="H8" i="64"/>
  <c r="J8" i="64" s="1"/>
  <c r="L8" i="64" s="1"/>
  <c r="M8" i="64" s="1"/>
  <c r="N8" i="64" s="1"/>
  <c r="G8" i="64"/>
  <c r="A8" i="64"/>
  <c r="A9" i="64" s="1"/>
  <c r="A10" i="64" s="1"/>
  <c r="A11" i="64" s="1"/>
  <c r="A12" i="64" s="1"/>
  <c r="A13" i="64" s="1"/>
  <c r="A14" i="64" s="1"/>
  <c r="A16" i="64" s="1"/>
  <c r="A18" i="64" s="1"/>
  <c r="A19" i="64" s="1"/>
  <c r="A20" i="64" s="1"/>
  <c r="A21" i="64" s="1"/>
  <c r="A22" i="64" s="1"/>
  <c r="A23" i="64" s="1"/>
  <c r="A24" i="64" s="1"/>
  <c r="A25" i="64" s="1"/>
  <c r="I7" i="64"/>
  <c r="H7" i="64"/>
  <c r="J7" i="64" s="1"/>
  <c r="L7" i="64" s="1"/>
  <c r="M7" i="64" s="1"/>
  <c r="N7" i="64" s="1"/>
  <c r="G7" i="64"/>
  <c r="J16" i="64" l="1"/>
  <c r="L16" i="64" s="1"/>
  <c r="M16" i="64" s="1"/>
  <c r="N16" i="64" s="1"/>
  <c r="J18" i="64"/>
  <c r="L18" i="64" s="1"/>
  <c r="M18" i="64" s="1"/>
  <c r="N18" i="64" s="1"/>
  <c r="J19" i="64"/>
  <c r="L19" i="64" s="1"/>
  <c r="M19" i="64" s="1"/>
  <c r="N19" i="64" s="1"/>
  <c r="J21" i="64"/>
  <c r="L21" i="64" s="1"/>
  <c r="M21" i="64" s="1"/>
  <c r="N21" i="64" s="1"/>
  <c r="J23" i="64"/>
  <c r="L23" i="64" s="1"/>
  <c r="M23" i="64" s="1"/>
  <c r="N23" i="64" s="1"/>
  <c r="J25" i="64"/>
  <c r="L25" i="64" s="1"/>
  <c r="M25" i="64" s="1"/>
  <c r="N25" i="64" s="1"/>
  <c r="J9" i="64"/>
  <c r="L9" i="64" s="1"/>
  <c r="M9" i="64" s="1"/>
  <c r="N9" i="64" s="1"/>
  <c r="J11" i="64"/>
  <c r="L11" i="64" s="1"/>
  <c r="M11" i="64" s="1"/>
  <c r="N11" i="64" s="1"/>
  <c r="J13" i="64"/>
  <c r="L13" i="64" s="1"/>
  <c r="M13" i="64" s="1"/>
  <c r="N13" i="64" s="1"/>
  <c r="I25" i="63"/>
  <c r="H25" i="63"/>
  <c r="G25" i="63"/>
  <c r="J25" i="63" s="1"/>
  <c r="L25" i="63" s="1"/>
  <c r="M25" i="63" s="1"/>
  <c r="N25" i="63" s="1"/>
  <c r="I24" i="63"/>
  <c r="H24" i="63"/>
  <c r="G24" i="63"/>
  <c r="I23" i="63"/>
  <c r="H23" i="63"/>
  <c r="G23" i="63"/>
  <c r="J23" i="63" s="1"/>
  <c r="L23" i="63" s="1"/>
  <c r="M23" i="63" s="1"/>
  <c r="N23" i="63" s="1"/>
  <c r="I22" i="63"/>
  <c r="H22" i="63"/>
  <c r="G22" i="63"/>
  <c r="I21" i="63"/>
  <c r="H21" i="63"/>
  <c r="G21" i="63"/>
  <c r="J21" i="63" s="1"/>
  <c r="L21" i="63" s="1"/>
  <c r="M21" i="63" s="1"/>
  <c r="N21" i="63" s="1"/>
  <c r="I20" i="63"/>
  <c r="H20" i="63"/>
  <c r="G20" i="63"/>
  <c r="I19" i="63"/>
  <c r="H19" i="63"/>
  <c r="G19" i="63"/>
  <c r="J19" i="63" s="1"/>
  <c r="L19" i="63" s="1"/>
  <c r="M19" i="63" s="1"/>
  <c r="N19" i="63" s="1"/>
  <c r="I18" i="63"/>
  <c r="H18" i="63"/>
  <c r="G18" i="63"/>
  <c r="I16" i="63"/>
  <c r="H16" i="63"/>
  <c r="G16" i="63"/>
  <c r="I14" i="63"/>
  <c r="H14" i="63"/>
  <c r="G14" i="63"/>
  <c r="I13" i="63"/>
  <c r="H13" i="63"/>
  <c r="G13" i="63"/>
  <c r="J13" i="63" s="1"/>
  <c r="L13" i="63" s="1"/>
  <c r="M13" i="63" s="1"/>
  <c r="N13" i="63" s="1"/>
  <c r="I12" i="63"/>
  <c r="H12" i="63"/>
  <c r="G12" i="63"/>
  <c r="I11" i="63"/>
  <c r="H11" i="63"/>
  <c r="G11" i="63"/>
  <c r="J11" i="63" s="1"/>
  <c r="L11" i="63" s="1"/>
  <c r="M11" i="63" s="1"/>
  <c r="N11" i="63" s="1"/>
  <c r="I10" i="63"/>
  <c r="H10" i="63"/>
  <c r="G10" i="63"/>
  <c r="I9" i="63"/>
  <c r="H9" i="63"/>
  <c r="G9" i="63"/>
  <c r="J9" i="63" s="1"/>
  <c r="L9" i="63" s="1"/>
  <c r="M9" i="63" s="1"/>
  <c r="N9" i="63" s="1"/>
  <c r="I8" i="63"/>
  <c r="H8" i="63"/>
  <c r="G8" i="63"/>
  <c r="A8" i="63"/>
  <c r="A9" i="63" s="1"/>
  <c r="A10" i="63" s="1"/>
  <c r="A11" i="63" s="1"/>
  <c r="A12" i="63" s="1"/>
  <c r="A13" i="63" s="1"/>
  <c r="A14" i="63" s="1"/>
  <c r="A16" i="63" s="1"/>
  <c r="A18" i="63" s="1"/>
  <c r="A19" i="63" s="1"/>
  <c r="A20" i="63" s="1"/>
  <c r="A21" i="63" s="1"/>
  <c r="A22" i="63" s="1"/>
  <c r="A23" i="63" s="1"/>
  <c r="A24" i="63" s="1"/>
  <c r="A25" i="63" s="1"/>
  <c r="I7" i="63"/>
  <c r="H7" i="63"/>
  <c r="G7" i="63"/>
  <c r="J16" i="63" l="1"/>
  <c r="L16" i="63" s="1"/>
  <c r="M16" i="63" s="1"/>
  <c r="N16" i="63" s="1"/>
  <c r="J7" i="63"/>
  <c r="L7" i="63" s="1"/>
  <c r="M7" i="63" s="1"/>
  <c r="N7" i="63" s="1"/>
  <c r="J8" i="63"/>
  <c r="L8" i="63" s="1"/>
  <c r="M8" i="63" s="1"/>
  <c r="N8" i="63" s="1"/>
  <c r="J10" i="63"/>
  <c r="L10" i="63" s="1"/>
  <c r="M10" i="63" s="1"/>
  <c r="N10" i="63" s="1"/>
  <c r="J12" i="63"/>
  <c r="L12" i="63" s="1"/>
  <c r="M12" i="63" s="1"/>
  <c r="N12" i="63" s="1"/>
  <c r="J14" i="63"/>
  <c r="L14" i="63" s="1"/>
  <c r="M14" i="63" s="1"/>
  <c r="N14" i="63" s="1"/>
  <c r="J18" i="63"/>
  <c r="L18" i="63" s="1"/>
  <c r="M18" i="63" s="1"/>
  <c r="N18" i="63" s="1"/>
  <c r="J20" i="63"/>
  <c r="L20" i="63" s="1"/>
  <c r="M20" i="63" s="1"/>
  <c r="N20" i="63" s="1"/>
  <c r="J22" i="63"/>
  <c r="L22" i="63" s="1"/>
  <c r="M22" i="63" s="1"/>
  <c r="N22" i="63" s="1"/>
  <c r="J24" i="63"/>
  <c r="L24" i="63" s="1"/>
  <c r="M24" i="63" s="1"/>
  <c r="N24" i="63" s="1"/>
  <c r="G19" i="62"/>
  <c r="I25" i="62" l="1"/>
  <c r="H25" i="62"/>
  <c r="J25" i="62" s="1"/>
  <c r="L25" i="62" s="1"/>
  <c r="M25" i="62" s="1"/>
  <c r="N25" i="62" s="1"/>
  <c r="G25" i="62"/>
  <c r="I24" i="62"/>
  <c r="H24" i="62"/>
  <c r="G24" i="62"/>
  <c r="I23" i="62"/>
  <c r="H23" i="62"/>
  <c r="J23" i="62" s="1"/>
  <c r="L23" i="62" s="1"/>
  <c r="M23" i="62" s="1"/>
  <c r="N23" i="62" s="1"/>
  <c r="G23" i="62"/>
  <c r="I22" i="62"/>
  <c r="H22" i="62"/>
  <c r="G22" i="62"/>
  <c r="I21" i="62"/>
  <c r="H21" i="62"/>
  <c r="J21" i="62" s="1"/>
  <c r="L21" i="62" s="1"/>
  <c r="M21" i="62" s="1"/>
  <c r="N21" i="62" s="1"/>
  <c r="G21" i="62"/>
  <c r="I20" i="62"/>
  <c r="H20" i="62"/>
  <c r="G20" i="62"/>
  <c r="I19" i="62"/>
  <c r="H19" i="62"/>
  <c r="J19" i="62" s="1"/>
  <c r="L19" i="62" s="1"/>
  <c r="M19" i="62" s="1"/>
  <c r="N19" i="62" s="1"/>
  <c r="I18" i="62"/>
  <c r="H18" i="62"/>
  <c r="G18" i="62"/>
  <c r="I16" i="62"/>
  <c r="H16" i="62"/>
  <c r="G16" i="62"/>
  <c r="I14" i="62"/>
  <c r="H14" i="62"/>
  <c r="G14" i="62"/>
  <c r="I13" i="62"/>
  <c r="H13" i="62"/>
  <c r="J13" i="62" s="1"/>
  <c r="L13" i="62" s="1"/>
  <c r="M13" i="62" s="1"/>
  <c r="N13" i="62" s="1"/>
  <c r="G13" i="62"/>
  <c r="I12" i="62"/>
  <c r="H12" i="62"/>
  <c r="G12" i="62"/>
  <c r="I11" i="62"/>
  <c r="H11" i="62"/>
  <c r="J11" i="62" s="1"/>
  <c r="L11" i="62" s="1"/>
  <c r="M11" i="62" s="1"/>
  <c r="N11" i="62" s="1"/>
  <c r="G11" i="62"/>
  <c r="I10" i="62"/>
  <c r="H10" i="62"/>
  <c r="G10" i="62"/>
  <c r="I9" i="62"/>
  <c r="H9" i="62"/>
  <c r="J9" i="62" s="1"/>
  <c r="L9" i="62" s="1"/>
  <c r="M9" i="62" s="1"/>
  <c r="N9" i="62" s="1"/>
  <c r="G9" i="62"/>
  <c r="I8" i="62"/>
  <c r="H8" i="62"/>
  <c r="G8" i="62"/>
  <c r="A8" i="62"/>
  <c r="A9" i="62" s="1"/>
  <c r="A10" i="62" s="1"/>
  <c r="A11" i="62" s="1"/>
  <c r="A12" i="62" s="1"/>
  <c r="A13" i="62" s="1"/>
  <c r="A14" i="62" s="1"/>
  <c r="A16" i="62" s="1"/>
  <c r="A18" i="62" s="1"/>
  <c r="A19" i="62" s="1"/>
  <c r="A20" i="62" s="1"/>
  <c r="A21" i="62" s="1"/>
  <c r="A22" i="62" s="1"/>
  <c r="A23" i="62" s="1"/>
  <c r="A24" i="62" s="1"/>
  <c r="A25" i="62" s="1"/>
  <c r="I7" i="62"/>
  <c r="H7" i="62"/>
  <c r="G7" i="62"/>
  <c r="J16" i="62" l="1"/>
  <c r="L16" i="62" s="1"/>
  <c r="M16" i="62" s="1"/>
  <c r="N16" i="62" s="1"/>
  <c r="J7" i="62"/>
  <c r="L7" i="62" s="1"/>
  <c r="M7" i="62" s="1"/>
  <c r="N7" i="62" s="1"/>
  <c r="J8" i="62"/>
  <c r="L8" i="62" s="1"/>
  <c r="M8" i="62" s="1"/>
  <c r="N8" i="62" s="1"/>
  <c r="J10" i="62"/>
  <c r="L10" i="62" s="1"/>
  <c r="M10" i="62" s="1"/>
  <c r="N10" i="62" s="1"/>
  <c r="J12" i="62"/>
  <c r="L12" i="62" s="1"/>
  <c r="M12" i="62" s="1"/>
  <c r="N12" i="62" s="1"/>
  <c r="J14" i="62"/>
  <c r="L14" i="62" s="1"/>
  <c r="M14" i="62" s="1"/>
  <c r="N14" i="62" s="1"/>
  <c r="J18" i="62"/>
  <c r="L18" i="62" s="1"/>
  <c r="M18" i="62" s="1"/>
  <c r="N18" i="62" s="1"/>
  <c r="J20" i="62"/>
  <c r="L20" i="62" s="1"/>
  <c r="M20" i="62" s="1"/>
  <c r="N20" i="62" s="1"/>
  <c r="J22" i="62"/>
  <c r="L22" i="62" s="1"/>
  <c r="M22" i="62" s="1"/>
  <c r="N22" i="62" s="1"/>
  <c r="J24" i="62"/>
  <c r="L24" i="62" s="1"/>
  <c r="M24" i="62" s="1"/>
  <c r="N24" i="62" s="1"/>
  <c r="I25" i="61"/>
  <c r="H25" i="61"/>
  <c r="G25" i="61"/>
  <c r="J25" i="61" s="1"/>
  <c r="L25" i="61" s="1"/>
  <c r="M25" i="61" s="1"/>
  <c r="N25" i="61" s="1"/>
  <c r="I24" i="61"/>
  <c r="H24" i="61"/>
  <c r="G24" i="61"/>
  <c r="J24" i="61" s="1"/>
  <c r="L24" i="61" s="1"/>
  <c r="M24" i="61" s="1"/>
  <c r="N24" i="61" s="1"/>
  <c r="I23" i="61"/>
  <c r="H23" i="61"/>
  <c r="G23" i="61"/>
  <c r="J23" i="61" s="1"/>
  <c r="L23" i="61" s="1"/>
  <c r="M23" i="61" s="1"/>
  <c r="N23" i="61" s="1"/>
  <c r="I22" i="61"/>
  <c r="H22" i="61"/>
  <c r="G22" i="61"/>
  <c r="J22" i="61" s="1"/>
  <c r="L22" i="61" s="1"/>
  <c r="M22" i="61" s="1"/>
  <c r="N22" i="61" s="1"/>
  <c r="I21" i="61"/>
  <c r="H21" i="61"/>
  <c r="G21" i="61"/>
  <c r="J21" i="61" s="1"/>
  <c r="L21" i="61" s="1"/>
  <c r="M21" i="61" s="1"/>
  <c r="N21" i="61" s="1"/>
  <c r="I20" i="61"/>
  <c r="H20" i="61"/>
  <c r="G20" i="61"/>
  <c r="J20" i="61" s="1"/>
  <c r="L20" i="61" s="1"/>
  <c r="M20" i="61" s="1"/>
  <c r="N20" i="61" s="1"/>
  <c r="I19" i="61"/>
  <c r="H19" i="61"/>
  <c r="G19" i="61"/>
  <c r="J19" i="61" s="1"/>
  <c r="L19" i="61" s="1"/>
  <c r="M19" i="61" s="1"/>
  <c r="N19" i="61" s="1"/>
  <c r="I18" i="61"/>
  <c r="H18" i="61"/>
  <c r="G18" i="61"/>
  <c r="J18" i="61" s="1"/>
  <c r="L18" i="61" s="1"/>
  <c r="M18" i="61" s="1"/>
  <c r="N18" i="61" s="1"/>
  <c r="I16" i="61"/>
  <c r="H16" i="61"/>
  <c r="G16" i="61"/>
  <c r="I14" i="61"/>
  <c r="H14" i="61"/>
  <c r="G14" i="61"/>
  <c r="J14" i="61" s="1"/>
  <c r="L14" i="61" s="1"/>
  <c r="M14" i="61" s="1"/>
  <c r="N14" i="61" s="1"/>
  <c r="I13" i="61"/>
  <c r="H13" i="61"/>
  <c r="G13" i="61"/>
  <c r="I12" i="61"/>
  <c r="H12" i="61"/>
  <c r="G12" i="61"/>
  <c r="J12" i="61" s="1"/>
  <c r="L12" i="61" s="1"/>
  <c r="M12" i="61" s="1"/>
  <c r="N12" i="61" s="1"/>
  <c r="I11" i="61"/>
  <c r="H11" i="61"/>
  <c r="G11" i="61"/>
  <c r="I10" i="61"/>
  <c r="H10" i="61"/>
  <c r="G10" i="61"/>
  <c r="J10" i="61" s="1"/>
  <c r="L10" i="61" s="1"/>
  <c r="M10" i="61" s="1"/>
  <c r="N10" i="61" s="1"/>
  <c r="I9" i="61"/>
  <c r="H9" i="61"/>
  <c r="G9" i="61"/>
  <c r="I8" i="61"/>
  <c r="H8" i="61"/>
  <c r="G8" i="61"/>
  <c r="J8" i="61" s="1"/>
  <c r="L8" i="61" s="1"/>
  <c r="M8" i="61" s="1"/>
  <c r="N8" i="61" s="1"/>
  <c r="A8" i="61"/>
  <c r="A9" i="61" s="1"/>
  <c r="A10" i="61" s="1"/>
  <c r="A11" i="61" s="1"/>
  <c r="A12" i="61" s="1"/>
  <c r="A13" i="61" s="1"/>
  <c r="A14" i="61" s="1"/>
  <c r="A16" i="61" s="1"/>
  <c r="A18" i="61" s="1"/>
  <c r="A19" i="61" s="1"/>
  <c r="A20" i="61" s="1"/>
  <c r="A21" i="61" s="1"/>
  <c r="A22" i="61" s="1"/>
  <c r="A23" i="61" s="1"/>
  <c r="A24" i="61" s="1"/>
  <c r="A25" i="61" s="1"/>
  <c r="I7" i="61"/>
  <c r="H7" i="61"/>
  <c r="G7" i="61"/>
  <c r="J7" i="61" l="1"/>
  <c r="L7" i="61" s="1"/>
  <c r="M7" i="61" s="1"/>
  <c r="N7" i="61" s="1"/>
  <c r="J16" i="61"/>
  <c r="L16" i="61" s="1"/>
  <c r="M16" i="61" s="1"/>
  <c r="N16" i="61" s="1"/>
  <c r="J9" i="61"/>
  <c r="L9" i="61" s="1"/>
  <c r="M9" i="61" s="1"/>
  <c r="N9" i="61" s="1"/>
  <c r="J11" i="61"/>
  <c r="L11" i="61" s="1"/>
  <c r="M11" i="61" s="1"/>
  <c r="N11" i="61" s="1"/>
  <c r="J13" i="61"/>
  <c r="L13" i="61" s="1"/>
  <c r="M13" i="61" s="1"/>
  <c r="N13" i="61" s="1"/>
  <c r="I25" i="60"/>
  <c r="H25" i="60"/>
  <c r="J25" i="60" s="1"/>
  <c r="L25" i="60" s="1"/>
  <c r="M25" i="60" s="1"/>
  <c r="N25" i="60" s="1"/>
  <c r="G25" i="60"/>
  <c r="I24" i="60"/>
  <c r="H24" i="60"/>
  <c r="J24" i="60" s="1"/>
  <c r="L24" i="60" s="1"/>
  <c r="M24" i="60" s="1"/>
  <c r="N24" i="60" s="1"/>
  <c r="G24" i="60"/>
  <c r="I23" i="60"/>
  <c r="H23" i="60"/>
  <c r="J23" i="60" s="1"/>
  <c r="L23" i="60" s="1"/>
  <c r="M23" i="60" s="1"/>
  <c r="N23" i="60" s="1"/>
  <c r="G23" i="60"/>
  <c r="I22" i="60"/>
  <c r="H22" i="60"/>
  <c r="J22" i="60" s="1"/>
  <c r="L22" i="60" s="1"/>
  <c r="M22" i="60" s="1"/>
  <c r="N22" i="60" s="1"/>
  <c r="G22" i="60"/>
  <c r="I21" i="60"/>
  <c r="H21" i="60"/>
  <c r="J21" i="60" s="1"/>
  <c r="L21" i="60" s="1"/>
  <c r="M21" i="60" s="1"/>
  <c r="N21" i="60" s="1"/>
  <c r="G21" i="60"/>
  <c r="I20" i="60"/>
  <c r="H20" i="60"/>
  <c r="J20" i="60" s="1"/>
  <c r="L20" i="60" s="1"/>
  <c r="M20" i="60" s="1"/>
  <c r="N20" i="60" s="1"/>
  <c r="G20" i="60"/>
  <c r="I19" i="60"/>
  <c r="H19" i="60"/>
  <c r="J19" i="60" s="1"/>
  <c r="L19" i="60" s="1"/>
  <c r="M19" i="60" s="1"/>
  <c r="N19" i="60" s="1"/>
  <c r="G19" i="60"/>
  <c r="I18" i="60"/>
  <c r="H18" i="60"/>
  <c r="G18" i="60"/>
  <c r="I16" i="60"/>
  <c r="H16" i="60"/>
  <c r="J16" i="60" s="1"/>
  <c r="L16" i="60" s="1"/>
  <c r="M16" i="60" s="1"/>
  <c r="N16" i="60" s="1"/>
  <c r="G16" i="60"/>
  <c r="I14" i="60"/>
  <c r="H14" i="60"/>
  <c r="G14" i="60"/>
  <c r="I13" i="60"/>
  <c r="H13" i="60"/>
  <c r="J13" i="60" s="1"/>
  <c r="L13" i="60" s="1"/>
  <c r="M13" i="60" s="1"/>
  <c r="N13" i="60" s="1"/>
  <c r="G13" i="60"/>
  <c r="I12" i="60"/>
  <c r="H12" i="60"/>
  <c r="G12" i="60"/>
  <c r="I11" i="60"/>
  <c r="H11" i="60"/>
  <c r="J11" i="60" s="1"/>
  <c r="L11" i="60" s="1"/>
  <c r="M11" i="60" s="1"/>
  <c r="N11" i="60" s="1"/>
  <c r="G11" i="60"/>
  <c r="I10" i="60"/>
  <c r="H10" i="60"/>
  <c r="G10" i="60"/>
  <c r="I9" i="60"/>
  <c r="H9" i="60"/>
  <c r="J9" i="60" s="1"/>
  <c r="L9" i="60" s="1"/>
  <c r="M9" i="60" s="1"/>
  <c r="N9" i="60" s="1"/>
  <c r="G9" i="60"/>
  <c r="I8" i="60"/>
  <c r="H8" i="60"/>
  <c r="G8" i="60"/>
  <c r="A8" i="60"/>
  <c r="A9" i="60" s="1"/>
  <c r="A10" i="60" s="1"/>
  <c r="A11" i="60" s="1"/>
  <c r="A12" i="60" s="1"/>
  <c r="A13" i="60" s="1"/>
  <c r="A14" i="60" s="1"/>
  <c r="A16" i="60" s="1"/>
  <c r="A18" i="60" s="1"/>
  <c r="A19" i="60" s="1"/>
  <c r="A20" i="60" s="1"/>
  <c r="A21" i="60" s="1"/>
  <c r="A22" i="60" s="1"/>
  <c r="A23" i="60" s="1"/>
  <c r="A24" i="60" s="1"/>
  <c r="A25" i="60" s="1"/>
  <c r="I7" i="60"/>
  <c r="H7" i="60"/>
  <c r="G7" i="60"/>
  <c r="J18" i="60" l="1"/>
  <c r="L18" i="60" s="1"/>
  <c r="M18" i="60" s="1"/>
  <c r="N18" i="60" s="1"/>
  <c r="J7" i="60"/>
  <c r="L7" i="60" s="1"/>
  <c r="M7" i="60" s="1"/>
  <c r="N7" i="60" s="1"/>
  <c r="J8" i="60"/>
  <c r="L8" i="60" s="1"/>
  <c r="M8" i="60" s="1"/>
  <c r="N8" i="60" s="1"/>
  <c r="J10" i="60"/>
  <c r="L10" i="60" s="1"/>
  <c r="M10" i="60" s="1"/>
  <c r="N10" i="60" s="1"/>
  <c r="J12" i="60"/>
  <c r="L12" i="60" s="1"/>
  <c r="M12" i="60" s="1"/>
  <c r="N12" i="60" s="1"/>
  <c r="J14" i="60"/>
  <c r="L14" i="60" s="1"/>
  <c r="M14" i="60" s="1"/>
  <c r="N14" i="60" s="1"/>
  <c r="A21" i="59"/>
  <c r="I25" i="59"/>
  <c r="H25" i="59"/>
  <c r="J25" i="59" s="1"/>
  <c r="L25" i="59" s="1"/>
  <c r="M25" i="59" s="1"/>
  <c r="N25" i="59" s="1"/>
  <c r="G25" i="59"/>
  <c r="I24" i="59"/>
  <c r="H24" i="59"/>
  <c r="G24" i="59"/>
  <c r="J24" i="59" s="1"/>
  <c r="L24" i="59" s="1"/>
  <c r="M24" i="59" s="1"/>
  <c r="N24" i="59" s="1"/>
  <c r="I23" i="59"/>
  <c r="H23" i="59"/>
  <c r="J23" i="59" s="1"/>
  <c r="L23" i="59" s="1"/>
  <c r="M23" i="59" s="1"/>
  <c r="N23" i="59" s="1"/>
  <c r="G23" i="59"/>
  <c r="I22" i="59"/>
  <c r="H22" i="59"/>
  <c r="G22" i="59"/>
  <c r="I21" i="59"/>
  <c r="H21" i="59"/>
  <c r="J21" i="59" s="1"/>
  <c r="L21" i="59" s="1"/>
  <c r="M21" i="59" s="1"/>
  <c r="N21" i="59" s="1"/>
  <c r="G21" i="59"/>
  <c r="I20" i="59"/>
  <c r="H20" i="59"/>
  <c r="G20" i="59"/>
  <c r="J20" i="59" s="1"/>
  <c r="L20" i="59" s="1"/>
  <c r="M20" i="59" s="1"/>
  <c r="N20" i="59" s="1"/>
  <c r="I19" i="59"/>
  <c r="H19" i="59"/>
  <c r="J19" i="59" s="1"/>
  <c r="L19" i="59" s="1"/>
  <c r="M19" i="59" s="1"/>
  <c r="N19" i="59" s="1"/>
  <c r="G19" i="59"/>
  <c r="I18" i="59"/>
  <c r="H18" i="59"/>
  <c r="G18" i="59"/>
  <c r="I16" i="59"/>
  <c r="H16" i="59"/>
  <c r="J16" i="59" s="1"/>
  <c r="L16" i="59" s="1"/>
  <c r="M16" i="59" s="1"/>
  <c r="N16" i="59" s="1"/>
  <c r="G16" i="59"/>
  <c r="I14" i="59"/>
  <c r="H14" i="59"/>
  <c r="G14" i="59"/>
  <c r="I13" i="59"/>
  <c r="H13" i="59"/>
  <c r="G13" i="59"/>
  <c r="I12" i="59"/>
  <c r="H12" i="59"/>
  <c r="G12" i="59"/>
  <c r="I11" i="59"/>
  <c r="H11" i="59"/>
  <c r="G11" i="59"/>
  <c r="I10" i="59"/>
  <c r="H10" i="59"/>
  <c r="G10" i="59"/>
  <c r="I9" i="59"/>
  <c r="H9" i="59"/>
  <c r="G9" i="59"/>
  <c r="I8" i="59"/>
  <c r="H8" i="59"/>
  <c r="G8" i="59"/>
  <c r="A8" i="59"/>
  <c r="A9" i="59" s="1"/>
  <c r="A10" i="59" s="1"/>
  <c r="A11" i="59" s="1"/>
  <c r="A12" i="59" s="1"/>
  <c r="A13" i="59" s="1"/>
  <c r="A14" i="59" s="1"/>
  <c r="A16" i="59" s="1"/>
  <c r="A18" i="59" s="1"/>
  <c r="A19" i="59" s="1"/>
  <c r="A20" i="59" s="1"/>
  <c r="I7" i="59"/>
  <c r="H7" i="59"/>
  <c r="G7" i="59"/>
  <c r="A22" i="59" l="1"/>
  <c r="A23" i="59" s="1"/>
  <c r="A24" i="59" s="1"/>
  <c r="A25" i="59" s="1"/>
  <c r="J7" i="59"/>
  <c r="L7" i="59" s="1"/>
  <c r="M7" i="59" s="1"/>
  <c r="N7" i="59" s="1"/>
  <c r="J8" i="59"/>
  <c r="L8" i="59" s="1"/>
  <c r="M8" i="59" s="1"/>
  <c r="N8" i="59" s="1"/>
  <c r="J10" i="59"/>
  <c r="L10" i="59" s="1"/>
  <c r="M10" i="59" s="1"/>
  <c r="N10" i="59" s="1"/>
  <c r="J12" i="59"/>
  <c r="L12" i="59" s="1"/>
  <c r="M12" i="59" s="1"/>
  <c r="N12" i="59" s="1"/>
  <c r="J14" i="59"/>
  <c r="L14" i="59" s="1"/>
  <c r="M14" i="59" s="1"/>
  <c r="N14" i="59" s="1"/>
  <c r="J18" i="59"/>
  <c r="L18" i="59" s="1"/>
  <c r="M18" i="59" s="1"/>
  <c r="N18" i="59" s="1"/>
  <c r="J22" i="59"/>
  <c r="L22" i="59" s="1"/>
  <c r="M22" i="59" s="1"/>
  <c r="N22" i="59" s="1"/>
  <c r="J9" i="59"/>
  <c r="L9" i="59" s="1"/>
  <c r="M9" i="59" s="1"/>
  <c r="N9" i="59" s="1"/>
  <c r="J11" i="59"/>
  <c r="L11" i="59" s="1"/>
  <c r="M11" i="59" s="1"/>
  <c r="N11" i="59" s="1"/>
  <c r="J13" i="59"/>
  <c r="L13" i="59" s="1"/>
  <c r="M13" i="59" s="1"/>
  <c r="N13" i="59" s="1"/>
  <c r="I26" i="58"/>
  <c r="H26" i="58"/>
  <c r="G26" i="58"/>
  <c r="J26" i="58" s="1"/>
  <c r="L26" i="58" s="1"/>
  <c r="M26" i="58" s="1"/>
  <c r="N26" i="58" s="1"/>
  <c r="I25" i="58"/>
  <c r="H25" i="58"/>
  <c r="G25" i="58"/>
  <c r="I24" i="58"/>
  <c r="H24" i="58"/>
  <c r="G24" i="58"/>
  <c r="J24" i="58" s="1"/>
  <c r="L24" i="58" s="1"/>
  <c r="M24" i="58" s="1"/>
  <c r="N24" i="58" s="1"/>
  <c r="I23" i="58"/>
  <c r="H23" i="58"/>
  <c r="G23" i="58"/>
  <c r="I22" i="58"/>
  <c r="H22" i="58"/>
  <c r="G22" i="58"/>
  <c r="J22" i="58" s="1"/>
  <c r="L22" i="58" s="1"/>
  <c r="M22" i="58" s="1"/>
  <c r="N22" i="58" s="1"/>
  <c r="I21" i="58"/>
  <c r="H21" i="58"/>
  <c r="G21" i="58"/>
  <c r="I20" i="58"/>
  <c r="H20" i="58"/>
  <c r="G20" i="58"/>
  <c r="J20" i="58" s="1"/>
  <c r="L20" i="58" s="1"/>
  <c r="M20" i="58" s="1"/>
  <c r="N20" i="58" s="1"/>
  <c r="I19" i="58"/>
  <c r="H19" i="58"/>
  <c r="G19" i="58"/>
  <c r="I18" i="58"/>
  <c r="H18" i="58"/>
  <c r="G18" i="58"/>
  <c r="J18" i="58" s="1"/>
  <c r="L18" i="58" s="1"/>
  <c r="M18" i="58" s="1"/>
  <c r="N18" i="58" s="1"/>
  <c r="I16" i="58"/>
  <c r="H16" i="58"/>
  <c r="G16" i="58"/>
  <c r="J16" i="58" s="1"/>
  <c r="L16" i="58" s="1"/>
  <c r="M16" i="58" s="1"/>
  <c r="N16" i="58" s="1"/>
  <c r="I14" i="58"/>
  <c r="H14" i="58"/>
  <c r="G14" i="58"/>
  <c r="J14" i="58" s="1"/>
  <c r="L14" i="58" s="1"/>
  <c r="M14" i="58" s="1"/>
  <c r="N14" i="58" s="1"/>
  <c r="I13" i="58"/>
  <c r="H13" i="58"/>
  <c r="G13" i="58"/>
  <c r="I12" i="58"/>
  <c r="H12" i="58"/>
  <c r="G12" i="58"/>
  <c r="J12" i="58" s="1"/>
  <c r="L12" i="58" s="1"/>
  <c r="M12" i="58" s="1"/>
  <c r="N12" i="58" s="1"/>
  <c r="I11" i="58"/>
  <c r="H11" i="58"/>
  <c r="G11" i="58"/>
  <c r="I10" i="58"/>
  <c r="H10" i="58"/>
  <c r="G10" i="58"/>
  <c r="J10" i="58" s="1"/>
  <c r="L10" i="58" s="1"/>
  <c r="M10" i="58" s="1"/>
  <c r="N10" i="58" s="1"/>
  <c r="I9" i="58"/>
  <c r="H9" i="58"/>
  <c r="G9" i="58"/>
  <c r="I8" i="58"/>
  <c r="H8" i="58"/>
  <c r="G8" i="58"/>
  <c r="A8" i="58"/>
  <c r="A9" i="58" s="1"/>
  <c r="A10" i="58" s="1"/>
  <c r="A11" i="58" s="1"/>
  <c r="A12" i="58" s="1"/>
  <c r="A13" i="58" s="1"/>
  <c r="A14" i="58" s="1"/>
  <c r="A16" i="58" s="1"/>
  <c r="A18" i="58" s="1"/>
  <c r="A19" i="58" s="1"/>
  <c r="A20" i="58" s="1"/>
  <c r="A21" i="58" s="1"/>
  <c r="A22" i="58" s="1"/>
  <c r="A23" i="58" s="1"/>
  <c r="A24" i="58" s="1"/>
  <c r="A25" i="58" s="1"/>
  <c r="A26" i="58" s="1"/>
  <c r="I7" i="58"/>
  <c r="H7" i="58"/>
  <c r="G7" i="58"/>
  <c r="J7" i="58" l="1"/>
  <c r="L7" i="58" s="1"/>
  <c r="M7" i="58" s="1"/>
  <c r="N7" i="58" s="1"/>
  <c r="J19" i="58"/>
  <c r="L19" i="58" s="1"/>
  <c r="M19" i="58" s="1"/>
  <c r="N19" i="58" s="1"/>
  <c r="J21" i="58"/>
  <c r="L21" i="58" s="1"/>
  <c r="M21" i="58" s="1"/>
  <c r="N21" i="58" s="1"/>
  <c r="J23" i="58"/>
  <c r="L23" i="58" s="1"/>
  <c r="M23" i="58" s="1"/>
  <c r="N23" i="58" s="1"/>
  <c r="J25" i="58"/>
  <c r="L25" i="58" s="1"/>
  <c r="M25" i="58" s="1"/>
  <c r="N25" i="58" s="1"/>
  <c r="J8" i="58"/>
  <c r="L8" i="58" s="1"/>
  <c r="M8" i="58" s="1"/>
  <c r="N8" i="58" s="1"/>
  <c r="J9" i="58"/>
  <c r="L9" i="58" s="1"/>
  <c r="M9" i="58" s="1"/>
  <c r="N9" i="58" s="1"/>
  <c r="J11" i="58"/>
  <c r="L11" i="58" s="1"/>
  <c r="M11" i="58" s="1"/>
  <c r="N11" i="58" s="1"/>
  <c r="J13" i="58"/>
  <c r="L13" i="58" s="1"/>
  <c r="M13" i="58" s="1"/>
  <c r="N13" i="58" s="1"/>
  <c r="N21" i="57"/>
  <c r="N22" i="57"/>
  <c r="M21" i="57"/>
  <c r="M22" i="57"/>
  <c r="L21" i="57"/>
  <c r="L22" i="57"/>
  <c r="L23" i="57"/>
  <c r="J21" i="57"/>
  <c r="J22" i="57"/>
  <c r="I21" i="57"/>
  <c r="I22" i="57"/>
  <c r="H21" i="57"/>
  <c r="H22" i="57"/>
  <c r="G21" i="57"/>
  <c r="G22" i="57"/>
  <c r="A22" i="57"/>
  <c r="A23" i="57"/>
  <c r="A24" i="57" s="1"/>
  <c r="A25" i="57" s="1"/>
  <c r="A26" i="57" s="1"/>
  <c r="A21" i="57"/>
  <c r="I26" i="57" l="1"/>
  <c r="H26" i="57"/>
  <c r="G26" i="57"/>
  <c r="I25" i="57"/>
  <c r="H25" i="57"/>
  <c r="J25" i="57" s="1"/>
  <c r="L25" i="57" s="1"/>
  <c r="M25" i="57" s="1"/>
  <c r="N25" i="57" s="1"/>
  <c r="G25" i="57"/>
  <c r="I24" i="57"/>
  <c r="H24" i="57"/>
  <c r="G24" i="57"/>
  <c r="I23" i="57"/>
  <c r="H23" i="57"/>
  <c r="J23" i="57" s="1"/>
  <c r="M23" i="57" s="1"/>
  <c r="N23" i="57" s="1"/>
  <c r="G23" i="57"/>
  <c r="I20" i="57"/>
  <c r="H20" i="57"/>
  <c r="J20" i="57" s="1"/>
  <c r="L20" i="57" s="1"/>
  <c r="M20" i="57" s="1"/>
  <c r="N20" i="57" s="1"/>
  <c r="G20" i="57"/>
  <c r="I19" i="57"/>
  <c r="H19" i="57"/>
  <c r="G19" i="57"/>
  <c r="I18" i="57"/>
  <c r="H18" i="57"/>
  <c r="G18" i="57"/>
  <c r="I16" i="57"/>
  <c r="H16" i="57"/>
  <c r="G16" i="57"/>
  <c r="I14" i="57"/>
  <c r="H14" i="57"/>
  <c r="G14" i="57"/>
  <c r="I13" i="57"/>
  <c r="H13" i="57"/>
  <c r="G13" i="57"/>
  <c r="I12" i="57"/>
  <c r="H12" i="57"/>
  <c r="G12" i="57"/>
  <c r="I11" i="57"/>
  <c r="H11" i="57"/>
  <c r="G11" i="57"/>
  <c r="I10" i="57"/>
  <c r="H10" i="57"/>
  <c r="G10" i="57"/>
  <c r="I9" i="57"/>
  <c r="H9" i="57"/>
  <c r="G9" i="57"/>
  <c r="I8" i="57"/>
  <c r="H8" i="57"/>
  <c r="G8" i="57"/>
  <c r="A8" i="57"/>
  <c r="A9" i="57" s="1"/>
  <c r="A10" i="57" s="1"/>
  <c r="A11" i="57" s="1"/>
  <c r="A12" i="57" s="1"/>
  <c r="A13" i="57" s="1"/>
  <c r="A14" i="57" s="1"/>
  <c r="A16" i="57" s="1"/>
  <c r="A18" i="57" s="1"/>
  <c r="I7" i="57"/>
  <c r="H7" i="57"/>
  <c r="G7" i="57"/>
  <c r="J18" i="57" l="1"/>
  <c r="L18" i="57" s="1"/>
  <c r="M18" i="57" s="1"/>
  <c r="N18" i="57" s="1"/>
  <c r="A19" i="57"/>
  <c r="A20" i="57" s="1"/>
  <c r="J9" i="57"/>
  <c r="L9" i="57" s="1"/>
  <c r="M9" i="57" s="1"/>
  <c r="N9" i="57" s="1"/>
  <c r="J11" i="57"/>
  <c r="L11" i="57" s="1"/>
  <c r="M11" i="57" s="1"/>
  <c r="N11" i="57" s="1"/>
  <c r="J13" i="57"/>
  <c r="L13" i="57" s="1"/>
  <c r="M13" i="57" s="1"/>
  <c r="N13" i="57" s="1"/>
  <c r="J19" i="57"/>
  <c r="L19" i="57" s="1"/>
  <c r="M19" i="57" s="1"/>
  <c r="N19" i="57" s="1"/>
  <c r="J24" i="57"/>
  <c r="L24" i="57" s="1"/>
  <c r="M24" i="57" s="1"/>
  <c r="N24" i="57" s="1"/>
  <c r="J26" i="57"/>
  <c r="L26" i="57" s="1"/>
  <c r="M26" i="57" s="1"/>
  <c r="N26" i="57" s="1"/>
  <c r="J16" i="57"/>
  <c r="L16" i="57" s="1"/>
  <c r="M16" i="57" s="1"/>
  <c r="N16" i="57" s="1"/>
  <c r="J7" i="57"/>
  <c r="L7" i="57" s="1"/>
  <c r="M7" i="57" s="1"/>
  <c r="N7" i="57" s="1"/>
  <c r="J8" i="57"/>
  <c r="L8" i="57" s="1"/>
  <c r="M8" i="57" s="1"/>
  <c r="N8" i="57" s="1"/>
  <c r="J10" i="57"/>
  <c r="L10" i="57" s="1"/>
  <c r="M10" i="57" s="1"/>
  <c r="N10" i="57" s="1"/>
  <c r="J12" i="57"/>
  <c r="L12" i="57" s="1"/>
  <c r="M12" i="57" s="1"/>
  <c r="N12" i="57" s="1"/>
  <c r="J14" i="57"/>
  <c r="L14" i="57" s="1"/>
  <c r="M14" i="57" s="1"/>
  <c r="N14" i="57" s="1"/>
  <c r="I26" i="56"/>
  <c r="H26" i="56"/>
  <c r="G26" i="56"/>
  <c r="J26" i="56" s="1"/>
  <c r="L26" i="56" s="1"/>
  <c r="M26" i="56" s="1"/>
  <c r="N26" i="56" s="1"/>
  <c r="I25" i="56"/>
  <c r="H25" i="56"/>
  <c r="G25" i="56"/>
  <c r="J25" i="56" s="1"/>
  <c r="L25" i="56" s="1"/>
  <c r="M25" i="56" s="1"/>
  <c r="N25" i="56" s="1"/>
  <c r="I24" i="56"/>
  <c r="H24" i="56"/>
  <c r="G24" i="56"/>
  <c r="J24" i="56" s="1"/>
  <c r="L24" i="56" s="1"/>
  <c r="M24" i="56" s="1"/>
  <c r="N24" i="56" s="1"/>
  <c r="I23" i="56"/>
  <c r="H23" i="56"/>
  <c r="G23" i="56"/>
  <c r="J23" i="56" s="1"/>
  <c r="L23" i="56" s="1"/>
  <c r="M23" i="56" s="1"/>
  <c r="N23" i="56" s="1"/>
  <c r="I22" i="56"/>
  <c r="H22" i="56"/>
  <c r="G22" i="56"/>
  <c r="J22" i="56" s="1"/>
  <c r="L22" i="56" s="1"/>
  <c r="M22" i="56" s="1"/>
  <c r="N22" i="56" s="1"/>
  <c r="I21" i="56"/>
  <c r="H21" i="56"/>
  <c r="G21" i="56"/>
  <c r="J21" i="56" s="1"/>
  <c r="L21" i="56" s="1"/>
  <c r="M21" i="56" s="1"/>
  <c r="N21" i="56" s="1"/>
  <c r="I20" i="56"/>
  <c r="H20" i="56"/>
  <c r="G20" i="56"/>
  <c r="J20" i="56" s="1"/>
  <c r="L20" i="56" s="1"/>
  <c r="M20" i="56" s="1"/>
  <c r="N20" i="56" s="1"/>
  <c r="I19" i="56"/>
  <c r="H19" i="56"/>
  <c r="G19" i="56"/>
  <c r="J19" i="56" s="1"/>
  <c r="L19" i="56" s="1"/>
  <c r="M19" i="56" s="1"/>
  <c r="N19" i="56" s="1"/>
  <c r="I18" i="56"/>
  <c r="H18" i="56"/>
  <c r="G18" i="56"/>
  <c r="J18" i="56" s="1"/>
  <c r="L18" i="56" s="1"/>
  <c r="M18" i="56" s="1"/>
  <c r="N18" i="56" s="1"/>
  <c r="I16" i="56"/>
  <c r="H16" i="56"/>
  <c r="G16" i="56"/>
  <c r="I14" i="56"/>
  <c r="H14" i="56"/>
  <c r="G14" i="56"/>
  <c r="I13" i="56"/>
  <c r="H13" i="56"/>
  <c r="G13" i="56"/>
  <c r="J13" i="56" s="1"/>
  <c r="L13" i="56" s="1"/>
  <c r="M13" i="56" s="1"/>
  <c r="N13" i="56" s="1"/>
  <c r="I12" i="56"/>
  <c r="H12" i="56"/>
  <c r="G12" i="56"/>
  <c r="I11" i="56"/>
  <c r="H11" i="56"/>
  <c r="G11" i="56"/>
  <c r="J11" i="56" s="1"/>
  <c r="L11" i="56" s="1"/>
  <c r="M11" i="56" s="1"/>
  <c r="N11" i="56" s="1"/>
  <c r="I10" i="56"/>
  <c r="H10" i="56"/>
  <c r="G10" i="56"/>
  <c r="I9" i="56"/>
  <c r="H9" i="56"/>
  <c r="G9" i="56"/>
  <c r="J9" i="56" s="1"/>
  <c r="L9" i="56" s="1"/>
  <c r="M9" i="56" s="1"/>
  <c r="N9" i="56" s="1"/>
  <c r="I8" i="56"/>
  <c r="H8" i="56"/>
  <c r="G8" i="56"/>
  <c r="J8" i="56" s="1"/>
  <c r="L8" i="56" s="1"/>
  <c r="M8" i="56" s="1"/>
  <c r="N8" i="56" s="1"/>
  <c r="A8" i="56"/>
  <c r="A9" i="56" s="1"/>
  <c r="A10" i="56" s="1"/>
  <c r="A11" i="56" s="1"/>
  <c r="A12" i="56" s="1"/>
  <c r="A13" i="56" s="1"/>
  <c r="A14" i="56" s="1"/>
  <c r="A16" i="56" s="1"/>
  <c r="A18" i="56" s="1"/>
  <c r="A19" i="56" s="1"/>
  <c r="A20" i="56" s="1"/>
  <c r="A21" i="56" s="1"/>
  <c r="A22" i="56" s="1"/>
  <c r="A23" i="56" s="1"/>
  <c r="A24" i="56" s="1"/>
  <c r="A25" i="56" s="1"/>
  <c r="A26" i="56" s="1"/>
  <c r="I7" i="56"/>
  <c r="H7" i="56"/>
  <c r="G7" i="56"/>
  <c r="J16" i="56" l="1"/>
  <c r="L16" i="56" s="1"/>
  <c r="M16" i="56" s="1"/>
  <c r="N16" i="56" s="1"/>
  <c r="J7" i="56"/>
  <c r="L7" i="56" s="1"/>
  <c r="M7" i="56" s="1"/>
  <c r="N7" i="56" s="1"/>
  <c r="J10" i="56"/>
  <c r="L10" i="56" s="1"/>
  <c r="M10" i="56" s="1"/>
  <c r="N10" i="56" s="1"/>
  <c r="J12" i="56"/>
  <c r="L12" i="56" s="1"/>
  <c r="M12" i="56" s="1"/>
  <c r="N12" i="56" s="1"/>
  <c r="J14" i="56"/>
  <c r="L14" i="56" s="1"/>
  <c r="M14" i="56" s="1"/>
  <c r="N14" i="56" s="1"/>
  <c r="A20" i="55"/>
  <c r="A21" i="55" s="1"/>
  <c r="A22" i="55" s="1"/>
  <c r="A23" i="55" s="1"/>
  <c r="A24" i="55" s="1"/>
  <c r="A25" i="55" s="1"/>
  <c r="A26" i="55" s="1"/>
  <c r="A9" i="55"/>
  <c r="A10" i="55"/>
  <c r="A11" i="55" s="1"/>
  <c r="A12" i="55" s="1"/>
  <c r="A13" i="55" s="1"/>
  <c r="A14" i="55" s="1"/>
  <c r="L22" i="55"/>
  <c r="M22" i="55" s="1"/>
  <c r="N22" i="55" s="1"/>
  <c r="L23" i="55"/>
  <c r="M23" i="55" s="1"/>
  <c r="J22" i="55"/>
  <c r="J23" i="55"/>
  <c r="I22" i="55"/>
  <c r="H22" i="55"/>
  <c r="G22" i="55"/>
  <c r="G23" i="55"/>
  <c r="I26" i="55"/>
  <c r="H26" i="55"/>
  <c r="G26" i="55"/>
  <c r="J26" i="55" s="1"/>
  <c r="L26" i="55" s="1"/>
  <c r="M26" i="55" s="1"/>
  <c r="N26" i="55" s="1"/>
  <c r="I25" i="55"/>
  <c r="H25" i="55"/>
  <c r="J25" i="55" s="1"/>
  <c r="L25" i="55" s="1"/>
  <c r="M25" i="55" s="1"/>
  <c r="N25" i="55" s="1"/>
  <c r="G25" i="55"/>
  <c r="I24" i="55"/>
  <c r="H24" i="55"/>
  <c r="G24" i="55"/>
  <c r="I23" i="55"/>
  <c r="H23" i="55"/>
  <c r="I21" i="55"/>
  <c r="H21" i="55"/>
  <c r="G21" i="55"/>
  <c r="I20" i="55"/>
  <c r="H20" i="55"/>
  <c r="J20" i="55" s="1"/>
  <c r="L20" i="55" s="1"/>
  <c r="M20" i="55" s="1"/>
  <c r="N20" i="55" s="1"/>
  <c r="G20" i="55"/>
  <c r="I19" i="55"/>
  <c r="H19" i="55"/>
  <c r="G19" i="55"/>
  <c r="I18" i="55"/>
  <c r="H18" i="55"/>
  <c r="J18" i="55" s="1"/>
  <c r="L18" i="55" s="1"/>
  <c r="M18" i="55" s="1"/>
  <c r="N18" i="55" s="1"/>
  <c r="G18" i="55"/>
  <c r="I16" i="55"/>
  <c r="H16" i="55"/>
  <c r="G16" i="55"/>
  <c r="I14" i="55"/>
  <c r="H14" i="55"/>
  <c r="G14" i="55"/>
  <c r="I13" i="55"/>
  <c r="H13" i="55"/>
  <c r="G13" i="55"/>
  <c r="I12" i="55"/>
  <c r="H12" i="55"/>
  <c r="J12" i="55" s="1"/>
  <c r="L12" i="55" s="1"/>
  <c r="M12" i="55" s="1"/>
  <c r="N12" i="55" s="1"/>
  <c r="G12" i="55"/>
  <c r="I11" i="55"/>
  <c r="H11" i="55"/>
  <c r="G11" i="55"/>
  <c r="I10" i="55"/>
  <c r="H10" i="55"/>
  <c r="J10" i="55" s="1"/>
  <c r="L10" i="55" s="1"/>
  <c r="M10" i="55" s="1"/>
  <c r="N10" i="55" s="1"/>
  <c r="G10" i="55"/>
  <c r="I9" i="55"/>
  <c r="H9" i="55"/>
  <c r="G9" i="55"/>
  <c r="I8" i="55"/>
  <c r="H8" i="55"/>
  <c r="J8" i="55" s="1"/>
  <c r="L8" i="55" s="1"/>
  <c r="M8" i="55" s="1"/>
  <c r="N8" i="55" s="1"/>
  <c r="G8" i="55"/>
  <c r="A8" i="55"/>
  <c r="I7" i="55"/>
  <c r="H7" i="55"/>
  <c r="J7" i="55" s="1"/>
  <c r="L7" i="55" s="1"/>
  <c r="M7" i="55" s="1"/>
  <c r="N7" i="55" s="1"/>
  <c r="G7" i="55"/>
  <c r="A16" i="55" l="1"/>
  <c r="A18" i="55" s="1"/>
  <c r="A19" i="55" s="1"/>
  <c r="J14" i="55"/>
  <c r="L14" i="55" s="1"/>
  <c r="M14" i="55" s="1"/>
  <c r="N14" i="55" s="1"/>
  <c r="N23" i="55"/>
  <c r="J9" i="55"/>
  <c r="L9" i="55" s="1"/>
  <c r="M9" i="55" s="1"/>
  <c r="N9" i="55" s="1"/>
  <c r="J11" i="55"/>
  <c r="L11" i="55" s="1"/>
  <c r="M11" i="55" s="1"/>
  <c r="N11" i="55" s="1"/>
  <c r="J13" i="55"/>
  <c r="L13" i="55" s="1"/>
  <c r="M13" i="55" s="1"/>
  <c r="N13" i="55" s="1"/>
  <c r="J16" i="55"/>
  <c r="L16" i="55" s="1"/>
  <c r="M16" i="55" s="1"/>
  <c r="N16" i="55" s="1"/>
  <c r="J19" i="55"/>
  <c r="L19" i="55" s="1"/>
  <c r="M19" i="55" s="1"/>
  <c r="N19" i="55" s="1"/>
  <c r="J21" i="55"/>
  <c r="L21" i="55" s="1"/>
  <c r="M21" i="55" s="1"/>
  <c r="N21" i="55" s="1"/>
  <c r="J24" i="55"/>
  <c r="L24" i="55" s="1"/>
  <c r="M24" i="55" s="1"/>
  <c r="N24" i="55" s="1"/>
  <c r="I25" i="54"/>
  <c r="H25" i="54"/>
  <c r="G25" i="54"/>
  <c r="I24" i="54"/>
  <c r="H24" i="54"/>
  <c r="G24" i="54"/>
  <c r="J24" i="54" s="1"/>
  <c r="L24" i="54" s="1"/>
  <c r="M24" i="54" s="1"/>
  <c r="N24" i="54" s="1"/>
  <c r="I23" i="54"/>
  <c r="H23" i="54"/>
  <c r="G23" i="54"/>
  <c r="I22" i="54"/>
  <c r="H22" i="54"/>
  <c r="G22" i="54"/>
  <c r="J22" i="54" s="1"/>
  <c r="L22" i="54" s="1"/>
  <c r="M22" i="54" s="1"/>
  <c r="N22" i="54" s="1"/>
  <c r="I21" i="54"/>
  <c r="H21" i="54"/>
  <c r="G21" i="54"/>
  <c r="I20" i="54"/>
  <c r="H20" i="54"/>
  <c r="G20" i="54"/>
  <c r="J20" i="54" s="1"/>
  <c r="L20" i="54" s="1"/>
  <c r="M20" i="54" s="1"/>
  <c r="N20" i="54" s="1"/>
  <c r="I19" i="54"/>
  <c r="H19" i="54"/>
  <c r="G19" i="54"/>
  <c r="I18" i="54"/>
  <c r="H18" i="54"/>
  <c r="G18" i="54"/>
  <c r="J18" i="54" s="1"/>
  <c r="L18" i="54" s="1"/>
  <c r="M18" i="54" s="1"/>
  <c r="N18" i="54" s="1"/>
  <c r="I16" i="54"/>
  <c r="H16" i="54"/>
  <c r="G16" i="54"/>
  <c r="I14" i="54"/>
  <c r="H14" i="54"/>
  <c r="G14" i="54"/>
  <c r="J14" i="54" s="1"/>
  <c r="L14" i="54" s="1"/>
  <c r="M14" i="54" s="1"/>
  <c r="N14" i="54" s="1"/>
  <c r="I13" i="54"/>
  <c r="H13" i="54"/>
  <c r="G13" i="54"/>
  <c r="I12" i="54"/>
  <c r="H12" i="54"/>
  <c r="G12" i="54"/>
  <c r="J12" i="54" s="1"/>
  <c r="L12" i="54" s="1"/>
  <c r="M12" i="54" s="1"/>
  <c r="N12" i="54" s="1"/>
  <c r="I11" i="54"/>
  <c r="H11" i="54"/>
  <c r="G11" i="54"/>
  <c r="I10" i="54"/>
  <c r="H10" i="54"/>
  <c r="G10" i="54"/>
  <c r="J10" i="54" s="1"/>
  <c r="L10" i="54" s="1"/>
  <c r="M10" i="54" s="1"/>
  <c r="N10" i="54" s="1"/>
  <c r="I9" i="54"/>
  <c r="H9" i="54"/>
  <c r="G9" i="54"/>
  <c r="I8" i="54"/>
  <c r="H8" i="54"/>
  <c r="G8" i="54"/>
  <c r="J8" i="54" s="1"/>
  <c r="L8" i="54" s="1"/>
  <c r="M8" i="54" s="1"/>
  <c r="N8" i="54" s="1"/>
  <c r="A8" i="54"/>
  <c r="A9" i="54" s="1"/>
  <c r="A10" i="54" s="1"/>
  <c r="A11" i="54" s="1"/>
  <c r="A12" i="54" s="1"/>
  <c r="A13" i="54" s="1"/>
  <c r="A14" i="54" s="1"/>
  <c r="A16" i="54" s="1"/>
  <c r="A18" i="54" s="1"/>
  <c r="A19" i="54" s="1"/>
  <c r="A20" i="54" s="1"/>
  <c r="A21" i="54" s="1"/>
  <c r="A22" i="54" s="1"/>
  <c r="A23" i="54" s="1"/>
  <c r="A24" i="54" s="1"/>
  <c r="I7" i="54"/>
  <c r="H7" i="54"/>
  <c r="G7" i="54"/>
  <c r="J7" i="54" s="1"/>
  <c r="L7" i="54" s="1"/>
  <c r="M7" i="54" s="1"/>
  <c r="N7" i="54" s="1"/>
  <c r="J16" i="54" l="1"/>
  <c r="L16" i="54" s="1"/>
  <c r="M16" i="54" s="1"/>
  <c r="N16" i="54" s="1"/>
  <c r="J19" i="54"/>
  <c r="L19" i="54" s="1"/>
  <c r="M19" i="54" s="1"/>
  <c r="N19" i="54" s="1"/>
  <c r="J21" i="54"/>
  <c r="L21" i="54" s="1"/>
  <c r="M21" i="54" s="1"/>
  <c r="N21" i="54" s="1"/>
  <c r="J23" i="54"/>
  <c r="L23" i="54" s="1"/>
  <c r="M23" i="54" s="1"/>
  <c r="N23" i="54" s="1"/>
  <c r="J25" i="54"/>
  <c r="L25" i="54" s="1"/>
  <c r="M25" i="54" s="1"/>
  <c r="N25" i="54" s="1"/>
  <c r="J9" i="54"/>
  <c r="L9" i="54" s="1"/>
  <c r="M9" i="54" s="1"/>
  <c r="N9" i="54" s="1"/>
  <c r="J11" i="54"/>
  <c r="L11" i="54" s="1"/>
  <c r="M11" i="54" s="1"/>
  <c r="N11" i="54" s="1"/>
  <c r="J13" i="54"/>
  <c r="L13" i="54" s="1"/>
  <c r="M13" i="54" s="1"/>
  <c r="N13" i="54" s="1"/>
  <c r="L18" i="53"/>
  <c r="L21" i="53"/>
  <c r="L22" i="53"/>
  <c r="L23" i="53"/>
  <c r="L24" i="53"/>
  <c r="L25" i="53"/>
  <c r="I25" i="53" l="1"/>
  <c r="H25" i="53"/>
  <c r="J25" i="53" s="1"/>
  <c r="M25" i="53" s="1"/>
  <c r="N25" i="53" s="1"/>
  <c r="G25" i="53"/>
  <c r="I24" i="53"/>
  <c r="H24" i="53"/>
  <c r="G24" i="53"/>
  <c r="J24" i="53" s="1"/>
  <c r="M24" i="53" s="1"/>
  <c r="N24" i="53" s="1"/>
  <c r="I23" i="53"/>
  <c r="H23" i="53"/>
  <c r="G23" i="53"/>
  <c r="I22" i="53"/>
  <c r="H22" i="53"/>
  <c r="G22" i="53"/>
  <c r="J22" i="53" s="1"/>
  <c r="M22" i="53" s="1"/>
  <c r="N22" i="53" s="1"/>
  <c r="I21" i="53"/>
  <c r="H21" i="53"/>
  <c r="G21" i="53"/>
  <c r="I20" i="53"/>
  <c r="H20" i="53"/>
  <c r="G20" i="53"/>
  <c r="J20" i="53" s="1"/>
  <c r="I19" i="53"/>
  <c r="H19" i="53"/>
  <c r="G19" i="53"/>
  <c r="I18" i="53"/>
  <c r="H18" i="53"/>
  <c r="G18" i="53"/>
  <c r="J18" i="53" s="1"/>
  <c r="M18" i="53" s="1"/>
  <c r="N18" i="53" s="1"/>
  <c r="I16" i="53"/>
  <c r="H16" i="53"/>
  <c r="G16" i="53"/>
  <c r="I14" i="53"/>
  <c r="H14" i="53"/>
  <c r="G14" i="53"/>
  <c r="J14" i="53" s="1"/>
  <c r="L14" i="53" s="1"/>
  <c r="M14" i="53" s="1"/>
  <c r="N14" i="53" s="1"/>
  <c r="I13" i="53"/>
  <c r="H13" i="53"/>
  <c r="G13" i="53"/>
  <c r="I12" i="53"/>
  <c r="H12" i="53"/>
  <c r="G12" i="53"/>
  <c r="J12" i="53" s="1"/>
  <c r="L12" i="53" s="1"/>
  <c r="M12" i="53" s="1"/>
  <c r="N12" i="53" s="1"/>
  <c r="I11" i="53"/>
  <c r="H11" i="53"/>
  <c r="G11" i="53"/>
  <c r="I10" i="53"/>
  <c r="H10" i="53"/>
  <c r="G10" i="53"/>
  <c r="J10" i="53" s="1"/>
  <c r="L10" i="53" s="1"/>
  <c r="M10" i="53" s="1"/>
  <c r="N10" i="53" s="1"/>
  <c r="I9" i="53"/>
  <c r="H9" i="53"/>
  <c r="G9" i="53"/>
  <c r="I8" i="53"/>
  <c r="H8" i="53"/>
  <c r="G8" i="53"/>
  <c r="J8" i="53" s="1"/>
  <c r="L8" i="53" s="1"/>
  <c r="M8" i="53" s="1"/>
  <c r="N8" i="53" s="1"/>
  <c r="A8" i="53"/>
  <c r="A9" i="53" s="1"/>
  <c r="A10" i="53" s="1"/>
  <c r="A11" i="53" s="1"/>
  <c r="A12" i="53" s="1"/>
  <c r="A13" i="53" s="1"/>
  <c r="A14" i="53" s="1"/>
  <c r="A16" i="53" s="1"/>
  <c r="A18" i="53" s="1"/>
  <c r="A19" i="53" s="1"/>
  <c r="A20" i="53" s="1"/>
  <c r="A21" i="53" s="1"/>
  <c r="A22" i="53" s="1"/>
  <c r="A23" i="53" s="1"/>
  <c r="A24" i="53" s="1"/>
  <c r="I7" i="53"/>
  <c r="H7" i="53"/>
  <c r="G7" i="53"/>
  <c r="J7" i="53" s="1"/>
  <c r="L7" i="53" s="1"/>
  <c r="M7" i="53" s="1"/>
  <c r="N7" i="53" s="1"/>
  <c r="J16" i="53" l="1"/>
  <c r="L16" i="53" s="1"/>
  <c r="M16" i="53" s="1"/>
  <c r="N16" i="53" s="1"/>
  <c r="L20" i="53"/>
  <c r="M20" i="53" s="1"/>
  <c r="N20" i="53" s="1"/>
  <c r="J19" i="53"/>
  <c r="J21" i="53"/>
  <c r="M21" i="53" s="1"/>
  <c r="N21" i="53" s="1"/>
  <c r="J23" i="53"/>
  <c r="M23" i="53" s="1"/>
  <c r="N23" i="53" s="1"/>
  <c r="J9" i="53"/>
  <c r="L9" i="53" s="1"/>
  <c r="M9" i="53" s="1"/>
  <c r="N9" i="53" s="1"/>
  <c r="J11" i="53"/>
  <c r="L11" i="53" s="1"/>
  <c r="M11" i="53" s="1"/>
  <c r="N11" i="53" s="1"/>
  <c r="J13" i="53"/>
  <c r="L13" i="53" s="1"/>
  <c r="M13" i="53" s="1"/>
  <c r="N13" i="53" s="1"/>
  <c r="I25" i="52"/>
  <c r="H25" i="52"/>
  <c r="G25" i="52"/>
  <c r="J25" i="52" s="1"/>
  <c r="L25" i="52" s="1"/>
  <c r="M25" i="52" s="1"/>
  <c r="N25" i="52" s="1"/>
  <c r="I24" i="52"/>
  <c r="H24" i="52"/>
  <c r="G24" i="52"/>
  <c r="I23" i="52"/>
  <c r="H23" i="52"/>
  <c r="J23" i="52" s="1"/>
  <c r="L23" i="52" s="1"/>
  <c r="M23" i="52" s="1"/>
  <c r="N23" i="52" s="1"/>
  <c r="G23" i="52"/>
  <c r="I22" i="52"/>
  <c r="H22" i="52"/>
  <c r="G22" i="52"/>
  <c r="I21" i="52"/>
  <c r="H21" i="52"/>
  <c r="J21" i="52" s="1"/>
  <c r="L21" i="52" s="1"/>
  <c r="M21" i="52" s="1"/>
  <c r="N21" i="52" s="1"/>
  <c r="G21" i="52"/>
  <c r="I20" i="52"/>
  <c r="H20" i="52"/>
  <c r="G20" i="52"/>
  <c r="I19" i="52"/>
  <c r="H19" i="52"/>
  <c r="G19" i="52"/>
  <c r="I18" i="52"/>
  <c r="H18" i="52"/>
  <c r="G18" i="52"/>
  <c r="I16" i="52"/>
  <c r="H16" i="52"/>
  <c r="G16" i="52"/>
  <c r="I14" i="52"/>
  <c r="H14" i="52"/>
  <c r="G14" i="52"/>
  <c r="I13" i="52"/>
  <c r="H13" i="52"/>
  <c r="G13" i="52"/>
  <c r="I12" i="52"/>
  <c r="H12" i="52"/>
  <c r="G12" i="52"/>
  <c r="I11" i="52"/>
  <c r="H11" i="52"/>
  <c r="G11" i="52"/>
  <c r="I10" i="52"/>
  <c r="H10" i="52"/>
  <c r="G10" i="52"/>
  <c r="I9" i="52"/>
  <c r="H9" i="52"/>
  <c r="G9" i="52"/>
  <c r="I8" i="52"/>
  <c r="H8" i="52"/>
  <c r="G8" i="52"/>
  <c r="A8" i="52"/>
  <c r="A9" i="52" s="1"/>
  <c r="A10" i="52" s="1"/>
  <c r="A11" i="52" s="1"/>
  <c r="A12" i="52" s="1"/>
  <c r="A13" i="52" s="1"/>
  <c r="A14" i="52" s="1"/>
  <c r="A16" i="52" s="1"/>
  <c r="A18" i="52" s="1"/>
  <c r="A19" i="52" s="1"/>
  <c r="A20" i="52" s="1"/>
  <c r="A21" i="52" s="1"/>
  <c r="A22" i="52" s="1"/>
  <c r="A23" i="52" s="1"/>
  <c r="A24" i="52" s="1"/>
  <c r="I7" i="52"/>
  <c r="H7" i="52"/>
  <c r="G7" i="52"/>
  <c r="L19" i="53" l="1"/>
  <c r="M19" i="53" s="1"/>
  <c r="N19" i="53" s="1"/>
  <c r="J8" i="52"/>
  <c r="L8" i="52" s="1"/>
  <c r="M8" i="52" s="1"/>
  <c r="N8" i="52" s="1"/>
  <c r="J10" i="52"/>
  <c r="L10" i="52" s="1"/>
  <c r="M10" i="52" s="1"/>
  <c r="N10" i="52" s="1"/>
  <c r="J12" i="52"/>
  <c r="L12" i="52" s="1"/>
  <c r="M12" i="52" s="1"/>
  <c r="N12" i="52" s="1"/>
  <c r="J14" i="52"/>
  <c r="L14" i="52" s="1"/>
  <c r="M14" i="52" s="1"/>
  <c r="N14" i="52" s="1"/>
  <c r="J19" i="52"/>
  <c r="L19" i="52" s="1"/>
  <c r="M19" i="52" s="1"/>
  <c r="N19" i="52" s="1"/>
  <c r="J7" i="52"/>
  <c r="L7" i="52" s="1"/>
  <c r="M7" i="52" s="1"/>
  <c r="N7" i="52" s="1"/>
  <c r="J18" i="52"/>
  <c r="L18" i="52" s="1"/>
  <c r="M18" i="52" s="1"/>
  <c r="N18" i="52" s="1"/>
  <c r="J20" i="52"/>
  <c r="L20" i="52" s="1"/>
  <c r="M20" i="52" s="1"/>
  <c r="N20" i="52" s="1"/>
  <c r="J22" i="52"/>
  <c r="L22" i="52" s="1"/>
  <c r="M22" i="52" s="1"/>
  <c r="N22" i="52" s="1"/>
  <c r="J24" i="52"/>
  <c r="L24" i="52" s="1"/>
  <c r="M24" i="52" s="1"/>
  <c r="N24" i="52" s="1"/>
  <c r="J16" i="52"/>
  <c r="L16" i="52" s="1"/>
  <c r="M16" i="52" s="1"/>
  <c r="N16" i="52" s="1"/>
  <c r="J9" i="52"/>
  <c r="L9" i="52" s="1"/>
  <c r="M9" i="52" s="1"/>
  <c r="N9" i="52" s="1"/>
  <c r="J11" i="52"/>
  <c r="L11" i="52" s="1"/>
  <c r="M11" i="52" s="1"/>
  <c r="N11" i="52" s="1"/>
  <c r="J13" i="52"/>
  <c r="L13" i="52" s="1"/>
  <c r="M13" i="52" s="1"/>
  <c r="N13" i="52" s="1"/>
  <c r="I25" i="51"/>
  <c r="H25" i="51"/>
  <c r="G25" i="51"/>
  <c r="I24" i="51"/>
  <c r="H24" i="51"/>
  <c r="G24" i="51"/>
  <c r="J24" i="51" s="1"/>
  <c r="L24" i="51" s="1"/>
  <c r="M24" i="51" s="1"/>
  <c r="N24" i="51" s="1"/>
  <c r="I23" i="51"/>
  <c r="H23" i="51"/>
  <c r="G23" i="51"/>
  <c r="I22" i="51"/>
  <c r="H22" i="51"/>
  <c r="G22" i="51"/>
  <c r="J22" i="51" s="1"/>
  <c r="L22" i="51" s="1"/>
  <c r="M22" i="51" s="1"/>
  <c r="N22" i="51" s="1"/>
  <c r="I21" i="51"/>
  <c r="H21" i="51"/>
  <c r="G21" i="51"/>
  <c r="I20" i="51"/>
  <c r="H20" i="51"/>
  <c r="G20" i="51"/>
  <c r="J20" i="51" s="1"/>
  <c r="L20" i="51" s="1"/>
  <c r="M20" i="51" s="1"/>
  <c r="N20" i="51" s="1"/>
  <c r="I19" i="51"/>
  <c r="H19" i="51"/>
  <c r="G19" i="51"/>
  <c r="I18" i="51"/>
  <c r="H18" i="51"/>
  <c r="G18" i="51"/>
  <c r="J18" i="51" s="1"/>
  <c r="L18" i="51" s="1"/>
  <c r="M18" i="51" s="1"/>
  <c r="N18" i="51" s="1"/>
  <c r="I16" i="51"/>
  <c r="H16" i="51"/>
  <c r="G16" i="51"/>
  <c r="I14" i="51"/>
  <c r="H14" i="51"/>
  <c r="G14" i="51"/>
  <c r="J14" i="51" s="1"/>
  <c r="L14" i="51" s="1"/>
  <c r="M14" i="51" s="1"/>
  <c r="N14" i="51" s="1"/>
  <c r="I13" i="51"/>
  <c r="H13" i="51"/>
  <c r="G13" i="51"/>
  <c r="I12" i="51"/>
  <c r="H12" i="51"/>
  <c r="G12" i="51"/>
  <c r="J12" i="51" s="1"/>
  <c r="L12" i="51" s="1"/>
  <c r="M12" i="51" s="1"/>
  <c r="N12" i="51" s="1"/>
  <c r="I11" i="51"/>
  <c r="H11" i="51"/>
  <c r="G11" i="51"/>
  <c r="I10" i="51"/>
  <c r="H10" i="51"/>
  <c r="G10" i="51"/>
  <c r="J10" i="51" s="1"/>
  <c r="L10" i="51" s="1"/>
  <c r="M10" i="51" s="1"/>
  <c r="N10" i="51" s="1"/>
  <c r="I9" i="51"/>
  <c r="H9" i="51"/>
  <c r="G9" i="51"/>
  <c r="I8" i="51"/>
  <c r="H8" i="51"/>
  <c r="G8" i="51"/>
  <c r="J8" i="51" s="1"/>
  <c r="L8" i="51" s="1"/>
  <c r="M8" i="51" s="1"/>
  <c r="N8" i="51" s="1"/>
  <c r="A8" i="51"/>
  <c r="A9" i="51" s="1"/>
  <c r="A10" i="51" s="1"/>
  <c r="A11" i="51" s="1"/>
  <c r="A12" i="51" s="1"/>
  <c r="A13" i="51" s="1"/>
  <c r="A14" i="51" s="1"/>
  <c r="A16" i="51" s="1"/>
  <c r="A18" i="51" s="1"/>
  <c r="A19" i="51" s="1"/>
  <c r="A20" i="51" s="1"/>
  <c r="A21" i="51" s="1"/>
  <c r="A22" i="51" s="1"/>
  <c r="A23" i="51" s="1"/>
  <c r="A24" i="51" s="1"/>
  <c r="I7" i="51"/>
  <c r="H7" i="51"/>
  <c r="G7" i="51"/>
  <c r="J7" i="51" l="1"/>
  <c r="L7" i="51" s="1"/>
  <c r="M7" i="51" s="1"/>
  <c r="N7" i="51" s="1"/>
  <c r="J19" i="51"/>
  <c r="L19" i="51" s="1"/>
  <c r="M19" i="51" s="1"/>
  <c r="N19" i="51" s="1"/>
  <c r="J21" i="51"/>
  <c r="L21" i="51" s="1"/>
  <c r="M21" i="51" s="1"/>
  <c r="N21" i="51" s="1"/>
  <c r="J23" i="51"/>
  <c r="L23" i="51" s="1"/>
  <c r="M23" i="51" s="1"/>
  <c r="N23" i="51" s="1"/>
  <c r="J25" i="51"/>
  <c r="L25" i="51" s="1"/>
  <c r="M25" i="51" s="1"/>
  <c r="N25" i="51" s="1"/>
  <c r="J16" i="51"/>
  <c r="L16" i="51" s="1"/>
  <c r="M16" i="51" s="1"/>
  <c r="N16" i="51" s="1"/>
  <c r="J9" i="51"/>
  <c r="L9" i="51" s="1"/>
  <c r="M9" i="51" s="1"/>
  <c r="N9" i="51" s="1"/>
  <c r="J11" i="51"/>
  <c r="L11" i="51" s="1"/>
  <c r="M11" i="51" s="1"/>
  <c r="N11" i="51" s="1"/>
  <c r="J13" i="51"/>
  <c r="L13" i="51" s="1"/>
  <c r="M13" i="51" s="1"/>
  <c r="N13" i="51" s="1"/>
  <c r="L22" i="50"/>
  <c r="M22" i="50" s="1"/>
  <c r="N22" i="50" s="1"/>
  <c r="L21" i="50"/>
  <c r="L19" i="50"/>
  <c r="L13" i="50"/>
  <c r="L12" i="50"/>
  <c r="L11" i="50"/>
  <c r="L10" i="50"/>
  <c r="L9" i="50"/>
  <c r="L8" i="50"/>
  <c r="M21" i="50"/>
  <c r="M23" i="50"/>
  <c r="L23" i="50"/>
  <c r="L24" i="50"/>
  <c r="M24" i="50" s="1"/>
  <c r="L25" i="50"/>
  <c r="M25" i="50" s="1"/>
  <c r="I25" i="50"/>
  <c r="H25" i="50"/>
  <c r="G25" i="50"/>
  <c r="J25" i="50" s="1"/>
  <c r="I24" i="50"/>
  <c r="H24" i="50"/>
  <c r="J24" i="50" s="1"/>
  <c r="G24" i="50"/>
  <c r="I23" i="50"/>
  <c r="H23" i="50"/>
  <c r="J23" i="50" s="1"/>
  <c r="G23" i="50"/>
  <c r="I22" i="50"/>
  <c r="H22" i="50"/>
  <c r="G22" i="50"/>
  <c r="J22" i="50" s="1"/>
  <c r="I21" i="50"/>
  <c r="H21" i="50"/>
  <c r="G21" i="50"/>
  <c r="J21" i="50" s="1"/>
  <c r="I20" i="50"/>
  <c r="H20" i="50"/>
  <c r="G20" i="50"/>
  <c r="I19" i="50"/>
  <c r="H19" i="50"/>
  <c r="G19" i="50"/>
  <c r="J19" i="50" s="1"/>
  <c r="I18" i="50"/>
  <c r="H18" i="50"/>
  <c r="G18" i="50"/>
  <c r="I16" i="50"/>
  <c r="H16" i="50"/>
  <c r="G16" i="50"/>
  <c r="I14" i="50"/>
  <c r="H14" i="50"/>
  <c r="G14" i="50"/>
  <c r="J14" i="50" s="1"/>
  <c r="L14" i="50" s="1"/>
  <c r="M14" i="50" s="1"/>
  <c r="N14" i="50" s="1"/>
  <c r="I13" i="50"/>
  <c r="H13" i="50"/>
  <c r="G13" i="50"/>
  <c r="I12" i="50"/>
  <c r="H12" i="50"/>
  <c r="G12" i="50"/>
  <c r="J12" i="50" s="1"/>
  <c r="M12" i="50" s="1"/>
  <c r="N12" i="50" s="1"/>
  <c r="I11" i="50"/>
  <c r="H11" i="50"/>
  <c r="G11" i="50"/>
  <c r="I10" i="50"/>
  <c r="H10" i="50"/>
  <c r="G10" i="50"/>
  <c r="J10" i="50" s="1"/>
  <c r="M10" i="50" s="1"/>
  <c r="N10" i="50" s="1"/>
  <c r="I9" i="50"/>
  <c r="H9" i="50"/>
  <c r="G9" i="50"/>
  <c r="I8" i="50"/>
  <c r="H8" i="50"/>
  <c r="G8" i="50"/>
  <c r="J8" i="50" s="1"/>
  <c r="M8" i="50" s="1"/>
  <c r="N8" i="50" s="1"/>
  <c r="A8" i="50"/>
  <c r="A9" i="50" s="1"/>
  <c r="A10" i="50" s="1"/>
  <c r="A11" i="50" s="1"/>
  <c r="A12" i="50" s="1"/>
  <c r="A13" i="50" s="1"/>
  <c r="A14" i="50" s="1"/>
  <c r="A16" i="50" s="1"/>
  <c r="A18" i="50" s="1"/>
  <c r="A19" i="50" s="1"/>
  <c r="A20" i="50" s="1"/>
  <c r="A21" i="50" s="1"/>
  <c r="A22" i="50" s="1"/>
  <c r="A23" i="50" s="1"/>
  <c r="A24" i="50" s="1"/>
  <c r="I7" i="50"/>
  <c r="H7" i="50"/>
  <c r="G7" i="50"/>
  <c r="J7" i="50" s="1"/>
  <c r="L7" i="50" s="1"/>
  <c r="M7" i="50" l="1"/>
  <c r="N7" i="50" s="1"/>
  <c r="J16" i="50"/>
  <c r="L16" i="50"/>
  <c r="M16" i="50" s="1"/>
  <c r="N16" i="50" s="1"/>
  <c r="M19" i="50"/>
  <c r="N19" i="50" s="1"/>
  <c r="N24" i="50"/>
  <c r="N23" i="50"/>
  <c r="N21" i="50"/>
  <c r="N25" i="50"/>
  <c r="J18" i="50"/>
  <c r="L18" i="50" s="1"/>
  <c r="M18" i="50" s="1"/>
  <c r="N18" i="50" s="1"/>
  <c r="J20" i="50"/>
  <c r="J9" i="50"/>
  <c r="M9" i="50" s="1"/>
  <c r="N9" i="50" s="1"/>
  <c r="J11" i="50"/>
  <c r="M11" i="50" s="1"/>
  <c r="N11" i="50" s="1"/>
  <c r="J13" i="50"/>
  <c r="M13" i="50" s="1"/>
  <c r="N13" i="50" s="1"/>
  <c r="M7" i="49"/>
  <c r="N7" i="49"/>
  <c r="N20" i="50" l="1"/>
  <c r="L20" i="50"/>
  <c r="M20" i="50" s="1"/>
  <c r="I25" i="49"/>
  <c r="H25" i="49"/>
  <c r="G25" i="49"/>
  <c r="J25" i="49" s="1"/>
  <c r="L25" i="49" s="1"/>
  <c r="M25" i="49" s="1"/>
  <c r="N25" i="49" s="1"/>
  <c r="I24" i="49"/>
  <c r="H24" i="49"/>
  <c r="G24" i="49"/>
  <c r="I23" i="49"/>
  <c r="H23" i="49"/>
  <c r="G23" i="49"/>
  <c r="J23" i="49" s="1"/>
  <c r="L23" i="49" s="1"/>
  <c r="M23" i="49" s="1"/>
  <c r="N23" i="49" s="1"/>
  <c r="I22" i="49"/>
  <c r="H22" i="49"/>
  <c r="G22" i="49"/>
  <c r="I21" i="49"/>
  <c r="H21" i="49"/>
  <c r="G21" i="49"/>
  <c r="J21" i="49" s="1"/>
  <c r="L21" i="49" s="1"/>
  <c r="M21" i="49" s="1"/>
  <c r="N21" i="49" s="1"/>
  <c r="I20" i="49"/>
  <c r="H20" i="49"/>
  <c r="G20" i="49"/>
  <c r="I19" i="49"/>
  <c r="H19" i="49"/>
  <c r="G19" i="49"/>
  <c r="I18" i="49"/>
  <c r="H18" i="49"/>
  <c r="G18" i="49"/>
  <c r="I16" i="49"/>
  <c r="H16" i="49"/>
  <c r="G16" i="49"/>
  <c r="J16" i="49" s="1"/>
  <c r="L16" i="49" s="1"/>
  <c r="M16" i="49" s="1"/>
  <c r="N16" i="49" s="1"/>
  <c r="I14" i="49"/>
  <c r="H14" i="49"/>
  <c r="G14" i="49"/>
  <c r="I13" i="49"/>
  <c r="H13" i="49"/>
  <c r="G13" i="49"/>
  <c r="J13" i="49" s="1"/>
  <c r="L13" i="49" s="1"/>
  <c r="M13" i="49" s="1"/>
  <c r="N13" i="49" s="1"/>
  <c r="I12" i="49"/>
  <c r="H12" i="49"/>
  <c r="G12" i="49"/>
  <c r="I11" i="49"/>
  <c r="H11" i="49"/>
  <c r="G11" i="49"/>
  <c r="J11" i="49" s="1"/>
  <c r="L11" i="49" s="1"/>
  <c r="M11" i="49" s="1"/>
  <c r="N11" i="49" s="1"/>
  <c r="I10" i="49"/>
  <c r="H10" i="49"/>
  <c r="G10" i="49"/>
  <c r="I9" i="49"/>
  <c r="H9" i="49"/>
  <c r="G9" i="49"/>
  <c r="J9" i="49" s="1"/>
  <c r="L9" i="49" s="1"/>
  <c r="M9" i="49" s="1"/>
  <c r="N9" i="49" s="1"/>
  <c r="I8" i="49"/>
  <c r="H8" i="49"/>
  <c r="G8" i="49"/>
  <c r="A8" i="49"/>
  <c r="A9" i="49" s="1"/>
  <c r="A10" i="49" s="1"/>
  <c r="A11" i="49" s="1"/>
  <c r="A12" i="49" s="1"/>
  <c r="A13" i="49" s="1"/>
  <c r="A14" i="49" s="1"/>
  <c r="A16" i="49" s="1"/>
  <c r="A18" i="49" s="1"/>
  <c r="A19" i="49" s="1"/>
  <c r="A20" i="49" s="1"/>
  <c r="A21" i="49" s="1"/>
  <c r="A22" i="49" s="1"/>
  <c r="A23" i="49" s="1"/>
  <c r="A24" i="49" s="1"/>
  <c r="I7" i="49"/>
  <c r="H7" i="49"/>
  <c r="G7" i="49"/>
  <c r="J19" i="49" l="1"/>
  <c r="L19" i="49" s="1"/>
  <c r="M19" i="49" s="1"/>
  <c r="N19" i="49" s="1"/>
  <c r="J7" i="49"/>
  <c r="L7" i="49" s="1"/>
  <c r="J8" i="49"/>
  <c r="L8" i="49" s="1"/>
  <c r="M8" i="49" s="1"/>
  <c r="N8" i="49" s="1"/>
  <c r="J10" i="49"/>
  <c r="L10" i="49" s="1"/>
  <c r="M10" i="49" s="1"/>
  <c r="N10" i="49" s="1"/>
  <c r="J12" i="49"/>
  <c r="L12" i="49" s="1"/>
  <c r="M12" i="49" s="1"/>
  <c r="N12" i="49" s="1"/>
  <c r="J14" i="49"/>
  <c r="L14" i="49" s="1"/>
  <c r="M14" i="49" s="1"/>
  <c r="N14" i="49" s="1"/>
  <c r="J18" i="49"/>
  <c r="L18" i="49" s="1"/>
  <c r="M18" i="49" s="1"/>
  <c r="N18" i="49" s="1"/>
  <c r="J20" i="49"/>
  <c r="L20" i="49" s="1"/>
  <c r="M20" i="49" s="1"/>
  <c r="N20" i="49" s="1"/>
  <c r="J22" i="49"/>
  <c r="M22" i="49" s="1"/>
  <c r="N22" i="49" s="1"/>
  <c r="J24" i="49"/>
  <c r="L24" i="49" s="1"/>
  <c r="M24" i="49" s="1"/>
  <c r="N24" i="49" s="1"/>
  <c r="I25" i="48"/>
  <c r="H25" i="48"/>
  <c r="J25" i="48" s="1"/>
  <c r="L25" i="48" s="1"/>
  <c r="M25" i="48" s="1"/>
  <c r="N25" i="48" s="1"/>
  <c r="G25" i="48"/>
  <c r="I24" i="48"/>
  <c r="H24" i="48"/>
  <c r="G24" i="48"/>
  <c r="J24" i="48" s="1"/>
  <c r="L24" i="48" s="1"/>
  <c r="M24" i="48" s="1"/>
  <c r="N24" i="48" s="1"/>
  <c r="I23" i="48"/>
  <c r="H23" i="48"/>
  <c r="G23" i="48"/>
  <c r="I22" i="48"/>
  <c r="H22" i="48"/>
  <c r="G22" i="48"/>
  <c r="J22" i="48" s="1"/>
  <c r="L22" i="48" s="1"/>
  <c r="M22" i="48" s="1"/>
  <c r="N22" i="48" s="1"/>
  <c r="I21" i="48"/>
  <c r="H21" i="48"/>
  <c r="G21" i="48"/>
  <c r="I20" i="48"/>
  <c r="H20" i="48"/>
  <c r="G20" i="48"/>
  <c r="J20" i="48" s="1"/>
  <c r="L20" i="48" s="1"/>
  <c r="M20" i="48" s="1"/>
  <c r="N20" i="48" s="1"/>
  <c r="I19" i="48"/>
  <c r="H19" i="48"/>
  <c r="G19" i="48"/>
  <c r="I18" i="48"/>
  <c r="H18" i="48"/>
  <c r="G18" i="48"/>
  <c r="J18" i="48" s="1"/>
  <c r="L18" i="48" s="1"/>
  <c r="M18" i="48" s="1"/>
  <c r="N18" i="48" s="1"/>
  <c r="I16" i="48"/>
  <c r="H16" i="48"/>
  <c r="G16" i="48"/>
  <c r="I14" i="48"/>
  <c r="H14" i="48"/>
  <c r="G14" i="48"/>
  <c r="I13" i="48"/>
  <c r="H13" i="48"/>
  <c r="G13" i="48"/>
  <c r="I12" i="48"/>
  <c r="H12" i="48"/>
  <c r="G12" i="48"/>
  <c r="J12" i="48" s="1"/>
  <c r="L12" i="48" s="1"/>
  <c r="M12" i="48" s="1"/>
  <c r="N12" i="48" s="1"/>
  <c r="I11" i="48"/>
  <c r="H11" i="48"/>
  <c r="G11" i="48"/>
  <c r="I10" i="48"/>
  <c r="H10" i="48"/>
  <c r="G10" i="48"/>
  <c r="J10" i="48" s="1"/>
  <c r="L10" i="48" s="1"/>
  <c r="M10" i="48" s="1"/>
  <c r="N10" i="48" s="1"/>
  <c r="I9" i="48"/>
  <c r="H9" i="48"/>
  <c r="G9" i="48"/>
  <c r="I8" i="48"/>
  <c r="H8" i="48"/>
  <c r="G8" i="48"/>
  <c r="J8" i="48" s="1"/>
  <c r="L8" i="48" s="1"/>
  <c r="M8" i="48" s="1"/>
  <c r="N8" i="48" s="1"/>
  <c r="A8" i="48"/>
  <c r="A9" i="48" s="1"/>
  <c r="A10" i="48" s="1"/>
  <c r="A11" i="48" s="1"/>
  <c r="A12" i="48" s="1"/>
  <c r="A13" i="48" s="1"/>
  <c r="A14" i="48" s="1"/>
  <c r="A16" i="48" s="1"/>
  <c r="A18" i="48" s="1"/>
  <c r="A19" i="48" s="1"/>
  <c r="A20" i="48" s="1"/>
  <c r="A21" i="48" s="1"/>
  <c r="A22" i="48" s="1"/>
  <c r="A23" i="48" s="1"/>
  <c r="A24" i="48" s="1"/>
  <c r="I7" i="48"/>
  <c r="H7" i="48"/>
  <c r="G7" i="48"/>
  <c r="J7" i="48" s="1"/>
  <c r="L7" i="48" s="1"/>
  <c r="M7" i="48" s="1"/>
  <c r="N7" i="48" s="1"/>
  <c r="J14" i="48" l="1"/>
  <c r="L14" i="48" s="1"/>
  <c r="M14" i="48" s="1"/>
  <c r="N14" i="48" s="1"/>
  <c r="J9" i="48"/>
  <c r="L9" i="48" s="1"/>
  <c r="M9" i="48" s="1"/>
  <c r="N9" i="48" s="1"/>
  <c r="J11" i="48"/>
  <c r="L11" i="48" s="1"/>
  <c r="M11" i="48" s="1"/>
  <c r="N11" i="48" s="1"/>
  <c r="J13" i="48"/>
  <c r="L13" i="48" s="1"/>
  <c r="M13" i="48" s="1"/>
  <c r="N13" i="48" s="1"/>
  <c r="J16" i="48"/>
  <c r="L16" i="48" s="1"/>
  <c r="M16" i="48" s="1"/>
  <c r="N16" i="48" s="1"/>
  <c r="J19" i="48"/>
  <c r="L19" i="48" s="1"/>
  <c r="M19" i="48" s="1"/>
  <c r="N19" i="48" s="1"/>
  <c r="J21" i="48"/>
  <c r="L21" i="48" s="1"/>
  <c r="M21" i="48" s="1"/>
  <c r="N21" i="48" s="1"/>
  <c r="J23" i="48"/>
  <c r="L23" i="48" s="1"/>
  <c r="M23" i="48" s="1"/>
  <c r="N23" i="48" s="1"/>
  <c r="I25" i="47"/>
  <c r="H25" i="47"/>
  <c r="J25" i="47" s="1"/>
  <c r="L25" i="47" s="1"/>
  <c r="M25" i="47" s="1"/>
  <c r="N25" i="47" s="1"/>
  <c r="G25" i="47"/>
  <c r="I24" i="47"/>
  <c r="H24" i="47"/>
  <c r="G24" i="47"/>
  <c r="J24" i="47" s="1"/>
  <c r="L24" i="47" s="1"/>
  <c r="M24" i="47" s="1"/>
  <c r="N24" i="47" s="1"/>
  <c r="I23" i="47"/>
  <c r="H23" i="47"/>
  <c r="G23" i="47"/>
  <c r="J23" i="47" s="1"/>
  <c r="L23" i="47" s="1"/>
  <c r="M23" i="47" s="1"/>
  <c r="N23" i="47" s="1"/>
  <c r="I22" i="47"/>
  <c r="H22" i="47"/>
  <c r="G22" i="47"/>
  <c r="J22" i="47" s="1"/>
  <c r="L22" i="47" s="1"/>
  <c r="M22" i="47" s="1"/>
  <c r="N22" i="47" s="1"/>
  <c r="I21" i="47"/>
  <c r="H21" i="47"/>
  <c r="G21" i="47"/>
  <c r="J21" i="47" s="1"/>
  <c r="L21" i="47" s="1"/>
  <c r="M21" i="47" s="1"/>
  <c r="N21" i="47" s="1"/>
  <c r="I20" i="47"/>
  <c r="H20" i="47"/>
  <c r="G20" i="47"/>
  <c r="I19" i="47"/>
  <c r="H19" i="47"/>
  <c r="G19" i="47"/>
  <c r="J19" i="47" s="1"/>
  <c r="L19" i="47" s="1"/>
  <c r="M19" i="47" s="1"/>
  <c r="N19" i="47" s="1"/>
  <c r="I18" i="47"/>
  <c r="H18" i="47"/>
  <c r="G18" i="47"/>
  <c r="I16" i="47"/>
  <c r="H16" i="47"/>
  <c r="G16" i="47"/>
  <c r="I14" i="47"/>
  <c r="H14" i="47"/>
  <c r="G14" i="47"/>
  <c r="I13" i="47"/>
  <c r="H13" i="47"/>
  <c r="G13" i="47"/>
  <c r="J13" i="47" s="1"/>
  <c r="L13" i="47" s="1"/>
  <c r="M13" i="47" s="1"/>
  <c r="N13" i="47" s="1"/>
  <c r="I12" i="47"/>
  <c r="H12" i="47"/>
  <c r="G12" i="47"/>
  <c r="I11" i="47"/>
  <c r="H11" i="47"/>
  <c r="G11" i="47"/>
  <c r="J11" i="47" s="1"/>
  <c r="L11" i="47" s="1"/>
  <c r="M11" i="47" s="1"/>
  <c r="N11" i="47" s="1"/>
  <c r="I10" i="47"/>
  <c r="H10" i="47"/>
  <c r="G10" i="47"/>
  <c r="I9" i="47"/>
  <c r="H9" i="47"/>
  <c r="G9" i="47"/>
  <c r="J9" i="47" s="1"/>
  <c r="L9" i="47" s="1"/>
  <c r="M9" i="47" s="1"/>
  <c r="N9" i="47" s="1"/>
  <c r="I8" i="47"/>
  <c r="H8" i="47"/>
  <c r="G8" i="47"/>
  <c r="A8" i="47"/>
  <c r="A9" i="47" s="1"/>
  <c r="A10" i="47" s="1"/>
  <c r="A11" i="47" s="1"/>
  <c r="A12" i="47" s="1"/>
  <c r="A13" i="47" s="1"/>
  <c r="A14" i="47" s="1"/>
  <c r="A16" i="47" s="1"/>
  <c r="A18" i="47" s="1"/>
  <c r="A19" i="47" s="1"/>
  <c r="A20" i="47" s="1"/>
  <c r="A21" i="47" s="1"/>
  <c r="A22" i="47" s="1"/>
  <c r="A23" i="47" s="1"/>
  <c r="A24" i="47" s="1"/>
  <c r="I7" i="47"/>
  <c r="H7" i="47"/>
  <c r="G7" i="47"/>
  <c r="J18" i="47" l="1"/>
  <c r="L18" i="47" s="1"/>
  <c r="M18" i="47" s="1"/>
  <c r="N18" i="47" s="1"/>
  <c r="J20" i="47"/>
  <c r="L20" i="47" s="1"/>
  <c r="M20" i="47" s="1"/>
  <c r="N20" i="47" s="1"/>
  <c r="J16" i="47"/>
  <c r="L16" i="47" s="1"/>
  <c r="M16" i="47" s="1"/>
  <c r="N16" i="47" s="1"/>
  <c r="J7" i="47"/>
  <c r="L7" i="47" s="1"/>
  <c r="M7" i="47" s="1"/>
  <c r="N7" i="47" s="1"/>
  <c r="J8" i="47"/>
  <c r="L8" i="47" s="1"/>
  <c r="M8" i="47" s="1"/>
  <c r="N8" i="47" s="1"/>
  <c r="J10" i="47"/>
  <c r="L10" i="47" s="1"/>
  <c r="M10" i="47" s="1"/>
  <c r="N10" i="47" s="1"/>
  <c r="J12" i="47"/>
  <c r="L12" i="47" s="1"/>
  <c r="M12" i="47" s="1"/>
  <c r="N12" i="47" s="1"/>
  <c r="J14" i="47"/>
  <c r="L14" i="47" s="1"/>
  <c r="M14" i="47" s="1"/>
  <c r="N14" i="47" s="1"/>
  <c r="I25" i="46"/>
  <c r="H25" i="46"/>
  <c r="J25" i="46" s="1"/>
  <c r="L25" i="46" s="1"/>
  <c r="M25" i="46" s="1"/>
  <c r="N25" i="46" s="1"/>
  <c r="G25" i="46"/>
  <c r="I24" i="46"/>
  <c r="H24" i="46"/>
  <c r="G24" i="46"/>
  <c r="J24" i="46" s="1"/>
  <c r="L24" i="46" s="1"/>
  <c r="M24" i="46" s="1"/>
  <c r="N24" i="46" s="1"/>
  <c r="I23" i="46"/>
  <c r="H23" i="46"/>
  <c r="G23" i="46"/>
  <c r="J23" i="46" s="1"/>
  <c r="L23" i="46" s="1"/>
  <c r="M23" i="46" s="1"/>
  <c r="N23" i="46" s="1"/>
  <c r="I22" i="46"/>
  <c r="H22" i="46"/>
  <c r="G22" i="46"/>
  <c r="J22" i="46" s="1"/>
  <c r="L22" i="46" s="1"/>
  <c r="M22" i="46" s="1"/>
  <c r="N22" i="46" s="1"/>
  <c r="I21" i="46"/>
  <c r="H21" i="46"/>
  <c r="G21" i="46"/>
  <c r="J21" i="46" s="1"/>
  <c r="L21" i="46" s="1"/>
  <c r="M21" i="46" s="1"/>
  <c r="N21" i="46" s="1"/>
  <c r="I20" i="46"/>
  <c r="H20" i="46"/>
  <c r="G20" i="46"/>
  <c r="I19" i="46"/>
  <c r="H19" i="46"/>
  <c r="G19" i="46"/>
  <c r="I18" i="46"/>
  <c r="H18" i="46"/>
  <c r="G18" i="46"/>
  <c r="I16" i="46"/>
  <c r="H16" i="46"/>
  <c r="G16" i="46"/>
  <c r="J16" i="46" s="1"/>
  <c r="L16" i="46" s="1"/>
  <c r="M16" i="46" s="1"/>
  <c r="N16" i="46" s="1"/>
  <c r="I14" i="46"/>
  <c r="H14" i="46"/>
  <c r="G14" i="46"/>
  <c r="I13" i="46"/>
  <c r="H13" i="46"/>
  <c r="G13" i="46"/>
  <c r="J13" i="46" s="1"/>
  <c r="L13" i="46" s="1"/>
  <c r="M13" i="46" s="1"/>
  <c r="N13" i="46" s="1"/>
  <c r="I12" i="46"/>
  <c r="H12" i="46"/>
  <c r="G12" i="46"/>
  <c r="I11" i="46"/>
  <c r="H11" i="46"/>
  <c r="G11" i="46"/>
  <c r="J11" i="46" s="1"/>
  <c r="L11" i="46" s="1"/>
  <c r="M11" i="46" s="1"/>
  <c r="N11" i="46" s="1"/>
  <c r="I10" i="46"/>
  <c r="H10" i="46"/>
  <c r="G10" i="46"/>
  <c r="I9" i="46"/>
  <c r="H9" i="46"/>
  <c r="G9" i="46"/>
  <c r="J9" i="46" s="1"/>
  <c r="L9" i="46" s="1"/>
  <c r="M9" i="46" s="1"/>
  <c r="N9" i="46" s="1"/>
  <c r="I8" i="46"/>
  <c r="H8" i="46"/>
  <c r="G8" i="46"/>
  <c r="A8" i="46"/>
  <c r="A9" i="46" s="1"/>
  <c r="A10" i="46" s="1"/>
  <c r="A11" i="46" s="1"/>
  <c r="A12" i="46" s="1"/>
  <c r="A13" i="46" s="1"/>
  <c r="A14" i="46" s="1"/>
  <c r="A16" i="46" s="1"/>
  <c r="A18" i="46" s="1"/>
  <c r="A19" i="46" s="1"/>
  <c r="A20" i="46" s="1"/>
  <c r="A21" i="46" s="1"/>
  <c r="A22" i="46" s="1"/>
  <c r="A23" i="46" s="1"/>
  <c r="A24" i="46" s="1"/>
  <c r="I7" i="46"/>
  <c r="H7" i="46"/>
  <c r="G7" i="46"/>
  <c r="J19" i="46" l="1"/>
  <c r="L19" i="46" s="1"/>
  <c r="M19" i="46" s="1"/>
  <c r="N19" i="46" s="1"/>
  <c r="J18" i="46"/>
  <c r="L18" i="46" s="1"/>
  <c r="M18" i="46" s="1"/>
  <c r="N18" i="46" s="1"/>
  <c r="J20" i="46"/>
  <c r="L20" i="46" s="1"/>
  <c r="M20" i="46" s="1"/>
  <c r="N20" i="46" s="1"/>
  <c r="J7" i="46"/>
  <c r="L7" i="46" s="1"/>
  <c r="M7" i="46" s="1"/>
  <c r="N7" i="46" s="1"/>
  <c r="J8" i="46"/>
  <c r="L8" i="46" s="1"/>
  <c r="M8" i="46" s="1"/>
  <c r="N8" i="46" s="1"/>
  <c r="J10" i="46"/>
  <c r="L10" i="46" s="1"/>
  <c r="M10" i="46" s="1"/>
  <c r="N10" i="46" s="1"/>
  <c r="J12" i="46"/>
  <c r="L12" i="46" s="1"/>
  <c r="M12" i="46" s="1"/>
  <c r="N12" i="46" s="1"/>
  <c r="J14" i="46"/>
  <c r="L14" i="46" s="1"/>
  <c r="M14" i="46" s="1"/>
  <c r="N14" i="46" s="1"/>
  <c r="I25" i="45"/>
  <c r="H25" i="45"/>
  <c r="J25" i="45" s="1"/>
  <c r="L25" i="45" s="1"/>
  <c r="M25" i="45" s="1"/>
  <c r="N25" i="45" s="1"/>
  <c r="G25" i="45"/>
  <c r="I24" i="45"/>
  <c r="H24" i="45"/>
  <c r="G24" i="45"/>
  <c r="J24" i="45" s="1"/>
  <c r="L24" i="45" s="1"/>
  <c r="M24" i="45" s="1"/>
  <c r="N24" i="45" s="1"/>
  <c r="I23" i="45"/>
  <c r="H23" i="45"/>
  <c r="G23" i="45"/>
  <c r="I22" i="45"/>
  <c r="H22" i="45"/>
  <c r="G22" i="45"/>
  <c r="J22" i="45" s="1"/>
  <c r="L22" i="45" s="1"/>
  <c r="M22" i="45" s="1"/>
  <c r="N22" i="45" s="1"/>
  <c r="I21" i="45"/>
  <c r="H21" i="45"/>
  <c r="G21" i="45"/>
  <c r="I20" i="45"/>
  <c r="H20" i="45"/>
  <c r="G20" i="45"/>
  <c r="J20" i="45" s="1"/>
  <c r="L20" i="45" s="1"/>
  <c r="M20" i="45" s="1"/>
  <c r="N20" i="45" s="1"/>
  <c r="I19" i="45"/>
  <c r="H19" i="45"/>
  <c r="G19" i="45"/>
  <c r="I18" i="45"/>
  <c r="H18" i="45"/>
  <c r="G18" i="45"/>
  <c r="J18" i="45" s="1"/>
  <c r="L18" i="45" s="1"/>
  <c r="M18" i="45" s="1"/>
  <c r="N18" i="45" s="1"/>
  <c r="I16" i="45"/>
  <c r="H16" i="45"/>
  <c r="G16" i="45"/>
  <c r="J16" i="45" s="1"/>
  <c r="L16" i="45" s="1"/>
  <c r="M16" i="45" s="1"/>
  <c r="N16" i="45" s="1"/>
  <c r="I14" i="45"/>
  <c r="H14" i="45"/>
  <c r="G14" i="45"/>
  <c r="I13" i="45"/>
  <c r="H13" i="45"/>
  <c r="G13" i="45"/>
  <c r="J13" i="45" s="1"/>
  <c r="L13" i="45" s="1"/>
  <c r="M13" i="45" s="1"/>
  <c r="N13" i="45" s="1"/>
  <c r="I12" i="45"/>
  <c r="H12" i="45"/>
  <c r="G12" i="45"/>
  <c r="I11" i="45"/>
  <c r="H11" i="45"/>
  <c r="G11" i="45"/>
  <c r="J11" i="45" s="1"/>
  <c r="L11" i="45" s="1"/>
  <c r="M11" i="45" s="1"/>
  <c r="N11" i="45" s="1"/>
  <c r="I10" i="45"/>
  <c r="H10" i="45"/>
  <c r="G10" i="45"/>
  <c r="I9" i="45"/>
  <c r="H9" i="45"/>
  <c r="G9" i="45"/>
  <c r="J9" i="45" s="1"/>
  <c r="L9" i="45" s="1"/>
  <c r="M9" i="45" s="1"/>
  <c r="N9" i="45" s="1"/>
  <c r="I8" i="45"/>
  <c r="H8" i="45"/>
  <c r="G8" i="45"/>
  <c r="A8" i="45"/>
  <c r="A9" i="45" s="1"/>
  <c r="A10" i="45" s="1"/>
  <c r="A11" i="45" s="1"/>
  <c r="A12" i="45" s="1"/>
  <c r="A13" i="45" s="1"/>
  <c r="A14" i="45" s="1"/>
  <c r="A16" i="45" s="1"/>
  <c r="A18" i="45" s="1"/>
  <c r="A19" i="45" s="1"/>
  <c r="A20" i="45" s="1"/>
  <c r="A21" i="45" s="1"/>
  <c r="A22" i="45" s="1"/>
  <c r="A23" i="45" s="1"/>
  <c r="A24" i="45" s="1"/>
  <c r="I7" i="45"/>
  <c r="H7" i="45"/>
  <c r="G7" i="45"/>
  <c r="J19" i="45" l="1"/>
  <c r="L19" i="45" s="1"/>
  <c r="M19" i="45" s="1"/>
  <c r="N19" i="45" s="1"/>
  <c r="J21" i="45"/>
  <c r="L21" i="45" s="1"/>
  <c r="M21" i="45" s="1"/>
  <c r="N21" i="45" s="1"/>
  <c r="J23" i="45"/>
  <c r="L23" i="45" s="1"/>
  <c r="M23" i="45" s="1"/>
  <c r="N23" i="45" s="1"/>
  <c r="J7" i="45"/>
  <c r="L7" i="45" s="1"/>
  <c r="M7" i="45" s="1"/>
  <c r="N7" i="45" s="1"/>
  <c r="J8" i="45"/>
  <c r="L8" i="45" s="1"/>
  <c r="M8" i="45" s="1"/>
  <c r="N8" i="45" s="1"/>
  <c r="J10" i="45"/>
  <c r="L10" i="45" s="1"/>
  <c r="M10" i="45" s="1"/>
  <c r="N10" i="45" s="1"/>
  <c r="J12" i="45"/>
  <c r="L12" i="45" s="1"/>
  <c r="M12" i="45" s="1"/>
  <c r="N12" i="45" s="1"/>
  <c r="J14" i="45"/>
  <c r="L14" i="45" s="1"/>
  <c r="M14" i="45" s="1"/>
  <c r="N14" i="45" s="1"/>
  <c r="I25" i="44"/>
  <c r="H25" i="44"/>
  <c r="G25" i="44"/>
  <c r="J25" i="44" s="1"/>
  <c r="L25" i="44" s="1"/>
  <c r="M25" i="44" s="1"/>
  <c r="N25" i="44" s="1"/>
  <c r="I24" i="44"/>
  <c r="H24" i="44"/>
  <c r="G24" i="44"/>
  <c r="I23" i="44"/>
  <c r="H23" i="44"/>
  <c r="G23" i="44"/>
  <c r="J23" i="44" s="1"/>
  <c r="L23" i="44" s="1"/>
  <c r="M23" i="44" s="1"/>
  <c r="N23" i="44" s="1"/>
  <c r="I22" i="44"/>
  <c r="H22" i="44"/>
  <c r="G22" i="44"/>
  <c r="I21" i="44"/>
  <c r="H21" i="44"/>
  <c r="G21" i="44"/>
  <c r="J21" i="44" s="1"/>
  <c r="L21" i="44" s="1"/>
  <c r="M21" i="44" s="1"/>
  <c r="N21" i="44" s="1"/>
  <c r="I20" i="44"/>
  <c r="H20" i="44"/>
  <c r="G20" i="44"/>
  <c r="I19" i="44"/>
  <c r="H19" i="44"/>
  <c r="G19" i="44"/>
  <c r="J19" i="44" s="1"/>
  <c r="L19" i="44" s="1"/>
  <c r="M19" i="44" s="1"/>
  <c r="N19" i="44" s="1"/>
  <c r="I18" i="44"/>
  <c r="H18" i="44"/>
  <c r="G18" i="44"/>
  <c r="I16" i="44"/>
  <c r="H16" i="44"/>
  <c r="G16" i="44"/>
  <c r="J16" i="44" s="1"/>
  <c r="L16" i="44" s="1"/>
  <c r="M16" i="44" s="1"/>
  <c r="N16" i="44" s="1"/>
  <c r="I14" i="44"/>
  <c r="H14" i="44"/>
  <c r="G14" i="44"/>
  <c r="I13" i="44"/>
  <c r="H13" i="44"/>
  <c r="G13" i="44"/>
  <c r="J13" i="44" s="1"/>
  <c r="L13" i="44" s="1"/>
  <c r="M13" i="44" s="1"/>
  <c r="N13" i="44" s="1"/>
  <c r="I12" i="44"/>
  <c r="H12" i="44"/>
  <c r="G12" i="44"/>
  <c r="I11" i="44"/>
  <c r="H11" i="44"/>
  <c r="G11" i="44"/>
  <c r="J11" i="44" s="1"/>
  <c r="L11" i="44" s="1"/>
  <c r="M11" i="44" s="1"/>
  <c r="N11" i="44" s="1"/>
  <c r="I10" i="44"/>
  <c r="H10" i="44"/>
  <c r="G10" i="44"/>
  <c r="I9" i="44"/>
  <c r="H9" i="44"/>
  <c r="G9" i="44"/>
  <c r="J9" i="44" s="1"/>
  <c r="L9" i="44" s="1"/>
  <c r="M9" i="44" s="1"/>
  <c r="N9" i="44" s="1"/>
  <c r="I8" i="44"/>
  <c r="H8" i="44"/>
  <c r="G8" i="44"/>
  <c r="A8" i="44"/>
  <c r="A9" i="44" s="1"/>
  <c r="A10" i="44" s="1"/>
  <c r="A11" i="44" s="1"/>
  <c r="A12" i="44" s="1"/>
  <c r="A13" i="44" s="1"/>
  <c r="A14" i="44" s="1"/>
  <c r="A16" i="44" s="1"/>
  <c r="A18" i="44" s="1"/>
  <c r="A19" i="44" s="1"/>
  <c r="A20" i="44" s="1"/>
  <c r="A21" i="44" s="1"/>
  <c r="A22" i="44" s="1"/>
  <c r="A23" i="44" s="1"/>
  <c r="A24" i="44" s="1"/>
  <c r="I7" i="44"/>
  <c r="H7" i="44"/>
  <c r="G7" i="44"/>
  <c r="J7" i="44" l="1"/>
  <c r="L7" i="44" s="1"/>
  <c r="M7" i="44" s="1"/>
  <c r="N7" i="44" s="1"/>
  <c r="J8" i="44"/>
  <c r="L8" i="44" s="1"/>
  <c r="M8" i="44" s="1"/>
  <c r="N8" i="44" s="1"/>
  <c r="J10" i="44"/>
  <c r="L10" i="44" s="1"/>
  <c r="M10" i="44" s="1"/>
  <c r="N10" i="44" s="1"/>
  <c r="J12" i="44"/>
  <c r="L12" i="44" s="1"/>
  <c r="M12" i="44" s="1"/>
  <c r="N12" i="44" s="1"/>
  <c r="J14" i="44"/>
  <c r="L14" i="44" s="1"/>
  <c r="M14" i="44" s="1"/>
  <c r="N14" i="44" s="1"/>
  <c r="J18" i="44"/>
  <c r="L18" i="44" s="1"/>
  <c r="M18" i="44" s="1"/>
  <c r="N18" i="44" s="1"/>
  <c r="J20" i="44"/>
  <c r="L20" i="44" s="1"/>
  <c r="M20" i="44" s="1"/>
  <c r="N20" i="44" s="1"/>
  <c r="J22" i="44"/>
  <c r="L22" i="44" s="1"/>
  <c r="M22" i="44" s="1"/>
  <c r="N22" i="44" s="1"/>
  <c r="J24" i="44"/>
  <c r="L24" i="44" s="1"/>
  <c r="M24" i="44" s="1"/>
  <c r="N24" i="44" s="1"/>
  <c r="I25" i="43"/>
  <c r="H25" i="43"/>
  <c r="G25" i="43"/>
  <c r="J25" i="43" s="1"/>
  <c r="L25" i="43" s="1"/>
  <c r="M25" i="43" s="1"/>
  <c r="N25" i="43" s="1"/>
  <c r="I24" i="43"/>
  <c r="H24" i="43"/>
  <c r="J24" i="43" s="1"/>
  <c r="L24" i="43" s="1"/>
  <c r="M24" i="43" s="1"/>
  <c r="N24" i="43" s="1"/>
  <c r="G24" i="43"/>
  <c r="I23" i="43"/>
  <c r="H23" i="43"/>
  <c r="J23" i="43" s="1"/>
  <c r="L23" i="43" s="1"/>
  <c r="M23" i="43" s="1"/>
  <c r="N23" i="43" s="1"/>
  <c r="G23" i="43"/>
  <c r="I22" i="43"/>
  <c r="H22" i="43"/>
  <c r="J22" i="43" s="1"/>
  <c r="L22" i="43" s="1"/>
  <c r="M22" i="43" s="1"/>
  <c r="N22" i="43" s="1"/>
  <c r="G22" i="43"/>
  <c r="I21" i="43"/>
  <c r="H21" i="43"/>
  <c r="J21" i="43" s="1"/>
  <c r="L21" i="43" s="1"/>
  <c r="M21" i="43" s="1"/>
  <c r="N21" i="43" s="1"/>
  <c r="G21" i="43"/>
  <c r="I20" i="43"/>
  <c r="H20" i="43"/>
  <c r="G20" i="43"/>
  <c r="I19" i="43"/>
  <c r="H19" i="43"/>
  <c r="G19" i="43"/>
  <c r="I18" i="43"/>
  <c r="H18" i="43"/>
  <c r="G18" i="43"/>
  <c r="I16" i="43"/>
  <c r="H16" i="43"/>
  <c r="J16" i="43" s="1"/>
  <c r="L16" i="43" s="1"/>
  <c r="M16" i="43" s="1"/>
  <c r="N16" i="43" s="1"/>
  <c r="G16" i="43"/>
  <c r="I14" i="43"/>
  <c r="H14" i="43"/>
  <c r="J14" i="43" s="1"/>
  <c r="L14" i="43" s="1"/>
  <c r="M14" i="43" s="1"/>
  <c r="N14" i="43" s="1"/>
  <c r="G14" i="43"/>
  <c r="I13" i="43"/>
  <c r="H13" i="43"/>
  <c r="G13" i="43"/>
  <c r="I12" i="43"/>
  <c r="H12" i="43"/>
  <c r="J12" i="43" s="1"/>
  <c r="L12" i="43" s="1"/>
  <c r="M12" i="43" s="1"/>
  <c r="N12" i="43" s="1"/>
  <c r="G12" i="43"/>
  <c r="I11" i="43"/>
  <c r="H11" i="43"/>
  <c r="G11" i="43"/>
  <c r="I10" i="43"/>
  <c r="H10" i="43"/>
  <c r="J10" i="43" s="1"/>
  <c r="L10" i="43" s="1"/>
  <c r="M10" i="43" s="1"/>
  <c r="N10" i="43" s="1"/>
  <c r="G10" i="43"/>
  <c r="I9" i="43"/>
  <c r="H9" i="43"/>
  <c r="G9" i="43"/>
  <c r="I8" i="43"/>
  <c r="H8" i="43"/>
  <c r="J8" i="43" s="1"/>
  <c r="L8" i="43" s="1"/>
  <c r="M8" i="43" s="1"/>
  <c r="N8" i="43" s="1"/>
  <c r="G8" i="43"/>
  <c r="A8" i="43"/>
  <c r="A9" i="43" s="1"/>
  <c r="A10" i="43" s="1"/>
  <c r="A11" i="43" s="1"/>
  <c r="A12" i="43" s="1"/>
  <c r="A13" i="43" s="1"/>
  <c r="A14" i="43" s="1"/>
  <c r="A16" i="43" s="1"/>
  <c r="A18" i="43" s="1"/>
  <c r="A19" i="43" s="1"/>
  <c r="A20" i="43" s="1"/>
  <c r="A21" i="43" s="1"/>
  <c r="A22" i="43" s="1"/>
  <c r="A23" i="43" s="1"/>
  <c r="A24" i="43" s="1"/>
  <c r="I7" i="43"/>
  <c r="H7" i="43"/>
  <c r="J7" i="43" s="1"/>
  <c r="L7" i="43" s="1"/>
  <c r="M7" i="43" s="1"/>
  <c r="N7" i="43" s="1"/>
  <c r="G7" i="43"/>
  <c r="J19" i="43" l="1"/>
  <c r="L19" i="43" s="1"/>
  <c r="M19" i="43" s="1"/>
  <c r="N19" i="43" s="1"/>
  <c r="J18" i="43"/>
  <c r="L18" i="43" s="1"/>
  <c r="M18" i="43" s="1"/>
  <c r="N18" i="43" s="1"/>
  <c r="J20" i="43"/>
  <c r="L20" i="43" s="1"/>
  <c r="M20" i="43" s="1"/>
  <c r="N20" i="43" s="1"/>
  <c r="J9" i="43"/>
  <c r="L9" i="43" s="1"/>
  <c r="M9" i="43" s="1"/>
  <c r="N9" i="43" s="1"/>
  <c r="J11" i="43"/>
  <c r="L11" i="43" s="1"/>
  <c r="M11" i="43" s="1"/>
  <c r="N11" i="43" s="1"/>
  <c r="J13" i="43"/>
  <c r="L13" i="43" s="1"/>
  <c r="M13" i="43" s="1"/>
  <c r="N13" i="43" s="1"/>
  <c r="I25" i="42"/>
  <c r="H25" i="42"/>
  <c r="J25" i="42" s="1"/>
  <c r="L25" i="42" s="1"/>
  <c r="M25" i="42" s="1"/>
  <c r="N25" i="42" s="1"/>
  <c r="G25" i="42"/>
  <c r="I24" i="42"/>
  <c r="H24" i="42"/>
  <c r="G24" i="42"/>
  <c r="J24" i="42" s="1"/>
  <c r="L24" i="42" s="1"/>
  <c r="M24" i="42" s="1"/>
  <c r="N24" i="42" s="1"/>
  <c r="I23" i="42"/>
  <c r="H23" i="42"/>
  <c r="G23" i="42"/>
  <c r="J23" i="42" s="1"/>
  <c r="L23" i="42" s="1"/>
  <c r="M23" i="42" s="1"/>
  <c r="N23" i="42" s="1"/>
  <c r="I22" i="42"/>
  <c r="H22" i="42"/>
  <c r="G22" i="42"/>
  <c r="J22" i="42" s="1"/>
  <c r="L22" i="42" s="1"/>
  <c r="M22" i="42" s="1"/>
  <c r="N22" i="42" s="1"/>
  <c r="I21" i="42"/>
  <c r="H21" i="42"/>
  <c r="G21" i="42"/>
  <c r="J21" i="42" s="1"/>
  <c r="L21" i="42" s="1"/>
  <c r="M21" i="42" s="1"/>
  <c r="N21" i="42" s="1"/>
  <c r="I20" i="42"/>
  <c r="H20" i="42"/>
  <c r="G20" i="42"/>
  <c r="I19" i="42"/>
  <c r="H19" i="42"/>
  <c r="G19" i="42"/>
  <c r="J19" i="42" s="1"/>
  <c r="L19" i="42" s="1"/>
  <c r="M19" i="42" s="1"/>
  <c r="N19" i="42" s="1"/>
  <c r="I18" i="42"/>
  <c r="H18" i="42"/>
  <c r="G18" i="42"/>
  <c r="I16" i="42"/>
  <c r="H16" i="42"/>
  <c r="G16" i="42"/>
  <c r="J16" i="42" s="1"/>
  <c r="L16" i="42" s="1"/>
  <c r="M16" i="42" s="1"/>
  <c r="N16" i="42" s="1"/>
  <c r="I14" i="42"/>
  <c r="H14" i="42"/>
  <c r="G14" i="42"/>
  <c r="J14" i="42" s="1"/>
  <c r="L14" i="42" s="1"/>
  <c r="M14" i="42" s="1"/>
  <c r="N14" i="42" s="1"/>
  <c r="I13" i="42"/>
  <c r="H13" i="42"/>
  <c r="G13" i="42"/>
  <c r="I12" i="42"/>
  <c r="H12" i="42"/>
  <c r="G12" i="42"/>
  <c r="J12" i="42" s="1"/>
  <c r="L12" i="42" s="1"/>
  <c r="M12" i="42" s="1"/>
  <c r="N12" i="42" s="1"/>
  <c r="I11" i="42"/>
  <c r="H11" i="42"/>
  <c r="G11" i="42"/>
  <c r="I10" i="42"/>
  <c r="H10" i="42"/>
  <c r="G10" i="42"/>
  <c r="J10" i="42" s="1"/>
  <c r="L10" i="42" s="1"/>
  <c r="M10" i="42" s="1"/>
  <c r="N10" i="42" s="1"/>
  <c r="I9" i="42"/>
  <c r="H9" i="42"/>
  <c r="G9" i="42"/>
  <c r="I8" i="42"/>
  <c r="H8" i="42"/>
  <c r="G8" i="42"/>
  <c r="J8" i="42" s="1"/>
  <c r="L8" i="42" s="1"/>
  <c r="M8" i="42" s="1"/>
  <c r="N8" i="42" s="1"/>
  <c r="A8" i="42"/>
  <c r="A9" i="42" s="1"/>
  <c r="A10" i="42" s="1"/>
  <c r="A11" i="42" s="1"/>
  <c r="A12" i="42" s="1"/>
  <c r="A13" i="42" s="1"/>
  <c r="A14" i="42" s="1"/>
  <c r="A16" i="42" s="1"/>
  <c r="A18" i="42" s="1"/>
  <c r="A19" i="42" s="1"/>
  <c r="A20" i="42" s="1"/>
  <c r="A21" i="42" s="1"/>
  <c r="A22" i="42" s="1"/>
  <c r="A23" i="42" s="1"/>
  <c r="A24" i="42" s="1"/>
  <c r="I7" i="42"/>
  <c r="H7" i="42"/>
  <c r="G7" i="42"/>
  <c r="J7" i="42" s="1"/>
  <c r="L7" i="42" s="1"/>
  <c r="M7" i="42" s="1"/>
  <c r="N7" i="42" s="1"/>
  <c r="J18" i="42" l="1"/>
  <c r="L18" i="42" s="1"/>
  <c r="M18" i="42" s="1"/>
  <c r="N18" i="42" s="1"/>
  <c r="J20" i="42"/>
  <c r="L20" i="42" s="1"/>
  <c r="M20" i="42" s="1"/>
  <c r="N20" i="42" s="1"/>
  <c r="J9" i="42"/>
  <c r="L9" i="42" s="1"/>
  <c r="M9" i="42" s="1"/>
  <c r="N9" i="42" s="1"/>
  <c r="J11" i="42"/>
  <c r="L11" i="42" s="1"/>
  <c r="M11" i="42" s="1"/>
  <c r="N11" i="42" s="1"/>
  <c r="J13" i="42"/>
  <c r="L13" i="42" s="1"/>
  <c r="M13" i="42" s="1"/>
  <c r="N13" i="42" s="1"/>
  <c r="G19" i="41"/>
  <c r="I25" i="41"/>
  <c r="H25" i="41"/>
  <c r="G25" i="41"/>
  <c r="J25" i="41" s="1"/>
  <c r="L25" i="41" s="1"/>
  <c r="M25" i="41" s="1"/>
  <c r="N25" i="41" s="1"/>
  <c r="I24" i="41"/>
  <c r="H24" i="41"/>
  <c r="J24" i="41" s="1"/>
  <c r="L24" i="41" s="1"/>
  <c r="M24" i="41" s="1"/>
  <c r="N24" i="41" s="1"/>
  <c r="G24" i="41"/>
  <c r="I23" i="41"/>
  <c r="H23" i="41"/>
  <c r="J23" i="41" s="1"/>
  <c r="L23" i="41" s="1"/>
  <c r="M23" i="41" s="1"/>
  <c r="N23" i="41" s="1"/>
  <c r="G23" i="41"/>
  <c r="I22" i="41"/>
  <c r="H22" i="41"/>
  <c r="J22" i="41" s="1"/>
  <c r="L22" i="41" s="1"/>
  <c r="M22" i="41" s="1"/>
  <c r="N22" i="41" s="1"/>
  <c r="G22" i="41"/>
  <c r="I21" i="41"/>
  <c r="H21" i="41"/>
  <c r="J21" i="41" s="1"/>
  <c r="L21" i="41" s="1"/>
  <c r="M21" i="41" s="1"/>
  <c r="N21" i="41" s="1"/>
  <c r="G21" i="41"/>
  <c r="I20" i="41"/>
  <c r="H20" i="41"/>
  <c r="J20" i="41" s="1"/>
  <c r="L20" i="41" s="1"/>
  <c r="M20" i="41" s="1"/>
  <c r="N20" i="41" s="1"/>
  <c r="G20" i="41"/>
  <c r="I19" i="41"/>
  <c r="H19" i="41"/>
  <c r="I18" i="41"/>
  <c r="H18" i="41"/>
  <c r="G18" i="41"/>
  <c r="I16" i="41"/>
  <c r="H16" i="41"/>
  <c r="J16" i="41" s="1"/>
  <c r="L16" i="41" s="1"/>
  <c r="M16" i="41" s="1"/>
  <c r="N16" i="41" s="1"/>
  <c r="G16" i="41"/>
  <c r="I14" i="41"/>
  <c r="H14" i="41"/>
  <c r="G14" i="41"/>
  <c r="I13" i="41"/>
  <c r="H13" i="41"/>
  <c r="J13" i="41" s="1"/>
  <c r="L13" i="41" s="1"/>
  <c r="M13" i="41" s="1"/>
  <c r="N13" i="41" s="1"/>
  <c r="G13" i="41"/>
  <c r="I12" i="41"/>
  <c r="H12" i="41"/>
  <c r="J12" i="41" s="1"/>
  <c r="L12" i="41" s="1"/>
  <c r="M12" i="41" s="1"/>
  <c r="N12" i="41" s="1"/>
  <c r="G12" i="41"/>
  <c r="I11" i="41"/>
  <c r="H11" i="41"/>
  <c r="J11" i="41" s="1"/>
  <c r="L11" i="41" s="1"/>
  <c r="M11" i="41" s="1"/>
  <c r="N11" i="41" s="1"/>
  <c r="G11" i="41"/>
  <c r="I10" i="41"/>
  <c r="H10" i="41"/>
  <c r="J10" i="41" s="1"/>
  <c r="L10" i="41" s="1"/>
  <c r="M10" i="41" s="1"/>
  <c r="N10" i="41" s="1"/>
  <c r="G10" i="41"/>
  <c r="I9" i="41"/>
  <c r="H9" i="41"/>
  <c r="J9" i="41" s="1"/>
  <c r="L9" i="41" s="1"/>
  <c r="M9" i="41" s="1"/>
  <c r="N9" i="41" s="1"/>
  <c r="G9" i="41"/>
  <c r="I8" i="41"/>
  <c r="H8" i="41"/>
  <c r="J8" i="41" s="1"/>
  <c r="L8" i="41" s="1"/>
  <c r="M8" i="41" s="1"/>
  <c r="N8" i="41" s="1"/>
  <c r="G8" i="41"/>
  <c r="A8" i="41"/>
  <c r="A9" i="41" s="1"/>
  <c r="A10" i="41" s="1"/>
  <c r="A11" i="41" s="1"/>
  <c r="A12" i="41" s="1"/>
  <c r="A13" i="41" s="1"/>
  <c r="A14" i="41" s="1"/>
  <c r="A16" i="41" s="1"/>
  <c r="A18" i="41" s="1"/>
  <c r="A19" i="41" s="1"/>
  <c r="A20" i="41" s="1"/>
  <c r="A21" i="41" s="1"/>
  <c r="A22" i="41" s="1"/>
  <c r="A23" i="41" s="1"/>
  <c r="A24" i="41" s="1"/>
  <c r="I7" i="41"/>
  <c r="H7" i="41"/>
  <c r="J7" i="41" s="1"/>
  <c r="L7" i="41" s="1"/>
  <c r="M7" i="41" s="1"/>
  <c r="N7" i="41" s="1"/>
  <c r="G7" i="41"/>
  <c r="J19" i="41" l="1"/>
  <c r="L19" i="41" s="1"/>
  <c r="M19" i="41" s="1"/>
  <c r="N19" i="41" s="1"/>
  <c r="J14" i="41"/>
  <c r="L14" i="41" s="1"/>
  <c r="M14" i="41" s="1"/>
  <c r="N14" i="41" s="1"/>
  <c r="J18" i="41"/>
  <c r="L18" i="41" s="1"/>
  <c r="M18" i="41" s="1"/>
  <c r="N18" i="41" s="1"/>
  <c r="I25" i="40"/>
  <c r="H25" i="40"/>
  <c r="G25" i="40"/>
  <c r="J25" i="40" s="1"/>
  <c r="L25" i="40" s="1"/>
  <c r="M25" i="40" s="1"/>
  <c r="N25" i="40" s="1"/>
  <c r="I24" i="40"/>
  <c r="H24" i="40"/>
  <c r="J24" i="40" s="1"/>
  <c r="L24" i="40" s="1"/>
  <c r="M24" i="40" s="1"/>
  <c r="N24" i="40" s="1"/>
  <c r="G24" i="40"/>
  <c r="I23" i="40"/>
  <c r="H23" i="40"/>
  <c r="G23" i="40"/>
  <c r="I22" i="40"/>
  <c r="H22" i="40"/>
  <c r="J22" i="40" s="1"/>
  <c r="L22" i="40" s="1"/>
  <c r="M22" i="40" s="1"/>
  <c r="N22" i="40" s="1"/>
  <c r="G22" i="40"/>
  <c r="I21" i="40"/>
  <c r="H21" i="40"/>
  <c r="G21" i="40"/>
  <c r="I20" i="40"/>
  <c r="H20" i="40"/>
  <c r="J20" i="40" s="1"/>
  <c r="L20" i="40" s="1"/>
  <c r="M20" i="40" s="1"/>
  <c r="N20" i="40" s="1"/>
  <c r="G20" i="40"/>
  <c r="I19" i="40"/>
  <c r="H19" i="40"/>
  <c r="G19" i="40"/>
  <c r="I18" i="40"/>
  <c r="H18" i="40"/>
  <c r="J18" i="40" s="1"/>
  <c r="L18" i="40" s="1"/>
  <c r="M18" i="40" s="1"/>
  <c r="N18" i="40" s="1"/>
  <c r="G18" i="40"/>
  <c r="I16" i="40"/>
  <c r="H16" i="40"/>
  <c r="G16" i="40"/>
  <c r="I14" i="40"/>
  <c r="H14" i="40"/>
  <c r="J14" i="40" s="1"/>
  <c r="L14" i="40" s="1"/>
  <c r="M14" i="40" s="1"/>
  <c r="N14" i="40" s="1"/>
  <c r="G14" i="40"/>
  <c r="I13" i="40"/>
  <c r="H13" i="40"/>
  <c r="G13" i="40"/>
  <c r="I12" i="40"/>
  <c r="H12" i="40"/>
  <c r="J12" i="40" s="1"/>
  <c r="L12" i="40" s="1"/>
  <c r="M12" i="40" s="1"/>
  <c r="N12" i="40" s="1"/>
  <c r="G12" i="40"/>
  <c r="I11" i="40"/>
  <c r="H11" i="40"/>
  <c r="G11" i="40"/>
  <c r="I10" i="40"/>
  <c r="H10" i="40"/>
  <c r="J10" i="40" s="1"/>
  <c r="L10" i="40" s="1"/>
  <c r="M10" i="40" s="1"/>
  <c r="N10" i="40" s="1"/>
  <c r="G10" i="40"/>
  <c r="I9" i="40"/>
  <c r="H9" i="40"/>
  <c r="G9" i="40"/>
  <c r="I8" i="40"/>
  <c r="H8" i="40"/>
  <c r="J8" i="40" s="1"/>
  <c r="L8" i="40" s="1"/>
  <c r="M8" i="40" s="1"/>
  <c r="N8" i="40" s="1"/>
  <c r="G8" i="40"/>
  <c r="A8" i="40"/>
  <c r="A9" i="40" s="1"/>
  <c r="A10" i="40" s="1"/>
  <c r="A11" i="40" s="1"/>
  <c r="A12" i="40" s="1"/>
  <c r="A13" i="40" s="1"/>
  <c r="A14" i="40" s="1"/>
  <c r="A16" i="40" s="1"/>
  <c r="A18" i="40" s="1"/>
  <c r="A19" i="40" s="1"/>
  <c r="A20" i="40" s="1"/>
  <c r="A21" i="40" s="1"/>
  <c r="A22" i="40" s="1"/>
  <c r="A23" i="40" s="1"/>
  <c r="A24" i="40" s="1"/>
  <c r="I7" i="40"/>
  <c r="H7" i="40"/>
  <c r="J7" i="40" s="1"/>
  <c r="L7" i="40" s="1"/>
  <c r="M7" i="40" s="1"/>
  <c r="N7" i="40" s="1"/>
  <c r="G7" i="40"/>
  <c r="J19" i="40" l="1"/>
  <c r="L19" i="40" s="1"/>
  <c r="M19" i="40" s="1"/>
  <c r="N19" i="40" s="1"/>
  <c r="J21" i="40"/>
  <c r="L21" i="40" s="1"/>
  <c r="M21" i="40" s="1"/>
  <c r="N21" i="40" s="1"/>
  <c r="J23" i="40"/>
  <c r="L23" i="40" s="1"/>
  <c r="M23" i="40" s="1"/>
  <c r="N23" i="40" s="1"/>
  <c r="J16" i="40"/>
  <c r="L16" i="40" s="1"/>
  <c r="M16" i="40" s="1"/>
  <c r="N16" i="40" s="1"/>
  <c r="J9" i="40"/>
  <c r="L9" i="40" s="1"/>
  <c r="M9" i="40" s="1"/>
  <c r="N9" i="40" s="1"/>
  <c r="J11" i="40"/>
  <c r="L11" i="40" s="1"/>
  <c r="M11" i="40" s="1"/>
  <c r="N11" i="40" s="1"/>
  <c r="J13" i="40"/>
  <c r="L13" i="40" s="1"/>
  <c r="M13" i="40" s="1"/>
  <c r="N13" i="40" s="1"/>
  <c r="I25" i="39"/>
  <c r="H25" i="39"/>
  <c r="J25" i="39" s="1"/>
  <c r="L25" i="39" s="1"/>
  <c r="M25" i="39" s="1"/>
  <c r="N25" i="39" s="1"/>
  <c r="G25" i="39"/>
  <c r="I24" i="39"/>
  <c r="H24" i="39"/>
  <c r="G24" i="39"/>
  <c r="J24" i="39" s="1"/>
  <c r="L24" i="39" s="1"/>
  <c r="M24" i="39" s="1"/>
  <c r="N24" i="39" s="1"/>
  <c r="I23" i="39"/>
  <c r="H23" i="39"/>
  <c r="G23" i="39"/>
  <c r="I22" i="39"/>
  <c r="H22" i="39"/>
  <c r="G22" i="39"/>
  <c r="J22" i="39" s="1"/>
  <c r="L22" i="39" s="1"/>
  <c r="M22" i="39" s="1"/>
  <c r="N22" i="39" s="1"/>
  <c r="I21" i="39"/>
  <c r="H21" i="39"/>
  <c r="G21" i="39"/>
  <c r="I20" i="39"/>
  <c r="H20" i="39"/>
  <c r="G20" i="39"/>
  <c r="J20" i="39" s="1"/>
  <c r="L20" i="39" s="1"/>
  <c r="M20" i="39" s="1"/>
  <c r="N20" i="39" s="1"/>
  <c r="I19" i="39"/>
  <c r="H19" i="39"/>
  <c r="G19" i="39"/>
  <c r="I18" i="39"/>
  <c r="H18" i="39"/>
  <c r="G18" i="39"/>
  <c r="J18" i="39" s="1"/>
  <c r="L18" i="39" s="1"/>
  <c r="M18" i="39" s="1"/>
  <c r="N18" i="39" s="1"/>
  <c r="I16" i="39"/>
  <c r="H16" i="39"/>
  <c r="G16" i="39"/>
  <c r="J16" i="39" s="1"/>
  <c r="L16" i="39" s="1"/>
  <c r="M16" i="39" s="1"/>
  <c r="N16" i="39" s="1"/>
  <c r="I14" i="39"/>
  <c r="H14" i="39"/>
  <c r="G14" i="39"/>
  <c r="J14" i="39" s="1"/>
  <c r="L14" i="39" s="1"/>
  <c r="M14" i="39" s="1"/>
  <c r="N14" i="39" s="1"/>
  <c r="I13" i="39"/>
  <c r="H13" i="39"/>
  <c r="G13" i="39"/>
  <c r="I12" i="39"/>
  <c r="H12" i="39"/>
  <c r="G12" i="39"/>
  <c r="J12" i="39" s="1"/>
  <c r="L12" i="39" s="1"/>
  <c r="M12" i="39" s="1"/>
  <c r="N12" i="39" s="1"/>
  <c r="I11" i="39"/>
  <c r="H11" i="39"/>
  <c r="G11" i="39"/>
  <c r="I10" i="39"/>
  <c r="H10" i="39"/>
  <c r="G10" i="39"/>
  <c r="J10" i="39" s="1"/>
  <c r="L10" i="39" s="1"/>
  <c r="M10" i="39" s="1"/>
  <c r="N10" i="39" s="1"/>
  <c r="I9" i="39"/>
  <c r="H9" i="39"/>
  <c r="G9" i="39"/>
  <c r="I8" i="39"/>
  <c r="H8" i="39"/>
  <c r="G8" i="39"/>
  <c r="J8" i="39" s="1"/>
  <c r="L8" i="39" s="1"/>
  <c r="M8" i="39" s="1"/>
  <c r="N8" i="39" s="1"/>
  <c r="A8" i="39"/>
  <c r="A9" i="39" s="1"/>
  <c r="A10" i="39" s="1"/>
  <c r="A11" i="39" s="1"/>
  <c r="A12" i="39" s="1"/>
  <c r="A13" i="39" s="1"/>
  <c r="A14" i="39" s="1"/>
  <c r="A16" i="39" s="1"/>
  <c r="A18" i="39" s="1"/>
  <c r="A19" i="39" s="1"/>
  <c r="A20" i="39" s="1"/>
  <c r="A21" i="39" s="1"/>
  <c r="A22" i="39" s="1"/>
  <c r="A23" i="39" s="1"/>
  <c r="A24" i="39" s="1"/>
  <c r="I7" i="39"/>
  <c r="H7" i="39"/>
  <c r="G7" i="39"/>
  <c r="J7" i="39" s="1"/>
  <c r="L7" i="39" s="1"/>
  <c r="M7" i="39" s="1"/>
  <c r="N7" i="39" s="1"/>
  <c r="J19" i="39" l="1"/>
  <c r="L19" i="39" s="1"/>
  <c r="M19" i="39" s="1"/>
  <c r="N19" i="39" s="1"/>
  <c r="J21" i="39"/>
  <c r="L21" i="39" s="1"/>
  <c r="M21" i="39" s="1"/>
  <c r="N21" i="39" s="1"/>
  <c r="J23" i="39"/>
  <c r="L23" i="39" s="1"/>
  <c r="M23" i="39" s="1"/>
  <c r="N23" i="39" s="1"/>
  <c r="J9" i="39"/>
  <c r="L9" i="39" s="1"/>
  <c r="M9" i="39" s="1"/>
  <c r="N9" i="39" s="1"/>
  <c r="J11" i="39"/>
  <c r="L11" i="39" s="1"/>
  <c r="M11" i="39" s="1"/>
  <c r="N11" i="39" s="1"/>
  <c r="J13" i="39"/>
  <c r="L13" i="39" s="1"/>
  <c r="M13" i="39" s="1"/>
  <c r="N13" i="39" s="1"/>
  <c r="I25" i="38"/>
  <c r="H25" i="38"/>
  <c r="J25" i="38" s="1"/>
  <c r="L25" i="38" s="1"/>
  <c r="M25" i="38" s="1"/>
  <c r="N25" i="38" s="1"/>
  <c r="G25" i="38"/>
  <c r="I24" i="38"/>
  <c r="H24" i="38"/>
  <c r="G24" i="38"/>
  <c r="J24" i="38" s="1"/>
  <c r="L24" i="38" s="1"/>
  <c r="M24" i="38" s="1"/>
  <c r="N24" i="38" s="1"/>
  <c r="I23" i="38"/>
  <c r="H23" i="38"/>
  <c r="G23" i="38"/>
  <c r="I22" i="38"/>
  <c r="H22" i="38"/>
  <c r="G22" i="38"/>
  <c r="J22" i="38" s="1"/>
  <c r="L22" i="38" s="1"/>
  <c r="M22" i="38" s="1"/>
  <c r="N22" i="38" s="1"/>
  <c r="I21" i="38"/>
  <c r="H21" i="38"/>
  <c r="G21" i="38"/>
  <c r="I20" i="38"/>
  <c r="H20" i="38"/>
  <c r="G20" i="38"/>
  <c r="J20" i="38" s="1"/>
  <c r="L20" i="38" s="1"/>
  <c r="M20" i="38" s="1"/>
  <c r="N20" i="38" s="1"/>
  <c r="I19" i="38"/>
  <c r="H19" i="38"/>
  <c r="G19" i="38"/>
  <c r="I18" i="38"/>
  <c r="H18" i="38"/>
  <c r="G18" i="38"/>
  <c r="J18" i="38" s="1"/>
  <c r="L18" i="38" s="1"/>
  <c r="M18" i="38" s="1"/>
  <c r="N18" i="38" s="1"/>
  <c r="I16" i="38"/>
  <c r="H16" i="38"/>
  <c r="G16" i="38"/>
  <c r="I14" i="38"/>
  <c r="H14" i="38"/>
  <c r="G14" i="38"/>
  <c r="I13" i="38"/>
  <c r="H13" i="38"/>
  <c r="G13" i="38"/>
  <c r="I12" i="38"/>
  <c r="H12" i="38"/>
  <c r="G12" i="38"/>
  <c r="J12" i="38" s="1"/>
  <c r="L12" i="38" s="1"/>
  <c r="M12" i="38" s="1"/>
  <c r="N12" i="38" s="1"/>
  <c r="I11" i="38"/>
  <c r="H11" i="38"/>
  <c r="G11" i="38"/>
  <c r="I10" i="38"/>
  <c r="H10" i="38"/>
  <c r="G10" i="38"/>
  <c r="J10" i="38" s="1"/>
  <c r="L10" i="38" s="1"/>
  <c r="M10" i="38" s="1"/>
  <c r="N10" i="38" s="1"/>
  <c r="I9" i="38"/>
  <c r="H9" i="38"/>
  <c r="G9" i="38"/>
  <c r="I8" i="38"/>
  <c r="H8" i="38"/>
  <c r="G8" i="38"/>
  <c r="J8" i="38" s="1"/>
  <c r="L8" i="38" s="1"/>
  <c r="M8" i="38" s="1"/>
  <c r="N8" i="38" s="1"/>
  <c r="A8" i="38"/>
  <c r="A9" i="38" s="1"/>
  <c r="A10" i="38" s="1"/>
  <c r="A11" i="38" s="1"/>
  <c r="A12" i="38" s="1"/>
  <c r="A13" i="38" s="1"/>
  <c r="A14" i="38" s="1"/>
  <c r="A16" i="38" s="1"/>
  <c r="A18" i="38" s="1"/>
  <c r="A19" i="38" s="1"/>
  <c r="A20" i="38" s="1"/>
  <c r="A21" i="38" s="1"/>
  <c r="A22" i="38" s="1"/>
  <c r="A23" i="38" s="1"/>
  <c r="A24" i="38" s="1"/>
  <c r="I7" i="38"/>
  <c r="H7" i="38"/>
  <c r="G7" i="38"/>
  <c r="J7" i="38" s="1"/>
  <c r="L7" i="38" s="1"/>
  <c r="M7" i="38" s="1"/>
  <c r="N7" i="38" s="1"/>
  <c r="J14" i="38" l="1"/>
  <c r="L14" i="38" s="1"/>
  <c r="M14" i="38" s="1"/>
  <c r="N14" i="38" s="1"/>
  <c r="J19" i="38"/>
  <c r="L19" i="38" s="1"/>
  <c r="M19" i="38" s="1"/>
  <c r="N19" i="38" s="1"/>
  <c r="J21" i="38"/>
  <c r="L21" i="38" s="1"/>
  <c r="M21" i="38" s="1"/>
  <c r="N21" i="38" s="1"/>
  <c r="J23" i="38"/>
  <c r="L23" i="38" s="1"/>
  <c r="M23" i="38" s="1"/>
  <c r="N23" i="38" s="1"/>
  <c r="J9" i="38"/>
  <c r="L9" i="38" s="1"/>
  <c r="M9" i="38" s="1"/>
  <c r="N9" i="38" s="1"/>
  <c r="J11" i="38"/>
  <c r="L11" i="38" s="1"/>
  <c r="M11" i="38" s="1"/>
  <c r="N11" i="38" s="1"/>
  <c r="J13" i="38"/>
  <c r="L13" i="38" s="1"/>
  <c r="M13" i="38" s="1"/>
  <c r="N13" i="38" s="1"/>
  <c r="J16" i="38"/>
  <c r="L16" i="38" s="1"/>
  <c r="M16" i="38" s="1"/>
  <c r="N16" i="38" s="1"/>
  <c r="N19" i="37"/>
  <c r="I25" i="37" l="1"/>
  <c r="H25" i="37"/>
  <c r="J25" i="37" s="1"/>
  <c r="L25" i="37" s="1"/>
  <c r="M25" i="37" s="1"/>
  <c r="N25" i="37" s="1"/>
  <c r="G25" i="37"/>
  <c r="I24" i="37"/>
  <c r="H24" i="37"/>
  <c r="G24" i="37"/>
  <c r="J24" i="37" s="1"/>
  <c r="L24" i="37" s="1"/>
  <c r="M24" i="37" s="1"/>
  <c r="N24" i="37" s="1"/>
  <c r="I23" i="37"/>
  <c r="H23" i="37"/>
  <c r="G23" i="37"/>
  <c r="J23" i="37" s="1"/>
  <c r="L23" i="37" s="1"/>
  <c r="M23" i="37" s="1"/>
  <c r="N23" i="37" s="1"/>
  <c r="I22" i="37"/>
  <c r="H22" i="37"/>
  <c r="G22" i="37"/>
  <c r="I21" i="37"/>
  <c r="H21" i="37"/>
  <c r="G21" i="37"/>
  <c r="J21" i="37" s="1"/>
  <c r="L21" i="37" s="1"/>
  <c r="M21" i="37" s="1"/>
  <c r="N21" i="37" s="1"/>
  <c r="I20" i="37"/>
  <c r="H20" i="37"/>
  <c r="G20" i="37"/>
  <c r="I19" i="37"/>
  <c r="H19" i="37"/>
  <c r="G19" i="37"/>
  <c r="I18" i="37"/>
  <c r="H18" i="37"/>
  <c r="G18" i="37"/>
  <c r="I16" i="37"/>
  <c r="H16" i="37"/>
  <c r="G16" i="37"/>
  <c r="J16" i="37" s="1"/>
  <c r="L16" i="37" s="1"/>
  <c r="M16" i="37" s="1"/>
  <c r="N16" i="37" s="1"/>
  <c r="I14" i="37"/>
  <c r="H14" i="37"/>
  <c r="G14" i="37"/>
  <c r="I13" i="37"/>
  <c r="H13" i="37"/>
  <c r="G13" i="37"/>
  <c r="J13" i="37" s="1"/>
  <c r="L13" i="37" s="1"/>
  <c r="M13" i="37" s="1"/>
  <c r="N13" i="37" s="1"/>
  <c r="I12" i="37"/>
  <c r="H12" i="37"/>
  <c r="G12" i="37"/>
  <c r="J12" i="37" s="1"/>
  <c r="L12" i="37" s="1"/>
  <c r="M12" i="37" s="1"/>
  <c r="N12" i="37" s="1"/>
  <c r="I11" i="37"/>
  <c r="H11" i="37"/>
  <c r="G11" i="37"/>
  <c r="J11" i="37" s="1"/>
  <c r="L11" i="37" s="1"/>
  <c r="M11" i="37" s="1"/>
  <c r="N11" i="37" s="1"/>
  <c r="I10" i="37"/>
  <c r="H10" i="37"/>
  <c r="G10" i="37"/>
  <c r="J10" i="37" s="1"/>
  <c r="L10" i="37" s="1"/>
  <c r="M10" i="37" s="1"/>
  <c r="N10" i="37" s="1"/>
  <c r="I9" i="37"/>
  <c r="H9" i="37"/>
  <c r="G9" i="37"/>
  <c r="J9" i="37" s="1"/>
  <c r="L9" i="37" s="1"/>
  <c r="M9" i="37" s="1"/>
  <c r="N9" i="37" s="1"/>
  <c r="I8" i="37"/>
  <c r="H8" i="37"/>
  <c r="G8" i="37"/>
  <c r="J8" i="37" s="1"/>
  <c r="L8" i="37" s="1"/>
  <c r="M8" i="37" s="1"/>
  <c r="N8" i="37" s="1"/>
  <c r="A8" i="37"/>
  <c r="A9" i="37" s="1"/>
  <c r="A10" i="37" s="1"/>
  <c r="A11" i="37" s="1"/>
  <c r="A12" i="37" s="1"/>
  <c r="A13" i="37" s="1"/>
  <c r="A14" i="37" s="1"/>
  <c r="A16" i="37" s="1"/>
  <c r="A18" i="37" s="1"/>
  <c r="A19" i="37" s="1"/>
  <c r="A20" i="37" s="1"/>
  <c r="A21" i="37" s="1"/>
  <c r="A22" i="37" s="1"/>
  <c r="A23" i="37" s="1"/>
  <c r="A24" i="37" s="1"/>
  <c r="I7" i="37"/>
  <c r="H7" i="37"/>
  <c r="G7" i="37"/>
  <c r="J7" i="37" s="1"/>
  <c r="L7" i="37" s="1"/>
  <c r="M7" i="37" s="1"/>
  <c r="N7" i="37" s="1"/>
  <c r="J19" i="37" l="1"/>
  <c r="L19" i="37" s="1"/>
  <c r="M19" i="37" s="1"/>
  <c r="J14" i="37"/>
  <c r="L14" i="37" s="1"/>
  <c r="M14" i="37" s="1"/>
  <c r="N14" i="37" s="1"/>
  <c r="J18" i="37"/>
  <c r="L18" i="37" s="1"/>
  <c r="M18" i="37" s="1"/>
  <c r="N18" i="37" s="1"/>
  <c r="J20" i="37"/>
  <c r="L20" i="37" s="1"/>
  <c r="M20" i="37" s="1"/>
  <c r="N20" i="37" s="1"/>
  <c r="J22" i="37"/>
  <c r="L22" i="37" s="1"/>
  <c r="M22" i="37" s="1"/>
  <c r="N22" i="37" s="1"/>
  <c r="I25" i="36"/>
  <c r="H25" i="36"/>
  <c r="J25" i="36" s="1"/>
  <c r="L25" i="36" s="1"/>
  <c r="M25" i="36" s="1"/>
  <c r="N25" i="36" s="1"/>
  <c r="G25" i="36"/>
  <c r="I24" i="36"/>
  <c r="H24" i="36"/>
  <c r="G24" i="36"/>
  <c r="J24" i="36" s="1"/>
  <c r="L24" i="36" s="1"/>
  <c r="M24" i="36" s="1"/>
  <c r="N24" i="36" s="1"/>
  <c r="I23" i="36"/>
  <c r="H23" i="36"/>
  <c r="G23" i="36"/>
  <c r="J23" i="36" s="1"/>
  <c r="L23" i="36" s="1"/>
  <c r="M23" i="36" s="1"/>
  <c r="N23" i="36" s="1"/>
  <c r="I22" i="36"/>
  <c r="H22" i="36"/>
  <c r="G22" i="36"/>
  <c r="J22" i="36" s="1"/>
  <c r="L22" i="36" s="1"/>
  <c r="M22" i="36" s="1"/>
  <c r="N22" i="36" s="1"/>
  <c r="I21" i="36"/>
  <c r="H21" i="36"/>
  <c r="G21" i="36"/>
  <c r="J21" i="36" s="1"/>
  <c r="L21" i="36" s="1"/>
  <c r="M21" i="36" s="1"/>
  <c r="N21" i="36" s="1"/>
  <c r="I20" i="36"/>
  <c r="H20" i="36"/>
  <c r="G20" i="36"/>
  <c r="J20" i="36" s="1"/>
  <c r="L20" i="36" s="1"/>
  <c r="M20" i="36" s="1"/>
  <c r="N20" i="36" s="1"/>
  <c r="I19" i="36"/>
  <c r="H19" i="36"/>
  <c r="G19" i="36"/>
  <c r="J19" i="36" s="1"/>
  <c r="L19" i="36" s="1"/>
  <c r="M19" i="36" s="1"/>
  <c r="N19" i="36" s="1"/>
  <c r="I18" i="36"/>
  <c r="H18" i="36"/>
  <c r="G18" i="36"/>
  <c r="J18" i="36" s="1"/>
  <c r="L18" i="36" s="1"/>
  <c r="M18" i="36" s="1"/>
  <c r="N18" i="36" s="1"/>
  <c r="I16" i="36"/>
  <c r="H16" i="36"/>
  <c r="G16" i="36"/>
  <c r="J16" i="36" s="1"/>
  <c r="L16" i="36" s="1"/>
  <c r="M16" i="36" s="1"/>
  <c r="N16" i="36" s="1"/>
  <c r="I14" i="36"/>
  <c r="H14" i="36"/>
  <c r="G14" i="36"/>
  <c r="J14" i="36" s="1"/>
  <c r="L14" i="36" s="1"/>
  <c r="M14" i="36" s="1"/>
  <c r="N14" i="36" s="1"/>
  <c r="I13" i="36"/>
  <c r="H13" i="36"/>
  <c r="G13" i="36"/>
  <c r="J13" i="36" s="1"/>
  <c r="L13" i="36" s="1"/>
  <c r="M13" i="36" s="1"/>
  <c r="N13" i="36" s="1"/>
  <c r="I12" i="36"/>
  <c r="H12" i="36"/>
  <c r="G12" i="36"/>
  <c r="J12" i="36" s="1"/>
  <c r="L12" i="36" s="1"/>
  <c r="M12" i="36" s="1"/>
  <c r="N12" i="36" s="1"/>
  <c r="I11" i="36"/>
  <c r="H11" i="36"/>
  <c r="G11" i="36"/>
  <c r="J11" i="36" s="1"/>
  <c r="L11" i="36" s="1"/>
  <c r="M11" i="36" s="1"/>
  <c r="N11" i="36" s="1"/>
  <c r="I10" i="36"/>
  <c r="H10" i="36"/>
  <c r="G10" i="36"/>
  <c r="J10" i="36" s="1"/>
  <c r="L10" i="36" s="1"/>
  <c r="M10" i="36" s="1"/>
  <c r="N10" i="36" s="1"/>
  <c r="I9" i="36"/>
  <c r="H9" i="36"/>
  <c r="G9" i="36"/>
  <c r="J9" i="36" s="1"/>
  <c r="L9" i="36" s="1"/>
  <c r="M9" i="36" s="1"/>
  <c r="N9" i="36" s="1"/>
  <c r="I8" i="36"/>
  <c r="H8" i="36"/>
  <c r="G8" i="36"/>
  <c r="J8" i="36" s="1"/>
  <c r="L8" i="36" s="1"/>
  <c r="M8" i="36" s="1"/>
  <c r="N8" i="36" s="1"/>
  <c r="A8" i="36"/>
  <c r="A9" i="36" s="1"/>
  <c r="A10" i="36" s="1"/>
  <c r="A11" i="36" s="1"/>
  <c r="A12" i="36" s="1"/>
  <c r="A13" i="36" s="1"/>
  <c r="A14" i="36" s="1"/>
  <c r="A16" i="36" s="1"/>
  <c r="A18" i="36" s="1"/>
  <c r="A19" i="36" s="1"/>
  <c r="A20" i="36" s="1"/>
  <c r="A21" i="36" s="1"/>
  <c r="A22" i="36" s="1"/>
  <c r="A23" i="36" s="1"/>
  <c r="A24" i="36" s="1"/>
  <c r="I7" i="36"/>
  <c r="H7" i="36"/>
  <c r="G7" i="36"/>
  <c r="J7" i="36" s="1"/>
  <c r="L7" i="36" s="1"/>
  <c r="M7" i="36" s="1"/>
  <c r="N7" i="36" s="1"/>
  <c r="I25" i="35"/>
  <c r="H25" i="35"/>
  <c r="J25" i="35" s="1"/>
  <c r="L25" i="35" s="1"/>
  <c r="M25" i="35" s="1"/>
  <c r="N25" i="35" s="1"/>
  <c r="G25" i="35"/>
  <c r="I24" i="35"/>
  <c r="H24" i="35"/>
  <c r="G24" i="35"/>
  <c r="J24" i="35" s="1"/>
  <c r="L24" i="35" s="1"/>
  <c r="M24" i="35" s="1"/>
  <c r="N24" i="35" s="1"/>
  <c r="I23" i="35"/>
  <c r="H23" i="35"/>
  <c r="G23" i="35"/>
  <c r="I22" i="35"/>
  <c r="H22" i="35"/>
  <c r="G22" i="35"/>
  <c r="J22" i="35" s="1"/>
  <c r="L22" i="35" s="1"/>
  <c r="M22" i="35" s="1"/>
  <c r="N22" i="35" s="1"/>
  <c r="I21" i="35"/>
  <c r="H21" i="35"/>
  <c r="G21" i="35"/>
  <c r="I20" i="35"/>
  <c r="H20" i="35"/>
  <c r="G20" i="35"/>
  <c r="J20" i="35" s="1"/>
  <c r="L20" i="35" s="1"/>
  <c r="M20" i="35" s="1"/>
  <c r="N20" i="35" s="1"/>
  <c r="I19" i="35"/>
  <c r="H19" i="35"/>
  <c r="G19" i="35"/>
  <c r="I18" i="35"/>
  <c r="H18" i="35"/>
  <c r="G18" i="35"/>
  <c r="J18" i="35" s="1"/>
  <c r="L18" i="35" s="1"/>
  <c r="M18" i="35" s="1"/>
  <c r="N18" i="35" s="1"/>
  <c r="I16" i="35"/>
  <c r="H16" i="35"/>
  <c r="G16" i="35"/>
  <c r="J16" i="35" s="1"/>
  <c r="L16" i="35" s="1"/>
  <c r="M16" i="35" s="1"/>
  <c r="N16" i="35" s="1"/>
  <c r="I14" i="35"/>
  <c r="H14" i="35"/>
  <c r="G14" i="35"/>
  <c r="J14" i="35" s="1"/>
  <c r="L14" i="35" s="1"/>
  <c r="M14" i="35" s="1"/>
  <c r="N14" i="35" s="1"/>
  <c r="I13" i="35"/>
  <c r="H13" i="35"/>
  <c r="G13" i="35"/>
  <c r="I12" i="35"/>
  <c r="H12" i="35"/>
  <c r="G12" i="35"/>
  <c r="J12" i="35" s="1"/>
  <c r="L12" i="35" s="1"/>
  <c r="M12" i="35" s="1"/>
  <c r="N12" i="35" s="1"/>
  <c r="I11" i="35"/>
  <c r="H11" i="35"/>
  <c r="G11" i="35"/>
  <c r="I10" i="35"/>
  <c r="H10" i="35"/>
  <c r="G10" i="35"/>
  <c r="J10" i="35" s="1"/>
  <c r="L10" i="35" s="1"/>
  <c r="M10" i="35" s="1"/>
  <c r="N10" i="35" s="1"/>
  <c r="I9" i="35"/>
  <c r="H9" i="35"/>
  <c r="G9" i="35"/>
  <c r="I8" i="35"/>
  <c r="H8" i="35"/>
  <c r="G8" i="35"/>
  <c r="J8" i="35" s="1"/>
  <c r="L8" i="35" s="1"/>
  <c r="M8" i="35" s="1"/>
  <c r="N8" i="35" s="1"/>
  <c r="A8" i="35"/>
  <c r="A9" i="35" s="1"/>
  <c r="A10" i="35" s="1"/>
  <c r="A11" i="35" s="1"/>
  <c r="A12" i="35" s="1"/>
  <c r="A13" i="35" s="1"/>
  <c r="A14" i="35" s="1"/>
  <c r="A16" i="35" s="1"/>
  <c r="A18" i="35" s="1"/>
  <c r="A19" i="35" s="1"/>
  <c r="A20" i="35" s="1"/>
  <c r="A21" i="35" s="1"/>
  <c r="A22" i="35" s="1"/>
  <c r="A23" i="35" s="1"/>
  <c r="A24" i="35" s="1"/>
  <c r="I7" i="35"/>
  <c r="H7" i="35"/>
  <c r="G7" i="35"/>
  <c r="J7" i="35" s="1"/>
  <c r="L7" i="35" s="1"/>
  <c r="M7" i="35" s="1"/>
  <c r="N7" i="35" s="1"/>
  <c r="J19" i="35" l="1"/>
  <c r="L19" i="35" s="1"/>
  <c r="M19" i="35" s="1"/>
  <c r="N19" i="35" s="1"/>
  <c r="J21" i="35"/>
  <c r="L21" i="35" s="1"/>
  <c r="M21" i="35" s="1"/>
  <c r="N21" i="35" s="1"/>
  <c r="J23" i="35"/>
  <c r="L23" i="35" s="1"/>
  <c r="M23" i="35" s="1"/>
  <c r="N23" i="35" s="1"/>
  <c r="J9" i="35"/>
  <c r="L9" i="35" s="1"/>
  <c r="M9" i="35" s="1"/>
  <c r="N9" i="35" s="1"/>
  <c r="J11" i="35"/>
  <c r="L11" i="35" s="1"/>
  <c r="M11" i="35" s="1"/>
  <c r="N11" i="35" s="1"/>
  <c r="J13" i="35"/>
  <c r="L13" i="35" s="1"/>
  <c r="M13" i="35" s="1"/>
  <c r="N13" i="35" s="1"/>
  <c r="L25" i="34"/>
  <c r="M25" i="34" s="1"/>
  <c r="N25" i="34" s="1"/>
  <c r="J25" i="34"/>
  <c r="I25" i="34"/>
  <c r="H25" i="34"/>
  <c r="G25" i="34"/>
  <c r="I24" i="34" l="1"/>
  <c r="H24" i="34"/>
  <c r="G24" i="34"/>
  <c r="I23" i="34"/>
  <c r="H23" i="34"/>
  <c r="G23" i="34"/>
  <c r="I22" i="34"/>
  <c r="H22" i="34"/>
  <c r="J22" i="34" s="1"/>
  <c r="L22" i="34" s="1"/>
  <c r="M22" i="34" s="1"/>
  <c r="N22" i="34" s="1"/>
  <c r="G22" i="34"/>
  <c r="I21" i="34"/>
  <c r="H21" i="34"/>
  <c r="G21" i="34"/>
  <c r="I20" i="34"/>
  <c r="H20" i="34"/>
  <c r="J20" i="34" s="1"/>
  <c r="L20" i="34" s="1"/>
  <c r="M20" i="34" s="1"/>
  <c r="N20" i="34" s="1"/>
  <c r="G20" i="34"/>
  <c r="I19" i="34"/>
  <c r="H19" i="34"/>
  <c r="G19" i="34"/>
  <c r="I18" i="34"/>
  <c r="H18" i="34"/>
  <c r="J18" i="34" s="1"/>
  <c r="L18" i="34" s="1"/>
  <c r="M18" i="34" s="1"/>
  <c r="N18" i="34" s="1"/>
  <c r="G18" i="34"/>
  <c r="I16" i="34"/>
  <c r="H16" i="34"/>
  <c r="G16" i="34"/>
  <c r="I14" i="34"/>
  <c r="H14" i="34"/>
  <c r="G14" i="34"/>
  <c r="I13" i="34"/>
  <c r="H13" i="34"/>
  <c r="G13" i="34"/>
  <c r="I12" i="34"/>
  <c r="H12" i="34"/>
  <c r="J12" i="34" s="1"/>
  <c r="L12" i="34" s="1"/>
  <c r="M12" i="34" s="1"/>
  <c r="N12" i="34" s="1"/>
  <c r="G12" i="34"/>
  <c r="I11" i="34"/>
  <c r="H11" i="34"/>
  <c r="G11" i="34"/>
  <c r="I10" i="34"/>
  <c r="H10" i="34"/>
  <c r="J10" i="34" s="1"/>
  <c r="L10" i="34" s="1"/>
  <c r="M10" i="34" s="1"/>
  <c r="N10" i="34" s="1"/>
  <c r="G10" i="34"/>
  <c r="I9" i="34"/>
  <c r="H9" i="34"/>
  <c r="G9" i="34"/>
  <c r="I8" i="34"/>
  <c r="H8" i="34"/>
  <c r="J8" i="34" s="1"/>
  <c r="L8" i="34" s="1"/>
  <c r="M8" i="34" s="1"/>
  <c r="N8" i="34" s="1"/>
  <c r="G8" i="34"/>
  <c r="A8" i="34"/>
  <c r="A9" i="34" s="1"/>
  <c r="A10" i="34" s="1"/>
  <c r="A11" i="34" s="1"/>
  <c r="A12" i="34" s="1"/>
  <c r="A13" i="34" s="1"/>
  <c r="A14" i="34" s="1"/>
  <c r="A16" i="34" s="1"/>
  <c r="A18" i="34" s="1"/>
  <c r="A19" i="34" s="1"/>
  <c r="A20" i="34" s="1"/>
  <c r="A21" i="34" s="1"/>
  <c r="A22" i="34" s="1"/>
  <c r="A23" i="34" s="1"/>
  <c r="A24" i="34" s="1"/>
  <c r="I7" i="34"/>
  <c r="H7" i="34"/>
  <c r="J7" i="34" s="1"/>
  <c r="L7" i="34" s="1"/>
  <c r="M7" i="34" s="1"/>
  <c r="N7" i="34" s="1"/>
  <c r="G7" i="34"/>
  <c r="J14" i="34" l="1"/>
  <c r="L14" i="34" s="1"/>
  <c r="M14" i="34" s="1"/>
  <c r="N14" i="34" s="1"/>
  <c r="J9" i="34"/>
  <c r="L9" i="34" s="1"/>
  <c r="M9" i="34" s="1"/>
  <c r="N9" i="34" s="1"/>
  <c r="J11" i="34"/>
  <c r="L11" i="34" s="1"/>
  <c r="M11" i="34" s="1"/>
  <c r="N11" i="34" s="1"/>
  <c r="J13" i="34"/>
  <c r="L13" i="34" s="1"/>
  <c r="M13" i="34" s="1"/>
  <c r="N13" i="34" s="1"/>
  <c r="J16" i="34"/>
  <c r="L16" i="34" s="1"/>
  <c r="M16" i="34" s="1"/>
  <c r="N16" i="34" s="1"/>
  <c r="J19" i="34"/>
  <c r="L19" i="34" s="1"/>
  <c r="M19" i="34" s="1"/>
  <c r="N19" i="34" s="1"/>
  <c r="J21" i="34"/>
  <c r="L21" i="34" s="1"/>
  <c r="M21" i="34" s="1"/>
  <c r="N21" i="34" s="1"/>
  <c r="J23" i="34"/>
  <c r="L23" i="34" s="1"/>
  <c r="M23" i="34" s="1"/>
  <c r="N23" i="34" s="1"/>
  <c r="J24" i="34"/>
  <c r="L24" i="34" s="1"/>
  <c r="M24" i="34" s="1"/>
  <c r="N24" i="34" s="1"/>
  <c r="G19" i="33"/>
  <c r="N23" i="33" l="1"/>
  <c r="M23" i="33"/>
  <c r="L21" i="33"/>
  <c r="M21" i="33" s="1"/>
  <c r="N21" i="33" s="1"/>
  <c r="L22" i="33"/>
  <c r="M22" i="33" s="1"/>
  <c r="N22" i="33" s="1"/>
  <c r="L23" i="33"/>
  <c r="L24" i="33"/>
  <c r="M24" i="33" s="1"/>
  <c r="N24" i="33" s="1"/>
  <c r="J21" i="33"/>
  <c r="J22" i="33"/>
  <c r="J23" i="33"/>
  <c r="J24" i="33"/>
  <c r="I19" i="33"/>
  <c r="I20" i="33"/>
  <c r="J20" i="33" s="1"/>
  <c r="L20" i="33" s="1"/>
  <c r="M20" i="33" s="1"/>
  <c r="N20" i="33" s="1"/>
  <c r="I21" i="33"/>
  <c r="I22" i="33"/>
  <c r="I23" i="33"/>
  <c r="I24" i="33"/>
  <c r="H19" i="33"/>
  <c r="H20" i="33"/>
  <c r="H21" i="33"/>
  <c r="H22" i="33"/>
  <c r="H23" i="33"/>
  <c r="H24" i="33"/>
  <c r="J19" i="33"/>
  <c r="L19" i="33" s="1"/>
  <c r="M19" i="33" s="1"/>
  <c r="N19" i="33" s="1"/>
  <c r="G20" i="33"/>
  <c r="G21" i="33"/>
  <c r="G22" i="33"/>
  <c r="G23" i="33"/>
  <c r="G24" i="33"/>
  <c r="A20" i="33"/>
  <c r="A21" i="33"/>
  <c r="A22" i="33" s="1"/>
  <c r="A23" i="33" s="1"/>
  <c r="A24" i="33" s="1"/>
  <c r="A19" i="33"/>
  <c r="I18" i="33"/>
  <c r="H18" i="33"/>
  <c r="G18" i="33"/>
  <c r="I16" i="33"/>
  <c r="H16" i="33"/>
  <c r="G16" i="33"/>
  <c r="I14" i="33"/>
  <c r="H14" i="33"/>
  <c r="G14" i="33"/>
  <c r="I13" i="33"/>
  <c r="H13" i="33"/>
  <c r="G13" i="33"/>
  <c r="I12" i="33"/>
  <c r="H12" i="33"/>
  <c r="G12" i="33"/>
  <c r="I11" i="33"/>
  <c r="H11" i="33"/>
  <c r="G11" i="33"/>
  <c r="I10" i="33"/>
  <c r="H10" i="33"/>
  <c r="G10" i="33"/>
  <c r="I9" i="33"/>
  <c r="H9" i="33"/>
  <c r="G9" i="33"/>
  <c r="I8" i="33"/>
  <c r="H8" i="33"/>
  <c r="G8" i="33"/>
  <c r="A8" i="33"/>
  <c r="A9" i="33" s="1"/>
  <c r="A10" i="33" s="1"/>
  <c r="A11" i="33" s="1"/>
  <c r="A12" i="33" s="1"/>
  <c r="A13" i="33" s="1"/>
  <c r="A14" i="33" s="1"/>
  <c r="A16" i="33" s="1"/>
  <c r="A18" i="33" s="1"/>
  <c r="I7" i="33"/>
  <c r="H7" i="33"/>
  <c r="G7" i="33"/>
  <c r="J7" i="30"/>
  <c r="J7" i="33" l="1"/>
  <c r="L7" i="33" s="1"/>
  <c r="M7" i="33" s="1"/>
  <c r="N7" i="33" s="1"/>
  <c r="J8" i="33"/>
  <c r="L8" i="33" s="1"/>
  <c r="J10" i="33"/>
  <c r="L10" i="33" s="1"/>
  <c r="M10" i="33" s="1"/>
  <c r="N10" i="33" s="1"/>
  <c r="J12" i="33"/>
  <c r="L12" i="33" s="1"/>
  <c r="M12" i="33" s="1"/>
  <c r="N12" i="33" s="1"/>
  <c r="J14" i="33"/>
  <c r="L14" i="33" s="1"/>
  <c r="M14" i="33" s="1"/>
  <c r="N14" i="33" s="1"/>
  <c r="J18" i="33"/>
  <c r="L18" i="33" s="1"/>
  <c r="M18" i="33" s="1"/>
  <c r="N18" i="33" s="1"/>
  <c r="M8" i="33"/>
  <c r="N8" i="33" s="1"/>
  <c r="J9" i="33"/>
  <c r="J11" i="33"/>
  <c r="J13" i="33"/>
  <c r="J16" i="33"/>
  <c r="A19" i="30"/>
  <c r="M16" i="33" l="1"/>
  <c r="N16" i="33" s="1"/>
  <c r="L16" i="33"/>
  <c r="L11" i="33"/>
  <c r="M11" i="33" s="1"/>
  <c r="N11" i="33" s="1"/>
  <c r="L13" i="33"/>
  <c r="M13" i="33" s="1"/>
  <c r="N13" i="33" s="1"/>
  <c r="L9" i="33"/>
  <c r="M9" i="33" s="1"/>
  <c r="N9" i="33" s="1"/>
  <c r="J8" i="31"/>
  <c r="J9" i="31"/>
  <c r="J11" i="31"/>
  <c r="J10" i="31"/>
  <c r="J12" i="31"/>
  <c r="J13" i="31"/>
  <c r="J14" i="31"/>
  <c r="J15" i="31"/>
  <c r="J16" i="31"/>
  <c r="J17" i="31"/>
  <c r="J18" i="31"/>
  <c r="J19" i="31"/>
  <c r="J20" i="31"/>
  <c r="J21" i="31"/>
  <c r="J22" i="31"/>
  <c r="J23" i="31"/>
  <c r="J24" i="31"/>
  <c r="J25" i="31"/>
  <c r="J7" i="31"/>
  <c r="J26" i="31" l="1"/>
  <c r="K19" i="31" s="1"/>
  <c r="I20" i="30"/>
  <c r="H20" i="30"/>
  <c r="G20" i="30"/>
  <c r="I19" i="30"/>
  <c r="H19" i="30"/>
  <c r="G19" i="30"/>
  <c r="I18" i="30"/>
  <c r="H18" i="30"/>
  <c r="G18" i="30"/>
  <c r="I16" i="30"/>
  <c r="H16" i="30"/>
  <c r="J16" i="30" s="1"/>
  <c r="K16" i="30" s="1"/>
  <c r="L16" i="30" s="1"/>
  <c r="M16" i="30" s="1"/>
  <c r="G16" i="30"/>
  <c r="I14" i="30"/>
  <c r="H14" i="30"/>
  <c r="G14" i="30"/>
  <c r="I13" i="30"/>
  <c r="H13" i="30"/>
  <c r="J13" i="30" s="1"/>
  <c r="K13" i="30" s="1"/>
  <c r="L13" i="30" s="1"/>
  <c r="M13" i="30" s="1"/>
  <c r="G13" i="30"/>
  <c r="I12" i="30"/>
  <c r="H12" i="30"/>
  <c r="G12" i="30"/>
  <c r="I11" i="30"/>
  <c r="H11" i="30"/>
  <c r="J11" i="30" s="1"/>
  <c r="K11" i="30" s="1"/>
  <c r="L11" i="30" s="1"/>
  <c r="M11" i="30" s="1"/>
  <c r="G11" i="30"/>
  <c r="I10" i="30"/>
  <c r="H10" i="30"/>
  <c r="G10" i="30"/>
  <c r="I9" i="30"/>
  <c r="H9" i="30"/>
  <c r="J9" i="30" s="1"/>
  <c r="K9" i="30" s="1"/>
  <c r="L9" i="30" s="1"/>
  <c r="M9" i="30" s="1"/>
  <c r="G9" i="30"/>
  <c r="I8" i="30"/>
  <c r="H8" i="30"/>
  <c r="G8" i="30"/>
  <c r="A8" i="30"/>
  <c r="A9" i="30" s="1"/>
  <c r="A10" i="30" s="1"/>
  <c r="A11" i="30" s="1"/>
  <c r="A12" i="30" s="1"/>
  <c r="A13" i="30" s="1"/>
  <c r="A14" i="30" s="1"/>
  <c r="A16" i="30" s="1"/>
  <c r="A18" i="30" s="1"/>
  <c r="A20" i="30" s="1"/>
  <c r="I7" i="30"/>
  <c r="H7" i="30"/>
  <c r="G7" i="30"/>
  <c r="J20" i="30" l="1"/>
  <c r="K20" i="30" s="1"/>
  <c r="L20" i="30" s="1"/>
  <c r="M20" i="30" s="1"/>
  <c r="K7" i="30"/>
  <c r="L7" i="30" s="1"/>
  <c r="M7" i="30" s="1"/>
  <c r="J8" i="30"/>
  <c r="K8" i="30" s="1"/>
  <c r="L8" i="30" s="1"/>
  <c r="M8" i="30" s="1"/>
  <c r="J10" i="30"/>
  <c r="K10" i="30" s="1"/>
  <c r="L10" i="30" s="1"/>
  <c r="M10" i="30" s="1"/>
  <c r="J12" i="30"/>
  <c r="K12" i="30" s="1"/>
  <c r="L12" i="30" s="1"/>
  <c r="M12" i="30" s="1"/>
  <c r="J14" i="30"/>
  <c r="K14" i="30" s="1"/>
  <c r="L14" i="30" s="1"/>
  <c r="M14" i="30" s="1"/>
  <c r="J18" i="30"/>
  <c r="K18" i="30" s="1"/>
  <c r="L18" i="30" s="1"/>
  <c r="M18" i="30" s="1"/>
  <c r="J19" i="30"/>
  <c r="K19" i="30" s="1"/>
  <c r="L19" i="30" s="1"/>
  <c r="M19" i="30" s="1"/>
  <c r="I21" i="29"/>
  <c r="H21" i="29"/>
  <c r="G21" i="29"/>
  <c r="I20" i="29"/>
  <c r="H20" i="29"/>
  <c r="G20" i="29"/>
  <c r="I19" i="29"/>
  <c r="H19" i="29"/>
  <c r="J19" i="29" s="1"/>
  <c r="K19" i="29" s="1"/>
  <c r="L19" i="29" s="1"/>
  <c r="M19" i="29" s="1"/>
  <c r="G19" i="29"/>
  <c r="I18" i="29"/>
  <c r="H18" i="29"/>
  <c r="G18" i="29"/>
  <c r="I16" i="29"/>
  <c r="H16" i="29"/>
  <c r="G16" i="29"/>
  <c r="I14" i="29"/>
  <c r="H14" i="29"/>
  <c r="G14" i="29"/>
  <c r="I13" i="29"/>
  <c r="H13" i="29"/>
  <c r="J13" i="29" s="1"/>
  <c r="K13" i="29" s="1"/>
  <c r="L13" i="29" s="1"/>
  <c r="M13" i="29" s="1"/>
  <c r="G13" i="29"/>
  <c r="I12" i="29"/>
  <c r="H12" i="29"/>
  <c r="G12" i="29"/>
  <c r="I11" i="29"/>
  <c r="H11" i="29"/>
  <c r="J11" i="29" s="1"/>
  <c r="K11" i="29" s="1"/>
  <c r="L11" i="29" s="1"/>
  <c r="M11" i="29" s="1"/>
  <c r="G11" i="29"/>
  <c r="I10" i="29"/>
  <c r="H10" i="29"/>
  <c r="G10" i="29"/>
  <c r="I9" i="29"/>
  <c r="H9" i="29"/>
  <c r="J9" i="29" s="1"/>
  <c r="K9" i="29" s="1"/>
  <c r="L9" i="29" s="1"/>
  <c r="M9" i="29" s="1"/>
  <c r="G9" i="29"/>
  <c r="I8" i="29"/>
  <c r="H8" i="29"/>
  <c r="G8" i="29"/>
  <c r="I7" i="29"/>
  <c r="H7" i="29"/>
  <c r="J7" i="29" s="1"/>
  <c r="K7" i="29" s="1"/>
  <c r="L7" i="29" s="1"/>
  <c r="M7" i="29" s="1"/>
  <c r="G7" i="29"/>
  <c r="A8" i="29"/>
  <c r="A9" i="29" s="1"/>
  <c r="A10" i="29" s="1"/>
  <c r="A11" i="29" s="1"/>
  <c r="A12" i="29" s="1"/>
  <c r="A13" i="29" s="1"/>
  <c r="A14" i="29" s="1"/>
  <c r="A16" i="29" s="1"/>
  <c r="A18" i="29" s="1"/>
  <c r="A19" i="29" s="1"/>
  <c r="A20" i="29" s="1"/>
  <c r="A21" i="29" s="1"/>
  <c r="J21" i="29" l="1"/>
  <c r="K21" i="29" s="1"/>
  <c r="L21" i="29" s="1"/>
  <c r="M21" i="29" s="1"/>
  <c r="J16" i="29"/>
  <c r="K16" i="29" s="1"/>
  <c r="L16" i="29" s="1"/>
  <c r="M16" i="29" s="1"/>
  <c r="J18" i="29"/>
  <c r="K18" i="29" s="1"/>
  <c r="L18" i="29" s="1"/>
  <c r="M18" i="29" s="1"/>
  <c r="J20" i="29"/>
  <c r="K20" i="29" s="1"/>
  <c r="L20" i="29" s="1"/>
  <c r="M20" i="29" s="1"/>
  <c r="J8" i="29"/>
  <c r="K8" i="29" s="1"/>
  <c r="L8" i="29" s="1"/>
  <c r="M8" i="29" s="1"/>
  <c r="J10" i="29"/>
  <c r="K10" i="29" s="1"/>
  <c r="L10" i="29" s="1"/>
  <c r="M10" i="29" s="1"/>
  <c r="J12" i="29"/>
  <c r="K12" i="29" s="1"/>
  <c r="L12" i="29" s="1"/>
  <c r="M12" i="29" s="1"/>
  <c r="J14" i="29"/>
  <c r="K14" i="29" s="1"/>
  <c r="L14" i="29" s="1"/>
  <c r="M14" i="29" s="1"/>
  <c r="I22" i="28"/>
  <c r="H22" i="28"/>
  <c r="G22" i="28"/>
  <c r="I21" i="28"/>
  <c r="H21" i="28"/>
  <c r="G21" i="28"/>
  <c r="I20" i="28"/>
  <c r="H20" i="28"/>
  <c r="J20" i="28" s="1"/>
  <c r="K20" i="28" s="1"/>
  <c r="L20" i="28" s="1"/>
  <c r="M20" i="28" s="1"/>
  <c r="G20" i="28"/>
  <c r="I19" i="28"/>
  <c r="H19" i="28"/>
  <c r="G19" i="28"/>
  <c r="I17" i="28"/>
  <c r="H17" i="28"/>
  <c r="G17" i="28"/>
  <c r="I15" i="28"/>
  <c r="H15" i="28"/>
  <c r="G15" i="28"/>
  <c r="I14" i="28"/>
  <c r="H14" i="28"/>
  <c r="J14" i="28" s="1"/>
  <c r="K14" i="28" s="1"/>
  <c r="L14" i="28" s="1"/>
  <c r="M14" i="28" s="1"/>
  <c r="G14" i="28"/>
  <c r="I13" i="28"/>
  <c r="H13" i="28"/>
  <c r="G13" i="28"/>
  <c r="I12" i="28"/>
  <c r="H12" i="28"/>
  <c r="J12" i="28" s="1"/>
  <c r="K12" i="28" s="1"/>
  <c r="L12" i="28" s="1"/>
  <c r="M12" i="28" s="1"/>
  <c r="G12" i="28"/>
  <c r="I11" i="28"/>
  <c r="H11" i="28"/>
  <c r="G11" i="28"/>
  <c r="I10" i="28"/>
  <c r="H10" i="28"/>
  <c r="J10" i="28" s="1"/>
  <c r="K10" i="28" s="1"/>
  <c r="L10" i="28" s="1"/>
  <c r="M10" i="28" s="1"/>
  <c r="G10" i="28"/>
  <c r="I9" i="28"/>
  <c r="H9" i="28"/>
  <c r="G9" i="28"/>
  <c r="I8" i="28"/>
  <c r="H8" i="28"/>
  <c r="J8" i="28" s="1"/>
  <c r="K8" i="28" s="1"/>
  <c r="L8" i="28" s="1"/>
  <c r="M8" i="28" s="1"/>
  <c r="G8" i="28"/>
  <c r="A8" i="28"/>
  <c r="A9" i="28" s="1"/>
  <c r="A10" i="28" s="1"/>
  <c r="A11" i="28" s="1"/>
  <c r="A12" i="28" s="1"/>
  <c r="A13" i="28" s="1"/>
  <c r="A14" i="28" s="1"/>
  <c r="A15" i="28" s="1"/>
  <c r="A17" i="28" s="1"/>
  <c r="A19" i="28" s="1"/>
  <c r="A20" i="28" s="1"/>
  <c r="A21" i="28" s="1"/>
  <c r="A22" i="28" s="1"/>
  <c r="I7" i="28"/>
  <c r="H7" i="28"/>
  <c r="J7" i="28" s="1"/>
  <c r="K7" i="28" s="1"/>
  <c r="L7" i="28" s="1"/>
  <c r="M7" i="28" s="1"/>
  <c r="G7" i="28"/>
  <c r="J17" i="28" l="1"/>
  <c r="K17" i="28" s="1"/>
  <c r="L17" i="28" s="1"/>
  <c r="M17" i="28" s="1"/>
  <c r="J22" i="28"/>
  <c r="K22" i="28" s="1"/>
  <c r="L22" i="28" s="1"/>
  <c r="M22" i="28" s="1"/>
  <c r="J19" i="28"/>
  <c r="K19" i="28" s="1"/>
  <c r="L19" i="28" s="1"/>
  <c r="M19" i="28" s="1"/>
  <c r="J21" i="28"/>
  <c r="K21" i="28" s="1"/>
  <c r="L21" i="28" s="1"/>
  <c r="M21" i="28" s="1"/>
  <c r="J9" i="28"/>
  <c r="K9" i="28" s="1"/>
  <c r="L9" i="28" s="1"/>
  <c r="M9" i="28" s="1"/>
  <c r="J11" i="28"/>
  <c r="K11" i="28" s="1"/>
  <c r="L11" i="28" s="1"/>
  <c r="M11" i="28" s="1"/>
  <c r="J13" i="28"/>
  <c r="K13" i="28" s="1"/>
  <c r="L13" i="28" s="1"/>
  <c r="M13" i="28" s="1"/>
  <c r="J15" i="28"/>
  <c r="K15" i="28" s="1"/>
  <c r="L15" i="28" s="1"/>
  <c r="M15" i="28" s="1"/>
  <c r="I22" i="27"/>
  <c r="H22" i="27"/>
  <c r="G22" i="27"/>
  <c r="I21" i="27"/>
  <c r="H21" i="27"/>
  <c r="G21" i="27"/>
  <c r="J21" i="27" s="1"/>
  <c r="K21" i="27" s="1"/>
  <c r="L21" i="27" s="1"/>
  <c r="M21" i="27" s="1"/>
  <c r="I20" i="27"/>
  <c r="H20" i="27"/>
  <c r="G20" i="27"/>
  <c r="I19" i="27"/>
  <c r="H19" i="27"/>
  <c r="G19" i="27"/>
  <c r="J19" i="27" s="1"/>
  <c r="K19" i="27" s="1"/>
  <c r="L19" i="27" s="1"/>
  <c r="M19" i="27" s="1"/>
  <c r="I17" i="27"/>
  <c r="H17" i="27"/>
  <c r="G17" i="27"/>
  <c r="I15" i="27"/>
  <c r="H15" i="27"/>
  <c r="G15" i="27"/>
  <c r="J15" i="27" s="1"/>
  <c r="K15" i="27" s="1"/>
  <c r="L15" i="27" s="1"/>
  <c r="M15" i="27" s="1"/>
  <c r="I14" i="27"/>
  <c r="H14" i="27"/>
  <c r="G14" i="27"/>
  <c r="I13" i="27"/>
  <c r="H13" i="27"/>
  <c r="G13" i="27"/>
  <c r="J13" i="27" s="1"/>
  <c r="K13" i="27" s="1"/>
  <c r="L13" i="27" s="1"/>
  <c r="M13" i="27" s="1"/>
  <c r="I12" i="27"/>
  <c r="H12" i="27"/>
  <c r="G12" i="27"/>
  <c r="I11" i="27"/>
  <c r="H11" i="27"/>
  <c r="G11" i="27"/>
  <c r="J11" i="27" s="1"/>
  <c r="K11" i="27" s="1"/>
  <c r="L11" i="27" s="1"/>
  <c r="M11" i="27" s="1"/>
  <c r="I10" i="27"/>
  <c r="H10" i="27"/>
  <c r="G10" i="27"/>
  <c r="I9" i="27"/>
  <c r="H9" i="27"/>
  <c r="G9" i="27"/>
  <c r="J9" i="27" s="1"/>
  <c r="K9" i="27" s="1"/>
  <c r="L9" i="27" s="1"/>
  <c r="M9" i="27" s="1"/>
  <c r="I8" i="27"/>
  <c r="H8" i="27"/>
  <c r="G8" i="27"/>
  <c r="A8" i="27"/>
  <c r="A9" i="27" s="1"/>
  <c r="A10" i="27" s="1"/>
  <c r="A11" i="27" s="1"/>
  <c r="A12" i="27" s="1"/>
  <c r="A13" i="27" s="1"/>
  <c r="A14" i="27" s="1"/>
  <c r="A15" i="27" s="1"/>
  <c r="A17" i="27" s="1"/>
  <c r="A19" i="27" s="1"/>
  <c r="A20" i="27" s="1"/>
  <c r="A21" i="27" s="1"/>
  <c r="A22" i="27" s="1"/>
  <c r="I7" i="27"/>
  <c r="H7" i="27"/>
  <c r="G7" i="27"/>
  <c r="J7" i="27" l="1"/>
  <c r="K7" i="27" s="1"/>
  <c r="L7" i="27" s="1"/>
  <c r="M7" i="27" s="1"/>
  <c r="J8" i="27"/>
  <c r="K8" i="27" s="1"/>
  <c r="L8" i="27" s="1"/>
  <c r="M8" i="27" s="1"/>
  <c r="J10" i="27"/>
  <c r="K10" i="27" s="1"/>
  <c r="L10" i="27" s="1"/>
  <c r="M10" i="27" s="1"/>
  <c r="J12" i="27"/>
  <c r="K12" i="27" s="1"/>
  <c r="L12" i="27" s="1"/>
  <c r="M12" i="27" s="1"/>
  <c r="J14" i="27"/>
  <c r="K14" i="27" s="1"/>
  <c r="L14" i="27" s="1"/>
  <c r="M14" i="27" s="1"/>
  <c r="J17" i="27"/>
  <c r="K17" i="27" s="1"/>
  <c r="L17" i="27" s="1"/>
  <c r="M17" i="27" s="1"/>
  <c r="J20" i="27"/>
  <c r="K20" i="27" s="1"/>
  <c r="L20" i="27" s="1"/>
  <c r="M20" i="27" s="1"/>
  <c r="J22" i="27"/>
  <c r="K22" i="27" s="1"/>
  <c r="L22" i="27" s="1"/>
  <c r="M22" i="27" s="1"/>
  <c r="A17" i="26"/>
  <c r="A8" i="26"/>
  <c r="I22" i="26"/>
  <c r="H22" i="26"/>
  <c r="G22" i="26"/>
  <c r="I21" i="26"/>
  <c r="H21" i="26"/>
  <c r="G21" i="26"/>
  <c r="I20" i="26"/>
  <c r="H20" i="26"/>
  <c r="G20" i="26"/>
  <c r="I19" i="26"/>
  <c r="H19" i="26"/>
  <c r="G19" i="26"/>
  <c r="I17" i="26"/>
  <c r="H17" i="26"/>
  <c r="G17" i="26"/>
  <c r="I15" i="26"/>
  <c r="H15" i="26"/>
  <c r="G15" i="26"/>
  <c r="I14" i="26"/>
  <c r="H14" i="26"/>
  <c r="G14" i="26"/>
  <c r="I13" i="26"/>
  <c r="H13" i="26"/>
  <c r="G13" i="26"/>
  <c r="I12" i="26"/>
  <c r="H12" i="26"/>
  <c r="G12" i="26"/>
  <c r="I11" i="26"/>
  <c r="H11" i="26"/>
  <c r="G11" i="26"/>
  <c r="I10" i="26"/>
  <c r="H10" i="26"/>
  <c r="G10" i="26"/>
  <c r="I9" i="26"/>
  <c r="H9" i="26"/>
  <c r="G9" i="26"/>
  <c r="I8" i="26"/>
  <c r="H8" i="26"/>
  <c r="G8" i="26"/>
  <c r="A9" i="26"/>
  <c r="A10" i="26" s="1"/>
  <c r="A11" i="26" s="1"/>
  <c r="A12" i="26" s="1"/>
  <c r="A13" i="26" s="1"/>
  <c r="A14" i="26" s="1"/>
  <c r="A15" i="26" s="1"/>
  <c r="A19" i="26" s="1"/>
  <c r="A20" i="26" s="1"/>
  <c r="A21" i="26" s="1"/>
  <c r="A22" i="26" s="1"/>
  <c r="I7" i="26"/>
  <c r="H7" i="26"/>
  <c r="G7" i="26"/>
  <c r="J8" i="26" l="1"/>
  <c r="K8" i="26" s="1"/>
  <c r="L8" i="26" s="1"/>
  <c r="M8" i="26" s="1"/>
  <c r="J10" i="26"/>
  <c r="K10" i="26" s="1"/>
  <c r="L10" i="26" s="1"/>
  <c r="M10" i="26" s="1"/>
  <c r="J12" i="26"/>
  <c r="K12" i="26" s="1"/>
  <c r="L12" i="26" s="1"/>
  <c r="M12" i="26" s="1"/>
  <c r="J14" i="26"/>
  <c r="K14" i="26" s="1"/>
  <c r="L14" i="26" s="1"/>
  <c r="M14" i="26" s="1"/>
  <c r="J17" i="26"/>
  <c r="K17" i="26" s="1"/>
  <c r="L17" i="26" s="1"/>
  <c r="M17" i="26" s="1"/>
  <c r="J20" i="26"/>
  <c r="K20" i="26" s="1"/>
  <c r="L20" i="26" s="1"/>
  <c r="M20" i="26" s="1"/>
  <c r="J22" i="26"/>
  <c r="K22" i="26" s="1"/>
  <c r="L22" i="26" s="1"/>
  <c r="M22" i="26" s="1"/>
  <c r="J19" i="26"/>
  <c r="K19" i="26" s="1"/>
  <c r="L19" i="26" s="1"/>
  <c r="M19" i="26" s="1"/>
  <c r="J21" i="26"/>
  <c r="K21" i="26" s="1"/>
  <c r="L21" i="26" s="1"/>
  <c r="M21" i="26" s="1"/>
  <c r="J7" i="26"/>
  <c r="K7" i="26" s="1"/>
  <c r="L7" i="26" s="1"/>
  <c r="M7" i="26" s="1"/>
  <c r="J9" i="26"/>
  <c r="K9" i="26" s="1"/>
  <c r="L9" i="26" s="1"/>
  <c r="M9" i="26" s="1"/>
  <c r="J11" i="26"/>
  <c r="K11" i="26" s="1"/>
  <c r="L11" i="26" s="1"/>
  <c r="M11" i="26" s="1"/>
  <c r="J13" i="26"/>
  <c r="K13" i="26" s="1"/>
  <c r="L13" i="26" s="1"/>
  <c r="M13" i="26" s="1"/>
  <c r="J15" i="26"/>
  <c r="K15" i="26" s="1"/>
  <c r="L15" i="26" s="1"/>
  <c r="M15" i="26" s="1"/>
  <c r="A8" i="25"/>
  <c r="I24" i="25" l="1"/>
  <c r="H24" i="25"/>
  <c r="G24" i="25"/>
  <c r="I23" i="25"/>
  <c r="H23" i="25"/>
  <c r="G23" i="25"/>
  <c r="I22" i="25"/>
  <c r="H22" i="25"/>
  <c r="G22" i="25"/>
  <c r="I21" i="25"/>
  <c r="H21" i="25"/>
  <c r="G21" i="25"/>
  <c r="I19" i="25"/>
  <c r="H19" i="25"/>
  <c r="G19" i="25"/>
  <c r="K18" i="25"/>
  <c r="L18" i="25" s="1"/>
  <c r="M18" i="25" s="1"/>
  <c r="I16" i="25"/>
  <c r="H16" i="25"/>
  <c r="G16" i="25"/>
  <c r="I15" i="25"/>
  <c r="H15" i="25"/>
  <c r="G15" i="25"/>
  <c r="I14" i="25"/>
  <c r="H14" i="25"/>
  <c r="G14" i="25"/>
  <c r="I13" i="25"/>
  <c r="H13" i="25"/>
  <c r="G13" i="25"/>
  <c r="I12" i="25"/>
  <c r="H12" i="25"/>
  <c r="G12" i="25"/>
  <c r="I11" i="25"/>
  <c r="H11" i="25"/>
  <c r="G11" i="25"/>
  <c r="I10" i="25"/>
  <c r="H10" i="25"/>
  <c r="G10" i="25"/>
  <c r="I9" i="25"/>
  <c r="H9" i="25"/>
  <c r="G9" i="25"/>
  <c r="I8" i="25"/>
  <c r="H8" i="25"/>
  <c r="G8" i="25"/>
  <c r="A9" i="25"/>
  <c r="A10" i="25" s="1"/>
  <c r="A11" i="25" s="1"/>
  <c r="A12" i="25" s="1"/>
  <c r="A13" i="25" s="1"/>
  <c r="A14" i="25" s="1"/>
  <c r="A15" i="25" s="1"/>
  <c r="A16" i="25" s="1"/>
  <c r="A18" i="25" s="1"/>
  <c r="A19" i="25" s="1"/>
  <c r="A21" i="25" s="1"/>
  <c r="A22" i="25" s="1"/>
  <c r="A23" i="25" s="1"/>
  <c r="A24" i="25" s="1"/>
  <c r="I7" i="25"/>
  <c r="H7" i="25"/>
  <c r="J7" i="25" s="1"/>
  <c r="K7" i="25" s="1"/>
  <c r="L7" i="25" s="1"/>
  <c r="M7" i="25" s="1"/>
  <c r="G7" i="25"/>
  <c r="J9" i="25" l="1"/>
  <c r="K9" i="25" s="1"/>
  <c r="L9" i="25" s="1"/>
  <c r="M9" i="25" s="1"/>
  <c r="J11" i="25"/>
  <c r="K11" i="25" s="1"/>
  <c r="L11" i="25" s="1"/>
  <c r="M11" i="25" s="1"/>
  <c r="J13" i="25"/>
  <c r="K13" i="25" s="1"/>
  <c r="L13" i="25" s="1"/>
  <c r="M13" i="25" s="1"/>
  <c r="J15" i="25"/>
  <c r="K15" i="25" s="1"/>
  <c r="L15" i="25" s="1"/>
  <c r="M15" i="25" s="1"/>
  <c r="J19" i="25"/>
  <c r="K19" i="25" s="1"/>
  <c r="L19" i="25" s="1"/>
  <c r="M19" i="25" s="1"/>
  <c r="J22" i="25"/>
  <c r="K22" i="25" s="1"/>
  <c r="L22" i="25" s="1"/>
  <c r="M22" i="25" s="1"/>
  <c r="J24" i="25"/>
  <c r="K24" i="25" s="1"/>
  <c r="L24" i="25" s="1"/>
  <c r="M24" i="25" s="1"/>
  <c r="J21" i="25"/>
  <c r="K21" i="25" s="1"/>
  <c r="L21" i="25" s="1"/>
  <c r="M21" i="25" s="1"/>
  <c r="J23" i="25"/>
  <c r="K23" i="25" s="1"/>
  <c r="L23" i="25" s="1"/>
  <c r="M23" i="25" s="1"/>
  <c r="J8" i="25"/>
  <c r="K8" i="25" s="1"/>
  <c r="L8" i="25" s="1"/>
  <c r="M8" i="25" s="1"/>
  <c r="J10" i="25"/>
  <c r="K10" i="25" s="1"/>
  <c r="L10" i="25" s="1"/>
  <c r="M10" i="25" s="1"/>
  <c r="J12" i="25"/>
  <c r="K12" i="25" s="1"/>
  <c r="L12" i="25" s="1"/>
  <c r="M12" i="25" s="1"/>
  <c r="J14" i="25"/>
  <c r="K14" i="25" s="1"/>
  <c r="L14" i="25" s="1"/>
  <c r="M14" i="25" s="1"/>
  <c r="J16" i="25"/>
  <c r="K16" i="25" s="1"/>
  <c r="L16" i="25" s="1"/>
  <c r="M16" i="25" s="1"/>
  <c r="A20" i="24"/>
  <c r="A19" i="24"/>
  <c r="M19" i="24"/>
  <c r="L19" i="24"/>
  <c r="K19" i="24"/>
  <c r="I12" i="24"/>
  <c r="I13" i="24"/>
  <c r="I14" i="24"/>
  <c r="H12" i="24"/>
  <c r="H13" i="24"/>
  <c r="H14" i="24"/>
  <c r="G12" i="24"/>
  <c r="G13" i="24"/>
  <c r="G14" i="24"/>
  <c r="J14" i="24" l="1"/>
  <c r="K14" i="24" s="1"/>
  <c r="L14" i="24" s="1"/>
  <c r="M14" i="24" s="1"/>
  <c r="J13" i="24"/>
  <c r="K13" i="24" s="1"/>
  <c r="L13" i="24" s="1"/>
  <c r="M13" i="24" s="1"/>
  <c r="J12" i="24"/>
  <c r="K12" i="24" s="1"/>
  <c r="L12" i="24" s="1"/>
  <c r="M12" i="24" s="1"/>
  <c r="I25" i="24"/>
  <c r="H25" i="24"/>
  <c r="G25" i="24"/>
  <c r="I24" i="24"/>
  <c r="H24" i="24"/>
  <c r="G24" i="24"/>
  <c r="I23" i="24"/>
  <c r="H23" i="24"/>
  <c r="G23" i="24"/>
  <c r="I22" i="24"/>
  <c r="H22" i="24"/>
  <c r="G22" i="24"/>
  <c r="I20" i="24"/>
  <c r="H20" i="24"/>
  <c r="G20" i="24"/>
  <c r="I17" i="24"/>
  <c r="H17" i="24"/>
  <c r="G17" i="24"/>
  <c r="I16" i="24"/>
  <c r="H16" i="24"/>
  <c r="G16" i="24"/>
  <c r="I15" i="24"/>
  <c r="H15" i="24"/>
  <c r="G15" i="24"/>
  <c r="I11" i="24"/>
  <c r="H11" i="24"/>
  <c r="G11" i="24"/>
  <c r="I10" i="24"/>
  <c r="H10" i="24"/>
  <c r="G10" i="24"/>
  <c r="I9" i="24"/>
  <c r="H9" i="24"/>
  <c r="G9" i="24"/>
  <c r="I8" i="24"/>
  <c r="H8" i="24"/>
  <c r="G8" i="24"/>
  <c r="A8" i="24"/>
  <c r="A9" i="24" s="1"/>
  <c r="A10" i="24" s="1"/>
  <c r="A11" i="24" s="1"/>
  <c r="I7" i="24"/>
  <c r="H7" i="24"/>
  <c r="G7" i="24"/>
  <c r="J9" i="24" l="1"/>
  <c r="K9" i="24" s="1"/>
  <c r="L9" i="24" s="1"/>
  <c r="M9" i="24" s="1"/>
  <c r="J16" i="24"/>
  <c r="K16" i="24" s="1"/>
  <c r="L16" i="24" s="1"/>
  <c r="M16" i="24" s="1"/>
  <c r="J20" i="24"/>
  <c r="K20" i="24" s="1"/>
  <c r="L20" i="24" s="1"/>
  <c r="M20" i="24" s="1"/>
  <c r="J25" i="24"/>
  <c r="K25" i="24" s="1"/>
  <c r="L25" i="24" s="1"/>
  <c r="M25" i="24" s="1"/>
  <c r="J7" i="24"/>
  <c r="K7" i="24" s="1"/>
  <c r="L7" i="24" s="1"/>
  <c r="M7" i="24" s="1"/>
  <c r="A16" i="24"/>
  <c r="A17" i="24" s="1"/>
  <c r="A22" i="24" s="1"/>
  <c r="A23" i="24" s="1"/>
  <c r="A24" i="24" s="1"/>
  <c r="A25" i="24" s="1"/>
  <c r="A12" i="24"/>
  <c r="A13" i="24" s="1"/>
  <c r="A14" i="24" s="1"/>
  <c r="A15" i="24" s="1"/>
  <c r="J8" i="24"/>
  <c r="K8" i="24" s="1"/>
  <c r="L8" i="24" s="1"/>
  <c r="M8" i="24" s="1"/>
  <c r="J11" i="24"/>
  <c r="K11" i="24" s="1"/>
  <c r="L11" i="24" s="1"/>
  <c r="M11" i="24" s="1"/>
  <c r="J10" i="24"/>
  <c r="K10" i="24" s="1"/>
  <c r="L10" i="24" s="1"/>
  <c r="M10" i="24" s="1"/>
  <c r="J15" i="24"/>
  <c r="K15" i="24" s="1"/>
  <c r="L15" i="24" s="1"/>
  <c r="M15" i="24" s="1"/>
  <c r="J17" i="24"/>
  <c r="K17" i="24" s="1"/>
  <c r="L17" i="24" s="1"/>
  <c r="M17" i="24" s="1"/>
  <c r="J23" i="24"/>
  <c r="K23" i="24" s="1"/>
  <c r="L23" i="24" s="1"/>
  <c r="M23" i="24" s="1"/>
  <c r="J22" i="24"/>
  <c r="K22" i="24" s="1"/>
  <c r="L22" i="24" s="1"/>
  <c r="M22" i="24" s="1"/>
  <c r="J24" i="24"/>
  <c r="K24" i="24" s="1"/>
  <c r="L24" i="24" s="1"/>
  <c r="M24" i="24" s="1"/>
  <c r="M12" i="23"/>
  <c r="M13" i="23"/>
  <c r="M14" i="23"/>
  <c r="M15" i="23"/>
  <c r="L12" i="23"/>
  <c r="L13" i="23"/>
  <c r="L14" i="23"/>
  <c r="L15" i="23"/>
  <c r="K12" i="23"/>
  <c r="K13" i="23"/>
  <c r="K14" i="23"/>
  <c r="K15" i="23"/>
  <c r="J12" i="23"/>
  <c r="J13" i="23"/>
  <c r="J14" i="23"/>
  <c r="J15" i="23"/>
  <c r="I12" i="23"/>
  <c r="I13" i="23"/>
  <c r="I14" i="23"/>
  <c r="I15" i="23"/>
  <c r="H12" i="23"/>
  <c r="H13" i="23"/>
  <c r="H14" i="23"/>
  <c r="H15" i="23"/>
  <c r="G12" i="23"/>
  <c r="G13" i="23"/>
  <c r="G14" i="23"/>
  <c r="G15" i="23"/>
  <c r="A12" i="23"/>
  <c r="A13" i="23"/>
  <c r="A14" i="23" s="1"/>
  <c r="A15" i="23" s="1"/>
  <c r="I11" i="23" l="1"/>
  <c r="H11" i="23"/>
  <c r="G11" i="23"/>
  <c r="J11" i="23" s="1"/>
  <c r="K11" i="23" s="1"/>
  <c r="L11" i="23" s="1"/>
  <c r="M11" i="23" s="1"/>
  <c r="I22" i="23"/>
  <c r="H22" i="23"/>
  <c r="G22" i="23"/>
  <c r="I21" i="23"/>
  <c r="H21" i="23"/>
  <c r="G21" i="23"/>
  <c r="J21" i="23" s="1"/>
  <c r="K21" i="23" s="1"/>
  <c r="L21" i="23" s="1"/>
  <c r="M21" i="23" s="1"/>
  <c r="I20" i="23"/>
  <c r="H20" i="23"/>
  <c r="G20" i="23"/>
  <c r="I19" i="23"/>
  <c r="H19" i="23"/>
  <c r="G19" i="23"/>
  <c r="J19" i="23" s="1"/>
  <c r="K19" i="23" s="1"/>
  <c r="L19" i="23" s="1"/>
  <c r="M19" i="23" s="1"/>
  <c r="I17" i="23"/>
  <c r="H17" i="23"/>
  <c r="G17" i="23"/>
  <c r="I10" i="23"/>
  <c r="H10" i="23"/>
  <c r="G10" i="23"/>
  <c r="I9" i="23"/>
  <c r="H9" i="23"/>
  <c r="G9" i="23"/>
  <c r="J9" i="23" s="1"/>
  <c r="K9" i="23" s="1"/>
  <c r="L9" i="23" s="1"/>
  <c r="M9" i="23" s="1"/>
  <c r="A9" i="23"/>
  <c r="A10" i="23" s="1"/>
  <c r="A11" i="23" s="1"/>
  <c r="I8" i="23"/>
  <c r="H8" i="23"/>
  <c r="G8" i="23"/>
  <c r="J8" i="23" s="1"/>
  <c r="K8" i="23" s="1"/>
  <c r="L8" i="23" s="1"/>
  <c r="M8" i="23" s="1"/>
  <c r="A17" i="23" l="1"/>
  <c r="A19" i="23" s="1"/>
  <c r="A20" i="23" s="1"/>
  <c r="A21" i="23" s="1"/>
  <c r="A22" i="23" s="1"/>
  <c r="J10" i="23"/>
  <c r="K10" i="23" s="1"/>
  <c r="L10" i="23" s="1"/>
  <c r="M10" i="23" s="1"/>
  <c r="J17" i="23"/>
  <c r="K17" i="23" s="1"/>
  <c r="L17" i="23" s="1"/>
  <c r="M17" i="23" s="1"/>
  <c r="J20" i="23"/>
  <c r="K20" i="23" s="1"/>
  <c r="L20" i="23" s="1"/>
  <c r="M20" i="23" s="1"/>
  <c r="J22" i="23"/>
  <c r="K22" i="23" s="1"/>
  <c r="L22" i="23" s="1"/>
  <c r="M22" i="23" s="1"/>
  <c r="I18" i="22"/>
  <c r="H18" i="22"/>
  <c r="G18" i="22"/>
  <c r="I17" i="22"/>
  <c r="H17" i="22"/>
  <c r="G17" i="22"/>
  <c r="I16" i="22"/>
  <c r="H16" i="22"/>
  <c r="G16" i="22"/>
  <c r="I15" i="22"/>
  <c r="H15" i="22"/>
  <c r="G15" i="22"/>
  <c r="I13" i="22"/>
  <c r="H13" i="22"/>
  <c r="J13" i="22" s="1"/>
  <c r="K13" i="22" s="1"/>
  <c r="L13" i="22" s="1"/>
  <c r="M13" i="22" s="1"/>
  <c r="G13" i="22"/>
  <c r="I11" i="22"/>
  <c r="H11" i="22"/>
  <c r="G11" i="22"/>
  <c r="I10" i="22"/>
  <c r="H10" i="22"/>
  <c r="J10" i="22" s="1"/>
  <c r="K10" i="22" s="1"/>
  <c r="L10" i="22" s="1"/>
  <c r="M10" i="22" s="1"/>
  <c r="G10" i="22"/>
  <c r="I9" i="22"/>
  <c r="H9" i="22"/>
  <c r="G9" i="22"/>
  <c r="A9" i="22"/>
  <c r="A10" i="22" s="1"/>
  <c r="A11" i="22" s="1"/>
  <c r="A13" i="22" s="1"/>
  <c r="A15" i="22" s="1"/>
  <c r="A16" i="22" s="1"/>
  <c r="A17" i="22" s="1"/>
  <c r="A18" i="22" s="1"/>
  <c r="I8" i="22"/>
  <c r="H8" i="22"/>
  <c r="G8" i="22"/>
  <c r="I18" i="21"/>
  <c r="H18" i="21"/>
  <c r="J18" i="21" s="1"/>
  <c r="K18" i="21" s="1"/>
  <c r="L18" i="21" s="1"/>
  <c r="M18" i="21" s="1"/>
  <c r="G18" i="21"/>
  <c r="I17" i="21"/>
  <c r="H17" i="21"/>
  <c r="J17" i="21" s="1"/>
  <c r="K17" i="21" s="1"/>
  <c r="L17" i="21" s="1"/>
  <c r="M17" i="21" s="1"/>
  <c r="G17" i="21"/>
  <c r="I16" i="21"/>
  <c r="H16" i="21"/>
  <c r="J16" i="21" s="1"/>
  <c r="K16" i="21" s="1"/>
  <c r="L16" i="21" s="1"/>
  <c r="M16" i="21" s="1"/>
  <c r="G16" i="21"/>
  <c r="I15" i="21"/>
  <c r="H15" i="21"/>
  <c r="J15" i="21" s="1"/>
  <c r="K15" i="21" s="1"/>
  <c r="L15" i="21" s="1"/>
  <c r="M15" i="21" s="1"/>
  <c r="G15" i="21"/>
  <c r="I13" i="21"/>
  <c r="H13" i="21"/>
  <c r="J13" i="21" s="1"/>
  <c r="K13" i="21" s="1"/>
  <c r="L13" i="21" s="1"/>
  <c r="M13" i="21" s="1"/>
  <c r="G13" i="21"/>
  <c r="I11" i="21"/>
  <c r="H11" i="21"/>
  <c r="J11" i="21" s="1"/>
  <c r="K11" i="21" s="1"/>
  <c r="L11" i="21" s="1"/>
  <c r="M11" i="21" s="1"/>
  <c r="G11" i="21"/>
  <c r="I10" i="21"/>
  <c r="H10" i="21"/>
  <c r="J10" i="21" s="1"/>
  <c r="K10" i="21" s="1"/>
  <c r="L10" i="21" s="1"/>
  <c r="M10" i="21" s="1"/>
  <c r="G10" i="21"/>
  <c r="I9" i="21"/>
  <c r="H9" i="21"/>
  <c r="J9" i="21" s="1"/>
  <c r="K9" i="21" s="1"/>
  <c r="L9" i="21" s="1"/>
  <c r="M9" i="21" s="1"/>
  <c r="G9" i="21"/>
  <c r="A9" i="21"/>
  <c r="A10" i="21" s="1"/>
  <c r="A11" i="21" s="1"/>
  <c r="A13" i="21" s="1"/>
  <c r="A15" i="21" s="1"/>
  <c r="A16" i="21" s="1"/>
  <c r="A17" i="21" s="1"/>
  <c r="A18" i="21" s="1"/>
  <c r="I8" i="21"/>
  <c r="H8" i="21"/>
  <c r="J8" i="21" s="1"/>
  <c r="K8" i="21" s="1"/>
  <c r="L8" i="21" s="1"/>
  <c r="M8" i="21" s="1"/>
  <c r="G8" i="21"/>
  <c r="J18" i="22" l="1"/>
  <c r="K18" i="22" s="1"/>
  <c r="L18" i="22" s="1"/>
  <c r="M18" i="22" s="1"/>
  <c r="J16" i="22"/>
  <c r="K16" i="22" s="1"/>
  <c r="L16" i="22" s="1"/>
  <c r="M16" i="22" s="1"/>
  <c r="J8" i="22"/>
  <c r="K8" i="22" s="1"/>
  <c r="L8" i="22" s="1"/>
  <c r="M8" i="22" s="1"/>
  <c r="J9" i="22"/>
  <c r="K9" i="22" s="1"/>
  <c r="L9" i="22" s="1"/>
  <c r="M9" i="22" s="1"/>
  <c r="J11" i="22"/>
  <c r="K11" i="22" s="1"/>
  <c r="L11" i="22" s="1"/>
  <c r="M11" i="22" s="1"/>
  <c r="J15" i="22"/>
  <c r="K15" i="22" s="1"/>
  <c r="L15" i="22" s="1"/>
  <c r="M15" i="22" s="1"/>
  <c r="J17" i="22"/>
  <c r="K17" i="22" s="1"/>
  <c r="L17" i="22" s="1"/>
  <c r="M17" i="22" s="1"/>
  <c r="I18" i="20"/>
  <c r="H18" i="20"/>
  <c r="J18" i="20" s="1"/>
  <c r="K18" i="20" s="1"/>
  <c r="L18" i="20" s="1"/>
  <c r="M18" i="20" s="1"/>
  <c r="G18" i="20"/>
  <c r="I17" i="20"/>
  <c r="H17" i="20"/>
  <c r="G17" i="20"/>
  <c r="I16" i="20"/>
  <c r="H16" i="20"/>
  <c r="J16" i="20" s="1"/>
  <c r="K16" i="20" s="1"/>
  <c r="L16" i="20" s="1"/>
  <c r="M16" i="20" s="1"/>
  <c r="G16" i="20"/>
  <c r="I15" i="20"/>
  <c r="H15" i="20"/>
  <c r="G15" i="20"/>
  <c r="I13" i="20"/>
  <c r="H13" i="20"/>
  <c r="J13" i="20" s="1"/>
  <c r="K13" i="20" s="1"/>
  <c r="L13" i="20" s="1"/>
  <c r="M13" i="20" s="1"/>
  <c r="G13" i="20"/>
  <c r="I11" i="20"/>
  <c r="H11" i="20"/>
  <c r="G11" i="20"/>
  <c r="I10" i="20"/>
  <c r="H10" i="20"/>
  <c r="G10" i="20"/>
  <c r="I9" i="20"/>
  <c r="H9" i="20"/>
  <c r="G9" i="20"/>
  <c r="A9" i="20"/>
  <c r="A10" i="20" s="1"/>
  <c r="A11" i="20" s="1"/>
  <c r="A13" i="20" s="1"/>
  <c r="A15" i="20" s="1"/>
  <c r="A16" i="20" s="1"/>
  <c r="A17" i="20" s="1"/>
  <c r="A18" i="20" s="1"/>
  <c r="I8" i="20"/>
  <c r="H8" i="20"/>
  <c r="G8" i="20"/>
  <c r="J10" i="20" l="1"/>
  <c r="K10" i="20" s="1"/>
  <c r="L10" i="20" s="1"/>
  <c r="M10" i="20" s="1"/>
  <c r="J8" i="20"/>
  <c r="K8" i="20" s="1"/>
  <c r="L8" i="20" s="1"/>
  <c r="M8" i="20" s="1"/>
  <c r="J9" i="20"/>
  <c r="K9" i="20" s="1"/>
  <c r="L9" i="20" s="1"/>
  <c r="M9" i="20" s="1"/>
  <c r="J11" i="20"/>
  <c r="K11" i="20" s="1"/>
  <c r="L11" i="20" s="1"/>
  <c r="M11" i="20" s="1"/>
  <c r="J15" i="20"/>
  <c r="K15" i="20" s="1"/>
  <c r="L15" i="20" s="1"/>
  <c r="M15" i="20" s="1"/>
  <c r="J17" i="20"/>
  <c r="K17" i="20" s="1"/>
  <c r="L17" i="20" s="1"/>
  <c r="M17" i="20" s="1"/>
  <c r="A17" i="19"/>
  <c r="A18" i="19" s="1"/>
  <c r="A16" i="19"/>
  <c r="A15" i="19"/>
  <c r="A13" i="19"/>
  <c r="I18" i="19" l="1"/>
  <c r="H18" i="19"/>
  <c r="G18" i="19"/>
  <c r="I17" i="19"/>
  <c r="H17" i="19"/>
  <c r="G17" i="19"/>
  <c r="I16" i="19"/>
  <c r="H16" i="19"/>
  <c r="G16" i="19"/>
  <c r="I15" i="19"/>
  <c r="H15" i="19"/>
  <c r="G15" i="19"/>
  <c r="I13" i="19"/>
  <c r="H13" i="19"/>
  <c r="G13" i="19"/>
  <c r="I11" i="19"/>
  <c r="H11" i="19"/>
  <c r="J11" i="19" s="1"/>
  <c r="K11" i="19" s="1"/>
  <c r="L11" i="19" s="1"/>
  <c r="M11" i="19" s="1"/>
  <c r="G11" i="19"/>
  <c r="I10" i="19"/>
  <c r="H10" i="19"/>
  <c r="G10" i="19"/>
  <c r="I9" i="19"/>
  <c r="H9" i="19"/>
  <c r="G9" i="19"/>
  <c r="A9" i="19"/>
  <c r="A10" i="19" s="1"/>
  <c r="A11" i="19" s="1"/>
  <c r="I8" i="19"/>
  <c r="H8" i="19"/>
  <c r="J8" i="19" s="1"/>
  <c r="K8" i="19" s="1"/>
  <c r="L8" i="19" s="1"/>
  <c r="M8" i="19" s="1"/>
  <c r="G8" i="19"/>
  <c r="J13" i="19" l="1"/>
  <c r="K13" i="19" s="1"/>
  <c r="L13" i="19" s="1"/>
  <c r="M13" i="19" s="1"/>
  <c r="J15" i="19"/>
  <c r="K15" i="19" s="1"/>
  <c r="L15" i="19" s="1"/>
  <c r="M15" i="19" s="1"/>
  <c r="J17" i="19"/>
  <c r="K17" i="19" s="1"/>
  <c r="L17" i="19" s="1"/>
  <c r="M17" i="19" s="1"/>
  <c r="J16" i="19"/>
  <c r="K16" i="19" s="1"/>
  <c r="L16" i="19" s="1"/>
  <c r="M16" i="19" s="1"/>
  <c r="J18" i="19"/>
  <c r="K18" i="19" s="1"/>
  <c r="L18" i="19" s="1"/>
  <c r="M18" i="19" s="1"/>
  <c r="J9" i="19"/>
  <c r="K9" i="19" s="1"/>
  <c r="L9" i="19" s="1"/>
  <c r="M9" i="19" s="1"/>
  <c r="J10" i="19"/>
  <c r="K10" i="19" s="1"/>
  <c r="L10" i="19" s="1"/>
  <c r="M10" i="19" s="1"/>
  <c r="I19" i="18"/>
  <c r="H19" i="18"/>
  <c r="G19" i="18"/>
  <c r="J19" i="18" s="1"/>
  <c r="K19" i="18" s="1"/>
  <c r="L19" i="18" s="1"/>
  <c r="M19" i="18" s="1"/>
  <c r="I18" i="18"/>
  <c r="H18" i="18"/>
  <c r="G18" i="18"/>
  <c r="I17" i="18"/>
  <c r="H17" i="18"/>
  <c r="G17" i="18"/>
  <c r="I16" i="18"/>
  <c r="H16" i="18"/>
  <c r="G16" i="18"/>
  <c r="I14" i="18"/>
  <c r="H14" i="18"/>
  <c r="G14" i="18"/>
  <c r="I13" i="18"/>
  <c r="H13" i="18"/>
  <c r="G13" i="18"/>
  <c r="J13" i="18" s="1"/>
  <c r="K13" i="18" s="1"/>
  <c r="L13" i="18" s="1"/>
  <c r="M13" i="18" s="1"/>
  <c r="I11" i="18"/>
  <c r="H11" i="18"/>
  <c r="G11" i="18"/>
  <c r="I10" i="18"/>
  <c r="H10" i="18"/>
  <c r="G10" i="18"/>
  <c r="J10" i="18" s="1"/>
  <c r="K10" i="18" s="1"/>
  <c r="L10" i="18" s="1"/>
  <c r="M10" i="18" s="1"/>
  <c r="I9" i="18"/>
  <c r="H9" i="18"/>
  <c r="G9" i="18"/>
  <c r="A9" i="18"/>
  <c r="A10" i="18" s="1"/>
  <c r="A11" i="18" s="1"/>
  <c r="A13" i="18" s="1"/>
  <c r="A14" i="18" s="1"/>
  <c r="I8" i="18"/>
  <c r="H8" i="18"/>
  <c r="G8" i="18"/>
  <c r="J8" i="18" l="1"/>
  <c r="K8" i="18" s="1"/>
  <c r="L8" i="18" s="1"/>
  <c r="M8" i="18" s="1"/>
  <c r="J9" i="18"/>
  <c r="K9" i="18" s="1"/>
  <c r="L9" i="18" s="1"/>
  <c r="M9" i="18" s="1"/>
  <c r="J11" i="18"/>
  <c r="K11" i="18" s="1"/>
  <c r="L11" i="18" s="1"/>
  <c r="M11" i="18" s="1"/>
  <c r="J14" i="18"/>
  <c r="K14" i="18" s="1"/>
  <c r="L14" i="18" s="1"/>
  <c r="M14" i="18" s="1"/>
  <c r="J16" i="18"/>
  <c r="K16" i="18" s="1"/>
  <c r="L16" i="18" s="1"/>
  <c r="M16" i="18" s="1"/>
  <c r="J17" i="18"/>
  <c r="K17" i="18" s="1"/>
  <c r="L17" i="18" s="1"/>
  <c r="M17" i="18" s="1"/>
  <c r="J18" i="18"/>
  <c r="K18" i="18" s="1"/>
  <c r="L18" i="18" s="1"/>
  <c r="M18" i="18" s="1"/>
  <c r="M17" i="17"/>
  <c r="L17" i="17"/>
  <c r="K17" i="17"/>
  <c r="J17" i="17"/>
  <c r="I17" i="17"/>
  <c r="H17" i="17"/>
  <c r="G17" i="17"/>
  <c r="I19" i="17" l="1"/>
  <c r="H19" i="17"/>
  <c r="G19" i="17"/>
  <c r="I18" i="17"/>
  <c r="H18" i="17"/>
  <c r="G18" i="17"/>
  <c r="I16" i="17"/>
  <c r="H16" i="17"/>
  <c r="G16" i="17"/>
  <c r="I14" i="17"/>
  <c r="H14" i="17"/>
  <c r="G14" i="17"/>
  <c r="I13" i="17"/>
  <c r="H13" i="17"/>
  <c r="G13" i="17"/>
  <c r="I11" i="17"/>
  <c r="H11" i="17"/>
  <c r="G11" i="17"/>
  <c r="I10" i="17"/>
  <c r="H10" i="17"/>
  <c r="G10" i="17"/>
  <c r="I9" i="17"/>
  <c r="H9" i="17"/>
  <c r="G9" i="17"/>
  <c r="A9" i="17"/>
  <c r="A10" i="17" s="1"/>
  <c r="A11" i="17" s="1"/>
  <c r="A13" i="17" s="1"/>
  <c r="A14" i="17" s="1"/>
  <c r="I8" i="17"/>
  <c r="H8" i="17"/>
  <c r="G8" i="17"/>
  <c r="J13" i="17" l="1"/>
  <c r="K13" i="17" s="1"/>
  <c r="L13" i="17" s="1"/>
  <c r="M13" i="17" s="1"/>
  <c r="J16" i="17"/>
  <c r="K16" i="17" s="1"/>
  <c r="L16" i="17" s="1"/>
  <c r="M16" i="17" s="1"/>
  <c r="J19" i="17"/>
  <c r="K19" i="17" s="1"/>
  <c r="L19" i="17" s="1"/>
  <c r="M19" i="17" s="1"/>
  <c r="J10" i="17"/>
  <c r="K10" i="17" s="1"/>
  <c r="L10" i="17" s="1"/>
  <c r="M10" i="17" s="1"/>
  <c r="J8" i="17"/>
  <c r="K8" i="17" s="1"/>
  <c r="L8" i="17" s="1"/>
  <c r="M8" i="17" s="1"/>
  <c r="J9" i="17"/>
  <c r="K9" i="17" s="1"/>
  <c r="L9" i="17" s="1"/>
  <c r="M9" i="17" s="1"/>
  <c r="J11" i="17"/>
  <c r="K11" i="17" s="1"/>
  <c r="L11" i="17" s="1"/>
  <c r="M11" i="17" s="1"/>
  <c r="J14" i="17"/>
  <c r="K14" i="17" s="1"/>
  <c r="L14" i="17" s="1"/>
  <c r="M14" i="17" s="1"/>
  <c r="J18" i="17"/>
  <c r="K18" i="17" s="1"/>
  <c r="L18" i="17" s="1"/>
  <c r="M18" i="17" s="1"/>
  <c r="I18" i="16"/>
  <c r="H18" i="16"/>
  <c r="G18" i="16"/>
  <c r="I17" i="16"/>
  <c r="H17" i="16"/>
  <c r="G17" i="16"/>
  <c r="I16" i="16"/>
  <c r="H16" i="16"/>
  <c r="G16" i="16"/>
  <c r="I14" i="16"/>
  <c r="H14" i="16"/>
  <c r="G14" i="16"/>
  <c r="I13" i="16"/>
  <c r="H13" i="16"/>
  <c r="G13" i="16"/>
  <c r="I11" i="16"/>
  <c r="H11" i="16"/>
  <c r="G11" i="16"/>
  <c r="I10" i="16"/>
  <c r="H10" i="16"/>
  <c r="G10" i="16"/>
  <c r="I9" i="16"/>
  <c r="H9" i="16"/>
  <c r="G9" i="16"/>
  <c r="A9" i="16"/>
  <c r="A10" i="16" s="1"/>
  <c r="A11" i="16" s="1"/>
  <c r="A13" i="16" s="1"/>
  <c r="A14" i="16" s="1"/>
  <c r="A16" i="16" s="1"/>
  <c r="A17" i="16" s="1"/>
  <c r="A18" i="16" s="1"/>
  <c r="I8" i="16"/>
  <c r="H8" i="16"/>
  <c r="G8" i="16"/>
  <c r="J13" i="16" l="1"/>
  <c r="K13" i="16" s="1"/>
  <c r="L13" i="16" s="1"/>
  <c r="M13" i="16" s="1"/>
  <c r="J18" i="16"/>
  <c r="K18" i="16" s="1"/>
  <c r="L18" i="16" s="1"/>
  <c r="M18" i="16" s="1"/>
  <c r="J16" i="16"/>
  <c r="K16" i="16" s="1"/>
  <c r="L16" i="16" s="1"/>
  <c r="M16" i="16" s="1"/>
  <c r="J10" i="16"/>
  <c r="K10" i="16" s="1"/>
  <c r="L10" i="16" s="1"/>
  <c r="M10" i="16" s="1"/>
  <c r="J8" i="16"/>
  <c r="K8" i="16" s="1"/>
  <c r="L8" i="16" s="1"/>
  <c r="M8" i="16" s="1"/>
  <c r="J9" i="16"/>
  <c r="K9" i="16" s="1"/>
  <c r="L9" i="16" s="1"/>
  <c r="M9" i="16" s="1"/>
  <c r="J11" i="16"/>
  <c r="K11" i="16" s="1"/>
  <c r="L11" i="16" s="1"/>
  <c r="M11" i="16" s="1"/>
  <c r="J14" i="16"/>
  <c r="K14" i="16" s="1"/>
  <c r="L14" i="16" s="1"/>
  <c r="M14" i="16" s="1"/>
  <c r="J17" i="16"/>
  <c r="K17" i="16" s="1"/>
  <c r="L17" i="16" s="1"/>
  <c r="M17" i="16" s="1"/>
</calcChain>
</file>

<file path=xl/sharedStrings.xml><?xml version="1.0" encoding="utf-8"?>
<sst xmlns="http://schemas.openxmlformats.org/spreadsheetml/2006/main" count="4491" uniqueCount="182">
  <si>
    <t>STT</t>
  </si>
  <si>
    <t>Họ và tên</t>
  </si>
  <si>
    <t>Chức vụ</t>
  </si>
  <si>
    <t>Đi trễ</t>
  </si>
  <si>
    <t>Về Sớm</t>
  </si>
  <si>
    <t>Không chấm công</t>
  </si>
  <si>
    <t>Tổng điểm còn lại</t>
  </si>
  <si>
    <t>Xếp loại</t>
  </si>
  <si>
    <t>Ghi chú</t>
  </si>
  <si>
    <t>Trần Phan Ngạn Ngữ</t>
  </si>
  <si>
    <t>Trần Thị Phước</t>
  </si>
  <si>
    <t>Nguyễn Thị Ngọc Hà</t>
  </si>
  <si>
    <t>Mai Phúc</t>
  </si>
  <si>
    <t>Nguyễn Văn Sang</t>
  </si>
  <si>
    <t>Phạm Quang Nghĩa</t>
  </si>
  <si>
    <t>I/ Ban TC-KT</t>
  </si>
  <si>
    <t>II/ Ban HC-NS</t>
  </si>
  <si>
    <t>III/ Ban Kỹ thuật</t>
  </si>
  <si>
    <t>Phó giám đốc</t>
  </si>
  <si>
    <t>Nhân viên</t>
  </si>
  <si>
    <t>CÔNG TY CỔ PHẦN XÂY DỰNG CÔNG TRÌNH GIAO THÔNG ĐÀ NẴNG - MIỀN TRUNG</t>
  </si>
  <si>
    <t>BAN HÀNH CHÍNH - NHÂN SỰ</t>
  </si>
  <si>
    <t>Người lập</t>
  </si>
  <si>
    <t>Số lần</t>
  </si>
  <si>
    <t>Tổng điểm trừ</t>
  </si>
  <si>
    <t>Lãnh đạo duyệt</t>
  </si>
  <si>
    <t>Mức 1: Từ 91-100 : Loại A - 100% LTT</t>
  </si>
  <si>
    <t>Thái Văn Thành</t>
  </si>
  <si>
    <t>Nguyễn Thị Mỹ Phương</t>
  </si>
  <si>
    <t>Điểm trừ đi trễ</t>
  </si>
  <si>
    <t>Điểm trừ về sớm</t>
  </si>
  <si>
    <t>Điểm trừ không chấm công</t>
  </si>
  <si>
    <t>Mức 2: Từ 81-90 : Loại B - 90% LTT</t>
  </si>
  <si>
    <t>Mức 3: Từ 71-80 : Loại C - 80% LTT</t>
  </si>
  <si>
    <t>Nguyễn Thị Thùy Trâm</t>
  </si>
  <si>
    <t>Trần Thị Mỹ Dung</t>
  </si>
  <si>
    <t>Tổng: 9 cán bộ</t>
  </si>
  <si>
    <t>Đà Nẵng, ngày      tháng      năm 2020</t>
  </si>
  <si>
    <t>BẢNG CHẤM ĐIỂM TÍNH LƯƠNG CBNV THÁNG 03/2020</t>
  </si>
  <si>
    <t>BẢNG CHẤM ĐIỂM TÍNH LƯƠNG CBNV THÁNG 04/2020</t>
  </si>
  <si>
    <t>Ngô Văn Hoàng</t>
  </si>
  <si>
    <t>Tổng: 10 cán bộ</t>
  </si>
  <si>
    <t>BẢNG CHẤM ĐIỂM TÍNH LƯƠNG CBNV THÁNG 05/2020</t>
  </si>
  <si>
    <t>BẢNG CHẤM ĐIỂM TÍNH LƯƠNG CBNV THÁNG 06/2020</t>
  </si>
  <si>
    <t>Tổng: 09 cán bộ</t>
  </si>
  <si>
    <t>BẢNG CHẤM ĐIỂM TÍNH LƯƠNG CBNV THÁNG 07/2020</t>
  </si>
  <si>
    <t>BẢNG CHẤM ĐIỂM TÍNH LƯƠNG CBNV THÁNG 08/2020</t>
  </si>
  <si>
    <t>BẢNG CHẤM ĐIỂM TÍNH LƯƠNG CBNV THÁNG 09/2020</t>
  </si>
  <si>
    <t>BẢNG CHẤM ĐIỂM TÍNH LƯƠNG CBNV THÁNG 10/2020</t>
  </si>
  <si>
    <t>Võ Thị Minh Ánh</t>
  </si>
  <si>
    <t>GĐ TCKT</t>
  </si>
  <si>
    <t>P.GĐ TCKT</t>
  </si>
  <si>
    <t>Huỳnh Thị Hoàng Hà</t>
  </si>
  <si>
    <t>Nguyễn Thị Len</t>
  </si>
  <si>
    <t>Phan Thị Trinh Nữ</t>
  </si>
  <si>
    <t>Tổng: 13 cán bộ</t>
  </si>
  <si>
    <t>BẢNG CHẤM ĐIỂM TÍNH LƯƠNG CBNV THÁNG 11/2020</t>
  </si>
  <si>
    <t>Nguyễn Đức Toàn</t>
  </si>
  <si>
    <t>Nguyễn Thị Hòa</t>
  </si>
  <si>
    <t>Nguyễn Thị Thảo</t>
  </si>
  <si>
    <t>Tổng: 17 cán bộ</t>
  </si>
  <si>
    <t>BẢNG CHẤM ĐIỂM TÍNH LƯƠNG CBNV THÁNG 12/2020</t>
  </si>
  <si>
    <t>Tổng: 16 cán bộ</t>
  </si>
  <si>
    <t>BẢNG CHẤM ĐIỂM TÍNH LƯƠNG CBNV THÁNG 01/2021</t>
  </si>
  <si>
    <t>Tổng: 14 cán bộ</t>
  </si>
  <si>
    <t>Đà Nẵng, ngày      tháng      năm 2021</t>
  </si>
  <si>
    <t>BẢNG CHẤM ĐIỂM TÍNH LƯƠNG CBNV THÁNG 02/2021</t>
  </si>
  <si>
    <t>BẢNG CHẤM ĐIỂM TÍNH LƯƠNG CBNV THÁNG 03/2021</t>
  </si>
  <si>
    <t>BẢNG CHẤM ĐIỂM TÍNH LƯƠNG CBNV THÁNG 04/2021</t>
  </si>
  <si>
    <t>BẢNG CHẤM ĐIỂM TÍNH LƯƠNG CBNV THÁNG 05/2021</t>
  </si>
  <si>
    <t>cà chua beep</t>
  </si>
  <si>
    <t>Su tim</t>
  </si>
  <si>
    <t>súp lơ trắng</t>
  </si>
  <si>
    <t>khoai tây</t>
  </si>
  <si>
    <t>Thuỷ</t>
  </si>
  <si>
    <t>Trang</t>
  </si>
  <si>
    <t>kg</t>
  </si>
  <si>
    <t>cái</t>
  </si>
  <si>
    <t>total</t>
  </si>
  <si>
    <t>Total</t>
  </si>
  <si>
    <t>Phương</t>
  </si>
  <si>
    <t>cà rốt baby</t>
  </si>
  <si>
    <t>Bính</t>
  </si>
  <si>
    <t>cà chua cherry vàng</t>
  </si>
  <si>
    <t>cà chua cherry đỏ</t>
  </si>
  <si>
    <t>xà lách hữu cơ</t>
  </si>
  <si>
    <t>cần tây</t>
  </si>
  <si>
    <t>phòng</t>
  </si>
  <si>
    <t>củ dền</t>
  </si>
  <si>
    <t>cải kale(xoăn)</t>
  </si>
  <si>
    <t>cải thìa</t>
  </si>
  <si>
    <t>Ngọc</t>
  </si>
  <si>
    <t>thi</t>
  </si>
  <si>
    <t>menu</t>
  </si>
  <si>
    <t>Tổng: 12 cán bộ</t>
  </si>
  <si>
    <t>BẢNG CHẤM ĐIỂM TÍNH LƯƠNG CBNV THÁNG 06/2021</t>
  </si>
  <si>
    <t>Điểm trừ TC1</t>
  </si>
  <si>
    <t>Điểm trừ TC2</t>
  </si>
  <si>
    <t>Lê Đông</t>
  </si>
  <si>
    <t>Phạm Văn Long</t>
  </si>
  <si>
    <t>Nguyễn Phong Trung</t>
  </si>
  <si>
    <t>P.GĐ Ban Kỹ thuật</t>
  </si>
  <si>
    <t>Phụ trách Công trình</t>
  </si>
  <si>
    <t>BẢNG CHẤM ĐIỂM TÍNH LƯƠNG CBNV THÁNG 07/2021</t>
  </si>
  <si>
    <t>Đặng Thanh Quang</t>
  </si>
  <si>
    <t>BẢNG CHẤM ĐIỂM TÍNH LƯƠNG CBNV THÁNG 08/2021</t>
  </si>
  <si>
    <t>BẢNG CHẤM ĐIỂM TÍNH LƯƠNG CBNV THÁNG 09/2021</t>
  </si>
  <si>
    <t>Phụ trách XMTB</t>
  </si>
  <si>
    <t>BẢNG CHẤM ĐIỂM TÍNH LƯƠNG CBNV THÁNG 10/2021</t>
  </si>
  <si>
    <t>BẢNG CHẤM ĐIỂM TÍNH LƯƠNG CBNV THÁNG 11/2021</t>
  </si>
  <si>
    <t>BẢNG CHẤM ĐIỂM TÍNH LƯƠNG CBNV THÁNG 12/2021</t>
  </si>
  <si>
    <t>Đà Nẵng, ngày      tháng      năm 2022</t>
  </si>
  <si>
    <t>BẢNG CHẤM ĐIỂM TÍNH LƯƠNG CBNV THÁNG 01/2022</t>
  </si>
  <si>
    <t>BẢNG CHẤM ĐIỂM TÍNH LƯƠNG CBNV THÁNG 02/2022</t>
  </si>
  <si>
    <t>BẢNG CHẤM ĐIỂM TÍNH LƯƠNG CBNV THÁNG 03/2022</t>
  </si>
  <si>
    <t>BẢNG CHẤM ĐIỂM TÍNH LƯƠNG CBNV THÁNG 04/2022</t>
  </si>
  <si>
    <t>Đặng Hiền</t>
  </si>
  <si>
    <t>BẢNG CHẤM ĐIỂM TÍNH LƯƠNG CBNV THÁNG 05/2022</t>
  </si>
  <si>
    <t>BẢNG CHẤM ĐIỂM TÍNH LƯƠNG CBNV THÁNG 06/2022</t>
  </si>
  <si>
    <t>BẢNG CHẤM ĐIỂM TÍNH LƯƠNG CBNV THÁNG 07/2022</t>
  </si>
  <si>
    <t>BẢNG CHẤM ĐIỂM TÍNH LƯƠNG CBNV THÁNG 08/2022</t>
  </si>
  <si>
    <t>P.GĐ HCNS</t>
  </si>
  <si>
    <t>BẢNG CHẤM ĐIỂM TÍNH LƯƠNG CBNV THÁNG 09/2022</t>
  </si>
  <si>
    <t>BẢNG CHẤM ĐIỂM TÍNH LƯƠNG CBNV THÁNG 10/2022</t>
  </si>
  <si>
    <t>BẢNG CHẤM ĐIỂM TÍNH LƯƠNG CBNV THÁNG 11/2022</t>
  </si>
  <si>
    <t>BẢNG CHẤM ĐIỂM TÍNH LƯƠNG CBNV THÁNG 12/2022</t>
  </si>
  <si>
    <t>BẢNG CHẤM ĐIỂM TÍNH LƯƠNG CBNV THÁNG 01/2023</t>
  </si>
  <si>
    <t>Đà Nẵng, ngày      tháng      năm 2023</t>
  </si>
  <si>
    <t>BẢNG CHẤM ĐIỂM TÍNH LƯƠNG CBNV THÁNG 02/2023</t>
  </si>
  <si>
    <t>BẢNG CHẤM ĐIỂM TÍNH LƯƠNG CBNV THÁNG 03/2023</t>
  </si>
  <si>
    <t>Lê Nho Tân</t>
  </si>
  <si>
    <t>Giám đốc mỏ</t>
  </si>
  <si>
    <t>Tổng: 18 cán bộ</t>
  </si>
  <si>
    <t>BẢNG CHẤM ĐIỂM TÍNH LƯƠNG CBNV THÁNG 04/2023</t>
  </si>
  <si>
    <t>BẢNG CHẤM ĐIỂM TÍNH LƯƠNG CBNV THÁNG 05/2023</t>
  </si>
  <si>
    <t>BẢNG CHẤM ĐIỂM TÍNH LƯƠNG CBNV THÁNG 06/2023</t>
  </si>
  <si>
    <t>Đặng Thanh Trà</t>
  </si>
  <si>
    <t>BẢNG CHẤM ĐIỂM TÍNH LƯƠNG CBNV THÁNG 07/2023</t>
  </si>
  <si>
    <t>BẢNG CHẤM ĐIỂM TÍNH LƯƠNG CBNV THÁNG 08/2023</t>
  </si>
  <si>
    <t>BẢNG CHẤM ĐIỂM TÍNH LƯƠNG CBNV THÁNG 09/2023</t>
  </si>
  <si>
    <t>BẢNG CHẤM ĐIỂM TÍNH LƯƠNG CBNV THÁNG 10/2023</t>
  </si>
  <si>
    <t>BẢNG CHẤM ĐIỂM TÍNH LƯƠNG CBNV THÁNG 11/2023</t>
  </si>
  <si>
    <t>BẢNG CHẤM ĐIỂM TÍNH LƯƠNG CBNV THÁNG 12/2023</t>
  </si>
  <si>
    <t>BẢNG CHẤM ĐIỂM TÍNH LƯƠNG CBNV THÁNG 01/2024</t>
  </si>
  <si>
    <t>Đà Nẵng, ngày      tháng      năm 2024</t>
  </si>
  <si>
    <t>BẢNG CHẤM ĐIỂM TÍNH LƯƠNG CBNV THÁNG 02/2024</t>
  </si>
  <si>
    <t>BẢNG CHẤM ĐIỂM TÍNH LƯƠNG CBNV THÁNG 03/2024</t>
  </si>
  <si>
    <t>BẢNG CHẤM ĐIỂM TÍNH LƯƠNG CBNV THÁNG 04/2024</t>
  </si>
  <si>
    <t>BẢNG CHẤM ĐIỂM TÍNH LƯƠNG CBNV THÁNG 05/2024</t>
  </si>
  <si>
    <t>BẢNG CHẤM ĐIỂM TÍNH LƯƠNG CBNV THÁNG 06/2024</t>
  </si>
  <si>
    <t>BẢNG CHẤM ĐIỂM TÍNH LƯƠNG CBNV THÁNG 07/2024</t>
  </si>
  <si>
    <t>BẢNG CHẤM ĐIỂM TÍNH LƯƠNG CBNV THÁNG 08/2024</t>
  </si>
  <si>
    <t>Phạm Văn Chiến</t>
  </si>
  <si>
    <t>Kỹ thuật</t>
  </si>
  <si>
    <t>BẢNG CHẤM ĐIỂM TÍNH LƯƠNG CBNV THÁNG 09/2024</t>
  </si>
  <si>
    <t>KXL</t>
  </si>
  <si>
    <t>BẢNG CHẤM ĐIỂM TÍNH LƯƠNG CBNV THÁNG 10/2024</t>
  </si>
  <si>
    <t>BẢNG CHẤM ĐIỂM TÍNH LƯƠNG CBNV THÁNG 11/2024</t>
  </si>
  <si>
    <t>BẢNG CHẤM ĐIỂM TÍNH LƯƠNG CBNV THÁNG 12/2024</t>
  </si>
  <si>
    <t>BẢNG CHẤM ĐIỂM TÍNH LƯƠNG CBNV THÁNG 01/2025</t>
  </si>
  <si>
    <t>BẢNG CHẤM ĐIỂM TÍNH LƯƠNG CBNV THÁNG 02/2025</t>
  </si>
  <si>
    <t>Nguyễn Thị Như Can</t>
  </si>
  <si>
    <t>Đà Nẵng, ngày      tháng      năm 2025</t>
  </si>
  <si>
    <t>Tổng: 15 cán bộ</t>
  </si>
  <si>
    <t>BẢNG CHẤM ĐIỂM TÍNH LƯƠNG CBNV THÁNG 03/2025</t>
  </si>
  <si>
    <t>BẢNG CHẤM ĐIỂM TÍNH LƯƠNG CBNV THÁNG 04/2025</t>
  </si>
  <si>
    <t>BẢNG CHẤM ĐIỂM TÍNH LƯƠNG CBNV THÁNG 05/2025</t>
  </si>
  <si>
    <t>BẢNG CHẤM ĐIỂM TÍNH LƯƠNG CBNV THÁNG 06/2025</t>
  </si>
  <si>
    <t>BẢNG CHẤM ĐIỂM TÍNH LƯƠNG CBNV THÁNG 07/2025</t>
  </si>
  <si>
    <t>BẢNG CHẤM ĐIỂM TÍNH LƯƠNG CBNV THÁNG 08/2025</t>
  </si>
  <si>
    <t>BẢNG CHẤM ĐIỂM TÍNH LƯƠNG CBNV THÁNG 09/2025</t>
  </si>
  <si>
    <t>BẢNG CHẤM ĐIỂM TÍNH LƯƠNG CBNV THÁNG 10/2025</t>
  </si>
  <si>
    <t>BẢNG CHẤM ĐIỂM TÍNH LƯƠNG CBNV THÁNG 11/2025</t>
  </si>
  <si>
    <t>BẢNG CHẤM ĐIỂM TÍNH LƯƠNG CBNV THÁNG 12/2025</t>
  </si>
  <si>
    <t>BẢNG CHẤM ĐIỂM TÍNH LƯƠNG CBNV THÁNG 01/2026</t>
  </si>
  <si>
    <t>Đà Nẵng, ngày      tháng      năm 2026</t>
  </si>
  <si>
    <t>BẢNG CHẤM ĐIỂM TÍNH LƯƠNG CBNV THÁNG 02/2026</t>
  </si>
  <si>
    <t>BẢNG CHẤM ĐIỂM TÍNH LƯƠNG CBNV THÁNG 03/2026</t>
  </si>
  <si>
    <t>BẢNG CHẤM ĐIỂM TÍNH LƯƠNG CBNV THÁNG 04/2026</t>
  </si>
  <si>
    <t>BẢNG CHẤM ĐIỂM TÍNH LƯƠNG CBNV THÁNG 05/2026</t>
  </si>
  <si>
    <t>đã qua maria làm việc ko làm tiêu chí</t>
  </si>
  <si>
    <t>BẢNG CHẤM ĐIỂM TÍNH LƯƠNG CBNV THÁNG 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</si>
</sst>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163"/>
      <scheme val="minor"/>
    </font>
    <font>
      <sz val="13"/>
      <color theme="1"/>
      <name val="Times New Roman"/>
      <family val="1"/>
      <charset val="163"/>
    </font>
    <font>
      <b/>
      <sz val="13"/>
      <color theme="1"/>
      <name val="Times New Roman"/>
      <family val="1"/>
      <charset val="163"/>
    </font>
    <font>
      <b/>
      <sz val="15"/>
      <color theme="1"/>
      <name val="Times New Roman"/>
      <family val="1"/>
      <charset val="163"/>
    </font>
    <font>
      <i/>
      <sz val="13"/>
      <color theme="1"/>
      <name val="Times New Roman"/>
      <family val="1"/>
      <charset val="163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  <xf numFmtId="0" fontId="1" fillId="0" borderId="7" xfId="0" applyFont="1" applyFill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2" xfId="0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  <xf numFmtId="0" fontId="0" fillId="5" borderId="0" xfId="0" applyFill="1"/>
    <xf numFmtId="0" fontId="0" fillId="6" borderId="1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theme" Target="theme/theme1.xml"/><Relationship Id="rId8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workbookViewId="0">
      <selection sqref="A1:XFD1048576"/>
    </sheetView>
  </sheetViews>
  <sheetFormatPr defaultColWidth="9.109375" defaultRowHeight="16.8" x14ac:dyDescent="0.3"/>
  <cols>
    <col min="1" max="1" width="6.109375" style="2" customWidth="1"/>
    <col min="2" max="2" width="27.5546875" style="1" customWidth="1"/>
    <col min="3" max="3" width="16.33203125" style="2" customWidth="1"/>
    <col min="4" max="4" width="10.44140625" style="2" customWidth="1"/>
    <col min="5" max="5" width="10.6640625" style="2" customWidth="1"/>
    <col min="6" max="9" width="12.33203125" style="2" customWidth="1"/>
    <col min="10" max="11" width="14.5546875" style="2" customWidth="1"/>
    <col min="12" max="12" width="9.44140625" style="2" customWidth="1"/>
    <col min="13" max="13" width="17.33203125" style="2" customWidth="1"/>
    <col min="14" max="14" width="53.88671875" style="2" customWidth="1"/>
    <col min="15" max="16384" width="9.109375" style="1"/>
  </cols>
  <sheetData>
    <row r="1" spans="1:14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</row>
    <row r="2" spans="1:14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</row>
    <row r="3" spans="1:14" ht="22.5" customHeight="1" x14ac:dyDescent="0.3">
      <c r="A3" s="179" t="s">
        <v>38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</row>
    <row r="4" spans="1:14" ht="21" customHeight="1" x14ac:dyDescent="0.3"/>
    <row r="5" spans="1:14" s="3" customFormat="1" ht="22.5" customHeight="1" x14ac:dyDescent="0.3">
      <c r="A5" s="180" t="s">
        <v>0</v>
      </c>
      <c r="B5" s="180" t="s">
        <v>1</v>
      </c>
      <c r="C5" s="180" t="s">
        <v>2</v>
      </c>
      <c r="D5" s="180" t="s">
        <v>23</v>
      </c>
      <c r="E5" s="180"/>
      <c r="F5" s="180"/>
      <c r="G5" s="181" t="s">
        <v>29</v>
      </c>
      <c r="H5" s="181" t="s">
        <v>30</v>
      </c>
      <c r="I5" s="181" t="s">
        <v>31</v>
      </c>
      <c r="J5" s="181" t="s">
        <v>24</v>
      </c>
      <c r="K5" s="180" t="s">
        <v>6</v>
      </c>
      <c r="L5" s="180" t="s">
        <v>7</v>
      </c>
      <c r="M5" s="180" t="s">
        <v>8</v>
      </c>
      <c r="N5" s="183"/>
    </row>
    <row r="6" spans="1:14" s="3" customFormat="1" ht="38.25" customHeight="1" x14ac:dyDescent="0.3">
      <c r="A6" s="180"/>
      <c r="B6" s="180"/>
      <c r="C6" s="180"/>
      <c r="D6" s="20" t="s">
        <v>3</v>
      </c>
      <c r="E6" s="20" t="s">
        <v>4</v>
      </c>
      <c r="F6" s="20" t="s">
        <v>5</v>
      </c>
      <c r="G6" s="182"/>
      <c r="H6" s="182"/>
      <c r="I6" s="182"/>
      <c r="J6" s="182"/>
      <c r="K6" s="180"/>
      <c r="L6" s="180"/>
      <c r="M6" s="180"/>
      <c r="N6" s="183"/>
    </row>
    <row r="7" spans="1:14" ht="22.5" customHeight="1" x14ac:dyDescent="0.3">
      <c r="A7" s="184" t="s">
        <v>15</v>
      </c>
      <c r="B7" s="184"/>
      <c r="C7" s="18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4" ht="22.5" customHeight="1" x14ac:dyDescent="0.3">
      <c r="A8" s="5">
        <v>1</v>
      </c>
      <c r="B8" s="6" t="s">
        <v>9</v>
      </c>
      <c r="C8" s="6" t="s">
        <v>18</v>
      </c>
      <c r="D8" s="5"/>
      <c r="E8" s="5"/>
      <c r="F8" s="5"/>
      <c r="G8" s="12">
        <f>IF(D8&gt;5,(D8-5)*2,0)</f>
        <v>0</v>
      </c>
      <c r="H8" s="12">
        <f>IF(E8&gt;5,(E8-5)*2,0)</f>
        <v>0</v>
      </c>
      <c r="I8" s="12">
        <f>IF(F8&gt;2,(F8-2)*1,0)</f>
        <v>0</v>
      </c>
      <c r="J8" s="12">
        <f t="shared" ref="J8:J11" si="0">SUM(G8:I8)</f>
        <v>0</v>
      </c>
      <c r="K8" s="12">
        <f t="shared" ref="K8:K11" si="1">100-J8</f>
        <v>100</v>
      </c>
      <c r="L8" s="12" t="str">
        <f>IF(K8&lt;71,"KL",IF(AND(K8&gt;=71,K8&lt;81),"C",IF(AND(K8&gt;=81,K8&lt;91),"B","A")))</f>
        <v>A</v>
      </c>
      <c r="M8" s="12" t="str">
        <f>IF(L8="A","100% LTT",IF(L8="B","90% LTT",IF(L8="C","80% LTT","60% LTT")))</f>
        <v>100% LTT</v>
      </c>
      <c r="N8" s="14"/>
    </row>
    <row r="9" spans="1:14" ht="22.5" customHeight="1" x14ac:dyDescent="0.3">
      <c r="A9" s="12">
        <f>A8+1</f>
        <v>2</v>
      </c>
      <c r="B9" s="13" t="s">
        <v>34</v>
      </c>
      <c r="C9" s="7" t="s">
        <v>19</v>
      </c>
      <c r="D9" s="12">
        <v>2</v>
      </c>
      <c r="E9" s="12"/>
      <c r="F9" s="12"/>
      <c r="G9" s="7">
        <f>IF(D9&gt;5,(D9-5)*2,0)</f>
        <v>0</v>
      </c>
      <c r="H9" s="7">
        <f t="shared" ref="H9" si="2">IF(E9&gt;5,(E9-5)*2,0)</f>
        <v>0</v>
      </c>
      <c r="I9" s="7">
        <f>IF(F9&gt;2,(F9-2)*1,0)</f>
        <v>0</v>
      </c>
      <c r="J9" s="7">
        <f t="shared" si="0"/>
        <v>0</v>
      </c>
      <c r="K9" s="7">
        <f t="shared" si="1"/>
        <v>100</v>
      </c>
      <c r="L9" s="7" t="str">
        <f>IF(K9&lt;71,"KL",IF(AND(K9&gt;=71,K9&lt;81),"C",IF(AND(K9&gt;=81,K9&lt;91),"B","A")))</f>
        <v>A</v>
      </c>
      <c r="M9" s="7" t="str">
        <f>IF(L9="A","100% LTT",IF(L9="B","90% LTT",IF(L9="C","80% LTT","60% LTT")))</f>
        <v>100% LTT</v>
      </c>
      <c r="N9" s="11" t="s">
        <v>26</v>
      </c>
    </row>
    <row r="10" spans="1:14" ht="22.5" customHeight="1" x14ac:dyDescent="0.3">
      <c r="A10" s="12">
        <f t="shared" ref="A10:A11" si="3">A9+1</f>
        <v>3</v>
      </c>
      <c r="B10" s="8" t="s">
        <v>10</v>
      </c>
      <c r="C10" s="7" t="s">
        <v>19</v>
      </c>
      <c r="D10" s="7">
        <v>7</v>
      </c>
      <c r="E10" s="7">
        <v>1</v>
      </c>
      <c r="F10" s="7">
        <v>6</v>
      </c>
      <c r="G10" s="7">
        <f>IF(D10&gt;5,(D10-5)*2,0)</f>
        <v>4</v>
      </c>
      <c r="H10" s="7">
        <f>IF(E10&gt;5,(E10-5)*2,0)</f>
        <v>0</v>
      </c>
      <c r="I10" s="7">
        <f t="shared" ref="I10:I11" si="4">IF(F10&gt;2,(F10-2)*1,0)</f>
        <v>4</v>
      </c>
      <c r="J10" s="7">
        <f>SUM(G10:I10)</f>
        <v>8</v>
      </c>
      <c r="K10" s="7">
        <f t="shared" si="1"/>
        <v>92</v>
      </c>
      <c r="L10" s="7" t="str">
        <f t="shared" ref="L10:L11" si="5">IF(K10&lt;71,"KL",IF(AND(K10&gt;=71,K10&lt;81),"C",IF(AND(K10&gt;=81,K10&lt;91),"B","A")))</f>
        <v>A</v>
      </c>
      <c r="M10" s="7" t="str">
        <f t="shared" ref="M10:M11" si="6">IF(L10="A","100% LTT",IF(L10="B","90% LTT",IF(L10="C","80% LTT","60% LTT")))</f>
        <v>100% LTT</v>
      </c>
      <c r="N10" s="11" t="s">
        <v>32</v>
      </c>
    </row>
    <row r="11" spans="1:14" ht="22.5" customHeight="1" x14ac:dyDescent="0.3">
      <c r="A11" s="12">
        <f t="shared" si="3"/>
        <v>4</v>
      </c>
      <c r="B11" s="8" t="s">
        <v>11</v>
      </c>
      <c r="C11" s="7" t="s">
        <v>19</v>
      </c>
      <c r="D11" s="7"/>
      <c r="E11" s="7"/>
      <c r="F11" s="7"/>
      <c r="G11" s="7">
        <f t="shared" ref="G11:H11" si="7">IF(D11&gt;5,(D11-5)*2,0)</f>
        <v>0</v>
      </c>
      <c r="H11" s="7">
        <f t="shared" si="7"/>
        <v>0</v>
      </c>
      <c r="I11" s="7">
        <f t="shared" si="4"/>
        <v>0</v>
      </c>
      <c r="J11" s="7">
        <f t="shared" si="0"/>
        <v>0</v>
      </c>
      <c r="K11" s="7">
        <f t="shared" si="1"/>
        <v>100</v>
      </c>
      <c r="L11" s="7" t="str">
        <f t="shared" si="5"/>
        <v>A</v>
      </c>
      <c r="M11" s="7" t="str">
        <f t="shared" si="6"/>
        <v>100% LTT</v>
      </c>
      <c r="N11" s="11" t="s">
        <v>33</v>
      </c>
    </row>
    <row r="12" spans="1:14" ht="22.5" customHeight="1" x14ac:dyDescent="0.3">
      <c r="A12" s="184" t="s">
        <v>16</v>
      </c>
      <c r="B12" s="184"/>
      <c r="C12" s="18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4" ht="22.5" customHeight="1" x14ac:dyDescent="0.3">
      <c r="A13" s="15">
        <f>A11+1</f>
        <v>5</v>
      </c>
      <c r="B13" s="16" t="s">
        <v>35</v>
      </c>
      <c r="C13" s="15" t="s">
        <v>19</v>
      </c>
      <c r="D13" s="15">
        <v>1</v>
      </c>
      <c r="E13" s="15"/>
      <c r="F13" s="15">
        <v>1</v>
      </c>
      <c r="G13" s="15">
        <f t="shared" ref="G13:H14" si="8">IF(D13&gt;5,(D13-5)*2,0)</f>
        <v>0</v>
      </c>
      <c r="H13" s="15">
        <f t="shared" si="8"/>
        <v>0</v>
      </c>
      <c r="I13" s="15">
        <f t="shared" ref="I13:I14" si="9">IF(F13&gt;2,(F13-2)*1,0)</f>
        <v>0</v>
      </c>
      <c r="J13" s="15">
        <f t="shared" ref="J13:J14" si="10">SUM(G13:I13)</f>
        <v>0</v>
      </c>
      <c r="K13" s="15">
        <f>100-J13</f>
        <v>100</v>
      </c>
      <c r="L13" s="15" t="str">
        <f t="shared" ref="L13:L14" si="11">IF(K13&lt;71,"KL",IF(AND(K13&gt;=71,K13&lt;81),"C",IF(AND(K13&gt;=81,K13&lt;91),"B","A")))</f>
        <v>A</v>
      </c>
      <c r="M13" s="15" t="str">
        <f t="shared" ref="M13:M14" si="12">IF(L13="A","100% LTT",IF(L13="B","90% LTT",IF(L13="C","80% LTT","60% LTT")))</f>
        <v>100% LTT</v>
      </c>
    </row>
    <row r="14" spans="1:14" ht="22.5" customHeight="1" x14ac:dyDescent="0.3">
      <c r="A14" s="17">
        <f>A13+1</f>
        <v>6</v>
      </c>
      <c r="B14" s="18" t="s">
        <v>28</v>
      </c>
      <c r="C14" s="17" t="s">
        <v>19</v>
      </c>
      <c r="D14" s="17">
        <v>1</v>
      </c>
      <c r="E14" s="17">
        <v>1</v>
      </c>
      <c r="F14" s="17">
        <v>1</v>
      </c>
      <c r="G14" s="17">
        <f t="shared" si="8"/>
        <v>0</v>
      </c>
      <c r="H14" s="17">
        <f t="shared" si="8"/>
        <v>0</v>
      </c>
      <c r="I14" s="17">
        <f t="shared" si="9"/>
        <v>0</v>
      </c>
      <c r="J14" s="17">
        <f t="shared" si="10"/>
        <v>0</v>
      </c>
      <c r="K14" s="17">
        <f>100-J14</f>
        <v>100</v>
      </c>
      <c r="L14" s="17" t="str">
        <f t="shared" si="11"/>
        <v>A</v>
      </c>
      <c r="M14" s="17" t="str">
        <f t="shared" si="12"/>
        <v>100% LTT</v>
      </c>
    </row>
    <row r="15" spans="1:14" ht="22.5" customHeight="1" x14ac:dyDescent="0.3">
      <c r="A15" s="184" t="s">
        <v>17</v>
      </c>
      <c r="B15" s="184"/>
      <c r="C15" s="18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4" ht="22.5" customHeight="1" x14ac:dyDescent="0.3">
      <c r="A16" s="5">
        <f>A14+1</f>
        <v>7</v>
      </c>
      <c r="B16" s="6" t="s">
        <v>12</v>
      </c>
      <c r="C16" s="5" t="s">
        <v>19</v>
      </c>
      <c r="D16" s="5"/>
      <c r="E16" s="5">
        <v>1</v>
      </c>
      <c r="F16" s="5"/>
      <c r="G16" s="5">
        <f t="shared" ref="G16:H18" si="13">IF(D16&gt;5,(D16-5)*2,0)</f>
        <v>0</v>
      </c>
      <c r="H16" s="5">
        <f t="shared" si="13"/>
        <v>0</v>
      </c>
      <c r="I16" s="5">
        <f t="shared" ref="I16:I18" si="14">IF(F16&gt;2,(F16-2)*1,0)</f>
        <v>0</v>
      </c>
      <c r="J16" s="5">
        <f t="shared" ref="J16:J18" si="15">SUM(G16:I16)</f>
        <v>0</v>
      </c>
      <c r="K16" s="5">
        <f>100-J16</f>
        <v>100</v>
      </c>
      <c r="L16" s="5" t="str">
        <f t="shared" ref="L16:L18" si="16">IF(K16&lt;71,"KL",IF(AND(K16&gt;=71,K16&lt;81),"C",IF(AND(K16&gt;=81,K16&lt;91),"B","A")))</f>
        <v>A</v>
      </c>
      <c r="M16" s="7" t="str">
        <f t="shared" ref="M16:M18" si="17">IF(L16="A","100% LTT",IF(L16="B","90% LTT",IF(L16="C","80% LTT","60% LTT")))</f>
        <v>100% LTT</v>
      </c>
    </row>
    <row r="17" spans="1:13" ht="22.5" customHeight="1" x14ac:dyDescent="0.3">
      <c r="A17" s="12">
        <f>A16+1</f>
        <v>8</v>
      </c>
      <c r="B17" s="8" t="s">
        <v>13</v>
      </c>
      <c r="C17" s="7" t="s">
        <v>19</v>
      </c>
      <c r="D17" s="7"/>
      <c r="E17" s="7"/>
      <c r="F17" s="7">
        <v>2</v>
      </c>
      <c r="G17" s="7">
        <f t="shared" si="13"/>
        <v>0</v>
      </c>
      <c r="H17" s="7">
        <f t="shared" si="13"/>
        <v>0</v>
      </c>
      <c r="I17" s="7">
        <f t="shared" si="14"/>
        <v>0</v>
      </c>
      <c r="J17" s="7">
        <f t="shared" si="15"/>
        <v>0</v>
      </c>
      <c r="K17" s="7">
        <f>100-J17</f>
        <v>100</v>
      </c>
      <c r="L17" s="7" t="str">
        <f t="shared" si="16"/>
        <v>A</v>
      </c>
      <c r="M17" s="7" t="str">
        <f t="shared" si="17"/>
        <v>100% LTT</v>
      </c>
    </row>
    <row r="18" spans="1:13" ht="22.5" customHeight="1" x14ac:dyDescent="0.3">
      <c r="A18" s="12">
        <f t="shared" ref="A18" si="18">A17+1</f>
        <v>9</v>
      </c>
      <c r="B18" s="10" t="s">
        <v>14</v>
      </c>
      <c r="C18" s="9" t="s">
        <v>19</v>
      </c>
      <c r="D18" s="9"/>
      <c r="E18" s="9"/>
      <c r="F18" s="9">
        <v>1</v>
      </c>
      <c r="G18" s="9">
        <f t="shared" si="13"/>
        <v>0</v>
      </c>
      <c r="H18" s="9">
        <f t="shared" si="13"/>
        <v>0</v>
      </c>
      <c r="I18" s="9">
        <f t="shared" si="14"/>
        <v>0</v>
      </c>
      <c r="J18" s="9">
        <f t="shared" si="15"/>
        <v>0</v>
      </c>
      <c r="K18" s="9">
        <f>100-J18</f>
        <v>100</v>
      </c>
      <c r="L18" s="9" t="str">
        <f t="shared" si="16"/>
        <v>A</v>
      </c>
      <c r="M18" s="7" t="str">
        <f t="shared" si="17"/>
        <v>100% LTT</v>
      </c>
    </row>
    <row r="19" spans="1:13" ht="22.5" customHeight="1" x14ac:dyDescent="0.3">
      <c r="A19" s="180" t="s">
        <v>36</v>
      </c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</row>
    <row r="20" spans="1:13" ht="22.5" customHeight="1" x14ac:dyDescent="0.3">
      <c r="J20" s="185" t="s">
        <v>37</v>
      </c>
      <c r="K20" s="185"/>
      <c r="L20" s="185"/>
      <c r="M20" s="185"/>
    </row>
    <row r="21" spans="1:13" ht="22.5" customHeight="1" x14ac:dyDescent="0.3">
      <c r="B21" s="178" t="s">
        <v>22</v>
      </c>
      <c r="C21" s="178"/>
      <c r="D21" s="178"/>
      <c r="K21" s="178" t="s">
        <v>25</v>
      </c>
      <c r="L21" s="178"/>
      <c r="M21" s="178"/>
    </row>
    <row r="22" spans="1:13" ht="22.5" customHeight="1" x14ac:dyDescent="0.3">
      <c r="K22" s="19"/>
      <c r="L22" s="19"/>
    </row>
    <row r="23" spans="1:13" ht="22.5" customHeight="1" x14ac:dyDescent="0.3">
      <c r="K23" s="19"/>
      <c r="L23" s="19"/>
    </row>
    <row r="24" spans="1:13" ht="22.5" customHeight="1" x14ac:dyDescent="0.3">
      <c r="K24" s="19"/>
      <c r="L24" s="19"/>
    </row>
    <row r="25" spans="1:13" ht="22.5" customHeight="1" x14ac:dyDescent="0.3">
      <c r="B25" s="178" t="s">
        <v>28</v>
      </c>
      <c r="C25" s="178"/>
      <c r="D25" s="178"/>
      <c r="K25" s="178" t="s">
        <v>27</v>
      </c>
      <c r="L25" s="178"/>
      <c r="M25" s="178"/>
    </row>
    <row r="26" spans="1:13" ht="22.5" customHeight="1" x14ac:dyDescent="0.3">
      <c r="C26" s="1"/>
      <c r="D26" s="1"/>
    </row>
  </sheetData>
  <mergeCells count="24">
    <mergeCell ref="N5:N6"/>
    <mergeCell ref="B25:D25"/>
    <mergeCell ref="K25:M25"/>
    <mergeCell ref="A12:C12"/>
    <mergeCell ref="A15:C15"/>
    <mergeCell ref="A19:M19"/>
    <mergeCell ref="J20:M20"/>
    <mergeCell ref="B21:D21"/>
    <mergeCell ref="K21:M21"/>
    <mergeCell ref="A7:C7"/>
    <mergeCell ref="A1:M1"/>
    <mergeCell ref="A2:M2"/>
    <mergeCell ref="A3:M3"/>
    <mergeCell ref="A5:A6"/>
    <mergeCell ref="B5:B6"/>
    <mergeCell ref="C5:C6"/>
    <mergeCell ref="D5:F5"/>
    <mergeCell ref="G5:G6"/>
    <mergeCell ref="H5:H6"/>
    <mergeCell ref="I5:I6"/>
    <mergeCell ref="J5:J6"/>
    <mergeCell ref="K5:K6"/>
    <mergeCell ref="L5:L6"/>
    <mergeCell ref="M5:M6"/>
  </mergeCells>
  <pageMargins left="0.24" right="0.16" top="0.37" bottom="0.34" header="0.3" footer="0.3"/>
  <pageSetup paperSize="9" scale="7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workbookViewId="0">
      <selection sqref="A1:XFD1048576"/>
    </sheetView>
  </sheetViews>
  <sheetFormatPr defaultColWidth="9.109375" defaultRowHeight="16.8" x14ac:dyDescent="0.3"/>
  <cols>
    <col min="1" max="1" width="6.109375" style="2" customWidth="1"/>
    <col min="2" max="2" width="27.5546875" style="1" customWidth="1"/>
    <col min="3" max="3" width="16.33203125" style="2" customWidth="1"/>
    <col min="4" max="4" width="10.44140625" style="2" customWidth="1"/>
    <col min="5" max="5" width="10.6640625" style="2" customWidth="1"/>
    <col min="6" max="9" width="12.33203125" style="2" customWidth="1"/>
    <col min="10" max="11" width="14.5546875" style="2" customWidth="1"/>
    <col min="12" max="12" width="9.44140625" style="2" customWidth="1"/>
    <col min="13" max="13" width="17.33203125" style="2" customWidth="1"/>
    <col min="14" max="14" width="53.88671875" style="2" customWidth="1"/>
    <col min="15" max="16384" width="9.109375" style="1"/>
  </cols>
  <sheetData>
    <row r="1" spans="1:14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</row>
    <row r="2" spans="1:14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</row>
    <row r="3" spans="1:14" ht="22.5" customHeight="1" x14ac:dyDescent="0.3">
      <c r="A3" s="179" t="s">
        <v>39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</row>
    <row r="4" spans="1:14" ht="21" customHeight="1" x14ac:dyDescent="0.3"/>
    <row r="5" spans="1:14" s="3" customFormat="1" ht="22.5" customHeight="1" x14ac:dyDescent="0.3">
      <c r="A5" s="180" t="s">
        <v>0</v>
      </c>
      <c r="B5" s="180" t="s">
        <v>1</v>
      </c>
      <c r="C5" s="180" t="s">
        <v>2</v>
      </c>
      <c r="D5" s="180" t="s">
        <v>23</v>
      </c>
      <c r="E5" s="180"/>
      <c r="F5" s="180"/>
      <c r="G5" s="181" t="s">
        <v>29</v>
      </c>
      <c r="H5" s="181" t="s">
        <v>30</v>
      </c>
      <c r="I5" s="181" t="s">
        <v>31</v>
      </c>
      <c r="J5" s="181" t="s">
        <v>24</v>
      </c>
      <c r="K5" s="180" t="s">
        <v>6</v>
      </c>
      <c r="L5" s="180" t="s">
        <v>7</v>
      </c>
      <c r="M5" s="180" t="s">
        <v>8</v>
      </c>
      <c r="N5" s="183"/>
    </row>
    <row r="6" spans="1:14" s="3" customFormat="1" ht="38.25" customHeight="1" x14ac:dyDescent="0.3">
      <c r="A6" s="180"/>
      <c r="B6" s="180"/>
      <c r="C6" s="180"/>
      <c r="D6" s="22" t="s">
        <v>3</v>
      </c>
      <c r="E6" s="22" t="s">
        <v>4</v>
      </c>
      <c r="F6" s="22" t="s">
        <v>5</v>
      </c>
      <c r="G6" s="182"/>
      <c r="H6" s="182"/>
      <c r="I6" s="182"/>
      <c r="J6" s="182"/>
      <c r="K6" s="180"/>
      <c r="L6" s="180"/>
      <c r="M6" s="180"/>
      <c r="N6" s="183"/>
    </row>
    <row r="7" spans="1:14" ht="22.5" customHeight="1" x14ac:dyDescent="0.3">
      <c r="A7" s="184" t="s">
        <v>15</v>
      </c>
      <c r="B7" s="184"/>
      <c r="C7" s="18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4" ht="22.5" customHeight="1" x14ac:dyDescent="0.3">
      <c r="A8" s="5">
        <v>1</v>
      </c>
      <c r="B8" s="6" t="s">
        <v>9</v>
      </c>
      <c r="C8" s="6" t="s">
        <v>18</v>
      </c>
      <c r="D8" s="5"/>
      <c r="E8" s="5"/>
      <c r="F8" s="5"/>
      <c r="G8" s="12">
        <f>IF(D8&gt;5,(D8-5)*2,0)</f>
        <v>0</v>
      </c>
      <c r="H8" s="12">
        <f>IF(E8&gt;5,(E8-5)*2,0)</f>
        <v>0</v>
      </c>
      <c r="I8" s="12">
        <f>IF(F8&gt;2,(F8-2)*1,0)</f>
        <v>0</v>
      </c>
      <c r="J8" s="12">
        <f t="shared" ref="J8:J11" si="0">SUM(G8:I8)</f>
        <v>0</v>
      </c>
      <c r="K8" s="12">
        <f t="shared" ref="K8:K11" si="1">100-J8</f>
        <v>100</v>
      </c>
      <c r="L8" s="12" t="str">
        <f>IF(K8&lt;71,"KL",IF(AND(K8&gt;=71,K8&lt;81),"C",IF(AND(K8&gt;=81,K8&lt;91),"B","A")))</f>
        <v>A</v>
      </c>
      <c r="M8" s="12" t="str">
        <f>IF(L8="A","100% LTT",IF(L8="B","90% LTT",IF(L8="C","80% LTT","60% LTT")))</f>
        <v>100% LTT</v>
      </c>
      <c r="N8" s="14"/>
    </row>
    <row r="9" spans="1:14" ht="22.5" customHeight="1" x14ac:dyDescent="0.3">
      <c r="A9" s="12">
        <f>A8+1</f>
        <v>2</v>
      </c>
      <c r="B9" s="13" t="s">
        <v>34</v>
      </c>
      <c r="C9" s="7" t="s">
        <v>19</v>
      </c>
      <c r="D9" s="12"/>
      <c r="E9" s="12"/>
      <c r="F9" s="12">
        <v>1</v>
      </c>
      <c r="G9" s="7">
        <f>IF(D9&gt;5,(D9-5)*2,0)</f>
        <v>0</v>
      </c>
      <c r="H9" s="7">
        <f t="shared" ref="H9" si="2">IF(E9&gt;5,(E9-5)*2,0)</f>
        <v>0</v>
      </c>
      <c r="I9" s="7">
        <f>IF(F9&gt;2,(F9-2)*1,0)</f>
        <v>0</v>
      </c>
      <c r="J9" s="7">
        <f t="shared" si="0"/>
        <v>0</v>
      </c>
      <c r="K9" s="7">
        <f t="shared" si="1"/>
        <v>100</v>
      </c>
      <c r="L9" s="7" t="str">
        <f>IF(K9&lt;71,"KL",IF(AND(K9&gt;=71,K9&lt;81),"C",IF(AND(K9&gt;=81,K9&lt;91),"B","A")))</f>
        <v>A</v>
      </c>
      <c r="M9" s="7" t="str">
        <f>IF(L9="A","100% LTT",IF(L9="B","90% LTT",IF(L9="C","80% LTT","60% LTT")))</f>
        <v>100% LTT</v>
      </c>
      <c r="N9" s="11" t="s">
        <v>26</v>
      </c>
    </row>
    <row r="10" spans="1:14" ht="22.5" customHeight="1" x14ac:dyDescent="0.3">
      <c r="A10" s="12">
        <f t="shared" ref="A10:A11" si="3">A9+1</f>
        <v>3</v>
      </c>
      <c r="B10" s="8" t="s">
        <v>10</v>
      </c>
      <c r="C10" s="7" t="s">
        <v>19</v>
      </c>
      <c r="D10" s="7">
        <v>7</v>
      </c>
      <c r="E10" s="7"/>
      <c r="F10" s="7">
        <v>1</v>
      </c>
      <c r="G10" s="7">
        <f>IF(D10&gt;5,(D10-5)*2,0)</f>
        <v>4</v>
      </c>
      <c r="H10" s="7">
        <f>IF(E10&gt;5,(E10-5)*2,0)</f>
        <v>0</v>
      </c>
      <c r="I10" s="7">
        <f t="shared" ref="I10:I11" si="4">IF(F10&gt;2,(F10-2)*1,0)</f>
        <v>0</v>
      </c>
      <c r="J10" s="7">
        <f>SUM(G10:I10)</f>
        <v>4</v>
      </c>
      <c r="K10" s="7">
        <f t="shared" si="1"/>
        <v>96</v>
      </c>
      <c r="L10" s="7" t="str">
        <f t="shared" ref="L10:L11" si="5">IF(K10&lt;71,"KL",IF(AND(K10&gt;=71,K10&lt;81),"C",IF(AND(K10&gt;=81,K10&lt;91),"B","A")))</f>
        <v>A</v>
      </c>
      <c r="M10" s="7" t="str">
        <f t="shared" ref="M10:M11" si="6">IF(L10="A","100% LTT",IF(L10="B","90% LTT",IF(L10="C","80% LTT","60% LTT")))</f>
        <v>100% LTT</v>
      </c>
      <c r="N10" s="11" t="s">
        <v>32</v>
      </c>
    </row>
    <row r="11" spans="1:14" ht="22.5" customHeight="1" x14ac:dyDescent="0.3">
      <c r="A11" s="12">
        <f t="shared" si="3"/>
        <v>4</v>
      </c>
      <c r="B11" s="8" t="s">
        <v>11</v>
      </c>
      <c r="C11" s="7" t="s">
        <v>19</v>
      </c>
      <c r="D11" s="7"/>
      <c r="E11" s="7"/>
      <c r="F11" s="7"/>
      <c r="G11" s="7">
        <f t="shared" ref="G11:H11" si="7">IF(D11&gt;5,(D11-5)*2,0)</f>
        <v>0</v>
      </c>
      <c r="H11" s="7">
        <f t="shared" si="7"/>
        <v>0</v>
      </c>
      <c r="I11" s="7">
        <f t="shared" si="4"/>
        <v>0</v>
      </c>
      <c r="J11" s="7">
        <f t="shared" si="0"/>
        <v>0</v>
      </c>
      <c r="K11" s="7">
        <f t="shared" si="1"/>
        <v>100</v>
      </c>
      <c r="L11" s="7" t="str">
        <f t="shared" si="5"/>
        <v>A</v>
      </c>
      <c r="M11" s="7" t="str">
        <f t="shared" si="6"/>
        <v>100% LTT</v>
      </c>
      <c r="N11" s="11" t="s">
        <v>33</v>
      </c>
    </row>
    <row r="12" spans="1:14" ht="22.5" customHeight="1" x14ac:dyDescent="0.3">
      <c r="A12" s="184" t="s">
        <v>16</v>
      </c>
      <c r="B12" s="184"/>
      <c r="C12" s="18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4" ht="22.5" customHeight="1" x14ac:dyDescent="0.3">
      <c r="A13" s="15">
        <f>A11+1</f>
        <v>5</v>
      </c>
      <c r="B13" s="16" t="s">
        <v>35</v>
      </c>
      <c r="C13" s="15" t="s">
        <v>19</v>
      </c>
      <c r="D13" s="15"/>
      <c r="E13" s="15"/>
      <c r="F13" s="15"/>
      <c r="G13" s="15">
        <f t="shared" ref="G13:H14" si="8">IF(D13&gt;5,(D13-5)*2,0)</f>
        <v>0</v>
      </c>
      <c r="H13" s="15">
        <f t="shared" si="8"/>
        <v>0</v>
      </c>
      <c r="I13" s="15">
        <f t="shared" ref="I13:I14" si="9">IF(F13&gt;2,(F13-2)*1,0)</f>
        <v>0</v>
      </c>
      <c r="J13" s="15">
        <f t="shared" ref="J13:J14" si="10">SUM(G13:I13)</f>
        <v>0</v>
      </c>
      <c r="K13" s="15">
        <f>100-J13</f>
        <v>100</v>
      </c>
      <c r="L13" s="15" t="str">
        <f t="shared" ref="L13:L14" si="11">IF(K13&lt;71,"KL",IF(AND(K13&gt;=71,K13&lt;81),"C",IF(AND(K13&gt;=81,K13&lt;91),"B","A")))</f>
        <v>A</v>
      </c>
      <c r="M13" s="15" t="str">
        <f t="shared" ref="M13:M14" si="12">IF(L13="A","100% LTT",IF(L13="B","90% LTT",IF(L13="C","80% LTT","60% LTT")))</f>
        <v>100% LTT</v>
      </c>
    </row>
    <row r="14" spans="1:14" ht="22.5" customHeight="1" x14ac:dyDescent="0.3">
      <c r="A14" s="17">
        <f>A13+1</f>
        <v>6</v>
      </c>
      <c r="B14" s="18" t="s">
        <v>28</v>
      </c>
      <c r="C14" s="17" t="s">
        <v>19</v>
      </c>
      <c r="D14" s="17"/>
      <c r="E14" s="17"/>
      <c r="F14" s="17">
        <v>2</v>
      </c>
      <c r="G14" s="17">
        <f t="shared" si="8"/>
        <v>0</v>
      </c>
      <c r="H14" s="17">
        <f t="shared" si="8"/>
        <v>0</v>
      </c>
      <c r="I14" s="17">
        <f t="shared" si="9"/>
        <v>0</v>
      </c>
      <c r="J14" s="17">
        <f t="shared" si="10"/>
        <v>0</v>
      </c>
      <c r="K14" s="17">
        <f>100-J14</f>
        <v>100</v>
      </c>
      <c r="L14" s="17" t="str">
        <f t="shared" si="11"/>
        <v>A</v>
      </c>
      <c r="M14" s="17" t="str">
        <f t="shared" si="12"/>
        <v>100% LTT</v>
      </c>
    </row>
    <row r="15" spans="1:14" ht="22.5" customHeight="1" x14ac:dyDescent="0.3">
      <c r="A15" s="184" t="s">
        <v>17</v>
      </c>
      <c r="B15" s="184"/>
      <c r="C15" s="18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4" ht="22.5" customHeight="1" x14ac:dyDescent="0.3">
      <c r="A16" s="23">
        <v>7</v>
      </c>
      <c r="B16" s="6" t="s">
        <v>12</v>
      </c>
      <c r="C16" s="5" t="s">
        <v>19</v>
      </c>
      <c r="D16" s="5"/>
      <c r="E16" s="5"/>
      <c r="F16" s="23">
        <v>1</v>
      </c>
      <c r="G16" s="23">
        <f t="shared" ref="G16:H19" si="13">IF(D16&gt;5,(D16-5)*2,0)</f>
        <v>0</v>
      </c>
      <c r="H16" s="23">
        <f t="shared" si="13"/>
        <v>0</v>
      </c>
      <c r="I16" s="23">
        <f t="shared" ref="I16:I19" si="14">IF(F16&gt;2,(F16-2)*1,0)</f>
        <v>0</v>
      </c>
      <c r="J16" s="23">
        <f t="shared" ref="J16:J19" si="15">SUM(G16:I16)</f>
        <v>0</v>
      </c>
      <c r="K16" s="23">
        <f>100-J16</f>
        <v>100</v>
      </c>
      <c r="L16" s="23" t="str">
        <f t="shared" ref="L16:L19" si="16">IF(K16&lt;71,"KL",IF(AND(K16&gt;=71,K16&lt;81),"C",IF(AND(K16&gt;=81,K16&lt;91),"B","A")))</f>
        <v>A</v>
      </c>
      <c r="M16" s="23" t="str">
        <f t="shared" ref="M16:M19" si="17">IF(L16="A","100% LTT",IF(L16="B","90% LTT",IF(L16="C","80% LTT","60% LTT")))</f>
        <v>100% LTT</v>
      </c>
    </row>
    <row r="17" spans="1:13" ht="22.5" customHeight="1" x14ac:dyDescent="0.3">
      <c r="A17" s="15">
        <v>8</v>
      </c>
      <c r="B17" s="13" t="s">
        <v>40</v>
      </c>
      <c r="C17" s="7" t="s">
        <v>19</v>
      </c>
      <c r="D17" s="12"/>
      <c r="E17" s="12"/>
      <c r="F17" s="15">
        <v>3</v>
      </c>
      <c r="G17" s="15">
        <f t="shared" si="13"/>
        <v>0</v>
      </c>
      <c r="H17" s="15">
        <f t="shared" si="13"/>
        <v>0</v>
      </c>
      <c r="I17" s="15">
        <f>IF(F17&gt;2,(F17-2)*1,0)</f>
        <v>1</v>
      </c>
      <c r="J17" s="15">
        <f t="shared" si="15"/>
        <v>1</v>
      </c>
      <c r="K17" s="15">
        <f>100-J17</f>
        <v>99</v>
      </c>
      <c r="L17" s="15" t="str">
        <f t="shared" si="16"/>
        <v>A</v>
      </c>
      <c r="M17" s="15" t="str">
        <f t="shared" si="17"/>
        <v>100% LTT</v>
      </c>
    </row>
    <row r="18" spans="1:13" ht="22.5" customHeight="1" x14ac:dyDescent="0.3">
      <c r="A18" s="15">
        <v>9</v>
      </c>
      <c r="B18" s="8" t="s">
        <v>13</v>
      </c>
      <c r="C18" s="7" t="s">
        <v>19</v>
      </c>
      <c r="D18" s="7">
        <v>1</v>
      </c>
      <c r="E18" s="7"/>
      <c r="F18" s="15">
        <v>1</v>
      </c>
      <c r="G18" s="15">
        <f t="shared" si="13"/>
        <v>0</v>
      </c>
      <c r="H18" s="15">
        <f t="shared" si="13"/>
        <v>0</v>
      </c>
      <c r="I18" s="15">
        <f t="shared" si="14"/>
        <v>0</v>
      </c>
      <c r="J18" s="15">
        <f t="shared" si="15"/>
        <v>0</v>
      </c>
      <c r="K18" s="15">
        <f>100-J18</f>
        <v>100</v>
      </c>
      <c r="L18" s="15" t="str">
        <f t="shared" si="16"/>
        <v>A</v>
      </c>
      <c r="M18" s="15" t="str">
        <f t="shared" si="17"/>
        <v>100% LTT</v>
      </c>
    </row>
    <row r="19" spans="1:13" ht="22.5" customHeight="1" x14ac:dyDescent="0.3">
      <c r="A19" s="17">
        <v>10</v>
      </c>
      <c r="B19" s="10" t="s">
        <v>14</v>
      </c>
      <c r="C19" s="9" t="s">
        <v>19</v>
      </c>
      <c r="D19" s="9"/>
      <c r="E19" s="9"/>
      <c r="F19" s="17"/>
      <c r="G19" s="17">
        <f t="shared" si="13"/>
        <v>0</v>
      </c>
      <c r="H19" s="17">
        <f t="shared" si="13"/>
        <v>0</v>
      </c>
      <c r="I19" s="17">
        <f t="shared" si="14"/>
        <v>0</v>
      </c>
      <c r="J19" s="17">
        <f t="shared" si="15"/>
        <v>0</v>
      </c>
      <c r="K19" s="17">
        <f>100-J19</f>
        <v>100</v>
      </c>
      <c r="L19" s="17" t="str">
        <f t="shared" si="16"/>
        <v>A</v>
      </c>
      <c r="M19" s="17" t="str">
        <f t="shared" si="17"/>
        <v>100% LTT</v>
      </c>
    </row>
    <row r="20" spans="1:13" ht="22.5" customHeight="1" x14ac:dyDescent="0.3">
      <c r="A20" s="180" t="s">
        <v>41</v>
      </c>
      <c r="B20" s="180"/>
      <c r="C20" s="180"/>
      <c r="D20" s="180"/>
      <c r="E20" s="180"/>
      <c r="F20" s="180"/>
      <c r="G20" s="180"/>
      <c r="H20" s="180"/>
      <c r="I20" s="180"/>
      <c r="J20" s="180"/>
      <c r="K20" s="180"/>
      <c r="L20" s="180"/>
      <c r="M20" s="180"/>
    </row>
    <row r="21" spans="1:13" ht="22.5" customHeight="1" x14ac:dyDescent="0.3">
      <c r="J21" s="185" t="s">
        <v>37</v>
      </c>
      <c r="K21" s="185"/>
      <c r="L21" s="185"/>
      <c r="M21" s="185"/>
    </row>
    <row r="22" spans="1:13" ht="22.5" customHeight="1" x14ac:dyDescent="0.3">
      <c r="B22" s="178" t="s">
        <v>22</v>
      </c>
      <c r="C22" s="178"/>
      <c r="D22" s="178"/>
      <c r="K22" s="178" t="s">
        <v>25</v>
      </c>
      <c r="L22" s="178"/>
      <c r="M22" s="178"/>
    </row>
    <row r="23" spans="1:13" ht="22.5" customHeight="1" x14ac:dyDescent="0.3">
      <c r="K23" s="21"/>
      <c r="L23" s="21"/>
    </row>
    <row r="24" spans="1:13" ht="22.5" customHeight="1" x14ac:dyDescent="0.3">
      <c r="K24" s="21"/>
      <c r="L24" s="21"/>
    </row>
    <row r="25" spans="1:13" ht="22.5" customHeight="1" x14ac:dyDescent="0.3">
      <c r="K25" s="21"/>
      <c r="L25" s="21"/>
    </row>
    <row r="26" spans="1:13" ht="22.5" customHeight="1" x14ac:dyDescent="0.3">
      <c r="B26" s="178" t="s">
        <v>28</v>
      </c>
      <c r="C26" s="178"/>
      <c r="D26" s="178"/>
      <c r="K26" s="178" t="s">
        <v>27</v>
      </c>
      <c r="L26" s="178"/>
      <c r="M26" s="178"/>
    </row>
    <row r="27" spans="1:13" ht="22.5" customHeight="1" x14ac:dyDescent="0.3">
      <c r="C27" s="1"/>
      <c r="D27" s="1"/>
    </row>
  </sheetData>
  <mergeCells count="24">
    <mergeCell ref="N5:N6"/>
    <mergeCell ref="B26:D26"/>
    <mergeCell ref="K26:M26"/>
    <mergeCell ref="A12:C12"/>
    <mergeCell ref="A15:C15"/>
    <mergeCell ref="A20:M20"/>
    <mergeCell ref="J21:M21"/>
    <mergeCell ref="B22:D22"/>
    <mergeCell ref="K22:M22"/>
    <mergeCell ref="A7:C7"/>
    <mergeCell ref="A1:M1"/>
    <mergeCell ref="A2:M2"/>
    <mergeCell ref="A3:M3"/>
    <mergeCell ref="A5:A6"/>
    <mergeCell ref="B5:B6"/>
    <mergeCell ref="C5:C6"/>
    <mergeCell ref="D5:F5"/>
    <mergeCell ref="G5:G6"/>
    <mergeCell ref="H5:H6"/>
    <mergeCell ref="I5:I6"/>
    <mergeCell ref="J5:J6"/>
    <mergeCell ref="K5:K6"/>
    <mergeCell ref="L5:L6"/>
    <mergeCell ref="M5:M6"/>
  </mergeCells>
  <pageMargins left="0.3" right="0.16" top="0.34" bottom="0.41" header="0.3" footer="0.3"/>
  <pageSetup paperSize="9" scale="8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workbookViewId="0">
      <selection sqref="A1:XFD1048576"/>
    </sheetView>
  </sheetViews>
  <sheetFormatPr defaultColWidth="9.109375" defaultRowHeight="16.8" x14ac:dyDescent="0.3"/>
  <cols>
    <col min="1" max="1" width="6.109375" style="2" customWidth="1"/>
    <col min="2" max="2" width="27.5546875" style="1" customWidth="1"/>
    <col min="3" max="3" width="16.33203125" style="2" customWidth="1"/>
    <col min="4" max="4" width="10.44140625" style="2" customWidth="1"/>
    <col min="5" max="5" width="10.6640625" style="2" customWidth="1"/>
    <col min="6" max="9" width="12.33203125" style="2" customWidth="1"/>
    <col min="10" max="11" width="14.5546875" style="2" customWidth="1"/>
    <col min="12" max="12" width="9.44140625" style="2" customWidth="1"/>
    <col min="13" max="13" width="17.33203125" style="2" customWidth="1"/>
    <col min="14" max="14" width="53.88671875" style="2" customWidth="1"/>
    <col min="15" max="16384" width="9.109375" style="1"/>
  </cols>
  <sheetData>
    <row r="1" spans="1:14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</row>
    <row r="2" spans="1:14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</row>
    <row r="3" spans="1:14" ht="22.5" customHeight="1" x14ac:dyDescent="0.3">
      <c r="A3" s="179" t="s">
        <v>42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</row>
    <row r="4" spans="1:14" ht="21" customHeight="1" x14ac:dyDescent="0.3"/>
    <row r="5" spans="1:14" s="3" customFormat="1" ht="22.5" customHeight="1" x14ac:dyDescent="0.3">
      <c r="A5" s="180" t="s">
        <v>0</v>
      </c>
      <c r="B5" s="180" t="s">
        <v>1</v>
      </c>
      <c r="C5" s="180" t="s">
        <v>2</v>
      </c>
      <c r="D5" s="180" t="s">
        <v>23</v>
      </c>
      <c r="E5" s="180"/>
      <c r="F5" s="180"/>
      <c r="G5" s="181" t="s">
        <v>29</v>
      </c>
      <c r="H5" s="181" t="s">
        <v>30</v>
      </c>
      <c r="I5" s="181" t="s">
        <v>31</v>
      </c>
      <c r="J5" s="181" t="s">
        <v>24</v>
      </c>
      <c r="K5" s="180" t="s">
        <v>6</v>
      </c>
      <c r="L5" s="180" t="s">
        <v>7</v>
      </c>
      <c r="M5" s="180" t="s">
        <v>8</v>
      </c>
      <c r="N5" s="183"/>
    </row>
    <row r="6" spans="1:14" s="3" customFormat="1" ht="38.25" customHeight="1" x14ac:dyDescent="0.3">
      <c r="A6" s="180"/>
      <c r="B6" s="180"/>
      <c r="C6" s="180"/>
      <c r="D6" s="25" t="s">
        <v>3</v>
      </c>
      <c r="E6" s="25" t="s">
        <v>4</v>
      </c>
      <c r="F6" s="25" t="s">
        <v>5</v>
      </c>
      <c r="G6" s="182"/>
      <c r="H6" s="182"/>
      <c r="I6" s="182"/>
      <c r="J6" s="182"/>
      <c r="K6" s="180"/>
      <c r="L6" s="180"/>
      <c r="M6" s="180"/>
      <c r="N6" s="183"/>
    </row>
    <row r="7" spans="1:14" ht="22.5" customHeight="1" x14ac:dyDescent="0.3">
      <c r="A7" s="184" t="s">
        <v>15</v>
      </c>
      <c r="B7" s="184"/>
      <c r="C7" s="18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4" ht="22.5" customHeight="1" x14ac:dyDescent="0.3">
      <c r="A8" s="5">
        <v>1</v>
      </c>
      <c r="B8" s="6" t="s">
        <v>9</v>
      </c>
      <c r="C8" s="6" t="s">
        <v>18</v>
      </c>
      <c r="D8" s="5"/>
      <c r="E8" s="5"/>
      <c r="F8" s="5"/>
      <c r="G8" s="12">
        <f>IF(D8&gt;5,(D8-5)*2,0)</f>
        <v>0</v>
      </c>
      <c r="H8" s="12">
        <f>IF(E8&gt;5,(E8-5)*2,0)</f>
        <v>0</v>
      </c>
      <c r="I8" s="12">
        <f>IF(F8&gt;2,(F8-2)*1,0)</f>
        <v>0</v>
      </c>
      <c r="J8" s="12">
        <f t="shared" ref="J8:J11" si="0">SUM(G8:I8)</f>
        <v>0</v>
      </c>
      <c r="K8" s="12">
        <f t="shared" ref="K8:K11" si="1">100-J8</f>
        <v>100</v>
      </c>
      <c r="L8" s="12" t="str">
        <f>IF(K8&lt;71,"KL",IF(AND(K8&gt;=71,K8&lt;81),"C",IF(AND(K8&gt;=81,K8&lt;91),"B","A")))</f>
        <v>A</v>
      </c>
      <c r="M8" s="12" t="str">
        <f>IF(L8="A","100% LTT",IF(L8="B","90% LTT",IF(L8="C","80% LTT","60% LTT")))</f>
        <v>100% LTT</v>
      </c>
      <c r="N8" s="14"/>
    </row>
    <row r="9" spans="1:14" ht="22.5" customHeight="1" x14ac:dyDescent="0.3">
      <c r="A9" s="12">
        <f>A8+1</f>
        <v>2</v>
      </c>
      <c r="B9" s="13" t="s">
        <v>34</v>
      </c>
      <c r="C9" s="7" t="s">
        <v>19</v>
      </c>
      <c r="D9" s="12"/>
      <c r="E9" s="12"/>
      <c r="F9" s="12"/>
      <c r="G9" s="7">
        <f>IF(D9&gt;5,(D9-5)*2,0)</f>
        <v>0</v>
      </c>
      <c r="H9" s="7">
        <f t="shared" ref="H9" si="2">IF(E9&gt;5,(E9-5)*2,0)</f>
        <v>0</v>
      </c>
      <c r="I9" s="7">
        <f>IF(F9&gt;2,(F9-2)*1,0)</f>
        <v>0</v>
      </c>
      <c r="J9" s="7">
        <f t="shared" si="0"/>
        <v>0</v>
      </c>
      <c r="K9" s="7">
        <f t="shared" si="1"/>
        <v>100</v>
      </c>
      <c r="L9" s="7" t="str">
        <f>IF(K9&lt;71,"KL",IF(AND(K9&gt;=71,K9&lt;81),"C",IF(AND(K9&gt;=81,K9&lt;91),"B","A")))</f>
        <v>A</v>
      </c>
      <c r="M9" s="7" t="str">
        <f>IF(L9="A","100% LTT",IF(L9="B","90% LTT",IF(L9="C","80% LTT","60% LTT")))</f>
        <v>100% LTT</v>
      </c>
      <c r="N9" s="11" t="s">
        <v>26</v>
      </c>
    </row>
    <row r="10" spans="1:14" ht="22.5" customHeight="1" x14ac:dyDescent="0.3">
      <c r="A10" s="12">
        <f t="shared" ref="A10:A11" si="3">A9+1</f>
        <v>3</v>
      </c>
      <c r="B10" s="8" t="s">
        <v>10</v>
      </c>
      <c r="C10" s="7" t="s">
        <v>19</v>
      </c>
      <c r="D10" s="7">
        <v>9</v>
      </c>
      <c r="E10" s="7"/>
      <c r="F10" s="7"/>
      <c r="G10" s="7">
        <f>IF(D10&gt;5,(D10-5)*2,0)</f>
        <v>8</v>
      </c>
      <c r="H10" s="7">
        <f>IF(E10&gt;5,(E10-5)*2,0)</f>
        <v>0</v>
      </c>
      <c r="I10" s="7">
        <f t="shared" ref="I10:I11" si="4">IF(F10&gt;2,(F10-2)*1,0)</f>
        <v>0</v>
      </c>
      <c r="J10" s="7">
        <f>SUM(G10:I10)</f>
        <v>8</v>
      </c>
      <c r="K10" s="7">
        <f t="shared" si="1"/>
        <v>92</v>
      </c>
      <c r="L10" s="7" t="str">
        <f t="shared" ref="L10:L11" si="5">IF(K10&lt;71,"KL",IF(AND(K10&gt;=71,K10&lt;81),"C",IF(AND(K10&gt;=81,K10&lt;91),"B","A")))</f>
        <v>A</v>
      </c>
      <c r="M10" s="7" t="str">
        <f t="shared" ref="M10:M11" si="6">IF(L10="A","100% LTT",IF(L10="B","90% LTT",IF(L10="C","80% LTT","60% LTT")))</f>
        <v>100% LTT</v>
      </c>
      <c r="N10" s="11" t="s">
        <v>32</v>
      </c>
    </row>
    <row r="11" spans="1:14" ht="22.5" customHeight="1" x14ac:dyDescent="0.3">
      <c r="A11" s="12">
        <f t="shared" si="3"/>
        <v>4</v>
      </c>
      <c r="B11" s="8" t="s">
        <v>11</v>
      </c>
      <c r="C11" s="7" t="s">
        <v>19</v>
      </c>
      <c r="D11" s="7"/>
      <c r="E11" s="7"/>
      <c r="F11" s="7"/>
      <c r="G11" s="7">
        <f t="shared" ref="G11:H11" si="7">IF(D11&gt;5,(D11-5)*2,0)</f>
        <v>0</v>
      </c>
      <c r="H11" s="7">
        <f t="shared" si="7"/>
        <v>0</v>
      </c>
      <c r="I11" s="7">
        <f t="shared" si="4"/>
        <v>0</v>
      </c>
      <c r="J11" s="7">
        <f t="shared" si="0"/>
        <v>0</v>
      </c>
      <c r="K11" s="7">
        <f t="shared" si="1"/>
        <v>100</v>
      </c>
      <c r="L11" s="7" t="str">
        <f t="shared" si="5"/>
        <v>A</v>
      </c>
      <c r="M11" s="7" t="str">
        <f t="shared" si="6"/>
        <v>100% LTT</v>
      </c>
      <c r="N11" s="11" t="s">
        <v>33</v>
      </c>
    </row>
    <row r="12" spans="1:14" ht="22.5" customHeight="1" x14ac:dyDescent="0.3">
      <c r="A12" s="184" t="s">
        <v>16</v>
      </c>
      <c r="B12" s="184"/>
      <c r="C12" s="18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4" ht="22.5" customHeight="1" x14ac:dyDescent="0.3">
      <c r="A13" s="15">
        <f>A11+1</f>
        <v>5</v>
      </c>
      <c r="B13" s="16" t="s">
        <v>35</v>
      </c>
      <c r="C13" s="15" t="s">
        <v>19</v>
      </c>
      <c r="D13" s="15"/>
      <c r="E13" s="15"/>
      <c r="F13" s="15"/>
      <c r="G13" s="15">
        <f t="shared" ref="G13:H14" si="8">IF(D13&gt;5,(D13-5)*2,0)</f>
        <v>0</v>
      </c>
      <c r="H13" s="15">
        <f t="shared" si="8"/>
        <v>0</v>
      </c>
      <c r="I13" s="15">
        <f t="shared" ref="I13:I14" si="9">IF(F13&gt;2,(F13-2)*1,0)</f>
        <v>0</v>
      </c>
      <c r="J13" s="15">
        <f t="shared" ref="J13:J14" si="10">SUM(G13:I13)</f>
        <v>0</v>
      </c>
      <c r="K13" s="15">
        <f>100-J13</f>
        <v>100</v>
      </c>
      <c r="L13" s="15" t="str">
        <f t="shared" ref="L13:L14" si="11">IF(K13&lt;71,"KL",IF(AND(K13&gt;=71,K13&lt;81),"C",IF(AND(K13&gt;=81,K13&lt;91),"B","A")))</f>
        <v>A</v>
      </c>
      <c r="M13" s="15" t="str">
        <f t="shared" ref="M13:M14" si="12">IF(L13="A","100% LTT",IF(L13="B","90% LTT",IF(L13="C","80% LTT","60% LTT")))</f>
        <v>100% LTT</v>
      </c>
    </row>
    <row r="14" spans="1:14" ht="22.5" customHeight="1" x14ac:dyDescent="0.3">
      <c r="A14" s="17">
        <f>A13+1</f>
        <v>6</v>
      </c>
      <c r="B14" s="18" t="s">
        <v>28</v>
      </c>
      <c r="C14" s="17" t="s">
        <v>19</v>
      </c>
      <c r="D14" s="17"/>
      <c r="E14" s="17"/>
      <c r="F14" s="17">
        <v>2</v>
      </c>
      <c r="G14" s="17">
        <f t="shared" si="8"/>
        <v>0</v>
      </c>
      <c r="H14" s="17">
        <f t="shared" si="8"/>
        <v>0</v>
      </c>
      <c r="I14" s="17">
        <f t="shared" si="9"/>
        <v>0</v>
      </c>
      <c r="J14" s="17">
        <f t="shared" si="10"/>
        <v>0</v>
      </c>
      <c r="K14" s="17">
        <f>100-J14</f>
        <v>100</v>
      </c>
      <c r="L14" s="17" t="str">
        <f t="shared" si="11"/>
        <v>A</v>
      </c>
      <c r="M14" s="17" t="str">
        <f t="shared" si="12"/>
        <v>100% LTT</v>
      </c>
    </row>
    <row r="15" spans="1:14" ht="22.5" customHeight="1" x14ac:dyDescent="0.3">
      <c r="A15" s="184" t="s">
        <v>17</v>
      </c>
      <c r="B15" s="184"/>
      <c r="C15" s="18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4" ht="22.5" customHeight="1" x14ac:dyDescent="0.3">
      <c r="A16" s="23">
        <v>7</v>
      </c>
      <c r="B16" s="6" t="s">
        <v>12</v>
      </c>
      <c r="C16" s="5" t="s">
        <v>19</v>
      </c>
      <c r="D16" s="5"/>
      <c r="E16" s="5"/>
      <c r="F16" s="23"/>
      <c r="G16" s="23">
        <f t="shared" ref="G16:H19" si="13">IF(D16&gt;5,(D16-5)*2,0)</f>
        <v>0</v>
      </c>
      <c r="H16" s="23">
        <f t="shared" si="13"/>
        <v>0</v>
      </c>
      <c r="I16" s="23">
        <f t="shared" ref="I16:I19" si="14">IF(F16&gt;2,(F16-2)*1,0)</f>
        <v>0</v>
      </c>
      <c r="J16" s="23">
        <f t="shared" ref="J16:J19" si="15">SUM(G16:I16)</f>
        <v>0</v>
      </c>
      <c r="K16" s="23">
        <f>100-J16</f>
        <v>100</v>
      </c>
      <c r="L16" s="23" t="str">
        <f t="shared" ref="L16:L19" si="16">IF(K16&lt;71,"KL",IF(AND(K16&gt;=71,K16&lt;81),"C",IF(AND(K16&gt;=81,K16&lt;91),"B","A")))</f>
        <v>A</v>
      </c>
      <c r="M16" s="23" t="str">
        <f t="shared" ref="M16:M19" si="17">IF(L16="A","100% LTT",IF(L16="B","90% LTT",IF(L16="C","80% LTT","60% LTT")))</f>
        <v>100% LTT</v>
      </c>
    </row>
    <row r="17" spans="1:13" ht="22.5" customHeight="1" x14ac:dyDescent="0.3">
      <c r="A17" s="15">
        <v>8</v>
      </c>
      <c r="B17" s="13" t="s">
        <v>40</v>
      </c>
      <c r="C17" s="7" t="s">
        <v>19</v>
      </c>
      <c r="D17" s="12"/>
      <c r="E17" s="12"/>
      <c r="F17" s="15">
        <v>5</v>
      </c>
      <c r="G17" s="15">
        <f t="shared" si="13"/>
        <v>0</v>
      </c>
      <c r="H17" s="15">
        <f t="shared" si="13"/>
        <v>0</v>
      </c>
      <c r="I17" s="15">
        <f>IF(F17&gt;2,(F17-2)*1,0)</f>
        <v>3</v>
      </c>
      <c r="J17" s="15">
        <f t="shared" si="15"/>
        <v>3</v>
      </c>
      <c r="K17" s="15">
        <f>100-J17</f>
        <v>97</v>
      </c>
      <c r="L17" s="15" t="str">
        <f t="shared" si="16"/>
        <v>A</v>
      </c>
      <c r="M17" s="15" t="str">
        <f t="shared" si="17"/>
        <v>100% LTT</v>
      </c>
    </row>
    <row r="18" spans="1:13" ht="22.5" customHeight="1" x14ac:dyDescent="0.3">
      <c r="A18" s="15">
        <v>9</v>
      </c>
      <c r="B18" s="8" t="s">
        <v>13</v>
      </c>
      <c r="C18" s="7" t="s">
        <v>19</v>
      </c>
      <c r="D18" s="7"/>
      <c r="E18" s="7"/>
      <c r="F18" s="15">
        <v>1</v>
      </c>
      <c r="G18" s="15">
        <f t="shared" si="13"/>
        <v>0</v>
      </c>
      <c r="H18" s="15">
        <f t="shared" si="13"/>
        <v>0</v>
      </c>
      <c r="I18" s="15">
        <f t="shared" si="14"/>
        <v>0</v>
      </c>
      <c r="J18" s="15">
        <f t="shared" si="15"/>
        <v>0</v>
      </c>
      <c r="K18" s="15">
        <f>100-J18</f>
        <v>100</v>
      </c>
      <c r="L18" s="15" t="str">
        <f t="shared" si="16"/>
        <v>A</v>
      </c>
      <c r="M18" s="15" t="str">
        <f t="shared" si="17"/>
        <v>100% LTT</v>
      </c>
    </row>
    <row r="19" spans="1:13" ht="22.5" customHeight="1" x14ac:dyDescent="0.3">
      <c r="A19" s="17">
        <v>10</v>
      </c>
      <c r="B19" s="10" t="s">
        <v>14</v>
      </c>
      <c r="C19" s="9" t="s">
        <v>19</v>
      </c>
      <c r="D19" s="9"/>
      <c r="E19" s="9"/>
      <c r="F19" s="17">
        <v>1</v>
      </c>
      <c r="G19" s="17">
        <f t="shared" si="13"/>
        <v>0</v>
      </c>
      <c r="H19" s="17">
        <f t="shared" si="13"/>
        <v>0</v>
      </c>
      <c r="I19" s="17">
        <f t="shared" si="14"/>
        <v>0</v>
      </c>
      <c r="J19" s="17">
        <f t="shared" si="15"/>
        <v>0</v>
      </c>
      <c r="K19" s="17">
        <f>100-J19</f>
        <v>100</v>
      </c>
      <c r="L19" s="17" t="str">
        <f t="shared" si="16"/>
        <v>A</v>
      </c>
      <c r="M19" s="17" t="str">
        <f t="shared" si="17"/>
        <v>100% LTT</v>
      </c>
    </row>
    <row r="20" spans="1:13" ht="22.5" customHeight="1" x14ac:dyDescent="0.3">
      <c r="A20" s="180" t="s">
        <v>41</v>
      </c>
      <c r="B20" s="180"/>
      <c r="C20" s="180"/>
      <c r="D20" s="180"/>
      <c r="E20" s="180"/>
      <c r="F20" s="180"/>
      <c r="G20" s="180"/>
      <c r="H20" s="180"/>
      <c r="I20" s="180"/>
      <c r="J20" s="180"/>
      <c r="K20" s="180"/>
      <c r="L20" s="180"/>
      <c r="M20" s="180"/>
    </row>
    <row r="21" spans="1:13" ht="22.5" customHeight="1" x14ac:dyDescent="0.3">
      <c r="J21" s="185" t="s">
        <v>37</v>
      </c>
      <c r="K21" s="185"/>
      <c r="L21" s="185"/>
      <c r="M21" s="185"/>
    </row>
    <row r="22" spans="1:13" ht="22.5" customHeight="1" x14ac:dyDescent="0.3">
      <c r="B22" s="178" t="s">
        <v>22</v>
      </c>
      <c r="C22" s="178"/>
      <c r="D22" s="178"/>
      <c r="K22" s="178" t="s">
        <v>25</v>
      </c>
      <c r="L22" s="178"/>
      <c r="M22" s="178"/>
    </row>
    <row r="23" spans="1:13" ht="22.5" customHeight="1" x14ac:dyDescent="0.3">
      <c r="K23" s="24"/>
      <c r="L23" s="24"/>
    </row>
    <row r="24" spans="1:13" ht="22.5" customHeight="1" x14ac:dyDescent="0.3">
      <c r="K24" s="24"/>
      <c r="L24" s="24"/>
    </row>
    <row r="25" spans="1:13" ht="22.5" customHeight="1" x14ac:dyDescent="0.3">
      <c r="K25" s="24"/>
      <c r="L25" s="24"/>
    </row>
    <row r="26" spans="1:13" ht="22.5" customHeight="1" x14ac:dyDescent="0.3">
      <c r="B26" s="178" t="s">
        <v>28</v>
      </c>
      <c r="C26" s="178"/>
      <c r="D26" s="178"/>
      <c r="K26" s="178" t="s">
        <v>27</v>
      </c>
      <c r="L26" s="178"/>
      <c r="M26" s="178"/>
    </row>
    <row r="27" spans="1:13" ht="22.5" customHeight="1" x14ac:dyDescent="0.3">
      <c r="C27" s="1"/>
      <c r="D27" s="1"/>
    </row>
  </sheetData>
  <mergeCells count="24">
    <mergeCell ref="A1:M1"/>
    <mergeCell ref="A2:M2"/>
    <mergeCell ref="A3:M3"/>
    <mergeCell ref="A5:A6"/>
    <mergeCell ref="B5:B6"/>
    <mergeCell ref="C5:C6"/>
    <mergeCell ref="D5:F5"/>
    <mergeCell ref="G5:G6"/>
    <mergeCell ref="H5:H6"/>
    <mergeCell ref="I5:I6"/>
    <mergeCell ref="J5:J6"/>
    <mergeCell ref="K5:K6"/>
    <mergeCell ref="L5:L6"/>
    <mergeCell ref="M5:M6"/>
    <mergeCell ref="N5:N6"/>
    <mergeCell ref="B26:D26"/>
    <mergeCell ref="K26:M26"/>
    <mergeCell ref="A12:C12"/>
    <mergeCell ref="A15:C15"/>
    <mergeCell ref="A20:M20"/>
    <mergeCell ref="J21:M21"/>
    <mergeCell ref="B22:D22"/>
    <mergeCell ref="K22:M22"/>
    <mergeCell ref="A7:C7"/>
  </mergeCells>
  <pageMargins left="0.24" right="0.35" top="0.38" bottom="0.43" header="0.3" footer="0.3"/>
  <pageSetup paperSize="9" scale="8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workbookViewId="0">
      <selection sqref="A1:XFD1048576"/>
    </sheetView>
  </sheetViews>
  <sheetFormatPr defaultColWidth="9.109375" defaultRowHeight="16.8" x14ac:dyDescent="0.3"/>
  <cols>
    <col min="1" max="1" width="6.109375" style="2" customWidth="1"/>
    <col min="2" max="2" width="27.5546875" style="1" customWidth="1"/>
    <col min="3" max="3" width="16.33203125" style="2" customWidth="1"/>
    <col min="4" max="4" width="10.44140625" style="2" customWidth="1"/>
    <col min="5" max="5" width="10.6640625" style="2" customWidth="1"/>
    <col min="6" max="9" width="12.33203125" style="2" customWidth="1"/>
    <col min="10" max="11" width="14.5546875" style="2" customWidth="1"/>
    <col min="12" max="12" width="9.44140625" style="2" customWidth="1"/>
    <col min="13" max="13" width="17.33203125" style="2" customWidth="1"/>
    <col min="14" max="14" width="53.88671875" style="2" customWidth="1"/>
    <col min="15" max="16384" width="9.109375" style="1"/>
  </cols>
  <sheetData>
    <row r="1" spans="1:14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</row>
    <row r="2" spans="1:14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</row>
    <row r="3" spans="1:14" ht="22.5" customHeight="1" x14ac:dyDescent="0.3">
      <c r="A3" s="179" t="s">
        <v>43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</row>
    <row r="4" spans="1:14" ht="21" customHeight="1" x14ac:dyDescent="0.3"/>
    <row r="5" spans="1:14" s="3" customFormat="1" ht="22.5" customHeight="1" x14ac:dyDescent="0.3">
      <c r="A5" s="180" t="s">
        <v>0</v>
      </c>
      <c r="B5" s="180" t="s">
        <v>1</v>
      </c>
      <c r="C5" s="180" t="s">
        <v>2</v>
      </c>
      <c r="D5" s="180" t="s">
        <v>23</v>
      </c>
      <c r="E5" s="180"/>
      <c r="F5" s="180"/>
      <c r="G5" s="181" t="s">
        <v>29</v>
      </c>
      <c r="H5" s="181" t="s">
        <v>30</v>
      </c>
      <c r="I5" s="181" t="s">
        <v>31</v>
      </c>
      <c r="J5" s="181" t="s">
        <v>24</v>
      </c>
      <c r="K5" s="180" t="s">
        <v>6</v>
      </c>
      <c r="L5" s="180" t="s">
        <v>7</v>
      </c>
      <c r="M5" s="180" t="s">
        <v>8</v>
      </c>
      <c r="N5" s="183"/>
    </row>
    <row r="6" spans="1:14" s="3" customFormat="1" ht="38.25" customHeight="1" x14ac:dyDescent="0.3">
      <c r="A6" s="180"/>
      <c r="B6" s="180"/>
      <c r="C6" s="180"/>
      <c r="D6" s="27" t="s">
        <v>3</v>
      </c>
      <c r="E6" s="27" t="s">
        <v>4</v>
      </c>
      <c r="F6" s="27" t="s">
        <v>5</v>
      </c>
      <c r="G6" s="182"/>
      <c r="H6" s="182"/>
      <c r="I6" s="182"/>
      <c r="J6" s="182"/>
      <c r="K6" s="180"/>
      <c r="L6" s="180"/>
      <c r="M6" s="180"/>
      <c r="N6" s="183"/>
    </row>
    <row r="7" spans="1:14" ht="22.5" customHeight="1" x14ac:dyDescent="0.3">
      <c r="A7" s="184" t="s">
        <v>15</v>
      </c>
      <c r="B7" s="184"/>
      <c r="C7" s="18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4" ht="22.5" customHeight="1" x14ac:dyDescent="0.3">
      <c r="A8" s="5">
        <v>1</v>
      </c>
      <c r="B8" s="6" t="s">
        <v>9</v>
      </c>
      <c r="C8" s="6" t="s">
        <v>18</v>
      </c>
      <c r="D8" s="5"/>
      <c r="E8" s="5"/>
      <c r="F8" s="5"/>
      <c r="G8" s="12">
        <f>IF(D8&gt;5,(D8-5)*2,0)</f>
        <v>0</v>
      </c>
      <c r="H8" s="12">
        <f>IF(E8&gt;5,(E8-5)*2,0)</f>
        <v>0</v>
      </c>
      <c r="I8" s="12">
        <f>IF(F8&gt;2,(F8-2)*1,0)</f>
        <v>0</v>
      </c>
      <c r="J8" s="12">
        <f t="shared" ref="J8:J11" si="0">SUM(G8:I8)</f>
        <v>0</v>
      </c>
      <c r="K8" s="12">
        <f t="shared" ref="K8:K11" si="1">100-J8</f>
        <v>100</v>
      </c>
      <c r="L8" s="12" t="str">
        <f>IF(K8&lt;71,"KL",IF(AND(K8&gt;=71,K8&lt;81),"C",IF(AND(K8&gt;=81,K8&lt;91),"B","A")))</f>
        <v>A</v>
      </c>
      <c r="M8" s="12" t="str">
        <f>IF(L8="A","100% LTT",IF(L8="B","90% LTT",IF(L8="C","80% LTT","60% LTT")))</f>
        <v>100% LTT</v>
      </c>
      <c r="N8" s="14"/>
    </row>
    <row r="9" spans="1:14" ht="22.5" customHeight="1" x14ac:dyDescent="0.3">
      <c r="A9" s="12">
        <f>A8+1</f>
        <v>2</v>
      </c>
      <c r="B9" s="13" t="s">
        <v>34</v>
      </c>
      <c r="C9" s="7" t="s">
        <v>19</v>
      </c>
      <c r="D9" s="12">
        <v>1</v>
      </c>
      <c r="E9" s="12"/>
      <c r="F9" s="12">
        <v>2</v>
      </c>
      <c r="G9" s="7">
        <f>IF(D9&gt;5,(D9-5)*2,0)</f>
        <v>0</v>
      </c>
      <c r="H9" s="7">
        <f t="shared" ref="H9" si="2">IF(E9&gt;5,(E9-5)*2,0)</f>
        <v>0</v>
      </c>
      <c r="I9" s="7">
        <f>IF(F9&gt;2,(F9-2)*1,0)</f>
        <v>0</v>
      </c>
      <c r="J9" s="7">
        <f t="shared" si="0"/>
        <v>0</v>
      </c>
      <c r="K9" s="7">
        <f t="shared" si="1"/>
        <v>100</v>
      </c>
      <c r="L9" s="7" t="str">
        <f>IF(K9&lt;71,"KL",IF(AND(K9&gt;=71,K9&lt;81),"C",IF(AND(K9&gt;=81,K9&lt;91),"B","A")))</f>
        <v>A</v>
      </c>
      <c r="M9" s="7" t="str">
        <f>IF(L9="A","100% LTT",IF(L9="B","90% LTT",IF(L9="C","80% LTT","60% LTT")))</f>
        <v>100% LTT</v>
      </c>
      <c r="N9" s="11" t="s">
        <v>26</v>
      </c>
    </row>
    <row r="10" spans="1:14" ht="22.5" customHeight="1" x14ac:dyDescent="0.3">
      <c r="A10" s="12">
        <f t="shared" ref="A10:A11" si="3">A9+1</f>
        <v>3</v>
      </c>
      <c r="B10" s="8" t="s">
        <v>10</v>
      </c>
      <c r="C10" s="7" t="s">
        <v>19</v>
      </c>
      <c r="D10" s="7">
        <v>4</v>
      </c>
      <c r="E10" s="7"/>
      <c r="F10" s="7">
        <v>5</v>
      </c>
      <c r="G10" s="7">
        <f>IF(D10&gt;5,(D10-5)*2,0)</f>
        <v>0</v>
      </c>
      <c r="H10" s="7">
        <f>IF(E10&gt;5,(E10-5)*2,0)</f>
        <v>0</v>
      </c>
      <c r="I10" s="7">
        <f t="shared" ref="I10:I11" si="4">IF(F10&gt;2,(F10-2)*1,0)</f>
        <v>3</v>
      </c>
      <c r="J10" s="7">
        <f>SUM(G10:I10)</f>
        <v>3</v>
      </c>
      <c r="K10" s="7">
        <f t="shared" si="1"/>
        <v>97</v>
      </c>
      <c r="L10" s="7" t="str">
        <f t="shared" ref="L10:L11" si="5">IF(K10&lt;71,"KL",IF(AND(K10&gt;=71,K10&lt;81),"C",IF(AND(K10&gt;=81,K10&lt;91),"B","A")))</f>
        <v>A</v>
      </c>
      <c r="M10" s="7" t="str">
        <f t="shared" ref="M10:M11" si="6">IF(L10="A","100% LTT",IF(L10="B","90% LTT",IF(L10="C","80% LTT","60% LTT")))</f>
        <v>100% LTT</v>
      </c>
      <c r="N10" s="11" t="s">
        <v>32</v>
      </c>
    </row>
    <row r="11" spans="1:14" ht="22.5" customHeight="1" x14ac:dyDescent="0.3">
      <c r="A11" s="12">
        <f t="shared" si="3"/>
        <v>4</v>
      </c>
      <c r="B11" s="8" t="s">
        <v>11</v>
      </c>
      <c r="C11" s="7" t="s">
        <v>19</v>
      </c>
      <c r="D11" s="7"/>
      <c r="E11" s="7"/>
      <c r="F11" s="7">
        <v>1</v>
      </c>
      <c r="G11" s="7">
        <f t="shared" ref="G11:H11" si="7">IF(D11&gt;5,(D11-5)*2,0)</f>
        <v>0</v>
      </c>
      <c r="H11" s="7">
        <f t="shared" si="7"/>
        <v>0</v>
      </c>
      <c r="I11" s="7">
        <f t="shared" si="4"/>
        <v>0</v>
      </c>
      <c r="J11" s="7">
        <f t="shared" si="0"/>
        <v>0</v>
      </c>
      <c r="K11" s="7">
        <f t="shared" si="1"/>
        <v>100</v>
      </c>
      <c r="L11" s="7" t="str">
        <f t="shared" si="5"/>
        <v>A</v>
      </c>
      <c r="M11" s="7" t="str">
        <f t="shared" si="6"/>
        <v>100% LTT</v>
      </c>
      <c r="N11" s="11" t="s">
        <v>33</v>
      </c>
    </row>
    <row r="12" spans="1:14" ht="22.5" customHeight="1" x14ac:dyDescent="0.3">
      <c r="A12" s="184" t="s">
        <v>16</v>
      </c>
      <c r="B12" s="184"/>
      <c r="C12" s="18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4" ht="22.5" customHeight="1" x14ac:dyDescent="0.3">
      <c r="A13" s="17">
        <f>A11+1</f>
        <v>5</v>
      </c>
      <c r="B13" s="18" t="s">
        <v>28</v>
      </c>
      <c r="C13" s="17" t="s">
        <v>19</v>
      </c>
      <c r="D13" s="17">
        <v>1</v>
      </c>
      <c r="E13" s="17"/>
      <c r="F13" s="17">
        <v>3</v>
      </c>
      <c r="G13" s="17">
        <f t="shared" ref="G13:H13" si="8">IF(D13&gt;5,(D13-5)*2,0)</f>
        <v>0</v>
      </c>
      <c r="H13" s="17">
        <f t="shared" si="8"/>
        <v>0</v>
      </c>
      <c r="I13" s="17">
        <f t="shared" ref="I13" si="9">IF(F13&gt;2,(F13-2)*1,0)</f>
        <v>1</v>
      </c>
      <c r="J13" s="17">
        <f t="shared" ref="J13" si="10">SUM(G13:I13)</f>
        <v>1</v>
      </c>
      <c r="K13" s="17">
        <f>100-J13</f>
        <v>99</v>
      </c>
      <c r="L13" s="17" t="str">
        <f t="shared" ref="L13" si="11">IF(K13&lt;71,"KL",IF(AND(K13&gt;=71,K13&lt;81),"C",IF(AND(K13&gt;=81,K13&lt;91),"B","A")))</f>
        <v>A</v>
      </c>
      <c r="M13" s="17" t="str">
        <f t="shared" ref="M13" si="12">IF(L13="A","100% LTT",IF(L13="B","90% LTT",IF(L13="C","80% LTT","60% LTT")))</f>
        <v>100% LTT</v>
      </c>
    </row>
    <row r="14" spans="1:14" ht="22.5" customHeight="1" x14ac:dyDescent="0.3">
      <c r="A14" s="184" t="s">
        <v>17</v>
      </c>
      <c r="B14" s="184"/>
      <c r="C14" s="18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4" ht="22.5" customHeight="1" x14ac:dyDescent="0.3">
      <c r="A15" s="23">
        <f>A13+1</f>
        <v>6</v>
      </c>
      <c r="B15" s="6" t="s">
        <v>12</v>
      </c>
      <c r="C15" s="5" t="s">
        <v>19</v>
      </c>
      <c r="D15" s="5"/>
      <c r="E15" s="5"/>
      <c r="F15" s="23"/>
      <c r="G15" s="23">
        <f t="shared" ref="G15:H18" si="13">IF(D15&gt;5,(D15-5)*2,0)</f>
        <v>0</v>
      </c>
      <c r="H15" s="23">
        <f t="shared" si="13"/>
        <v>0</v>
      </c>
      <c r="I15" s="23">
        <f t="shared" ref="I15:I18" si="14">IF(F15&gt;2,(F15-2)*1,0)</f>
        <v>0</v>
      </c>
      <c r="J15" s="23">
        <f t="shared" ref="J15:J18" si="15">SUM(G15:I15)</f>
        <v>0</v>
      </c>
      <c r="K15" s="23">
        <f>100-J15</f>
        <v>100</v>
      </c>
      <c r="L15" s="23" t="str">
        <f t="shared" ref="L15:L18" si="16">IF(K15&lt;71,"KL",IF(AND(K15&gt;=71,K15&lt;81),"C",IF(AND(K15&gt;=81,K15&lt;91),"B","A")))</f>
        <v>A</v>
      </c>
      <c r="M15" s="23" t="str">
        <f t="shared" ref="M15:M18" si="17">IF(L15="A","100% LTT",IF(L15="B","90% LTT",IF(L15="C","80% LTT","60% LTT")))</f>
        <v>100% LTT</v>
      </c>
    </row>
    <row r="16" spans="1:14" ht="22.5" customHeight="1" x14ac:dyDescent="0.3">
      <c r="A16" s="15">
        <f>A15+1</f>
        <v>7</v>
      </c>
      <c r="B16" s="13" t="s">
        <v>40</v>
      </c>
      <c r="C16" s="7" t="s">
        <v>19</v>
      </c>
      <c r="D16" s="12">
        <v>6</v>
      </c>
      <c r="E16" s="12"/>
      <c r="F16" s="15">
        <v>1</v>
      </c>
      <c r="G16" s="15">
        <f t="shared" si="13"/>
        <v>2</v>
      </c>
      <c r="H16" s="15">
        <f t="shared" si="13"/>
        <v>0</v>
      </c>
      <c r="I16" s="15">
        <f>IF(F16&gt;2,(F16-2)*1,0)</f>
        <v>0</v>
      </c>
      <c r="J16" s="15">
        <f t="shared" si="15"/>
        <v>2</v>
      </c>
      <c r="K16" s="15">
        <f>100-J16</f>
        <v>98</v>
      </c>
      <c r="L16" s="15" t="str">
        <f t="shared" si="16"/>
        <v>A</v>
      </c>
      <c r="M16" s="15" t="str">
        <f t="shared" si="17"/>
        <v>100% LTT</v>
      </c>
    </row>
    <row r="17" spans="1:13" ht="22.5" customHeight="1" x14ac:dyDescent="0.3">
      <c r="A17" s="15">
        <f t="shared" ref="A17:A18" si="18">A16+1</f>
        <v>8</v>
      </c>
      <c r="B17" s="8" t="s">
        <v>13</v>
      </c>
      <c r="C17" s="7" t="s">
        <v>19</v>
      </c>
      <c r="D17" s="7"/>
      <c r="E17" s="7"/>
      <c r="F17" s="15">
        <v>2</v>
      </c>
      <c r="G17" s="15">
        <f t="shared" si="13"/>
        <v>0</v>
      </c>
      <c r="H17" s="15">
        <f t="shared" si="13"/>
        <v>0</v>
      </c>
      <c r="I17" s="15">
        <f t="shared" si="14"/>
        <v>0</v>
      </c>
      <c r="J17" s="15">
        <f t="shared" si="15"/>
        <v>0</v>
      </c>
      <c r="K17" s="15">
        <f>100-J17</f>
        <v>100</v>
      </c>
      <c r="L17" s="15" t="str">
        <f t="shared" si="16"/>
        <v>A</v>
      </c>
      <c r="M17" s="15" t="str">
        <f t="shared" si="17"/>
        <v>100% LTT</v>
      </c>
    </row>
    <row r="18" spans="1:13" ht="22.5" customHeight="1" x14ac:dyDescent="0.3">
      <c r="A18" s="15">
        <f t="shared" si="18"/>
        <v>9</v>
      </c>
      <c r="B18" s="10" t="s">
        <v>14</v>
      </c>
      <c r="C18" s="9" t="s">
        <v>19</v>
      </c>
      <c r="D18" s="9"/>
      <c r="E18" s="9"/>
      <c r="F18" s="17">
        <v>1</v>
      </c>
      <c r="G18" s="17">
        <f t="shared" si="13"/>
        <v>0</v>
      </c>
      <c r="H18" s="17">
        <f t="shared" si="13"/>
        <v>0</v>
      </c>
      <c r="I18" s="17">
        <f t="shared" si="14"/>
        <v>0</v>
      </c>
      <c r="J18" s="17">
        <f t="shared" si="15"/>
        <v>0</v>
      </c>
      <c r="K18" s="17">
        <f>100-J18</f>
        <v>100</v>
      </c>
      <c r="L18" s="17" t="str">
        <f t="shared" si="16"/>
        <v>A</v>
      </c>
      <c r="M18" s="17" t="str">
        <f t="shared" si="17"/>
        <v>100% LTT</v>
      </c>
    </row>
    <row r="19" spans="1:13" ht="22.5" customHeight="1" x14ac:dyDescent="0.3">
      <c r="A19" s="180" t="s">
        <v>44</v>
      </c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</row>
    <row r="20" spans="1:13" ht="22.5" customHeight="1" x14ac:dyDescent="0.3">
      <c r="J20" s="185" t="s">
        <v>37</v>
      </c>
      <c r="K20" s="185"/>
      <c r="L20" s="185"/>
      <c r="M20" s="185"/>
    </row>
    <row r="21" spans="1:13" ht="22.5" customHeight="1" x14ac:dyDescent="0.3">
      <c r="B21" s="178" t="s">
        <v>22</v>
      </c>
      <c r="C21" s="178"/>
      <c r="D21" s="178"/>
      <c r="K21" s="178" t="s">
        <v>25</v>
      </c>
      <c r="L21" s="178"/>
      <c r="M21" s="178"/>
    </row>
    <row r="22" spans="1:13" ht="22.5" customHeight="1" x14ac:dyDescent="0.3">
      <c r="K22" s="26"/>
      <c r="L22" s="26"/>
    </row>
    <row r="23" spans="1:13" ht="22.5" customHeight="1" x14ac:dyDescent="0.3">
      <c r="K23" s="26"/>
      <c r="L23" s="26"/>
    </row>
    <row r="24" spans="1:13" ht="22.5" customHeight="1" x14ac:dyDescent="0.3">
      <c r="K24" s="26"/>
      <c r="L24" s="26"/>
    </row>
    <row r="25" spans="1:13" ht="22.5" customHeight="1" x14ac:dyDescent="0.3">
      <c r="B25" s="178" t="s">
        <v>28</v>
      </c>
      <c r="C25" s="178"/>
      <c r="D25" s="178"/>
      <c r="K25" s="178" t="s">
        <v>27</v>
      </c>
      <c r="L25" s="178"/>
      <c r="M25" s="178"/>
    </row>
    <row r="26" spans="1:13" ht="22.5" customHeight="1" x14ac:dyDescent="0.3">
      <c r="C26" s="1"/>
      <c r="D26" s="1"/>
    </row>
  </sheetData>
  <mergeCells count="24">
    <mergeCell ref="N5:N6"/>
    <mergeCell ref="B25:D25"/>
    <mergeCell ref="K25:M25"/>
    <mergeCell ref="A12:C12"/>
    <mergeCell ref="A14:C14"/>
    <mergeCell ref="A19:M19"/>
    <mergeCell ref="J20:M20"/>
    <mergeCell ref="B21:D21"/>
    <mergeCell ref="K21:M21"/>
    <mergeCell ref="A7:C7"/>
    <mergeCell ref="A1:M1"/>
    <mergeCell ref="A2:M2"/>
    <mergeCell ref="A3:M3"/>
    <mergeCell ref="A5:A6"/>
    <mergeCell ref="B5:B6"/>
    <mergeCell ref="C5:C6"/>
    <mergeCell ref="D5:F5"/>
    <mergeCell ref="G5:G6"/>
    <mergeCell ref="H5:H6"/>
    <mergeCell ref="I5:I6"/>
    <mergeCell ref="J5:J6"/>
    <mergeCell ref="K5:K6"/>
    <mergeCell ref="L5:L6"/>
    <mergeCell ref="M5:M6"/>
  </mergeCells>
  <pageMargins left="0.3" right="0.28999999999999998" top="0.48" bottom="0.75" header="0.3" footer="0.3"/>
  <pageSetup paperSize="9" scale="80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workbookViewId="0">
      <selection sqref="A1:XFD1048576"/>
    </sheetView>
  </sheetViews>
  <sheetFormatPr defaultColWidth="9.109375" defaultRowHeight="16.8" x14ac:dyDescent="0.3"/>
  <cols>
    <col min="1" max="1" width="6.109375" style="2" customWidth="1"/>
    <col min="2" max="2" width="27.5546875" style="1" customWidth="1"/>
    <col min="3" max="3" width="16.33203125" style="2" customWidth="1"/>
    <col min="4" max="4" width="10.44140625" style="2" customWidth="1"/>
    <col min="5" max="5" width="10.6640625" style="2" customWidth="1"/>
    <col min="6" max="9" width="12.33203125" style="2" customWidth="1"/>
    <col min="10" max="11" width="14.5546875" style="2" customWidth="1"/>
    <col min="12" max="12" width="9.44140625" style="2" customWidth="1"/>
    <col min="13" max="13" width="17.33203125" style="2" customWidth="1"/>
    <col min="14" max="14" width="53.88671875" style="2" customWidth="1"/>
    <col min="15" max="16384" width="9.109375" style="1"/>
  </cols>
  <sheetData>
    <row r="1" spans="1:14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</row>
    <row r="2" spans="1:14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</row>
    <row r="3" spans="1:14" ht="22.5" customHeight="1" x14ac:dyDescent="0.3">
      <c r="A3" s="179" t="s">
        <v>45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</row>
    <row r="4" spans="1:14" ht="21" customHeight="1" x14ac:dyDescent="0.3"/>
    <row r="5" spans="1:14" s="3" customFormat="1" ht="22.5" customHeight="1" x14ac:dyDescent="0.3">
      <c r="A5" s="180" t="s">
        <v>0</v>
      </c>
      <c r="B5" s="180" t="s">
        <v>1</v>
      </c>
      <c r="C5" s="180" t="s">
        <v>2</v>
      </c>
      <c r="D5" s="180" t="s">
        <v>23</v>
      </c>
      <c r="E5" s="180"/>
      <c r="F5" s="180"/>
      <c r="G5" s="181" t="s">
        <v>29</v>
      </c>
      <c r="H5" s="181" t="s">
        <v>30</v>
      </c>
      <c r="I5" s="181" t="s">
        <v>31</v>
      </c>
      <c r="J5" s="181" t="s">
        <v>24</v>
      </c>
      <c r="K5" s="180" t="s">
        <v>6</v>
      </c>
      <c r="L5" s="180" t="s">
        <v>7</v>
      </c>
      <c r="M5" s="180" t="s">
        <v>8</v>
      </c>
      <c r="N5" s="183"/>
    </row>
    <row r="6" spans="1:14" s="3" customFormat="1" ht="38.25" customHeight="1" x14ac:dyDescent="0.3">
      <c r="A6" s="180"/>
      <c r="B6" s="180"/>
      <c r="C6" s="180"/>
      <c r="D6" s="29" t="s">
        <v>3</v>
      </c>
      <c r="E6" s="29" t="s">
        <v>4</v>
      </c>
      <c r="F6" s="29" t="s">
        <v>5</v>
      </c>
      <c r="G6" s="182"/>
      <c r="H6" s="182"/>
      <c r="I6" s="182"/>
      <c r="J6" s="182"/>
      <c r="K6" s="180"/>
      <c r="L6" s="180"/>
      <c r="M6" s="180"/>
      <c r="N6" s="183"/>
    </row>
    <row r="7" spans="1:14" ht="22.5" customHeight="1" x14ac:dyDescent="0.3">
      <c r="A7" s="184" t="s">
        <v>15</v>
      </c>
      <c r="B7" s="184"/>
      <c r="C7" s="18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4" ht="22.5" customHeight="1" x14ac:dyDescent="0.3">
      <c r="A8" s="5">
        <v>1</v>
      </c>
      <c r="B8" s="6" t="s">
        <v>9</v>
      </c>
      <c r="C8" s="6" t="s">
        <v>18</v>
      </c>
      <c r="D8" s="5"/>
      <c r="E8" s="5"/>
      <c r="F8" s="5"/>
      <c r="G8" s="12">
        <f>IF(D8&gt;5,(D8-5)*2,0)</f>
        <v>0</v>
      </c>
      <c r="H8" s="12">
        <f>IF(E8&gt;5,(E8-5)*2,0)</f>
        <v>0</v>
      </c>
      <c r="I8" s="12">
        <f>IF(F8&gt;2,(F8-2)*1,0)</f>
        <v>0</v>
      </c>
      <c r="J8" s="12">
        <f t="shared" ref="J8:J11" si="0">SUM(G8:I8)</f>
        <v>0</v>
      </c>
      <c r="K8" s="12">
        <f t="shared" ref="K8:K11" si="1">100-J8</f>
        <v>100</v>
      </c>
      <c r="L8" s="12" t="str">
        <f>IF(K8&lt;71,"KL",IF(AND(K8&gt;=71,K8&lt;81),"C",IF(AND(K8&gt;=81,K8&lt;91),"B","A")))</f>
        <v>A</v>
      </c>
      <c r="M8" s="12" t="str">
        <f>IF(L8="A","100% LTT",IF(L8="B","90% LTT",IF(L8="C","80% LTT","60% LTT")))</f>
        <v>100% LTT</v>
      </c>
      <c r="N8" s="14"/>
    </row>
    <row r="9" spans="1:14" ht="22.5" customHeight="1" x14ac:dyDescent="0.3">
      <c r="A9" s="12">
        <f>A8+1</f>
        <v>2</v>
      </c>
      <c r="B9" s="13" t="s">
        <v>34</v>
      </c>
      <c r="C9" s="7" t="s">
        <v>19</v>
      </c>
      <c r="D9" s="12">
        <v>5</v>
      </c>
      <c r="E9" s="12"/>
      <c r="F9" s="12"/>
      <c r="G9" s="7">
        <f>IF(D9&gt;5,(D9-5)*2,0)</f>
        <v>0</v>
      </c>
      <c r="H9" s="7">
        <f t="shared" ref="H9" si="2">IF(E9&gt;5,(E9-5)*2,0)</f>
        <v>0</v>
      </c>
      <c r="I9" s="7">
        <f>IF(F9&gt;2,(F9-2)*1,0)</f>
        <v>0</v>
      </c>
      <c r="J9" s="7">
        <f t="shared" si="0"/>
        <v>0</v>
      </c>
      <c r="K9" s="7">
        <f t="shared" si="1"/>
        <v>100</v>
      </c>
      <c r="L9" s="7" t="str">
        <f>IF(K9&lt;71,"KL",IF(AND(K9&gt;=71,K9&lt;81),"C",IF(AND(K9&gt;=81,K9&lt;91),"B","A")))</f>
        <v>A</v>
      </c>
      <c r="M9" s="7" t="str">
        <f>IF(L9="A","100% LTT",IF(L9="B","90% LTT",IF(L9="C","80% LTT","60% LTT")))</f>
        <v>100% LTT</v>
      </c>
      <c r="N9" s="11" t="s">
        <v>26</v>
      </c>
    </row>
    <row r="10" spans="1:14" ht="22.5" customHeight="1" x14ac:dyDescent="0.3">
      <c r="A10" s="12">
        <f t="shared" ref="A10:A11" si="3">A9+1</f>
        <v>3</v>
      </c>
      <c r="B10" s="8" t="s">
        <v>10</v>
      </c>
      <c r="C10" s="7" t="s">
        <v>19</v>
      </c>
      <c r="D10" s="7">
        <v>7</v>
      </c>
      <c r="E10" s="7"/>
      <c r="F10" s="7"/>
      <c r="G10" s="7">
        <f>IF(D10&gt;5,(D10-5)*2,0)</f>
        <v>4</v>
      </c>
      <c r="H10" s="7">
        <f>IF(E10&gt;5,(E10-5)*2,0)</f>
        <v>0</v>
      </c>
      <c r="I10" s="7">
        <f t="shared" ref="I10:I11" si="4">IF(F10&gt;2,(F10-2)*1,0)</f>
        <v>0</v>
      </c>
      <c r="J10" s="7">
        <f>SUM(G10:I10)</f>
        <v>4</v>
      </c>
      <c r="K10" s="7">
        <f t="shared" si="1"/>
        <v>96</v>
      </c>
      <c r="L10" s="7" t="str">
        <f t="shared" ref="L10:L11" si="5">IF(K10&lt;71,"KL",IF(AND(K10&gt;=71,K10&lt;81),"C",IF(AND(K10&gt;=81,K10&lt;91),"B","A")))</f>
        <v>A</v>
      </c>
      <c r="M10" s="7" t="str">
        <f t="shared" ref="M10:M11" si="6">IF(L10="A","100% LTT",IF(L10="B","90% LTT",IF(L10="C","80% LTT","60% LTT")))</f>
        <v>100% LTT</v>
      </c>
      <c r="N10" s="11" t="s">
        <v>32</v>
      </c>
    </row>
    <row r="11" spans="1:14" ht="22.5" customHeight="1" x14ac:dyDescent="0.3">
      <c r="A11" s="12">
        <f t="shared" si="3"/>
        <v>4</v>
      </c>
      <c r="B11" s="8" t="s">
        <v>11</v>
      </c>
      <c r="C11" s="7" t="s">
        <v>19</v>
      </c>
      <c r="D11" s="7"/>
      <c r="E11" s="7"/>
      <c r="F11" s="7">
        <v>3</v>
      </c>
      <c r="G11" s="7">
        <f t="shared" ref="G11:H11" si="7">IF(D11&gt;5,(D11-5)*2,0)</f>
        <v>0</v>
      </c>
      <c r="H11" s="7">
        <f t="shared" si="7"/>
        <v>0</v>
      </c>
      <c r="I11" s="7">
        <f t="shared" si="4"/>
        <v>1</v>
      </c>
      <c r="J11" s="7">
        <f t="shared" si="0"/>
        <v>1</v>
      </c>
      <c r="K11" s="7">
        <f t="shared" si="1"/>
        <v>99</v>
      </c>
      <c r="L11" s="7" t="str">
        <f t="shared" si="5"/>
        <v>A</v>
      </c>
      <c r="M11" s="7" t="str">
        <f t="shared" si="6"/>
        <v>100% LTT</v>
      </c>
      <c r="N11" s="11" t="s">
        <v>33</v>
      </c>
    </row>
    <row r="12" spans="1:14" ht="22.5" customHeight="1" x14ac:dyDescent="0.3">
      <c r="A12" s="184" t="s">
        <v>16</v>
      </c>
      <c r="B12" s="184"/>
      <c r="C12" s="18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4" ht="22.5" customHeight="1" x14ac:dyDescent="0.3">
      <c r="A13" s="17">
        <f>A11+1</f>
        <v>5</v>
      </c>
      <c r="B13" s="18" t="s">
        <v>28</v>
      </c>
      <c r="C13" s="17" t="s">
        <v>19</v>
      </c>
      <c r="D13" s="17"/>
      <c r="E13" s="17"/>
      <c r="F13" s="17"/>
      <c r="G13" s="17">
        <f t="shared" ref="G13:H13" si="8">IF(D13&gt;5,(D13-5)*2,0)</f>
        <v>0</v>
      </c>
      <c r="H13" s="17">
        <f t="shared" si="8"/>
        <v>0</v>
      </c>
      <c r="I13" s="17">
        <f t="shared" ref="I13" si="9">IF(F13&gt;2,(F13-2)*1,0)</f>
        <v>0</v>
      </c>
      <c r="J13" s="17">
        <f t="shared" ref="J13" si="10">SUM(G13:I13)</f>
        <v>0</v>
      </c>
      <c r="K13" s="17">
        <f>100-J13</f>
        <v>100</v>
      </c>
      <c r="L13" s="17" t="str">
        <f t="shared" ref="L13" si="11">IF(K13&lt;71,"KL",IF(AND(K13&gt;=71,K13&lt;81),"C",IF(AND(K13&gt;=81,K13&lt;91),"B","A")))</f>
        <v>A</v>
      </c>
      <c r="M13" s="17" t="str">
        <f t="shared" ref="M13" si="12">IF(L13="A","100% LTT",IF(L13="B","90% LTT",IF(L13="C","80% LTT","60% LTT")))</f>
        <v>100% LTT</v>
      </c>
    </row>
    <row r="14" spans="1:14" ht="22.5" customHeight="1" x14ac:dyDescent="0.3">
      <c r="A14" s="184" t="s">
        <v>17</v>
      </c>
      <c r="B14" s="184"/>
      <c r="C14" s="18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4" ht="22.5" customHeight="1" x14ac:dyDescent="0.3">
      <c r="A15" s="23">
        <f>A13+1</f>
        <v>6</v>
      </c>
      <c r="B15" s="6" t="s">
        <v>12</v>
      </c>
      <c r="C15" s="5" t="s">
        <v>19</v>
      </c>
      <c r="D15" s="5"/>
      <c r="E15" s="5"/>
      <c r="F15" s="23"/>
      <c r="G15" s="23">
        <f t="shared" ref="G15:H18" si="13">IF(D15&gt;5,(D15-5)*2,0)</f>
        <v>0</v>
      </c>
      <c r="H15" s="23">
        <f t="shared" si="13"/>
        <v>0</v>
      </c>
      <c r="I15" s="23">
        <f t="shared" ref="I15:I18" si="14">IF(F15&gt;2,(F15-2)*1,0)</f>
        <v>0</v>
      </c>
      <c r="J15" s="23">
        <f t="shared" ref="J15:J18" si="15">SUM(G15:I15)</f>
        <v>0</v>
      </c>
      <c r="K15" s="23">
        <f>100-J15</f>
        <v>100</v>
      </c>
      <c r="L15" s="23" t="str">
        <f t="shared" ref="L15:L18" si="16">IF(K15&lt;71,"KL",IF(AND(K15&gt;=71,K15&lt;81),"C",IF(AND(K15&gt;=81,K15&lt;91),"B","A")))</f>
        <v>A</v>
      </c>
      <c r="M15" s="23" t="str">
        <f t="shared" ref="M15:M18" si="17">IF(L15="A","100% LTT",IF(L15="B","90% LTT",IF(L15="C","80% LTT","60% LTT")))</f>
        <v>100% LTT</v>
      </c>
    </row>
    <row r="16" spans="1:14" ht="22.5" customHeight="1" x14ac:dyDescent="0.3">
      <c r="A16" s="15">
        <f>A15+1</f>
        <v>7</v>
      </c>
      <c r="B16" s="13" t="s">
        <v>40</v>
      </c>
      <c r="C16" s="7" t="s">
        <v>19</v>
      </c>
      <c r="D16" s="12"/>
      <c r="E16" s="12"/>
      <c r="F16" s="15"/>
      <c r="G16" s="15">
        <f t="shared" si="13"/>
        <v>0</v>
      </c>
      <c r="H16" s="15">
        <f t="shared" si="13"/>
        <v>0</v>
      </c>
      <c r="I16" s="15">
        <f>IF(F16&gt;2,(F16-2)*1,0)</f>
        <v>0</v>
      </c>
      <c r="J16" s="15">
        <f t="shared" si="15"/>
        <v>0</v>
      </c>
      <c r="K16" s="15">
        <f>100-J16</f>
        <v>100</v>
      </c>
      <c r="L16" s="15" t="str">
        <f t="shared" si="16"/>
        <v>A</v>
      </c>
      <c r="M16" s="15" t="str">
        <f t="shared" si="17"/>
        <v>100% LTT</v>
      </c>
    </row>
    <row r="17" spans="1:13" ht="22.5" customHeight="1" x14ac:dyDescent="0.3">
      <c r="A17" s="15">
        <f t="shared" ref="A17:A18" si="18">A16+1</f>
        <v>8</v>
      </c>
      <c r="B17" s="8" t="s">
        <v>13</v>
      </c>
      <c r="C17" s="7" t="s">
        <v>19</v>
      </c>
      <c r="D17" s="7"/>
      <c r="E17" s="7"/>
      <c r="F17" s="15"/>
      <c r="G17" s="15">
        <f t="shared" si="13"/>
        <v>0</v>
      </c>
      <c r="H17" s="15">
        <f t="shared" si="13"/>
        <v>0</v>
      </c>
      <c r="I17" s="15">
        <f t="shared" si="14"/>
        <v>0</v>
      </c>
      <c r="J17" s="15">
        <f t="shared" si="15"/>
        <v>0</v>
      </c>
      <c r="K17" s="15">
        <f>100-J17</f>
        <v>100</v>
      </c>
      <c r="L17" s="15" t="str">
        <f t="shared" si="16"/>
        <v>A</v>
      </c>
      <c r="M17" s="15" t="str">
        <f t="shared" si="17"/>
        <v>100% LTT</v>
      </c>
    </row>
    <row r="18" spans="1:13" ht="22.5" customHeight="1" x14ac:dyDescent="0.3">
      <c r="A18" s="15">
        <f t="shared" si="18"/>
        <v>9</v>
      </c>
      <c r="B18" s="10" t="s">
        <v>14</v>
      </c>
      <c r="C18" s="9" t="s">
        <v>19</v>
      </c>
      <c r="D18" s="9"/>
      <c r="E18" s="9"/>
      <c r="F18" s="17">
        <v>1</v>
      </c>
      <c r="G18" s="17">
        <f t="shared" si="13"/>
        <v>0</v>
      </c>
      <c r="H18" s="17">
        <f t="shared" si="13"/>
        <v>0</v>
      </c>
      <c r="I18" s="17">
        <f t="shared" si="14"/>
        <v>0</v>
      </c>
      <c r="J18" s="17">
        <f t="shared" si="15"/>
        <v>0</v>
      </c>
      <c r="K18" s="17">
        <f>100-J18</f>
        <v>100</v>
      </c>
      <c r="L18" s="17" t="str">
        <f t="shared" si="16"/>
        <v>A</v>
      </c>
      <c r="M18" s="17" t="str">
        <f t="shared" si="17"/>
        <v>100% LTT</v>
      </c>
    </row>
    <row r="19" spans="1:13" ht="22.5" customHeight="1" x14ac:dyDescent="0.3">
      <c r="A19" s="180" t="s">
        <v>44</v>
      </c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</row>
    <row r="20" spans="1:13" ht="22.5" customHeight="1" x14ac:dyDescent="0.3">
      <c r="J20" s="185" t="s">
        <v>37</v>
      </c>
      <c r="K20" s="185"/>
      <c r="L20" s="185"/>
      <c r="M20" s="185"/>
    </row>
    <row r="21" spans="1:13" ht="22.5" customHeight="1" x14ac:dyDescent="0.3">
      <c r="B21" s="178" t="s">
        <v>22</v>
      </c>
      <c r="C21" s="178"/>
      <c r="D21" s="178"/>
      <c r="K21" s="178" t="s">
        <v>25</v>
      </c>
      <c r="L21" s="178"/>
      <c r="M21" s="178"/>
    </row>
    <row r="22" spans="1:13" ht="22.5" customHeight="1" x14ac:dyDescent="0.3">
      <c r="K22" s="28"/>
      <c r="L22" s="28"/>
    </row>
    <row r="23" spans="1:13" ht="22.5" customHeight="1" x14ac:dyDescent="0.3">
      <c r="K23" s="28"/>
      <c r="L23" s="28"/>
    </row>
    <row r="24" spans="1:13" ht="22.5" customHeight="1" x14ac:dyDescent="0.3">
      <c r="K24" s="28"/>
      <c r="L24" s="28"/>
    </row>
    <row r="25" spans="1:13" ht="22.5" customHeight="1" x14ac:dyDescent="0.3">
      <c r="B25" s="178" t="s">
        <v>28</v>
      </c>
      <c r="C25" s="178"/>
      <c r="D25" s="178"/>
      <c r="K25" s="178" t="s">
        <v>27</v>
      </c>
      <c r="L25" s="178"/>
      <c r="M25" s="178"/>
    </row>
    <row r="26" spans="1:13" ht="22.5" customHeight="1" x14ac:dyDescent="0.3">
      <c r="C26" s="1"/>
      <c r="D26" s="1"/>
    </row>
  </sheetData>
  <mergeCells count="24">
    <mergeCell ref="N5:N6"/>
    <mergeCell ref="B25:D25"/>
    <mergeCell ref="K25:M25"/>
    <mergeCell ref="A12:C12"/>
    <mergeCell ref="A14:C14"/>
    <mergeCell ref="A19:M19"/>
    <mergeCell ref="J20:M20"/>
    <mergeCell ref="B21:D21"/>
    <mergeCell ref="K21:M21"/>
    <mergeCell ref="A7:C7"/>
    <mergeCell ref="A1:M1"/>
    <mergeCell ref="A2:M2"/>
    <mergeCell ref="A3:M3"/>
    <mergeCell ref="A5:A6"/>
    <mergeCell ref="B5:B6"/>
    <mergeCell ref="C5:C6"/>
    <mergeCell ref="D5:F5"/>
    <mergeCell ref="G5:G6"/>
    <mergeCell ref="H5:H6"/>
    <mergeCell ref="I5:I6"/>
    <mergeCell ref="J5:J6"/>
    <mergeCell ref="K5:K6"/>
    <mergeCell ref="L5:L6"/>
    <mergeCell ref="M5:M6"/>
  </mergeCells>
  <pageMargins left="0.32" right="0.27" top="0.51" bottom="0.75" header="0.3" footer="0.3"/>
  <pageSetup paperSize="9" scale="80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workbookViewId="0">
      <selection sqref="A1:XFD1048576"/>
    </sheetView>
  </sheetViews>
  <sheetFormatPr defaultColWidth="9.109375" defaultRowHeight="16.8" x14ac:dyDescent="0.3"/>
  <cols>
    <col min="1" max="1" width="6.109375" style="2" customWidth="1"/>
    <col min="2" max="2" width="27.5546875" style="1" customWidth="1"/>
    <col min="3" max="3" width="16.33203125" style="2" customWidth="1"/>
    <col min="4" max="4" width="10.44140625" style="2" customWidth="1"/>
    <col min="5" max="5" width="10.6640625" style="2" customWidth="1"/>
    <col min="6" max="9" width="12.33203125" style="2" customWidth="1"/>
    <col min="10" max="11" width="14.5546875" style="2" customWidth="1"/>
    <col min="12" max="12" width="9.44140625" style="2" customWidth="1"/>
    <col min="13" max="13" width="17.33203125" style="2" customWidth="1"/>
    <col min="14" max="14" width="53.88671875" style="2" customWidth="1"/>
    <col min="15" max="16384" width="9.109375" style="1"/>
  </cols>
  <sheetData>
    <row r="1" spans="1:14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</row>
    <row r="2" spans="1:14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</row>
    <row r="3" spans="1:14" ht="22.5" customHeight="1" x14ac:dyDescent="0.3">
      <c r="A3" s="179" t="s">
        <v>46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</row>
    <row r="4" spans="1:14" ht="21" customHeight="1" x14ac:dyDescent="0.3"/>
    <row r="5" spans="1:14" s="3" customFormat="1" ht="22.5" customHeight="1" x14ac:dyDescent="0.3">
      <c r="A5" s="180" t="s">
        <v>0</v>
      </c>
      <c r="B5" s="180" t="s">
        <v>1</v>
      </c>
      <c r="C5" s="180" t="s">
        <v>2</v>
      </c>
      <c r="D5" s="180" t="s">
        <v>23</v>
      </c>
      <c r="E5" s="180"/>
      <c r="F5" s="180"/>
      <c r="G5" s="181" t="s">
        <v>29</v>
      </c>
      <c r="H5" s="181" t="s">
        <v>30</v>
      </c>
      <c r="I5" s="181" t="s">
        <v>31</v>
      </c>
      <c r="J5" s="181" t="s">
        <v>24</v>
      </c>
      <c r="K5" s="180" t="s">
        <v>6</v>
      </c>
      <c r="L5" s="180" t="s">
        <v>7</v>
      </c>
      <c r="M5" s="180" t="s">
        <v>8</v>
      </c>
      <c r="N5" s="183"/>
    </row>
    <row r="6" spans="1:14" s="3" customFormat="1" ht="38.25" customHeight="1" x14ac:dyDescent="0.3">
      <c r="A6" s="180"/>
      <c r="B6" s="180"/>
      <c r="C6" s="180"/>
      <c r="D6" s="31" t="s">
        <v>3</v>
      </c>
      <c r="E6" s="31" t="s">
        <v>4</v>
      </c>
      <c r="F6" s="31" t="s">
        <v>5</v>
      </c>
      <c r="G6" s="182"/>
      <c r="H6" s="182"/>
      <c r="I6" s="182"/>
      <c r="J6" s="182"/>
      <c r="K6" s="180"/>
      <c r="L6" s="180"/>
      <c r="M6" s="180"/>
      <c r="N6" s="183"/>
    </row>
    <row r="7" spans="1:14" ht="22.5" customHeight="1" x14ac:dyDescent="0.3">
      <c r="A7" s="184" t="s">
        <v>15</v>
      </c>
      <c r="B7" s="184"/>
      <c r="C7" s="18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4" ht="22.5" customHeight="1" x14ac:dyDescent="0.3">
      <c r="A8" s="5">
        <v>1</v>
      </c>
      <c r="B8" s="6" t="s">
        <v>9</v>
      </c>
      <c r="C8" s="6" t="s">
        <v>18</v>
      </c>
      <c r="D8" s="5"/>
      <c r="E8" s="5"/>
      <c r="F8" s="5"/>
      <c r="G8" s="12">
        <f>IF(D8&gt;5,(D8-5)*2,0)</f>
        <v>0</v>
      </c>
      <c r="H8" s="12">
        <f>IF(E8&gt;5,(E8-5)*2,0)</f>
        <v>0</v>
      </c>
      <c r="I8" s="12">
        <f>IF(F8&gt;2,(F8-2)*1,0)</f>
        <v>0</v>
      </c>
      <c r="J8" s="12">
        <f t="shared" ref="J8:J11" si="0">SUM(G8:I8)</f>
        <v>0</v>
      </c>
      <c r="K8" s="12">
        <f t="shared" ref="K8:K11" si="1">100-J8</f>
        <v>100</v>
      </c>
      <c r="L8" s="12" t="str">
        <f>IF(K8&lt;71,"KL",IF(AND(K8&gt;=71,K8&lt;81),"C",IF(AND(K8&gt;=81,K8&lt;91),"B","A")))</f>
        <v>A</v>
      </c>
      <c r="M8" s="12" t="str">
        <f>IF(L8="A","100% LTT",IF(L8="B","90% LTT",IF(L8="C","80% LTT","60% LTT")))</f>
        <v>100% LTT</v>
      </c>
      <c r="N8" s="14"/>
    </row>
    <row r="9" spans="1:14" ht="22.5" customHeight="1" x14ac:dyDescent="0.3">
      <c r="A9" s="12">
        <f>A8+1</f>
        <v>2</v>
      </c>
      <c r="B9" s="13" t="s">
        <v>34</v>
      </c>
      <c r="C9" s="7" t="s">
        <v>19</v>
      </c>
      <c r="D9" s="12">
        <v>5</v>
      </c>
      <c r="E9" s="12"/>
      <c r="F9" s="12"/>
      <c r="G9" s="7">
        <f>IF(D9&gt;5,(D9-5)*2,0)</f>
        <v>0</v>
      </c>
      <c r="H9" s="7">
        <f t="shared" ref="H9" si="2">IF(E9&gt;5,(E9-5)*2,0)</f>
        <v>0</v>
      </c>
      <c r="I9" s="7">
        <f>IF(F9&gt;2,(F9-2)*1,0)</f>
        <v>0</v>
      </c>
      <c r="J9" s="7">
        <f t="shared" si="0"/>
        <v>0</v>
      </c>
      <c r="K9" s="7">
        <f t="shared" si="1"/>
        <v>100</v>
      </c>
      <c r="L9" s="7" t="str">
        <f>IF(K9&lt;71,"KL",IF(AND(K9&gt;=71,K9&lt;81),"C",IF(AND(K9&gt;=81,K9&lt;91),"B","A")))</f>
        <v>A</v>
      </c>
      <c r="M9" s="7" t="str">
        <f>IF(L9="A","100% LTT",IF(L9="B","90% LTT",IF(L9="C","80% LTT","60% LTT")))</f>
        <v>100% LTT</v>
      </c>
      <c r="N9" s="11" t="s">
        <v>26</v>
      </c>
    </row>
    <row r="10" spans="1:14" ht="22.5" customHeight="1" x14ac:dyDescent="0.3">
      <c r="A10" s="12">
        <f t="shared" ref="A10:A11" si="3">A9+1</f>
        <v>3</v>
      </c>
      <c r="B10" s="8" t="s">
        <v>10</v>
      </c>
      <c r="C10" s="7" t="s">
        <v>19</v>
      </c>
      <c r="D10" s="7">
        <v>7</v>
      </c>
      <c r="E10" s="7"/>
      <c r="F10" s="7"/>
      <c r="G10" s="7">
        <f>IF(D10&gt;5,(D10-5)*2,0)</f>
        <v>4</v>
      </c>
      <c r="H10" s="7">
        <f>IF(E10&gt;5,(E10-5)*2,0)</f>
        <v>0</v>
      </c>
      <c r="I10" s="7">
        <f t="shared" ref="I10:I11" si="4">IF(F10&gt;2,(F10-2)*1,0)</f>
        <v>0</v>
      </c>
      <c r="J10" s="7">
        <f>SUM(G10:I10)</f>
        <v>4</v>
      </c>
      <c r="K10" s="7">
        <f t="shared" si="1"/>
        <v>96</v>
      </c>
      <c r="L10" s="7" t="str">
        <f t="shared" ref="L10:L11" si="5">IF(K10&lt;71,"KL",IF(AND(K10&gt;=71,K10&lt;81),"C",IF(AND(K10&gt;=81,K10&lt;91),"B","A")))</f>
        <v>A</v>
      </c>
      <c r="M10" s="7" t="str">
        <f t="shared" ref="M10:M11" si="6">IF(L10="A","100% LTT",IF(L10="B","90% LTT",IF(L10="C","80% LTT","60% LTT")))</f>
        <v>100% LTT</v>
      </c>
      <c r="N10" s="11" t="s">
        <v>32</v>
      </c>
    </row>
    <row r="11" spans="1:14" ht="22.5" customHeight="1" x14ac:dyDescent="0.3">
      <c r="A11" s="12">
        <f t="shared" si="3"/>
        <v>4</v>
      </c>
      <c r="B11" s="8" t="s">
        <v>11</v>
      </c>
      <c r="C11" s="7" t="s">
        <v>19</v>
      </c>
      <c r="D11" s="7"/>
      <c r="E11" s="7"/>
      <c r="F11" s="7">
        <v>3</v>
      </c>
      <c r="G11" s="7">
        <f t="shared" ref="G11:H11" si="7">IF(D11&gt;5,(D11-5)*2,0)</f>
        <v>0</v>
      </c>
      <c r="H11" s="7">
        <f t="shared" si="7"/>
        <v>0</v>
      </c>
      <c r="I11" s="7">
        <f t="shared" si="4"/>
        <v>1</v>
      </c>
      <c r="J11" s="7">
        <f t="shared" si="0"/>
        <v>1</v>
      </c>
      <c r="K11" s="7">
        <f t="shared" si="1"/>
        <v>99</v>
      </c>
      <c r="L11" s="7" t="str">
        <f t="shared" si="5"/>
        <v>A</v>
      </c>
      <c r="M11" s="7" t="str">
        <f t="shared" si="6"/>
        <v>100% LTT</v>
      </c>
      <c r="N11" s="11" t="s">
        <v>33</v>
      </c>
    </row>
    <row r="12" spans="1:14" ht="22.5" customHeight="1" x14ac:dyDescent="0.3">
      <c r="A12" s="184" t="s">
        <v>16</v>
      </c>
      <c r="B12" s="184"/>
      <c r="C12" s="18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4" ht="22.5" customHeight="1" x14ac:dyDescent="0.3">
      <c r="A13" s="17">
        <f>A11+1</f>
        <v>5</v>
      </c>
      <c r="B13" s="18" t="s">
        <v>28</v>
      </c>
      <c r="C13" s="17" t="s">
        <v>19</v>
      </c>
      <c r="D13" s="17"/>
      <c r="E13" s="17"/>
      <c r="F13" s="17"/>
      <c r="G13" s="17">
        <f t="shared" ref="G13:H13" si="8">IF(D13&gt;5,(D13-5)*2,0)</f>
        <v>0</v>
      </c>
      <c r="H13" s="17">
        <f t="shared" si="8"/>
        <v>0</v>
      </c>
      <c r="I13" s="17">
        <f t="shared" ref="I13" si="9">IF(F13&gt;2,(F13-2)*1,0)</f>
        <v>0</v>
      </c>
      <c r="J13" s="17">
        <f t="shared" ref="J13" si="10">SUM(G13:I13)</f>
        <v>0</v>
      </c>
      <c r="K13" s="17">
        <f>100-J13</f>
        <v>100</v>
      </c>
      <c r="L13" s="17" t="str">
        <f t="shared" ref="L13" si="11">IF(K13&lt;71,"KL",IF(AND(K13&gt;=71,K13&lt;81),"C",IF(AND(K13&gt;=81,K13&lt;91),"B","A")))</f>
        <v>A</v>
      </c>
      <c r="M13" s="17" t="str">
        <f t="shared" ref="M13" si="12">IF(L13="A","100% LTT",IF(L13="B","90% LTT",IF(L13="C","80% LTT","60% LTT")))</f>
        <v>100% LTT</v>
      </c>
    </row>
    <row r="14" spans="1:14" ht="22.5" customHeight="1" x14ac:dyDescent="0.3">
      <c r="A14" s="184" t="s">
        <v>17</v>
      </c>
      <c r="B14" s="184"/>
      <c r="C14" s="18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4" ht="22.5" customHeight="1" x14ac:dyDescent="0.3">
      <c r="A15" s="23">
        <f>A13+1</f>
        <v>6</v>
      </c>
      <c r="B15" s="6" t="s">
        <v>12</v>
      </c>
      <c r="C15" s="5" t="s">
        <v>19</v>
      </c>
      <c r="D15" s="5"/>
      <c r="E15" s="5"/>
      <c r="F15" s="23"/>
      <c r="G15" s="23">
        <f t="shared" ref="G15:H18" si="13">IF(D15&gt;5,(D15-5)*2,0)</f>
        <v>0</v>
      </c>
      <c r="H15" s="23">
        <f t="shared" si="13"/>
        <v>0</v>
      </c>
      <c r="I15" s="23">
        <f t="shared" ref="I15:I18" si="14">IF(F15&gt;2,(F15-2)*1,0)</f>
        <v>0</v>
      </c>
      <c r="J15" s="23">
        <f t="shared" ref="J15:J18" si="15">SUM(G15:I15)</f>
        <v>0</v>
      </c>
      <c r="K15" s="23">
        <f>100-J15</f>
        <v>100</v>
      </c>
      <c r="L15" s="23" t="str">
        <f t="shared" ref="L15:L18" si="16">IF(K15&lt;71,"KL",IF(AND(K15&gt;=71,K15&lt;81),"C",IF(AND(K15&gt;=81,K15&lt;91),"B","A")))</f>
        <v>A</v>
      </c>
      <c r="M15" s="23" t="str">
        <f t="shared" ref="M15:M18" si="17">IF(L15="A","100% LTT",IF(L15="B","90% LTT",IF(L15="C","80% LTT","60% LTT")))</f>
        <v>100% LTT</v>
      </c>
    </row>
    <row r="16" spans="1:14" ht="22.5" customHeight="1" x14ac:dyDescent="0.3">
      <c r="A16" s="15">
        <f>A15+1</f>
        <v>7</v>
      </c>
      <c r="B16" s="13" t="s">
        <v>40</v>
      </c>
      <c r="C16" s="7" t="s">
        <v>19</v>
      </c>
      <c r="D16" s="12"/>
      <c r="E16" s="12"/>
      <c r="F16" s="15"/>
      <c r="G16" s="15">
        <f t="shared" si="13"/>
        <v>0</v>
      </c>
      <c r="H16" s="15">
        <f t="shared" si="13"/>
        <v>0</v>
      </c>
      <c r="I16" s="15">
        <f>IF(F16&gt;2,(F16-2)*1,0)</f>
        <v>0</v>
      </c>
      <c r="J16" s="15">
        <f t="shared" si="15"/>
        <v>0</v>
      </c>
      <c r="K16" s="15">
        <f>100-J16</f>
        <v>100</v>
      </c>
      <c r="L16" s="15" t="str">
        <f t="shared" si="16"/>
        <v>A</v>
      </c>
      <c r="M16" s="15" t="str">
        <f t="shared" si="17"/>
        <v>100% LTT</v>
      </c>
    </row>
    <row r="17" spans="1:13" ht="22.5" customHeight="1" x14ac:dyDescent="0.3">
      <c r="A17" s="15">
        <f t="shared" ref="A17:A18" si="18">A16+1</f>
        <v>8</v>
      </c>
      <c r="B17" s="8" t="s">
        <v>13</v>
      </c>
      <c r="C17" s="7" t="s">
        <v>19</v>
      </c>
      <c r="D17" s="7"/>
      <c r="E17" s="7"/>
      <c r="F17" s="15"/>
      <c r="G17" s="15">
        <f t="shared" si="13"/>
        <v>0</v>
      </c>
      <c r="H17" s="15">
        <f t="shared" si="13"/>
        <v>0</v>
      </c>
      <c r="I17" s="15">
        <f t="shared" si="14"/>
        <v>0</v>
      </c>
      <c r="J17" s="15">
        <f t="shared" si="15"/>
        <v>0</v>
      </c>
      <c r="K17" s="15">
        <f>100-J17</f>
        <v>100</v>
      </c>
      <c r="L17" s="15" t="str">
        <f t="shared" si="16"/>
        <v>A</v>
      </c>
      <c r="M17" s="15" t="str">
        <f t="shared" si="17"/>
        <v>100% LTT</v>
      </c>
    </row>
    <row r="18" spans="1:13" ht="22.5" customHeight="1" x14ac:dyDescent="0.3">
      <c r="A18" s="15">
        <f t="shared" si="18"/>
        <v>9</v>
      </c>
      <c r="B18" s="10" t="s">
        <v>14</v>
      </c>
      <c r="C18" s="9" t="s">
        <v>19</v>
      </c>
      <c r="D18" s="9"/>
      <c r="E18" s="9"/>
      <c r="F18" s="17">
        <v>1</v>
      </c>
      <c r="G18" s="17">
        <f t="shared" si="13"/>
        <v>0</v>
      </c>
      <c r="H18" s="17">
        <f t="shared" si="13"/>
        <v>0</v>
      </c>
      <c r="I18" s="17">
        <f t="shared" si="14"/>
        <v>0</v>
      </c>
      <c r="J18" s="17">
        <f t="shared" si="15"/>
        <v>0</v>
      </c>
      <c r="K18" s="17">
        <f>100-J18</f>
        <v>100</v>
      </c>
      <c r="L18" s="17" t="str">
        <f t="shared" si="16"/>
        <v>A</v>
      </c>
      <c r="M18" s="17" t="str">
        <f t="shared" si="17"/>
        <v>100% LTT</v>
      </c>
    </row>
    <row r="19" spans="1:13" ht="22.5" customHeight="1" x14ac:dyDescent="0.3">
      <c r="A19" s="180" t="s">
        <v>44</v>
      </c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</row>
    <row r="20" spans="1:13" ht="22.5" customHeight="1" x14ac:dyDescent="0.3">
      <c r="J20" s="185" t="s">
        <v>37</v>
      </c>
      <c r="K20" s="185"/>
      <c r="L20" s="185"/>
      <c r="M20" s="185"/>
    </row>
    <row r="21" spans="1:13" ht="22.5" customHeight="1" x14ac:dyDescent="0.3">
      <c r="B21" s="178" t="s">
        <v>22</v>
      </c>
      <c r="C21" s="178"/>
      <c r="D21" s="178"/>
      <c r="K21" s="178" t="s">
        <v>25</v>
      </c>
      <c r="L21" s="178"/>
      <c r="M21" s="178"/>
    </row>
    <row r="22" spans="1:13" ht="22.5" customHeight="1" x14ac:dyDescent="0.3">
      <c r="K22" s="30"/>
      <c r="L22" s="30"/>
    </row>
    <row r="23" spans="1:13" ht="22.5" customHeight="1" x14ac:dyDescent="0.3">
      <c r="K23" s="30"/>
      <c r="L23" s="30"/>
    </row>
    <row r="24" spans="1:13" ht="22.5" customHeight="1" x14ac:dyDescent="0.3">
      <c r="K24" s="30"/>
      <c r="L24" s="30"/>
    </row>
    <row r="25" spans="1:13" ht="22.5" customHeight="1" x14ac:dyDescent="0.3">
      <c r="B25" s="178" t="s">
        <v>28</v>
      </c>
      <c r="C25" s="178"/>
      <c r="D25" s="178"/>
      <c r="K25" s="178" t="s">
        <v>27</v>
      </c>
      <c r="L25" s="178"/>
      <c r="M25" s="178"/>
    </row>
    <row r="26" spans="1:13" ht="22.5" customHeight="1" x14ac:dyDescent="0.3">
      <c r="C26" s="1"/>
      <c r="D26" s="1"/>
    </row>
  </sheetData>
  <mergeCells count="24">
    <mergeCell ref="A1:M1"/>
    <mergeCell ref="A2:M2"/>
    <mergeCell ref="A3:M3"/>
    <mergeCell ref="A5:A6"/>
    <mergeCell ref="B5:B6"/>
    <mergeCell ref="C5:C6"/>
    <mergeCell ref="D5:F5"/>
    <mergeCell ref="G5:G6"/>
    <mergeCell ref="H5:H6"/>
    <mergeCell ref="I5:I6"/>
    <mergeCell ref="J5:J6"/>
    <mergeCell ref="K5:K6"/>
    <mergeCell ref="L5:L6"/>
    <mergeCell ref="M5:M6"/>
    <mergeCell ref="N5:N6"/>
    <mergeCell ref="B25:D25"/>
    <mergeCell ref="K25:M25"/>
    <mergeCell ref="A12:C12"/>
    <mergeCell ref="A14:C14"/>
    <mergeCell ref="A19:M19"/>
    <mergeCell ref="J20:M20"/>
    <mergeCell ref="B21:D21"/>
    <mergeCell ref="K21:M21"/>
    <mergeCell ref="A7:C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workbookViewId="0">
      <selection activeCell="E11" sqref="E11"/>
    </sheetView>
  </sheetViews>
  <sheetFormatPr defaultColWidth="9.109375" defaultRowHeight="16.8" x14ac:dyDescent="0.3"/>
  <cols>
    <col min="1" max="1" width="6.109375" style="2" customWidth="1"/>
    <col min="2" max="2" width="27.5546875" style="1" customWidth="1"/>
    <col min="3" max="3" width="16.33203125" style="2" customWidth="1"/>
    <col min="4" max="4" width="10.44140625" style="2" customWidth="1"/>
    <col min="5" max="5" width="10.6640625" style="2" customWidth="1"/>
    <col min="6" max="9" width="12.33203125" style="2" customWidth="1"/>
    <col min="10" max="11" width="14.5546875" style="2" customWidth="1"/>
    <col min="12" max="12" width="9.44140625" style="2" customWidth="1"/>
    <col min="13" max="13" width="17.33203125" style="2" customWidth="1"/>
    <col min="14" max="14" width="53.88671875" style="2" customWidth="1"/>
    <col min="15" max="16384" width="9.109375" style="1"/>
  </cols>
  <sheetData>
    <row r="1" spans="1:14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</row>
    <row r="2" spans="1:14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</row>
    <row r="3" spans="1:14" ht="22.5" customHeight="1" x14ac:dyDescent="0.3">
      <c r="A3" s="179" t="s">
        <v>47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</row>
    <row r="4" spans="1:14" ht="21" customHeight="1" x14ac:dyDescent="0.3"/>
    <row r="5" spans="1:14" s="3" customFormat="1" ht="22.5" customHeight="1" x14ac:dyDescent="0.3">
      <c r="A5" s="180" t="s">
        <v>0</v>
      </c>
      <c r="B5" s="180" t="s">
        <v>1</v>
      </c>
      <c r="C5" s="180" t="s">
        <v>2</v>
      </c>
      <c r="D5" s="180" t="s">
        <v>23</v>
      </c>
      <c r="E5" s="180"/>
      <c r="F5" s="180"/>
      <c r="G5" s="181" t="s">
        <v>29</v>
      </c>
      <c r="H5" s="181" t="s">
        <v>30</v>
      </c>
      <c r="I5" s="181" t="s">
        <v>31</v>
      </c>
      <c r="J5" s="181" t="s">
        <v>24</v>
      </c>
      <c r="K5" s="180" t="s">
        <v>6</v>
      </c>
      <c r="L5" s="180" t="s">
        <v>7</v>
      </c>
      <c r="M5" s="180" t="s">
        <v>8</v>
      </c>
      <c r="N5" s="183"/>
    </row>
    <row r="6" spans="1:14" s="3" customFormat="1" ht="38.25" customHeight="1" x14ac:dyDescent="0.3">
      <c r="A6" s="180"/>
      <c r="B6" s="180"/>
      <c r="C6" s="180"/>
      <c r="D6" s="31" t="s">
        <v>3</v>
      </c>
      <c r="E6" s="31" t="s">
        <v>4</v>
      </c>
      <c r="F6" s="31" t="s">
        <v>5</v>
      </c>
      <c r="G6" s="182"/>
      <c r="H6" s="182"/>
      <c r="I6" s="182"/>
      <c r="J6" s="182"/>
      <c r="K6" s="180"/>
      <c r="L6" s="180"/>
      <c r="M6" s="180"/>
      <c r="N6" s="183"/>
    </row>
    <row r="7" spans="1:14" ht="22.5" customHeight="1" x14ac:dyDescent="0.3">
      <c r="A7" s="184" t="s">
        <v>15</v>
      </c>
      <c r="B7" s="184"/>
      <c r="C7" s="18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4" ht="22.5" customHeight="1" x14ac:dyDescent="0.3">
      <c r="A8" s="5">
        <v>1</v>
      </c>
      <c r="B8" s="6" t="s">
        <v>9</v>
      </c>
      <c r="C8" s="6" t="s">
        <v>18</v>
      </c>
      <c r="D8" s="5"/>
      <c r="E8" s="5"/>
      <c r="F8" s="5"/>
      <c r="G8" s="12">
        <f>IF(D8&gt;5,(D8-5)*2,0)</f>
        <v>0</v>
      </c>
      <c r="H8" s="12">
        <f>IF(E8&gt;5,(E8-5)*2,0)</f>
        <v>0</v>
      </c>
      <c r="I8" s="12">
        <f>IF(F8&gt;2,(F8-2)*1,0)</f>
        <v>0</v>
      </c>
      <c r="J8" s="12">
        <f t="shared" ref="J8:J11" si="0">SUM(G8:I8)</f>
        <v>0</v>
      </c>
      <c r="K8" s="12">
        <f t="shared" ref="K8:K11" si="1">100-J8</f>
        <v>100</v>
      </c>
      <c r="L8" s="12" t="str">
        <f>IF(K8&lt;71,"KL",IF(AND(K8&gt;=71,K8&lt;81),"C",IF(AND(K8&gt;=81,K8&lt;91),"B","A")))</f>
        <v>A</v>
      </c>
      <c r="M8" s="12" t="str">
        <f>IF(L8="A","100% LTT",IF(L8="B","90% LTT",IF(L8="C","80% LTT","60% LTT")))</f>
        <v>100% LTT</v>
      </c>
      <c r="N8" s="14"/>
    </row>
    <row r="9" spans="1:14" ht="22.5" customHeight="1" x14ac:dyDescent="0.3">
      <c r="A9" s="12">
        <f>A8+1</f>
        <v>2</v>
      </c>
      <c r="B9" s="13" t="s">
        <v>34</v>
      </c>
      <c r="C9" s="7" t="s">
        <v>19</v>
      </c>
      <c r="D9" s="12"/>
      <c r="E9" s="12"/>
      <c r="F9" s="12"/>
      <c r="G9" s="7">
        <f>IF(D9&gt;5,(D9-5)*2,0)</f>
        <v>0</v>
      </c>
      <c r="H9" s="7">
        <f t="shared" ref="H9" si="2">IF(E9&gt;5,(E9-5)*2,0)</f>
        <v>0</v>
      </c>
      <c r="I9" s="7">
        <f>IF(F9&gt;2,(F9-2)*1,0)</f>
        <v>0</v>
      </c>
      <c r="J9" s="7">
        <f t="shared" si="0"/>
        <v>0</v>
      </c>
      <c r="K9" s="7">
        <f t="shared" si="1"/>
        <v>100</v>
      </c>
      <c r="L9" s="7" t="str">
        <f>IF(K9&lt;71,"KL",IF(AND(K9&gt;=71,K9&lt;81),"C",IF(AND(K9&gt;=81,K9&lt;91),"B","A")))</f>
        <v>A</v>
      </c>
      <c r="M9" s="7" t="str">
        <f>IF(L9="A","100% LTT",IF(L9="B","90% LTT",IF(L9="C","80% LTT","60% LTT")))</f>
        <v>100% LTT</v>
      </c>
      <c r="N9" s="11" t="s">
        <v>26</v>
      </c>
    </row>
    <row r="10" spans="1:14" ht="22.5" customHeight="1" x14ac:dyDescent="0.3">
      <c r="A10" s="12">
        <f t="shared" ref="A10:A11" si="3">A9+1</f>
        <v>3</v>
      </c>
      <c r="B10" s="8" t="s">
        <v>10</v>
      </c>
      <c r="C10" s="7" t="s">
        <v>19</v>
      </c>
      <c r="D10" s="7"/>
      <c r="E10" s="7"/>
      <c r="F10" s="7"/>
      <c r="G10" s="7">
        <f>IF(D10&gt;5,(D10-5)*2,0)</f>
        <v>0</v>
      </c>
      <c r="H10" s="7">
        <f>IF(E10&gt;5,(E10-5)*2,0)</f>
        <v>0</v>
      </c>
      <c r="I10" s="7">
        <f t="shared" ref="I10:I11" si="4">IF(F10&gt;2,(F10-2)*1,0)</f>
        <v>0</v>
      </c>
      <c r="J10" s="7">
        <f>SUM(G10:I10)</f>
        <v>0</v>
      </c>
      <c r="K10" s="7">
        <f t="shared" si="1"/>
        <v>100</v>
      </c>
      <c r="L10" s="7" t="str">
        <f t="shared" ref="L10:L11" si="5">IF(K10&lt;71,"KL",IF(AND(K10&gt;=71,K10&lt;81),"C",IF(AND(K10&gt;=81,K10&lt;91),"B","A")))</f>
        <v>A</v>
      </c>
      <c r="M10" s="7" t="str">
        <f t="shared" ref="M10:M11" si="6">IF(L10="A","100% LTT",IF(L10="B","90% LTT",IF(L10="C","80% LTT","60% LTT")))</f>
        <v>100% LTT</v>
      </c>
      <c r="N10" s="11" t="s">
        <v>32</v>
      </c>
    </row>
    <row r="11" spans="1:14" ht="22.5" customHeight="1" x14ac:dyDescent="0.3">
      <c r="A11" s="12">
        <f t="shared" si="3"/>
        <v>4</v>
      </c>
      <c r="B11" s="8" t="s">
        <v>11</v>
      </c>
      <c r="C11" s="7" t="s">
        <v>19</v>
      </c>
      <c r="D11" s="7"/>
      <c r="E11" s="7"/>
      <c r="F11" s="7"/>
      <c r="G11" s="7">
        <f t="shared" ref="G11:H11" si="7">IF(D11&gt;5,(D11-5)*2,0)</f>
        <v>0</v>
      </c>
      <c r="H11" s="7">
        <f t="shared" si="7"/>
        <v>0</v>
      </c>
      <c r="I11" s="7">
        <f t="shared" si="4"/>
        <v>0</v>
      </c>
      <c r="J11" s="7">
        <f t="shared" si="0"/>
        <v>0</v>
      </c>
      <c r="K11" s="7">
        <f t="shared" si="1"/>
        <v>100</v>
      </c>
      <c r="L11" s="7" t="str">
        <f t="shared" si="5"/>
        <v>A</v>
      </c>
      <c r="M11" s="7" t="str">
        <f t="shared" si="6"/>
        <v>100% LTT</v>
      </c>
      <c r="N11" s="11" t="s">
        <v>33</v>
      </c>
    </row>
    <row r="12" spans="1:14" ht="22.5" customHeight="1" x14ac:dyDescent="0.3">
      <c r="A12" s="184" t="s">
        <v>16</v>
      </c>
      <c r="B12" s="184"/>
      <c r="C12" s="18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4" ht="22.5" customHeight="1" x14ac:dyDescent="0.3">
      <c r="A13" s="17">
        <f>A11+1</f>
        <v>5</v>
      </c>
      <c r="B13" s="18" t="s">
        <v>28</v>
      </c>
      <c r="C13" s="17" t="s">
        <v>19</v>
      </c>
      <c r="D13" s="17"/>
      <c r="E13" s="17"/>
      <c r="F13" s="17">
        <v>3</v>
      </c>
      <c r="G13" s="17">
        <f t="shared" ref="G13:H13" si="8">IF(D13&gt;5,(D13-5)*2,0)</f>
        <v>0</v>
      </c>
      <c r="H13" s="17">
        <f t="shared" si="8"/>
        <v>0</v>
      </c>
      <c r="I13" s="17">
        <f t="shared" ref="I13" si="9">IF(F13&gt;2,(F13-2)*1,0)</f>
        <v>1</v>
      </c>
      <c r="J13" s="17">
        <f t="shared" ref="J13" si="10">SUM(G13:I13)</f>
        <v>1</v>
      </c>
      <c r="K13" s="17">
        <f>100-J13</f>
        <v>99</v>
      </c>
      <c r="L13" s="17" t="str">
        <f t="shared" ref="L13" si="11">IF(K13&lt;71,"KL",IF(AND(K13&gt;=71,K13&lt;81),"C",IF(AND(K13&gt;=81,K13&lt;91),"B","A")))</f>
        <v>A</v>
      </c>
      <c r="M13" s="17" t="str">
        <f t="shared" ref="M13" si="12">IF(L13="A","100% LTT",IF(L13="B","90% LTT",IF(L13="C","80% LTT","60% LTT")))</f>
        <v>100% LTT</v>
      </c>
    </row>
    <row r="14" spans="1:14" ht="22.5" customHeight="1" x14ac:dyDescent="0.3">
      <c r="A14" s="184" t="s">
        <v>17</v>
      </c>
      <c r="B14" s="184"/>
      <c r="C14" s="18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4" ht="22.5" customHeight="1" x14ac:dyDescent="0.3">
      <c r="A15" s="23">
        <f>A13+1</f>
        <v>6</v>
      </c>
      <c r="B15" s="6" t="s">
        <v>12</v>
      </c>
      <c r="C15" s="5" t="s">
        <v>19</v>
      </c>
      <c r="D15" s="23"/>
      <c r="E15" s="23"/>
      <c r="F15" s="23"/>
      <c r="G15" s="23">
        <f t="shared" ref="G15:H18" si="13">IF(D15&gt;5,(D15-5)*2,0)</f>
        <v>0</v>
      </c>
      <c r="H15" s="23">
        <f t="shared" si="13"/>
        <v>0</v>
      </c>
      <c r="I15" s="23">
        <f t="shared" ref="I15:I18" si="14">IF(F15&gt;2,(F15-2)*1,0)</f>
        <v>0</v>
      </c>
      <c r="J15" s="23">
        <f t="shared" ref="J15:J18" si="15">SUM(G15:I15)</f>
        <v>0</v>
      </c>
      <c r="K15" s="23">
        <f>100-J15</f>
        <v>100</v>
      </c>
      <c r="L15" s="23" t="str">
        <f t="shared" ref="L15:L18" si="16">IF(K15&lt;71,"KL",IF(AND(K15&gt;=71,K15&lt;81),"C",IF(AND(K15&gt;=81,K15&lt;91),"B","A")))</f>
        <v>A</v>
      </c>
      <c r="M15" s="23" t="str">
        <f t="shared" ref="M15:M18" si="17">IF(L15="A","100% LTT",IF(L15="B","90% LTT",IF(L15="C","80% LTT","60% LTT")))</f>
        <v>100% LTT</v>
      </c>
    </row>
    <row r="16" spans="1:14" ht="22.5" customHeight="1" x14ac:dyDescent="0.3">
      <c r="A16" s="15">
        <f>A15+1</f>
        <v>7</v>
      </c>
      <c r="B16" s="13" t="s">
        <v>40</v>
      </c>
      <c r="C16" s="7" t="s">
        <v>19</v>
      </c>
      <c r="D16" s="15"/>
      <c r="E16" s="15"/>
      <c r="F16" s="15">
        <v>1</v>
      </c>
      <c r="G16" s="15">
        <f t="shared" si="13"/>
        <v>0</v>
      </c>
      <c r="H16" s="15">
        <f t="shared" si="13"/>
        <v>0</v>
      </c>
      <c r="I16" s="15">
        <f>IF(F16&gt;2,(F16-2)*1,0)</f>
        <v>0</v>
      </c>
      <c r="J16" s="15">
        <f t="shared" si="15"/>
        <v>0</v>
      </c>
      <c r="K16" s="15">
        <f>100-J16</f>
        <v>100</v>
      </c>
      <c r="L16" s="15" t="str">
        <f t="shared" si="16"/>
        <v>A</v>
      </c>
      <c r="M16" s="15" t="str">
        <f t="shared" si="17"/>
        <v>100% LTT</v>
      </c>
    </row>
    <row r="17" spans="1:13" ht="22.5" customHeight="1" x14ac:dyDescent="0.3">
      <c r="A17" s="15">
        <f t="shared" ref="A17:A18" si="18">A16+1</f>
        <v>8</v>
      </c>
      <c r="B17" s="8" t="s">
        <v>13</v>
      </c>
      <c r="C17" s="7" t="s">
        <v>19</v>
      </c>
      <c r="D17" s="15">
        <v>4</v>
      </c>
      <c r="E17" s="15"/>
      <c r="F17" s="15">
        <v>1</v>
      </c>
      <c r="G17" s="15">
        <f t="shared" si="13"/>
        <v>0</v>
      </c>
      <c r="H17" s="15">
        <f t="shared" si="13"/>
        <v>0</v>
      </c>
      <c r="I17" s="15">
        <f t="shared" si="14"/>
        <v>0</v>
      </c>
      <c r="J17" s="15">
        <f t="shared" si="15"/>
        <v>0</v>
      </c>
      <c r="K17" s="15">
        <f>100-J17</f>
        <v>100</v>
      </c>
      <c r="L17" s="15" t="str">
        <f t="shared" si="16"/>
        <v>A</v>
      </c>
      <c r="M17" s="15" t="str">
        <f t="shared" si="17"/>
        <v>100% LTT</v>
      </c>
    </row>
    <row r="18" spans="1:13" ht="22.5" customHeight="1" x14ac:dyDescent="0.3">
      <c r="A18" s="15">
        <f t="shared" si="18"/>
        <v>9</v>
      </c>
      <c r="B18" s="10" t="s">
        <v>14</v>
      </c>
      <c r="C18" s="9" t="s">
        <v>19</v>
      </c>
      <c r="D18" s="17"/>
      <c r="E18" s="17"/>
      <c r="F18" s="17">
        <v>2</v>
      </c>
      <c r="G18" s="17">
        <f t="shared" si="13"/>
        <v>0</v>
      </c>
      <c r="H18" s="17">
        <f t="shared" si="13"/>
        <v>0</v>
      </c>
      <c r="I18" s="17">
        <f t="shared" si="14"/>
        <v>0</v>
      </c>
      <c r="J18" s="17">
        <f t="shared" si="15"/>
        <v>0</v>
      </c>
      <c r="K18" s="17">
        <f>100-J18</f>
        <v>100</v>
      </c>
      <c r="L18" s="17" t="str">
        <f t="shared" si="16"/>
        <v>A</v>
      </c>
      <c r="M18" s="17" t="str">
        <f t="shared" si="17"/>
        <v>100% LTT</v>
      </c>
    </row>
    <row r="19" spans="1:13" ht="22.5" customHeight="1" x14ac:dyDescent="0.3">
      <c r="A19" s="180" t="s">
        <v>44</v>
      </c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</row>
    <row r="20" spans="1:13" ht="22.5" customHeight="1" x14ac:dyDescent="0.3">
      <c r="J20" s="185" t="s">
        <v>37</v>
      </c>
      <c r="K20" s="185"/>
      <c r="L20" s="185"/>
      <c r="M20" s="185"/>
    </row>
    <row r="21" spans="1:13" ht="22.5" customHeight="1" x14ac:dyDescent="0.3">
      <c r="B21" s="178" t="s">
        <v>22</v>
      </c>
      <c r="C21" s="178"/>
      <c r="D21" s="178"/>
      <c r="K21" s="178" t="s">
        <v>25</v>
      </c>
      <c r="L21" s="178"/>
      <c r="M21" s="178"/>
    </row>
    <row r="22" spans="1:13" ht="22.5" customHeight="1" x14ac:dyDescent="0.3">
      <c r="K22" s="30"/>
      <c r="L22" s="30"/>
    </row>
    <row r="23" spans="1:13" ht="22.5" customHeight="1" x14ac:dyDescent="0.3">
      <c r="K23" s="30"/>
      <c r="L23" s="30"/>
    </row>
    <row r="24" spans="1:13" ht="22.5" customHeight="1" x14ac:dyDescent="0.3">
      <c r="K24" s="30"/>
      <c r="L24" s="30"/>
    </row>
    <row r="25" spans="1:13" ht="22.5" customHeight="1" x14ac:dyDescent="0.3">
      <c r="B25" s="178" t="s">
        <v>28</v>
      </c>
      <c r="C25" s="178"/>
      <c r="D25" s="178"/>
      <c r="K25" s="178" t="s">
        <v>27</v>
      </c>
      <c r="L25" s="178"/>
      <c r="M25" s="178"/>
    </row>
    <row r="26" spans="1:13" ht="22.5" customHeight="1" x14ac:dyDescent="0.3">
      <c r="C26" s="1"/>
      <c r="D26" s="1"/>
    </row>
  </sheetData>
  <mergeCells count="24">
    <mergeCell ref="A1:M1"/>
    <mergeCell ref="A2:M2"/>
    <mergeCell ref="A3:M3"/>
    <mergeCell ref="A5:A6"/>
    <mergeCell ref="B5:B6"/>
    <mergeCell ref="C5:C6"/>
    <mergeCell ref="D5:F5"/>
    <mergeCell ref="G5:G6"/>
    <mergeCell ref="H5:H6"/>
    <mergeCell ref="I5:I6"/>
    <mergeCell ref="J5:J6"/>
    <mergeCell ref="K5:K6"/>
    <mergeCell ref="L5:L6"/>
    <mergeCell ref="M5:M6"/>
    <mergeCell ref="N5:N6"/>
    <mergeCell ref="B25:D25"/>
    <mergeCell ref="K25:M25"/>
    <mergeCell ref="A12:C12"/>
    <mergeCell ref="A14:C14"/>
    <mergeCell ref="A19:M19"/>
    <mergeCell ref="J20:M20"/>
    <mergeCell ref="B21:D21"/>
    <mergeCell ref="K21:M21"/>
    <mergeCell ref="A7:C7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"/>
  <sheetViews>
    <sheetView workbookViewId="0">
      <selection sqref="A1:XFD1048576"/>
    </sheetView>
  </sheetViews>
  <sheetFormatPr defaultColWidth="9.109375" defaultRowHeight="16.8" x14ac:dyDescent="0.3"/>
  <cols>
    <col min="1" max="1" width="6.109375" style="2" customWidth="1"/>
    <col min="2" max="2" width="27.5546875" style="1" customWidth="1"/>
    <col min="3" max="3" width="16.33203125" style="2" customWidth="1"/>
    <col min="4" max="4" width="10.44140625" style="2" customWidth="1"/>
    <col min="5" max="5" width="10.6640625" style="2" customWidth="1"/>
    <col min="6" max="9" width="12.33203125" style="2" customWidth="1"/>
    <col min="10" max="11" width="14.5546875" style="2" customWidth="1"/>
    <col min="12" max="12" width="9.44140625" style="2" customWidth="1"/>
    <col min="13" max="13" width="17.33203125" style="2" customWidth="1"/>
    <col min="14" max="14" width="53.88671875" style="2" customWidth="1"/>
    <col min="15" max="16384" width="9.109375" style="1"/>
  </cols>
  <sheetData>
    <row r="1" spans="1:14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</row>
    <row r="2" spans="1:14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</row>
    <row r="3" spans="1:14" ht="22.5" customHeight="1" x14ac:dyDescent="0.3">
      <c r="A3" s="179" t="s">
        <v>48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</row>
    <row r="4" spans="1:14" ht="21" customHeight="1" x14ac:dyDescent="0.3"/>
    <row r="5" spans="1:14" s="3" customFormat="1" ht="22.5" customHeight="1" x14ac:dyDescent="0.3">
      <c r="A5" s="180" t="s">
        <v>0</v>
      </c>
      <c r="B5" s="180" t="s">
        <v>1</v>
      </c>
      <c r="C5" s="180" t="s">
        <v>2</v>
      </c>
      <c r="D5" s="180" t="s">
        <v>23</v>
      </c>
      <c r="E5" s="180"/>
      <c r="F5" s="180"/>
      <c r="G5" s="181" t="s">
        <v>29</v>
      </c>
      <c r="H5" s="181" t="s">
        <v>30</v>
      </c>
      <c r="I5" s="181" t="s">
        <v>31</v>
      </c>
      <c r="J5" s="181" t="s">
        <v>24</v>
      </c>
      <c r="K5" s="180" t="s">
        <v>6</v>
      </c>
      <c r="L5" s="180" t="s">
        <v>7</v>
      </c>
      <c r="M5" s="180" t="s">
        <v>8</v>
      </c>
      <c r="N5" s="183"/>
    </row>
    <row r="6" spans="1:14" s="3" customFormat="1" ht="38.25" customHeight="1" x14ac:dyDescent="0.3">
      <c r="A6" s="180"/>
      <c r="B6" s="180"/>
      <c r="C6" s="180"/>
      <c r="D6" s="33" t="s">
        <v>3</v>
      </c>
      <c r="E6" s="33" t="s">
        <v>4</v>
      </c>
      <c r="F6" s="33" t="s">
        <v>5</v>
      </c>
      <c r="G6" s="182"/>
      <c r="H6" s="182"/>
      <c r="I6" s="182"/>
      <c r="J6" s="182"/>
      <c r="K6" s="180"/>
      <c r="L6" s="180"/>
      <c r="M6" s="180"/>
      <c r="N6" s="183"/>
    </row>
    <row r="7" spans="1:14" ht="22.5" customHeight="1" x14ac:dyDescent="0.3">
      <c r="A7" s="184" t="s">
        <v>15</v>
      </c>
      <c r="B7" s="184"/>
      <c r="C7" s="18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4" ht="22.5" customHeight="1" x14ac:dyDescent="0.3">
      <c r="A8" s="5">
        <v>1</v>
      </c>
      <c r="B8" s="38" t="s">
        <v>9</v>
      </c>
      <c r="C8" s="23" t="s">
        <v>50</v>
      </c>
      <c r="D8" s="23"/>
      <c r="E8" s="23"/>
      <c r="F8" s="23"/>
      <c r="G8" s="23">
        <f>IF(D8&gt;5,(D8-5)*2,0)</f>
        <v>0</v>
      </c>
      <c r="H8" s="23">
        <f>IF(E8&gt;5,(E8-5)*2,0)</f>
        <v>0</v>
      </c>
      <c r="I8" s="23">
        <f>IF(F8&gt;2,(F8-2)*1,0)</f>
        <v>0</v>
      </c>
      <c r="J8" s="23">
        <f t="shared" ref="J8:J9" si="0">SUM(G8:I8)</f>
        <v>0</v>
      </c>
      <c r="K8" s="23">
        <f t="shared" ref="K8:K15" si="1">100-J8</f>
        <v>100</v>
      </c>
      <c r="L8" s="23" t="str">
        <f>IF(K8&lt;71,"KL",IF(AND(K8&gt;=71,K8&lt;81),"C",IF(AND(K8&gt;=81,K8&lt;91),"B","A")))</f>
        <v>A</v>
      </c>
      <c r="M8" s="23" t="str">
        <f>IF(L8="A","100% LTT",IF(L8="B","90% LTT",IF(L8="C","80% LTT","60% LTT")))</f>
        <v>100% LTT</v>
      </c>
      <c r="N8" s="14"/>
    </row>
    <row r="9" spans="1:14" ht="22.5" customHeight="1" x14ac:dyDescent="0.3">
      <c r="A9" s="12">
        <f>A8+1</f>
        <v>2</v>
      </c>
      <c r="B9" s="16" t="s">
        <v>34</v>
      </c>
      <c r="C9" s="15" t="s">
        <v>19</v>
      </c>
      <c r="D9" s="15"/>
      <c r="E9" s="15"/>
      <c r="F9" s="15"/>
      <c r="G9" s="15">
        <f>IF(D9&gt;5,(D9-5)*2,0)</f>
        <v>0</v>
      </c>
      <c r="H9" s="15">
        <f t="shared" ref="H9" si="2">IF(E9&gt;5,(E9-5)*2,0)</f>
        <v>0</v>
      </c>
      <c r="I9" s="15">
        <f>IF(F9&gt;2,(F9-2)*1,0)</f>
        <v>0</v>
      </c>
      <c r="J9" s="15">
        <f t="shared" si="0"/>
        <v>0</v>
      </c>
      <c r="K9" s="15">
        <f t="shared" si="1"/>
        <v>100</v>
      </c>
      <c r="L9" s="15" t="str">
        <f>IF(K9&lt;71,"KL",IF(AND(K9&gt;=71,K9&lt;81),"C",IF(AND(K9&gt;=81,K9&lt;91),"B","A")))</f>
        <v>A</v>
      </c>
      <c r="M9" s="15" t="str">
        <f>IF(L9="A","100% LTT",IF(L9="B","90% LTT",IF(L9="C","80% LTT","60% LTT")))</f>
        <v>100% LTT</v>
      </c>
      <c r="N9" s="11" t="s">
        <v>26</v>
      </c>
    </row>
    <row r="10" spans="1:14" ht="22.5" customHeight="1" x14ac:dyDescent="0.3">
      <c r="A10" s="12">
        <f t="shared" ref="A10:A15" si="3">A9+1</f>
        <v>3</v>
      </c>
      <c r="B10" s="16" t="s">
        <v>10</v>
      </c>
      <c r="C10" s="15" t="s">
        <v>19</v>
      </c>
      <c r="D10" s="15"/>
      <c r="E10" s="15"/>
      <c r="F10" s="15"/>
      <c r="G10" s="15">
        <f>IF(D10&gt;5,(D10-5)*2,0)</f>
        <v>0</v>
      </c>
      <c r="H10" s="15">
        <f>IF(E10&gt;5,(E10-5)*2,0)</f>
        <v>0</v>
      </c>
      <c r="I10" s="15">
        <f t="shared" ref="I10:I15" si="4">IF(F10&gt;2,(F10-2)*1,0)</f>
        <v>0</v>
      </c>
      <c r="J10" s="15">
        <f>SUM(G10:I10)</f>
        <v>0</v>
      </c>
      <c r="K10" s="15">
        <f t="shared" si="1"/>
        <v>100</v>
      </c>
      <c r="L10" s="15" t="str">
        <f t="shared" ref="L10:L15" si="5">IF(K10&lt;71,"KL",IF(AND(K10&gt;=71,K10&lt;81),"C",IF(AND(K10&gt;=81,K10&lt;91),"B","A")))</f>
        <v>A</v>
      </c>
      <c r="M10" s="15" t="str">
        <f t="shared" ref="M10:M15" si="6">IF(L10="A","100% LTT",IF(L10="B","90% LTT",IF(L10="C","80% LTT","60% LTT")))</f>
        <v>100% LTT</v>
      </c>
      <c r="N10" s="11" t="s">
        <v>32</v>
      </c>
    </row>
    <row r="11" spans="1:14" ht="22.5" customHeight="1" x14ac:dyDescent="0.3">
      <c r="A11" s="12">
        <f t="shared" si="3"/>
        <v>4</v>
      </c>
      <c r="B11" s="16" t="s">
        <v>49</v>
      </c>
      <c r="C11" s="15" t="s">
        <v>19</v>
      </c>
      <c r="D11" s="15"/>
      <c r="E11" s="15"/>
      <c r="F11" s="15"/>
      <c r="G11" s="15">
        <f t="shared" ref="G11:G15" si="7">IF(D11&gt;5,(D11-5)*2,0)</f>
        <v>0</v>
      </c>
      <c r="H11" s="15">
        <f t="shared" ref="H11:H15" si="8">IF(E11&gt;5,(E11-5)*2,0)</f>
        <v>0</v>
      </c>
      <c r="I11" s="15">
        <f t="shared" si="4"/>
        <v>0</v>
      </c>
      <c r="J11" s="15">
        <f t="shared" ref="J11:J15" si="9">SUM(G11:I11)</f>
        <v>0</v>
      </c>
      <c r="K11" s="15">
        <f t="shared" si="1"/>
        <v>100</v>
      </c>
      <c r="L11" s="15" t="str">
        <f t="shared" si="5"/>
        <v>A</v>
      </c>
      <c r="M11" s="15" t="str">
        <f t="shared" si="6"/>
        <v>100% LTT</v>
      </c>
      <c r="N11" s="11" t="s">
        <v>33</v>
      </c>
    </row>
    <row r="12" spans="1:14" ht="22.5" customHeight="1" x14ac:dyDescent="0.3">
      <c r="A12" s="12">
        <f t="shared" si="3"/>
        <v>5</v>
      </c>
      <c r="B12" s="16" t="s">
        <v>52</v>
      </c>
      <c r="C12" s="15" t="s">
        <v>19</v>
      </c>
      <c r="D12" s="15"/>
      <c r="E12" s="15"/>
      <c r="F12" s="15"/>
      <c r="G12" s="15">
        <f t="shared" si="7"/>
        <v>0</v>
      </c>
      <c r="H12" s="15">
        <f t="shared" si="8"/>
        <v>0</v>
      </c>
      <c r="I12" s="15">
        <f t="shared" si="4"/>
        <v>0</v>
      </c>
      <c r="J12" s="15">
        <f t="shared" si="9"/>
        <v>0</v>
      </c>
      <c r="K12" s="15">
        <f t="shared" si="1"/>
        <v>100</v>
      </c>
      <c r="L12" s="15" t="str">
        <f t="shared" si="5"/>
        <v>A</v>
      </c>
      <c r="M12" s="15" t="str">
        <f t="shared" si="6"/>
        <v>100% LTT</v>
      </c>
      <c r="N12" s="34"/>
    </row>
    <row r="13" spans="1:14" ht="22.5" customHeight="1" x14ac:dyDescent="0.3">
      <c r="A13" s="12">
        <f t="shared" si="3"/>
        <v>6</v>
      </c>
      <c r="B13" s="16" t="s">
        <v>53</v>
      </c>
      <c r="C13" s="15" t="s">
        <v>19</v>
      </c>
      <c r="D13" s="15"/>
      <c r="E13" s="15"/>
      <c r="F13" s="15"/>
      <c r="G13" s="15">
        <f t="shared" si="7"/>
        <v>0</v>
      </c>
      <c r="H13" s="15">
        <f t="shared" si="8"/>
        <v>0</v>
      </c>
      <c r="I13" s="15">
        <f t="shared" si="4"/>
        <v>0</v>
      </c>
      <c r="J13" s="15">
        <f t="shared" si="9"/>
        <v>0</v>
      </c>
      <c r="K13" s="15">
        <f t="shared" si="1"/>
        <v>100</v>
      </c>
      <c r="L13" s="15" t="str">
        <f t="shared" si="5"/>
        <v>A</v>
      </c>
      <c r="M13" s="15" t="str">
        <f t="shared" si="6"/>
        <v>100% LTT</v>
      </c>
      <c r="N13" s="35"/>
    </row>
    <row r="14" spans="1:14" ht="22.5" customHeight="1" x14ac:dyDescent="0.3">
      <c r="A14" s="12">
        <f t="shared" si="3"/>
        <v>7</v>
      </c>
      <c r="B14" s="16" t="s">
        <v>54</v>
      </c>
      <c r="C14" s="15" t="s">
        <v>19</v>
      </c>
      <c r="D14" s="15"/>
      <c r="E14" s="15"/>
      <c r="F14" s="15"/>
      <c r="G14" s="15">
        <f t="shared" si="7"/>
        <v>0</v>
      </c>
      <c r="H14" s="15">
        <f t="shared" si="8"/>
        <v>0</v>
      </c>
      <c r="I14" s="15">
        <f t="shared" si="4"/>
        <v>0</v>
      </c>
      <c r="J14" s="15">
        <f t="shared" si="9"/>
        <v>0</v>
      </c>
      <c r="K14" s="15">
        <f t="shared" si="1"/>
        <v>100</v>
      </c>
      <c r="L14" s="15" t="str">
        <f t="shared" si="5"/>
        <v>A</v>
      </c>
      <c r="M14" s="15" t="str">
        <f t="shared" si="6"/>
        <v>100% LTT</v>
      </c>
      <c r="N14" s="35"/>
    </row>
    <row r="15" spans="1:14" ht="22.5" customHeight="1" x14ac:dyDescent="0.3">
      <c r="A15" s="12">
        <f t="shared" si="3"/>
        <v>8</v>
      </c>
      <c r="B15" s="18" t="s">
        <v>11</v>
      </c>
      <c r="C15" s="17" t="s">
        <v>51</v>
      </c>
      <c r="D15" s="17"/>
      <c r="E15" s="17"/>
      <c r="F15" s="17"/>
      <c r="G15" s="17">
        <f t="shared" si="7"/>
        <v>0</v>
      </c>
      <c r="H15" s="17">
        <f t="shared" si="8"/>
        <v>0</v>
      </c>
      <c r="I15" s="17">
        <f t="shared" si="4"/>
        <v>0</v>
      </c>
      <c r="J15" s="17">
        <f t="shared" si="9"/>
        <v>0</v>
      </c>
      <c r="K15" s="17">
        <f t="shared" si="1"/>
        <v>100</v>
      </c>
      <c r="L15" s="17" t="str">
        <f t="shared" si="5"/>
        <v>A</v>
      </c>
      <c r="M15" s="17" t="str">
        <f t="shared" si="6"/>
        <v>100% LTT</v>
      </c>
      <c r="N15" s="35"/>
    </row>
    <row r="16" spans="1:14" ht="22.5" customHeight="1" x14ac:dyDescent="0.3">
      <c r="A16" s="184" t="s">
        <v>16</v>
      </c>
      <c r="B16" s="184"/>
      <c r="C16" s="18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ht="22.5" customHeight="1" x14ac:dyDescent="0.3">
      <c r="A17" s="17">
        <f>A15+1</f>
        <v>9</v>
      </c>
      <c r="B17" s="18" t="s">
        <v>28</v>
      </c>
      <c r="C17" s="17" t="s">
        <v>19</v>
      </c>
      <c r="D17" s="17"/>
      <c r="E17" s="17"/>
      <c r="F17" s="17">
        <v>2</v>
      </c>
      <c r="G17" s="17">
        <f t="shared" ref="G17:H17" si="10">IF(D17&gt;5,(D17-5)*2,0)</f>
        <v>0</v>
      </c>
      <c r="H17" s="17">
        <f t="shared" si="10"/>
        <v>0</v>
      </c>
      <c r="I17" s="17">
        <f t="shared" ref="I17" si="11">IF(F17&gt;2,(F17-2)*1,0)</f>
        <v>0</v>
      </c>
      <c r="J17" s="17">
        <f t="shared" ref="J17" si="12">SUM(G17:I17)</f>
        <v>0</v>
      </c>
      <c r="K17" s="17">
        <f>100-J17</f>
        <v>100</v>
      </c>
      <c r="L17" s="17" t="str">
        <f t="shared" ref="L17" si="13">IF(K17&lt;71,"KL",IF(AND(K17&gt;=71,K17&lt;81),"C",IF(AND(K17&gt;=81,K17&lt;91),"B","A")))</f>
        <v>A</v>
      </c>
      <c r="M17" s="17" t="str">
        <f t="shared" ref="M17" si="14">IF(L17="A","100% LTT",IF(L17="B","90% LTT",IF(L17="C","80% LTT","60% LTT")))</f>
        <v>100% LTT</v>
      </c>
    </row>
    <row r="18" spans="1:13" ht="22.5" customHeight="1" x14ac:dyDescent="0.3">
      <c r="A18" s="184" t="s">
        <v>17</v>
      </c>
      <c r="B18" s="184"/>
      <c r="C18" s="18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ht="22.5" customHeight="1" x14ac:dyDescent="0.3">
      <c r="A19" s="23">
        <f>A17+1</f>
        <v>10</v>
      </c>
      <c r="B19" s="6" t="s">
        <v>12</v>
      </c>
      <c r="C19" s="5" t="s">
        <v>19</v>
      </c>
      <c r="D19" s="23">
        <v>1</v>
      </c>
      <c r="E19" s="23"/>
      <c r="F19" s="23"/>
      <c r="G19" s="23">
        <f t="shared" ref="G19:H22" si="15">IF(D19&gt;5,(D19-5)*2,0)</f>
        <v>0</v>
      </c>
      <c r="H19" s="23">
        <f t="shared" si="15"/>
        <v>0</v>
      </c>
      <c r="I19" s="23">
        <f t="shared" ref="I19:I22" si="16">IF(F19&gt;2,(F19-2)*1,0)</f>
        <v>0</v>
      </c>
      <c r="J19" s="23">
        <f t="shared" ref="J19:J22" si="17">SUM(G19:I19)</f>
        <v>0</v>
      </c>
      <c r="K19" s="23">
        <f>100-J19</f>
        <v>100</v>
      </c>
      <c r="L19" s="23" t="str">
        <f t="shared" ref="L19:L22" si="18">IF(K19&lt;71,"KL",IF(AND(K19&gt;=71,K19&lt;81),"C",IF(AND(K19&gt;=81,K19&lt;91),"B","A")))</f>
        <v>A</v>
      </c>
      <c r="M19" s="23" t="str">
        <f t="shared" ref="M19:M22" si="19">IF(L19="A","100% LTT",IF(L19="B","90% LTT",IF(L19="C","80% LTT","60% LTT")))</f>
        <v>100% LTT</v>
      </c>
    </row>
    <row r="20" spans="1:13" ht="22.5" customHeight="1" x14ac:dyDescent="0.3">
      <c r="A20" s="15">
        <f>A19+1</f>
        <v>11</v>
      </c>
      <c r="B20" s="13" t="s">
        <v>40</v>
      </c>
      <c r="C20" s="7" t="s">
        <v>19</v>
      </c>
      <c r="D20" s="15">
        <v>3</v>
      </c>
      <c r="E20" s="15"/>
      <c r="F20" s="15"/>
      <c r="G20" s="15">
        <f t="shared" si="15"/>
        <v>0</v>
      </c>
      <c r="H20" s="15">
        <f t="shared" si="15"/>
        <v>0</v>
      </c>
      <c r="I20" s="15">
        <f>IF(F20&gt;2,(F20-2)*1,0)</f>
        <v>0</v>
      </c>
      <c r="J20" s="15">
        <f t="shared" si="17"/>
        <v>0</v>
      </c>
      <c r="K20" s="15">
        <f>100-J20</f>
        <v>100</v>
      </c>
      <c r="L20" s="15" t="str">
        <f t="shared" si="18"/>
        <v>A</v>
      </c>
      <c r="M20" s="15" t="str">
        <f t="shared" si="19"/>
        <v>100% LTT</v>
      </c>
    </row>
    <row r="21" spans="1:13" ht="22.5" customHeight="1" x14ac:dyDescent="0.3">
      <c r="A21" s="15">
        <f t="shared" ref="A21:A22" si="20">A20+1</f>
        <v>12</v>
      </c>
      <c r="B21" s="8" t="s">
        <v>13</v>
      </c>
      <c r="C21" s="7" t="s">
        <v>19</v>
      </c>
      <c r="D21" s="15"/>
      <c r="E21" s="15"/>
      <c r="F21" s="15">
        <v>2</v>
      </c>
      <c r="G21" s="15">
        <f t="shared" si="15"/>
        <v>0</v>
      </c>
      <c r="H21" s="15">
        <f t="shared" si="15"/>
        <v>0</v>
      </c>
      <c r="I21" s="15">
        <f t="shared" si="16"/>
        <v>0</v>
      </c>
      <c r="J21" s="15">
        <f t="shared" si="17"/>
        <v>0</v>
      </c>
      <c r="K21" s="15">
        <f>100-J21</f>
        <v>100</v>
      </c>
      <c r="L21" s="15" t="str">
        <f t="shared" si="18"/>
        <v>A</v>
      </c>
      <c r="M21" s="15" t="str">
        <f t="shared" si="19"/>
        <v>100% LTT</v>
      </c>
    </row>
    <row r="22" spans="1:13" ht="22.5" customHeight="1" x14ac:dyDescent="0.3">
      <c r="A22" s="15">
        <f t="shared" si="20"/>
        <v>13</v>
      </c>
      <c r="B22" s="10" t="s">
        <v>14</v>
      </c>
      <c r="C22" s="9" t="s">
        <v>19</v>
      </c>
      <c r="D22" s="17"/>
      <c r="E22" s="17"/>
      <c r="F22" s="17">
        <v>2</v>
      </c>
      <c r="G22" s="17">
        <f t="shared" si="15"/>
        <v>0</v>
      </c>
      <c r="H22" s="17">
        <f t="shared" si="15"/>
        <v>0</v>
      </c>
      <c r="I22" s="17">
        <f t="shared" si="16"/>
        <v>0</v>
      </c>
      <c r="J22" s="17">
        <f t="shared" si="17"/>
        <v>0</v>
      </c>
      <c r="K22" s="17">
        <f>100-J22</f>
        <v>100</v>
      </c>
      <c r="L22" s="17" t="str">
        <f t="shared" si="18"/>
        <v>A</v>
      </c>
      <c r="M22" s="17" t="str">
        <f t="shared" si="19"/>
        <v>100% LTT</v>
      </c>
    </row>
    <row r="23" spans="1:13" ht="22.5" customHeight="1" x14ac:dyDescent="0.3">
      <c r="A23" s="180" t="s">
        <v>55</v>
      </c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</row>
    <row r="24" spans="1:13" ht="22.5" customHeight="1" x14ac:dyDescent="0.3">
      <c r="J24" s="185" t="s">
        <v>37</v>
      </c>
      <c r="K24" s="185"/>
      <c r="L24" s="185"/>
      <c r="M24" s="185"/>
    </row>
    <row r="25" spans="1:13" ht="22.5" customHeight="1" x14ac:dyDescent="0.3">
      <c r="B25" s="178" t="s">
        <v>22</v>
      </c>
      <c r="C25" s="178"/>
      <c r="D25" s="178"/>
      <c r="K25" s="178" t="s">
        <v>25</v>
      </c>
      <c r="L25" s="178"/>
      <c r="M25" s="178"/>
    </row>
    <row r="26" spans="1:13" ht="22.5" customHeight="1" x14ac:dyDescent="0.3">
      <c r="K26" s="32"/>
      <c r="L26" s="32"/>
    </row>
    <row r="27" spans="1:13" ht="22.5" customHeight="1" x14ac:dyDescent="0.3">
      <c r="K27" s="32"/>
      <c r="L27" s="32"/>
    </row>
    <row r="28" spans="1:13" ht="22.5" customHeight="1" x14ac:dyDescent="0.3">
      <c r="K28" s="32"/>
      <c r="L28" s="32"/>
    </row>
    <row r="29" spans="1:13" ht="22.5" customHeight="1" x14ac:dyDescent="0.3">
      <c r="B29" s="178" t="s">
        <v>28</v>
      </c>
      <c r="C29" s="178"/>
      <c r="D29" s="178"/>
      <c r="K29" s="178" t="s">
        <v>27</v>
      </c>
      <c r="L29" s="178"/>
      <c r="M29" s="178"/>
    </row>
    <row r="30" spans="1:13" ht="22.5" customHeight="1" x14ac:dyDescent="0.3">
      <c r="C30" s="1"/>
      <c r="D30" s="1"/>
    </row>
  </sheetData>
  <mergeCells count="24">
    <mergeCell ref="N5:N6"/>
    <mergeCell ref="B29:D29"/>
    <mergeCell ref="K29:M29"/>
    <mergeCell ref="A16:C16"/>
    <mergeCell ref="A18:C18"/>
    <mergeCell ref="A23:M23"/>
    <mergeCell ref="J24:M24"/>
    <mergeCell ref="B25:D25"/>
    <mergeCell ref="K25:M25"/>
    <mergeCell ref="A7:C7"/>
    <mergeCell ref="A1:M1"/>
    <mergeCell ref="A2:M2"/>
    <mergeCell ref="A3:M3"/>
    <mergeCell ref="A5:A6"/>
    <mergeCell ref="B5:B6"/>
    <mergeCell ref="C5:C6"/>
    <mergeCell ref="D5:F5"/>
    <mergeCell ref="G5:G6"/>
    <mergeCell ref="H5:H6"/>
    <mergeCell ref="I5:I6"/>
    <mergeCell ref="J5:J6"/>
    <mergeCell ref="K5:K6"/>
    <mergeCell ref="L5:L6"/>
    <mergeCell ref="M5:M6"/>
  </mergeCells>
  <pageMargins left="0.32" right="0.23" top="0.35" bottom="0.34" header="0.3" footer="0.3"/>
  <pageSetup paperSize="9" scale="80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Views>
    <sheetView workbookViewId="0">
      <selection sqref="A1:XFD1048576"/>
    </sheetView>
  </sheetViews>
  <sheetFormatPr defaultColWidth="9.109375" defaultRowHeight="16.8" x14ac:dyDescent="0.3"/>
  <cols>
    <col min="1" max="1" width="6.109375" style="2" customWidth="1"/>
    <col min="2" max="2" width="27.5546875" style="1" customWidth="1"/>
    <col min="3" max="3" width="16.33203125" style="2" customWidth="1"/>
    <col min="4" max="4" width="10.44140625" style="2" customWidth="1"/>
    <col min="5" max="5" width="10.6640625" style="2" customWidth="1"/>
    <col min="6" max="9" width="12.33203125" style="2" customWidth="1"/>
    <col min="10" max="11" width="14.5546875" style="2" customWidth="1"/>
    <col min="12" max="12" width="9.44140625" style="2" customWidth="1"/>
    <col min="13" max="13" width="17.33203125" style="2" customWidth="1"/>
    <col min="14" max="14" width="53.88671875" style="2" customWidth="1"/>
    <col min="15" max="16384" width="9.109375" style="1"/>
  </cols>
  <sheetData>
    <row r="1" spans="1:14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</row>
    <row r="2" spans="1:14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</row>
    <row r="3" spans="1:14" ht="22.5" customHeight="1" x14ac:dyDescent="0.3">
      <c r="A3" s="179" t="s">
        <v>56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</row>
    <row r="4" spans="1:14" s="3" customFormat="1" ht="22.5" customHeight="1" x14ac:dyDescent="0.3">
      <c r="A4" s="180" t="s">
        <v>0</v>
      </c>
      <c r="B4" s="180" t="s">
        <v>1</v>
      </c>
      <c r="C4" s="180" t="s">
        <v>2</v>
      </c>
      <c r="D4" s="180" t="s">
        <v>23</v>
      </c>
      <c r="E4" s="180"/>
      <c r="F4" s="180"/>
      <c r="G4" s="181" t="s">
        <v>29</v>
      </c>
      <c r="H4" s="181" t="s">
        <v>30</v>
      </c>
      <c r="I4" s="181" t="s">
        <v>31</v>
      </c>
      <c r="J4" s="181" t="s">
        <v>24</v>
      </c>
      <c r="K4" s="180" t="s">
        <v>6</v>
      </c>
      <c r="L4" s="180" t="s">
        <v>7</v>
      </c>
      <c r="M4" s="180" t="s">
        <v>8</v>
      </c>
      <c r="N4" s="183"/>
    </row>
    <row r="5" spans="1:14" s="3" customFormat="1" ht="38.25" customHeight="1" x14ac:dyDescent="0.3">
      <c r="A5" s="180"/>
      <c r="B5" s="180"/>
      <c r="C5" s="180"/>
      <c r="D5" s="37" t="s">
        <v>3</v>
      </c>
      <c r="E5" s="37" t="s">
        <v>4</v>
      </c>
      <c r="F5" s="37" t="s">
        <v>5</v>
      </c>
      <c r="G5" s="182"/>
      <c r="H5" s="182"/>
      <c r="I5" s="182"/>
      <c r="J5" s="182"/>
      <c r="K5" s="180"/>
      <c r="L5" s="180"/>
      <c r="M5" s="180"/>
      <c r="N5" s="183"/>
    </row>
    <row r="6" spans="1:14" ht="19.5" customHeight="1" x14ac:dyDescent="0.3">
      <c r="A6" s="184" t="s">
        <v>15</v>
      </c>
      <c r="B6" s="184"/>
      <c r="C6" s="18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4" ht="19.5" customHeight="1" x14ac:dyDescent="0.3">
      <c r="A7" s="23">
        <v>1</v>
      </c>
      <c r="B7" s="38" t="s">
        <v>9</v>
      </c>
      <c r="C7" s="23" t="s">
        <v>50</v>
      </c>
      <c r="D7" s="23"/>
      <c r="E7" s="23"/>
      <c r="F7" s="23"/>
      <c r="G7" s="23">
        <f>IF(D7&gt;5,(D7-5)*2,0)</f>
        <v>0</v>
      </c>
      <c r="H7" s="23">
        <f>IF(E7&gt;5,(E7-5)*2,0)</f>
        <v>0</v>
      </c>
      <c r="I7" s="23">
        <f>IF(F7&gt;2,(F7-2)*1,0)</f>
        <v>0</v>
      </c>
      <c r="J7" s="23">
        <f t="shared" ref="J7:J8" si="0">SUM(G7:I7)</f>
        <v>0</v>
      </c>
      <c r="K7" s="23">
        <f t="shared" ref="K7:K17" si="1">100-J7</f>
        <v>100</v>
      </c>
      <c r="L7" s="23" t="str">
        <f>IF(K7&lt;71,"KL",IF(AND(K7&gt;=71,K7&lt;81),"C",IF(AND(K7&gt;=81,K7&lt;91),"B","A")))</f>
        <v>A</v>
      </c>
      <c r="M7" s="23" t="str">
        <f>IF(L7="A","100% LTT",IF(L7="B","90% LTT",IF(L7="C","80% LTT","60% LTT")))</f>
        <v>100% LTT</v>
      </c>
      <c r="N7" s="14"/>
    </row>
    <row r="8" spans="1:14" ht="19.5" customHeight="1" x14ac:dyDescent="0.3">
      <c r="A8" s="15">
        <f>A7+1</f>
        <v>2</v>
      </c>
      <c r="B8" s="16" t="s">
        <v>34</v>
      </c>
      <c r="C8" s="15" t="s">
        <v>19</v>
      </c>
      <c r="D8" s="15"/>
      <c r="E8" s="15"/>
      <c r="F8" s="15"/>
      <c r="G8" s="15">
        <f>IF(D8&gt;5,(D8-5)*2,0)</f>
        <v>0</v>
      </c>
      <c r="H8" s="15">
        <f t="shared" ref="H8" si="2">IF(E8&gt;5,(E8-5)*2,0)</f>
        <v>0</v>
      </c>
      <c r="I8" s="15">
        <f>IF(F8&gt;2,(F8-2)*1,0)</f>
        <v>0</v>
      </c>
      <c r="J8" s="15">
        <f t="shared" si="0"/>
        <v>0</v>
      </c>
      <c r="K8" s="15">
        <f t="shared" si="1"/>
        <v>100</v>
      </c>
      <c r="L8" s="15" t="str">
        <f>IF(K8&lt;71,"KL",IF(AND(K8&gt;=71,K8&lt;81),"C",IF(AND(K8&gt;=81,K8&lt;91),"B","A")))</f>
        <v>A</v>
      </c>
      <c r="M8" s="15" t="str">
        <f>IF(L8="A","100% LTT",IF(L8="B","90% LTT",IF(L8="C","80% LTT","60% LTT")))</f>
        <v>100% LTT</v>
      </c>
      <c r="N8" s="11" t="s">
        <v>26</v>
      </c>
    </row>
    <row r="9" spans="1:14" ht="19.5" customHeight="1" x14ac:dyDescent="0.3">
      <c r="A9" s="15">
        <f t="shared" ref="A9:A17" si="3">A8+1</f>
        <v>3</v>
      </c>
      <c r="B9" s="16" t="s">
        <v>10</v>
      </c>
      <c r="C9" s="15" t="s">
        <v>19</v>
      </c>
      <c r="D9" s="15"/>
      <c r="E9" s="15"/>
      <c r="F9" s="15"/>
      <c r="G9" s="15">
        <f>IF(D9&gt;5,(D9-5)*2,0)</f>
        <v>0</v>
      </c>
      <c r="H9" s="15">
        <f>IF(E9&gt;5,(E9-5)*2,0)</f>
        <v>0</v>
      </c>
      <c r="I9" s="15">
        <f t="shared" ref="I9:I17" si="4">IF(F9&gt;2,(F9-2)*1,0)</f>
        <v>0</v>
      </c>
      <c r="J9" s="15">
        <f>SUM(G9:I9)</f>
        <v>0</v>
      </c>
      <c r="K9" s="15">
        <f t="shared" si="1"/>
        <v>100</v>
      </c>
      <c r="L9" s="15" t="str">
        <f t="shared" ref="L9:L17" si="5">IF(K9&lt;71,"KL",IF(AND(K9&gt;=71,K9&lt;81),"C",IF(AND(K9&gt;=81,K9&lt;91),"B","A")))</f>
        <v>A</v>
      </c>
      <c r="M9" s="15" t="str">
        <f t="shared" ref="M9:M17" si="6">IF(L9="A","100% LTT",IF(L9="B","90% LTT",IF(L9="C","80% LTT","60% LTT")))</f>
        <v>100% LTT</v>
      </c>
      <c r="N9" s="11" t="s">
        <v>32</v>
      </c>
    </row>
    <row r="10" spans="1:14" ht="19.5" customHeight="1" x14ac:dyDescent="0.3">
      <c r="A10" s="15">
        <f t="shared" si="3"/>
        <v>4</v>
      </c>
      <c r="B10" s="16" t="s">
        <v>49</v>
      </c>
      <c r="C10" s="15" t="s">
        <v>19</v>
      </c>
      <c r="D10" s="15"/>
      <c r="E10" s="15"/>
      <c r="F10" s="15"/>
      <c r="G10" s="15">
        <f t="shared" ref="G10:H17" si="7">IF(D10&gt;5,(D10-5)*2,0)</f>
        <v>0</v>
      </c>
      <c r="H10" s="15">
        <f t="shared" si="7"/>
        <v>0</v>
      </c>
      <c r="I10" s="15">
        <f t="shared" si="4"/>
        <v>0</v>
      </c>
      <c r="J10" s="15">
        <f t="shared" ref="J10:J17" si="8">SUM(G10:I10)</f>
        <v>0</v>
      </c>
      <c r="K10" s="15">
        <f t="shared" si="1"/>
        <v>100</v>
      </c>
      <c r="L10" s="15" t="str">
        <f t="shared" si="5"/>
        <v>A</v>
      </c>
      <c r="M10" s="15" t="str">
        <f t="shared" si="6"/>
        <v>100% LTT</v>
      </c>
      <c r="N10" s="11" t="s">
        <v>33</v>
      </c>
    </row>
    <row r="11" spans="1:14" ht="19.5" customHeight="1" x14ac:dyDescent="0.3">
      <c r="A11" s="15">
        <f t="shared" si="3"/>
        <v>5</v>
      </c>
      <c r="B11" s="16" t="s">
        <v>52</v>
      </c>
      <c r="C11" s="15" t="s">
        <v>19</v>
      </c>
      <c r="D11" s="15">
        <v>1</v>
      </c>
      <c r="E11" s="15">
        <v>1</v>
      </c>
      <c r="F11" s="15"/>
      <c r="G11" s="15">
        <f t="shared" si="7"/>
        <v>0</v>
      </c>
      <c r="H11" s="15">
        <f t="shared" si="7"/>
        <v>0</v>
      </c>
      <c r="I11" s="15">
        <f t="shared" si="4"/>
        <v>0</v>
      </c>
      <c r="J11" s="15">
        <f t="shared" si="8"/>
        <v>0</v>
      </c>
      <c r="K11" s="15">
        <f t="shared" si="1"/>
        <v>100</v>
      </c>
      <c r="L11" s="15" t="str">
        <f t="shared" si="5"/>
        <v>A</v>
      </c>
      <c r="M11" s="15" t="str">
        <f t="shared" si="6"/>
        <v>100% LTT</v>
      </c>
      <c r="N11" s="34"/>
    </row>
    <row r="12" spans="1:14" ht="19.5" customHeight="1" x14ac:dyDescent="0.3">
      <c r="A12" s="15">
        <f>A11+1</f>
        <v>6</v>
      </c>
      <c r="B12" s="16" t="s">
        <v>57</v>
      </c>
      <c r="C12" s="15" t="s">
        <v>19</v>
      </c>
      <c r="D12" s="15"/>
      <c r="E12" s="15"/>
      <c r="F12" s="15">
        <v>2</v>
      </c>
      <c r="G12" s="15">
        <f t="shared" si="7"/>
        <v>0</v>
      </c>
      <c r="H12" s="15">
        <f t="shared" si="7"/>
        <v>0</v>
      </c>
      <c r="I12" s="15">
        <f t="shared" si="4"/>
        <v>0</v>
      </c>
      <c r="J12" s="15">
        <f t="shared" si="8"/>
        <v>0</v>
      </c>
      <c r="K12" s="15">
        <f t="shared" si="1"/>
        <v>100</v>
      </c>
      <c r="L12" s="15" t="str">
        <f t="shared" si="5"/>
        <v>A</v>
      </c>
      <c r="M12" s="15" t="str">
        <f t="shared" si="6"/>
        <v>100% LTT</v>
      </c>
      <c r="N12" s="35"/>
    </row>
    <row r="13" spans="1:14" ht="19.5" customHeight="1" x14ac:dyDescent="0.3">
      <c r="A13" s="15">
        <f t="shared" si="3"/>
        <v>7</v>
      </c>
      <c r="B13" s="16" t="s">
        <v>58</v>
      </c>
      <c r="C13" s="15" t="s">
        <v>19</v>
      </c>
      <c r="D13" s="15"/>
      <c r="E13" s="15">
        <v>1</v>
      </c>
      <c r="F13" s="15"/>
      <c r="G13" s="15">
        <f t="shared" si="7"/>
        <v>0</v>
      </c>
      <c r="H13" s="15">
        <f t="shared" si="7"/>
        <v>0</v>
      </c>
      <c r="I13" s="15">
        <f t="shared" si="4"/>
        <v>0</v>
      </c>
      <c r="J13" s="15">
        <f t="shared" si="8"/>
        <v>0</v>
      </c>
      <c r="K13" s="15">
        <f t="shared" si="1"/>
        <v>100</v>
      </c>
      <c r="L13" s="15" t="str">
        <f t="shared" si="5"/>
        <v>A</v>
      </c>
      <c r="M13" s="15" t="str">
        <f t="shared" si="6"/>
        <v>100% LTT</v>
      </c>
      <c r="N13" s="35"/>
    </row>
    <row r="14" spans="1:14" ht="19.5" customHeight="1" x14ac:dyDescent="0.3">
      <c r="A14" s="15">
        <f t="shared" si="3"/>
        <v>8</v>
      </c>
      <c r="B14" s="16" t="s">
        <v>59</v>
      </c>
      <c r="C14" s="15" t="s">
        <v>19</v>
      </c>
      <c r="D14" s="15"/>
      <c r="E14" s="15"/>
      <c r="F14" s="15"/>
      <c r="G14" s="15">
        <f t="shared" si="7"/>
        <v>0</v>
      </c>
      <c r="H14" s="15">
        <f t="shared" si="7"/>
        <v>0</v>
      </c>
      <c r="I14" s="15">
        <f t="shared" si="4"/>
        <v>0</v>
      </c>
      <c r="J14" s="15">
        <f t="shared" si="8"/>
        <v>0</v>
      </c>
      <c r="K14" s="15">
        <f t="shared" si="1"/>
        <v>100</v>
      </c>
      <c r="L14" s="15" t="str">
        <f t="shared" si="5"/>
        <v>A</v>
      </c>
      <c r="M14" s="15" t="str">
        <f t="shared" si="6"/>
        <v>100% LTT</v>
      </c>
      <c r="N14" s="35"/>
    </row>
    <row r="15" spans="1:14" ht="19.5" customHeight="1" x14ac:dyDescent="0.3">
      <c r="A15" s="15">
        <f t="shared" si="3"/>
        <v>9</v>
      </c>
      <c r="B15" s="16" t="s">
        <v>53</v>
      </c>
      <c r="C15" s="15" t="s">
        <v>19</v>
      </c>
      <c r="D15" s="15">
        <v>1</v>
      </c>
      <c r="E15" s="15"/>
      <c r="F15" s="15">
        <v>1</v>
      </c>
      <c r="G15" s="15">
        <f t="shared" si="7"/>
        <v>0</v>
      </c>
      <c r="H15" s="15">
        <f t="shared" si="7"/>
        <v>0</v>
      </c>
      <c r="I15" s="15">
        <f t="shared" si="4"/>
        <v>0</v>
      </c>
      <c r="J15" s="15">
        <f t="shared" si="8"/>
        <v>0</v>
      </c>
      <c r="K15" s="15">
        <f t="shared" si="1"/>
        <v>100</v>
      </c>
      <c r="L15" s="15" t="str">
        <f t="shared" si="5"/>
        <v>A</v>
      </c>
      <c r="M15" s="15" t="str">
        <f t="shared" si="6"/>
        <v>100% LTT</v>
      </c>
      <c r="N15" s="35"/>
    </row>
    <row r="16" spans="1:14" ht="19.5" customHeight="1" x14ac:dyDescent="0.3">
      <c r="A16" s="15">
        <f t="shared" si="3"/>
        <v>10</v>
      </c>
      <c r="B16" s="16" t="s">
        <v>54</v>
      </c>
      <c r="C16" s="15" t="s">
        <v>19</v>
      </c>
      <c r="D16" s="15"/>
      <c r="E16" s="15">
        <v>1</v>
      </c>
      <c r="F16" s="15"/>
      <c r="G16" s="15">
        <f t="shared" si="7"/>
        <v>0</v>
      </c>
      <c r="H16" s="15">
        <f t="shared" si="7"/>
        <v>0</v>
      </c>
      <c r="I16" s="15">
        <f t="shared" si="4"/>
        <v>0</v>
      </c>
      <c r="J16" s="15">
        <f t="shared" si="8"/>
        <v>0</v>
      </c>
      <c r="K16" s="15">
        <f t="shared" si="1"/>
        <v>100</v>
      </c>
      <c r="L16" s="15" t="str">
        <f t="shared" si="5"/>
        <v>A</v>
      </c>
      <c r="M16" s="15" t="str">
        <f t="shared" si="6"/>
        <v>100% LTT</v>
      </c>
      <c r="N16" s="35"/>
    </row>
    <row r="17" spans="1:14" ht="19.5" customHeight="1" x14ac:dyDescent="0.3">
      <c r="A17" s="17">
        <f t="shared" si="3"/>
        <v>11</v>
      </c>
      <c r="B17" s="18" t="s">
        <v>11</v>
      </c>
      <c r="C17" s="17" t="s">
        <v>51</v>
      </c>
      <c r="D17" s="17"/>
      <c r="E17" s="17"/>
      <c r="F17" s="17">
        <v>1</v>
      </c>
      <c r="G17" s="17">
        <f t="shared" si="7"/>
        <v>0</v>
      </c>
      <c r="H17" s="17">
        <f t="shared" si="7"/>
        <v>0</v>
      </c>
      <c r="I17" s="17">
        <f t="shared" si="4"/>
        <v>0</v>
      </c>
      <c r="J17" s="17">
        <f t="shared" si="8"/>
        <v>0</v>
      </c>
      <c r="K17" s="17">
        <f t="shared" si="1"/>
        <v>100</v>
      </c>
      <c r="L17" s="17" t="str">
        <f t="shared" si="5"/>
        <v>A</v>
      </c>
      <c r="M17" s="17" t="str">
        <f t="shared" si="6"/>
        <v>100% LTT</v>
      </c>
      <c r="N17" s="35"/>
    </row>
    <row r="18" spans="1:14" ht="19.5" customHeight="1" x14ac:dyDescent="0.3">
      <c r="A18" s="184" t="s">
        <v>16</v>
      </c>
      <c r="B18" s="184"/>
      <c r="C18" s="18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4" ht="19.5" customHeight="1" x14ac:dyDescent="0.3">
      <c r="A19" s="23">
        <f>A17+1</f>
        <v>12</v>
      </c>
      <c r="B19" s="38" t="s">
        <v>35</v>
      </c>
      <c r="C19" s="23" t="s">
        <v>19</v>
      </c>
      <c r="D19" s="23"/>
      <c r="E19" s="23"/>
      <c r="F19" s="23"/>
      <c r="G19" s="23"/>
      <c r="H19" s="23"/>
      <c r="I19" s="23"/>
      <c r="J19" s="23"/>
      <c r="K19" s="23">
        <f>100-J19</f>
        <v>100</v>
      </c>
      <c r="L19" s="23" t="str">
        <f t="shared" ref="L19:L20" si="9">IF(K19&lt;71,"KL",IF(AND(K19&gt;=71,K19&lt;81),"C",IF(AND(K19&gt;=81,K19&lt;91),"B","A")))</f>
        <v>A</v>
      </c>
      <c r="M19" s="23" t="str">
        <f t="shared" ref="M19:M20" si="10">IF(L19="A","100% LTT",IF(L19="B","90% LTT",IF(L19="C","80% LTT","60% LTT")))</f>
        <v>100% LTT</v>
      </c>
    </row>
    <row r="20" spans="1:14" ht="19.5" customHeight="1" x14ac:dyDescent="0.3">
      <c r="A20" s="17">
        <f>A19+1</f>
        <v>13</v>
      </c>
      <c r="B20" s="18" t="s">
        <v>28</v>
      </c>
      <c r="C20" s="17" t="s">
        <v>19</v>
      </c>
      <c r="D20" s="17"/>
      <c r="E20" s="17">
        <v>1</v>
      </c>
      <c r="F20" s="17">
        <v>3</v>
      </c>
      <c r="G20" s="17">
        <f t="shared" ref="G20:H20" si="11">IF(D20&gt;5,(D20-5)*2,0)</f>
        <v>0</v>
      </c>
      <c r="H20" s="17">
        <f t="shared" si="11"/>
        <v>0</v>
      </c>
      <c r="I20" s="17">
        <f t="shared" ref="I20" si="12">IF(F20&gt;2,(F20-2)*1,0)</f>
        <v>1</v>
      </c>
      <c r="J20" s="17">
        <f t="shared" ref="J20" si="13">SUM(G20:I20)</f>
        <v>1</v>
      </c>
      <c r="K20" s="17">
        <f>100-J20</f>
        <v>99</v>
      </c>
      <c r="L20" s="17" t="str">
        <f t="shared" si="9"/>
        <v>A</v>
      </c>
      <c r="M20" s="17" t="str">
        <f t="shared" si="10"/>
        <v>100% LTT</v>
      </c>
    </row>
    <row r="21" spans="1:14" ht="19.5" customHeight="1" x14ac:dyDescent="0.3">
      <c r="A21" s="184" t="s">
        <v>17</v>
      </c>
      <c r="B21" s="184"/>
      <c r="C21" s="18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4" ht="19.5" customHeight="1" x14ac:dyDescent="0.3">
      <c r="A22" s="23">
        <f>A20+1</f>
        <v>14</v>
      </c>
      <c r="B22" s="38" t="s">
        <v>12</v>
      </c>
      <c r="C22" s="23" t="s">
        <v>19</v>
      </c>
      <c r="D22" s="23">
        <v>1</v>
      </c>
      <c r="E22" s="23"/>
      <c r="F22" s="23"/>
      <c r="G22" s="23">
        <f t="shared" ref="G22:H25" si="14">IF(D22&gt;5,(D22-5)*2,0)</f>
        <v>0</v>
      </c>
      <c r="H22" s="23">
        <f t="shared" si="14"/>
        <v>0</v>
      </c>
      <c r="I22" s="23">
        <f t="shared" ref="I22:I25" si="15">IF(F22&gt;2,(F22-2)*1,0)</f>
        <v>0</v>
      </c>
      <c r="J22" s="23">
        <f t="shared" ref="J22:J25" si="16">SUM(G22:I22)</f>
        <v>0</v>
      </c>
      <c r="K22" s="23">
        <f>100-J22</f>
        <v>100</v>
      </c>
      <c r="L22" s="23" t="str">
        <f t="shared" ref="L22:L25" si="17">IF(K22&lt;71,"KL",IF(AND(K22&gt;=71,K22&lt;81),"C",IF(AND(K22&gt;=81,K22&lt;91),"B","A")))</f>
        <v>A</v>
      </c>
      <c r="M22" s="23" t="str">
        <f t="shared" ref="M22:M25" si="18">IF(L22="A","100% LTT",IF(L22="B","90% LTT",IF(L22="C","80% LTT","60% LTT")))</f>
        <v>100% LTT</v>
      </c>
    </row>
    <row r="23" spans="1:14" ht="19.5" customHeight="1" x14ac:dyDescent="0.3">
      <c r="A23" s="15">
        <f>A22+1</f>
        <v>15</v>
      </c>
      <c r="B23" s="16" t="s">
        <v>40</v>
      </c>
      <c r="C23" s="15" t="s">
        <v>19</v>
      </c>
      <c r="D23" s="15"/>
      <c r="E23" s="15"/>
      <c r="F23" s="15">
        <v>1</v>
      </c>
      <c r="G23" s="15">
        <f t="shared" si="14"/>
        <v>0</v>
      </c>
      <c r="H23" s="15">
        <f t="shared" si="14"/>
        <v>0</v>
      </c>
      <c r="I23" s="15">
        <f>IF(F23&gt;2,(F23-2)*1,0)</f>
        <v>0</v>
      </c>
      <c r="J23" s="15">
        <f t="shared" si="16"/>
        <v>0</v>
      </c>
      <c r="K23" s="15">
        <f>100-J23</f>
        <v>100</v>
      </c>
      <c r="L23" s="15" t="str">
        <f t="shared" si="17"/>
        <v>A</v>
      </c>
      <c r="M23" s="15" t="str">
        <f t="shared" si="18"/>
        <v>100% LTT</v>
      </c>
    </row>
    <row r="24" spans="1:14" ht="19.5" customHeight="1" x14ac:dyDescent="0.3">
      <c r="A24" s="15">
        <f t="shared" ref="A24:A25" si="19">A23+1</f>
        <v>16</v>
      </c>
      <c r="B24" s="16" t="s">
        <v>13</v>
      </c>
      <c r="C24" s="15" t="s">
        <v>19</v>
      </c>
      <c r="D24" s="15"/>
      <c r="E24" s="15"/>
      <c r="F24" s="15">
        <v>1</v>
      </c>
      <c r="G24" s="15">
        <f t="shared" si="14"/>
        <v>0</v>
      </c>
      <c r="H24" s="15">
        <f t="shared" si="14"/>
        <v>0</v>
      </c>
      <c r="I24" s="15">
        <f t="shared" si="15"/>
        <v>0</v>
      </c>
      <c r="J24" s="15">
        <f t="shared" si="16"/>
        <v>0</v>
      </c>
      <c r="K24" s="15">
        <f>100-J24</f>
        <v>100</v>
      </c>
      <c r="L24" s="15" t="str">
        <f t="shared" si="17"/>
        <v>A</v>
      </c>
      <c r="M24" s="15" t="str">
        <f t="shared" si="18"/>
        <v>100% LTT</v>
      </c>
    </row>
    <row r="25" spans="1:14" ht="19.5" customHeight="1" x14ac:dyDescent="0.3">
      <c r="A25" s="17">
        <f t="shared" si="19"/>
        <v>17</v>
      </c>
      <c r="B25" s="18" t="s">
        <v>14</v>
      </c>
      <c r="C25" s="17" t="s">
        <v>19</v>
      </c>
      <c r="D25" s="17">
        <v>1</v>
      </c>
      <c r="E25" s="17"/>
      <c r="F25" s="17">
        <v>1</v>
      </c>
      <c r="G25" s="17">
        <f t="shared" si="14"/>
        <v>0</v>
      </c>
      <c r="H25" s="17">
        <f t="shared" si="14"/>
        <v>0</v>
      </c>
      <c r="I25" s="17">
        <f t="shared" si="15"/>
        <v>0</v>
      </c>
      <c r="J25" s="17">
        <f t="shared" si="16"/>
        <v>0</v>
      </c>
      <c r="K25" s="17">
        <f>100-J25</f>
        <v>100</v>
      </c>
      <c r="L25" s="17" t="str">
        <f t="shared" si="17"/>
        <v>A</v>
      </c>
      <c r="M25" s="17" t="str">
        <f t="shared" si="18"/>
        <v>100% LTT</v>
      </c>
    </row>
    <row r="26" spans="1:14" ht="22.5" customHeight="1" x14ac:dyDescent="0.3">
      <c r="A26" s="180" t="s">
        <v>60</v>
      </c>
      <c r="B26" s="180"/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0"/>
    </row>
    <row r="27" spans="1:14" ht="22.5" customHeight="1" x14ac:dyDescent="0.3">
      <c r="J27" s="185" t="s">
        <v>37</v>
      </c>
      <c r="K27" s="185"/>
      <c r="L27" s="185"/>
      <c r="M27" s="185"/>
    </row>
    <row r="28" spans="1:14" ht="22.5" customHeight="1" x14ac:dyDescent="0.3">
      <c r="B28" s="178" t="s">
        <v>22</v>
      </c>
      <c r="C28" s="178"/>
      <c r="D28" s="178"/>
      <c r="K28" s="178" t="s">
        <v>25</v>
      </c>
      <c r="L28" s="178"/>
      <c r="M28" s="178"/>
    </row>
    <row r="29" spans="1:14" ht="22.5" customHeight="1" x14ac:dyDescent="0.3">
      <c r="K29" s="36"/>
      <c r="L29" s="36"/>
    </row>
    <row r="30" spans="1:14" ht="22.5" customHeight="1" x14ac:dyDescent="0.3">
      <c r="K30" s="36"/>
      <c r="L30" s="36"/>
    </row>
    <row r="31" spans="1:14" ht="22.5" customHeight="1" x14ac:dyDescent="0.3">
      <c r="K31" s="36"/>
      <c r="L31" s="36"/>
    </row>
    <row r="32" spans="1:14" ht="22.5" customHeight="1" x14ac:dyDescent="0.3">
      <c r="B32" s="178" t="s">
        <v>28</v>
      </c>
      <c r="C32" s="178"/>
      <c r="D32" s="178"/>
      <c r="K32" s="178" t="s">
        <v>27</v>
      </c>
      <c r="L32" s="178"/>
      <c r="M32" s="178"/>
    </row>
    <row r="33" spans="3:4" ht="22.5" customHeight="1" x14ac:dyDescent="0.3">
      <c r="C33" s="1"/>
      <c r="D33" s="1"/>
    </row>
  </sheetData>
  <mergeCells count="24">
    <mergeCell ref="N4:N5"/>
    <mergeCell ref="B32:D32"/>
    <mergeCell ref="K32:M32"/>
    <mergeCell ref="A18:C18"/>
    <mergeCell ref="A21:C21"/>
    <mergeCell ref="A26:M26"/>
    <mergeCell ref="J27:M27"/>
    <mergeCell ref="B28:D28"/>
    <mergeCell ref="K28:M28"/>
    <mergeCell ref="A6:C6"/>
    <mergeCell ref="A1:M1"/>
    <mergeCell ref="A2:M2"/>
    <mergeCell ref="A3:M3"/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L4:L5"/>
    <mergeCell ref="M4:M5"/>
  </mergeCells>
  <pageMargins left="0.24" right="0.16" top="0.34" bottom="0.31" header="0.3" footer="0.3"/>
  <pageSetup paperSize="9" scale="80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sqref="A1:XFD1048576"/>
    </sheetView>
  </sheetViews>
  <sheetFormatPr defaultColWidth="9.109375" defaultRowHeight="16.8" x14ac:dyDescent="0.3"/>
  <cols>
    <col min="1" max="1" width="6.109375" style="2" customWidth="1"/>
    <col min="2" max="2" width="27.5546875" style="1" customWidth="1"/>
    <col min="3" max="3" width="16.33203125" style="2" customWidth="1"/>
    <col min="4" max="4" width="10.44140625" style="2" customWidth="1"/>
    <col min="5" max="5" width="10.6640625" style="2" customWidth="1"/>
    <col min="6" max="9" width="12.33203125" style="2" customWidth="1"/>
    <col min="10" max="11" width="14.5546875" style="2" customWidth="1"/>
    <col min="12" max="12" width="9.44140625" style="2" customWidth="1"/>
    <col min="13" max="13" width="17.33203125" style="2" customWidth="1"/>
    <col min="14" max="14" width="53.88671875" style="2" customWidth="1"/>
    <col min="15" max="16384" width="9.109375" style="1"/>
  </cols>
  <sheetData>
    <row r="1" spans="1:14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</row>
    <row r="2" spans="1:14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</row>
    <row r="3" spans="1:14" ht="22.5" customHeight="1" x14ac:dyDescent="0.3">
      <c r="A3" s="179" t="s">
        <v>61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</row>
    <row r="4" spans="1:14" s="3" customFormat="1" ht="22.5" customHeight="1" x14ac:dyDescent="0.3">
      <c r="A4" s="180" t="s">
        <v>0</v>
      </c>
      <c r="B4" s="180" t="s">
        <v>1</v>
      </c>
      <c r="C4" s="180" t="s">
        <v>2</v>
      </c>
      <c r="D4" s="180" t="s">
        <v>23</v>
      </c>
      <c r="E4" s="180"/>
      <c r="F4" s="180"/>
      <c r="G4" s="181" t="s">
        <v>29</v>
      </c>
      <c r="H4" s="181" t="s">
        <v>30</v>
      </c>
      <c r="I4" s="181" t="s">
        <v>31</v>
      </c>
      <c r="J4" s="181" t="s">
        <v>24</v>
      </c>
      <c r="K4" s="180" t="s">
        <v>6</v>
      </c>
      <c r="L4" s="180" t="s">
        <v>7</v>
      </c>
      <c r="M4" s="180" t="s">
        <v>8</v>
      </c>
      <c r="N4" s="183"/>
    </row>
    <row r="5" spans="1:14" s="3" customFormat="1" ht="38.25" customHeight="1" x14ac:dyDescent="0.3">
      <c r="A5" s="180"/>
      <c r="B5" s="180"/>
      <c r="C5" s="180"/>
      <c r="D5" s="40" t="s">
        <v>3</v>
      </c>
      <c r="E5" s="40" t="s">
        <v>4</v>
      </c>
      <c r="F5" s="40" t="s">
        <v>5</v>
      </c>
      <c r="G5" s="182"/>
      <c r="H5" s="182"/>
      <c r="I5" s="182"/>
      <c r="J5" s="182"/>
      <c r="K5" s="180"/>
      <c r="L5" s="180"/>
      <c r="M5" s="180"/>
      <c r="N5" s="183"/>
    </row>
    <row r="6" spans="1:14" ht="19.5" customHeight="1" x14ac:dyDescent="0.3">
      <c r="A6" s="184" t="s">
        <v>15</v>
      </c>
      <c r="B6" s="184"/>
      <c r="C6" s="18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4" ht="19.5" customHeight="1" x14ac:dyDescent="0.3">
      <c r="A7" s="23">
        <v>1</v>
      </c>
      <c r="B7" s="38" t="s">
        <v>9</v>
      </c>
      <c r="C7" s="23" t="s">
        <v>50</v>
      </c>
      <c r="D7" s="23"/>
      <c r="E7" s="23"/>
      <c r="F7" s="23"/>
      <c r="G7" s="23">
        <f>IF(D7&gt;5,(D7-5)*2,0)</f>
        <v>0</v>
      </c>
      <c r="H7" s="23">
        <f>IF(E7&gt;5,(E7-5)*2,0)</f>
        <v>0</v>
      </c>
      <c r="I7" s="23">
        <f>IF(F7&gt;2,(F7-2)*1,0)</f>
        <v>0</v>
      </c>
      <c r="J7" s="23">
        <f t="shared" ref="J7" si="0">SUM(G7:I7)</f>
        <v>0</v>
      </c>
      <c r="K7" s="23">
        <f t="shared" ref="K7:K16" si="1">100-J7</f>
        <v>100</v>
      </c>
      <c r="L7" s="23" t="str">
        <f>IF(K7&lt;71,"KL",IF(AND(K7&gt;=71,K7&lt;81),"C",IF(AND(K7&gt;=81,K7&lt;91),"B","A")))</f>
        <v>A</v>
      </c>
      <c r="M7" s="23" t="str">
        <f>IF(L7="A","100% LTT",IF(L7="B","90% LTT",IF(L7="C","80% LTT","60% LTT")))</f>
        <v>100% LTT</v>
      </c>
      <c r="N7" s="14"/>
    </row>
    <row r="8" spans="1:14" ht="19.5" customHeight="1" x14ac:dyDescent="0.3">
      <c r="A8" s="15">
        <f>A7+1</f>
        <v>2</v>
      </c>
      <c r="B8" s="16" t="s">
        <v>10</v>
      </c>
      <c r="C8" s="15" t="s">
        <v>19</v>
      </c>
      <c r="D8" s="15"/>
      <c r="E8" s="15"/>
      <c r="F8" s="15"/>
      <c r="G8" s="15">
        <f>IF(D8&gt;5,(D8-5)*2,0)</f>
        <v>0</v>
      </c>
      <c r="H8" s="15">
        <f>IF(E8&gt;5,(E8-5)*2,0)</f>
        <v>0</v>
      </c>
      <c r="I8" s="15">
        <f t="shared" ref="I8:I16" si="2">IF(F8&gt;2,(F8-2)*1,0)</f>
        <v>0</v>
      </c>
      <c r="J8" s="15">
        <f>SUM(G8:I8)</f>
        <v>0</v>
      </c>
      <c r="K8" s="15">
        <f t="shared" si="1"/>
        <v>100</v>
      </c>
      <c r="L8" s="15" t="str">
        <f t="shared" ref="L8:L16" si="3">IF(K8&lt;71,"KL",IF(AND(K8&gt;=71,K8&lt;81),"C",IF(AND(K8&gt;=81,K8&lt;91),"B","A")))</f>
        <v>A</v>
      </c>
      <c r="M8" s="15" t="str">
        <f t="shared" ref="M8:M16" si="4">IF(L8="A","100% LTT",IF(L8="B","90% LTT",IF(L8="C","80% LTT","60% LTT")))</f>
        <v>100% LTT</v>
      </c>
      <c r="N8" s="11" t="s">
        <v>32</v>
      </c>
    </row>
    <row r="9" spans="1:14" ht="19.5" customHeight="1" x14ac:dyDescent="0.3">
      <c r="A9" s="15">
        <f t="shared" ref="A9:A16" si="5">A8+1</f>
        <v>3</v>
      </c>
      <c r="B9" s="16" t="s">
        <v>49</v>
      </c>
      <c r="C9" s="15" t="s">
        <v>19</v>
      </c>
      <c r="D9" s="15"/>
      <c r="E9" s="15"/>
      <c r="F9" s="15"/>
      <c r="G9" s="15">
        <f t="shared" ref="G9:H16" si="6">IF(D9&gt;5,(D9-5)*2,0)</f>
        <v>0</v>
      </c>
      <c r="H9" s="15">
        <f t="shared" si="6"/>
        <v>0</v>
      </c>
      <c r="I9" s="15">
        <f t="shared" si="2"/>
        <v>0</v>
      </c>
      <c r="J9" s="15">
        <f t="shared" ref="J9:J16" si="7">SUM(G9:I9)</f>
        <v>0</v>
      </c>
      <c r="K9" s="15">
        <f t="shared" si="1"/>
        <v>100</v>
      </c>
      <c r="L9" s="15" t="str">
        <f t="shared" si="3"/>
        <v>A</v>
      </c>
      <c r="M9" s="15" t="str">
        <f t="shared" si="4"/>
        <v>100% LTT</v>
      </c>
      <c r="N9" s="11" t="s">
        <v>33</v>
      </c>
    </row>
    <row r="10" spans="1:14" ht="19.5" customHeight="1" x14ac:dyDescent="0.3">
      <c r="A10" s="15">
        <f t="shared" si="5"/>
        <v>4</v>
      </c>
      <c r="B10" s="16" t="s">
        <v>52</v>
      </c>
      <c r="C10" s="15" t="s">
        <v>19</v>
      </c>
      <c r="D10" s="15"/>
      <c r="E10" s="15"/>
      <c r="F10" s="15"/>
      <c r="G10" s="15">
        <f t="shared" si="6"/>
        <v>0</v>
      </c>
      <c r="H10" s="15">
        <f t="shared" si="6"/>
        <v>0</v>
      </c>
      <c r="I10" s="15">
        <f t="shared" si="2"/>
        <v>0</v>
      </c>
      <c r="J10" s="15">
        <f t="shared" si="7"/>
        <v>0</v>
      </c>
      <c r="K10" s="15">
        <f t="shared" si="1"/>
        <v>100</v>
      </c>
      <c r="L10" s="15" t="str">
        <f t="shared" si="3"/>
        <v>A</v>
      </c>
      <c r="M10" s="15" t="str">
        <f t="shared" si="4"/>
        <v>100% LTT</v>
      </c>
      <c r="N10" s="34"/>
    </row>
    <row r="11" spans="1:14" ht="19.5" customHeight="1" x14ac:dyDescent="0.3">
      <c r="A11" s="15">
        <f>A10+1</f>
        <v>5</v>
      </c>
      <c r="B11" s="16" t="s">
        <v>57</v>
      </c>
      <c r="C11" s="15" t="s">
        <v>19</v>
      </c>
      <c r="D11" s="15"/>
      <c r="E11" s="15"/>
      <c r="F11" s="15"/>
      <c r="G11" s="15">
        <f t="shared" si="6"/>
        <v>0</v>
      </c>
      <c r="H11" s="15">
        <f t="shared" si="6"/>
        <v>0</v>
      </c>
      <c r="I11" s="15">
        <f t="shared" si="2"/>
        <v>0</v>
      </c>
      <c r="J11" s="15">
        <f t="shared" si="7"/>
        <v>0</v>
      </c>
      <c r="K11" s="15">
        <f t="shared" si="1"/>
        <v>100</v>
      </c>
      <c r="L11" s="15" t="str">
        <f t="shared" si="3"/>
        <v>A</v>
      </c>
      <c r="M11" s="15" t="str">
        <f t="shared" si="4"/>
        <v>100% LTT</v>
      </c>
      <c r="N11" s="35"/>
    </row>
    <row r="12" spans="1:14" ht="19.5" customHeight="1" x14ac:dyDescent="0.3">
      <c r="A12" s="15">
        <f t="shared" si="5"/>
        <v>6</v>
      </c>
      <c r="B12" s="16" t="s">
        <v>58</v>
      </c>
      <c r="C12" s="15" t="s">
        <v>19</v>
      </c>
      <c r="D12" s="15"/>
      <c r="E12" s="15"/>
      <c r="F12" s="15"/>
      <c r="G12" s="15">
        <f t="shared" si="6"/>
        <v>0</v>
      </c>
      <c r="H12" s="15">
        <f t="shared" si="6"/>
        <v>0</v>
      </c>
      <c r="I12" s="15">
        <f t="shared" si="2"/>
        <v>0</v>
      </c>
      <c r="J12" s="15">
        <f t="shared" si="7"/>
        <v>0</v>
      </c>
      <c r="K12" s="15">
        <f t="shared" si="1"/>
        <v>100</v>
      </c>
      <c r="L12" s="15" t="str">
        <f t="shared" si="3"/>
        <v>A</v>
      </c>
      <c r="M12" s="15" t="str">
        <f t="shared" si="4"/>
        <v>100% LTT</v>
      </c>
      <c r="N12" s="35"/>
    </row>
    <row r="13" spans="1:14" ht="19.5" customHeight="1" x14ac:dyDescent="0.3">
      <c r="A13" s="15">
        <f t="shared" si="5"/>
        <v>7</v>
      </c>
      <c r="B13" s="16" t="s">
        <v>59</v>
      </c>
      <c r="C13" s="15" t="s">
        <v>19</v>
      </c>
      <c r="D13" s="15"/>
      <c r="E13" s="15"/>
      <c r="F13" s="15"/>
      <c r="G13" s="15">
        <f t="shared" si="6"/>
        <v>0</v>
      </c>
      <c r="H13" s="15">
        <f t="shared" si="6"/>
        <v>0</v>
      </c>
      <c r="I13" s="15">
        <f t="shared" si="2"/>
        <v>0</v>
      </c>
      <c r="J13" s="15">
        <f t="shared" si="7"/>
        <v>0</v>
      </c>
      <c r="K13" s="15">
        <f t="shared" si="1"/>
        <v>100</v>
      </c>
      <c r="L13" s="15" t="str">
        <f t="shared" si="3"/>
        <v>A</v>
      </c>
      <c r="M13" s="15" t="str">
        <f t="shared" si="4"/>
        <v>100% LTT</v>
      </c>
      <c r="N13" s="35"/>
    </row>
    <row r="14" spans="1:14" ht="19.5" customHeight="1" x14ac:dyDescent="0.3">
      <c r="A14" s="15">
        <f t="shared" si="5"/>
        <v>8</v>
      </c>
      <c r="B14" s="16" t="s">
        <v>53</v>
      </c>
      <c r="C14" s="15" t="s">
        <v>19</v>
      </c>
      <c r="D14" s="15"/>
      <c r="E14" s="15"/>
      <c r="F14" s="15"/>
      <c r="G14" s="15">
        <f t="shared" si="6"/>
        <v>0</v>
      </c>
      <c r="H14" s="15">
        <f t="shared" si="6"/>
        <v>0</v>
      </c>
      <c r="I14" s="15">
        <f t="shared" si="2"/>
        <v>0</v>
      </c>
      <c r="J14" s="15">
        <f t="shared" si="7"/>
        <v>0</v>
      </c>
      <c r="K14" s="15">
        <f t="shared" si="1"/>
        <v>100</v>
      </c>
      <c r="L14" s="15" t="str">
        <f t="shared" si="3"/>
        <v>A</v>
      </c>
      <c r="M14" s="15" t="str">
        <f t="shared" si="4"/>
        <v>100% LTT</v>
      </c>
      <c r="N14" s="35"/>
    </row>
    <row r="15" spans="1:14" ht="19.5" customHeight="1" x14ac:dyDescent="0.3">
      <c r="A15" s="15">
        <f t="shared" si="5"/>
        <v>9</v>
      </c>
      <c r="B15" s="16" t="s">
        <v>54</v>
      </c>
      <c r="C15" s="15" t="s">
        <v>19</v>
      </c>
      <c r="D15" s="15"/>
      <c r="E15" s="15"/>
      <c r="F15" s="15"/>
      <c r="G15" s="15">
        <f t="shared" si="6"/>
        <v>0</v>
      </c>
      <c r="H15" s="15">
        <f t="shared" si="6"/>
        <v>0</v>
      </c>
      <c r="I15" s="15">
        <f t="shared" si="2"/>
        <v>0</v>
      </c>
      <c r="J15" s="15">
        <f t="shared" si="7"/>
        <v>0</v>
      </c>
      <c r="K15" s="15">
        <f t="shared" si="1"/>
        <v>100</v>
      </c>
      <c r="L15" s="15" t="str">
        <f t="shared" si="3"/>
        <v>A</v>
      </c>
      <c r="M15" s="15" t="str">
        <f t="shared" si="4"/>
        <v>100% LTT</v>
      </c>
      <c r="N15" s="35"/>
    </row>
    <row r="16" spans="1:14" ht="19.5" customHeight="1" x14ac:dyDescent="0.3">
      <c r="A16" s="17">
        <f t="shared" si="5"/>
        <v>10</v>
      </c>
      <c r="B16" s="18" t="s">
        <v>11</v>
      </c>
      <c r="C16" s="17" t="s">
        <v>51</v>
      </c>
      <c r="D16" s="17"/>
      <c r="E16" s="17"/>
      <c r="F16" s="17">
        <v>3</v>
      </c>
      <c r="G16" s="17">
        <f t="shared" si="6"/>
        <v>0</v>
      </c>
      <c r="H16" s="17">
        <f t="shared" si="6"/>
        <v>0</v>
      </c>
      <c r="I16" s="17">
        <f t="shared" si="2"/>
        <v>1</v>
      </c>
      <c r="J16" s="17">
        <f t="shared" si="7"/>
        <v>1</v>
      </c>
      <c r="K16" s="17">
        <f t="shared" si="1"/>
        <v>99</v>
      </c>
      <c r="L16" s="17" t="str">
        <f t="shared" si="3"/>
        <v>A</v>
      </c>
      <c r="M16" s="17" t="str">
        <f t="shared" si="4"/>
        <v>100% LTT</v>
      </c>
      <c r="N16" s="35"/>
    </row>
    <row r="17" spans="1:13" ht="19.5" customHeight="1" x14ac:dyDescent="0.3">
      <c r="A17" s="184" t="s">
        <v>16</v>
      </c>
      <c r="B17" s="184"/>
      <c r="C17" s="18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ht="19.5" customHeight="1" x14ac:dyDescent="0.3">
      <c r="A18" s="23">
        <f>A16+1</f>
        <v>11</v>
      </c>
      <c r="B18" s="38" t="s">
        <v>35</v>
      </c>
      <c r="C18" s="23" t="s">
        <v>19</v>
      </c>
      <c r="D18" s="23">
        <v>1</v>
      </c>
      <c r="E18" s="23"/>
      <c r="F18" s="23"/>
      <c r="G18" s="23"/>
      <c r="H18" s="23"/>
      <c r="I18" s="23"/>
      <c r="J18" s="23"/>
      <c r="K18" s="23">
        <f>100-J18</f>
        <v>100</v>
      </c>
      <c r="L18" s="23" t="str">
        <f t="shared" ref="L18:L19" si="8">IF(K18&lt;71,"KL",IF(AND(K18&gt;=71,K18&lt;81),"C",IF(AND(K18&gt;=81,K18&lt;91),"B","A")))</f>
        <v>A</v>
      </c>
      <c r="M18" s="23" t="str">
        <f t="shared" ref="M18:M19" si="9">IF(L18="A","100% LTT",IF(L18="B","90% LTT",IF(L18="C","80% LTT","60% LTT")))</f>
        <v>100% LTT</v>
      </c>
    </row>
    <row r="19" spans="1:13" ht="19.5" customHeight="1" x14ac:dyDescent="0.3">
      <c r="A19" s="17">
        <f>A18+1</f>
        <v>12</v>
      </c>
      <c r="B19" s="18" t="s">
        <v>28</v>
      </c>
      <c r="C19" s="17" t="s">
        <v>19</v>
      </c>
      <c r="D19" s="17"/>
      <c r="E19" s="17"/>
      <c r="F19" s="17">
        <v>3</v>
      </c>
      <c r="G19" s="17">
        <f t="shared" ref="G19:H19" si="10">IF(D19&gt;5,(D19-5)*2,0)</f>
        <v>0</v>
      </c>
      <c r="H19" s="17">
        <f t="shared" si="10"/>
        <v>0</v>
      </c>
      <c r="I19" s="17">
        <f t="shared" ref="I19" si="11">IF(F19&gt;2,(F19-2)*1,0)</f>
        <v>1</v>
      </c>
      <c r="J19" s="17">
        <f t="shared" ref="J19" si="12">SUM(G19:I19)</f>
        <v>1</v>
      </c>
      <c r="K19" s="17">
        <f>100-J19</f>
        <v>99</v>
      </c>
      <c r="L19" s="17" t="str">
        <f t="shared" si="8"/>
        <v>A</v>
      </c>
      <c r="M19" s="17" t="str">
        <f t="shared" si="9"/>
        <v>100% LTT</v>
      </c>
    </row>
    <row r="20" spans="1:13" ht="19.5" customHeight="1" x14ac:dyDescent="0.3">
      <c r="A20" s="184" t="s">
        <v>17</v>
      </c>
      <c r="B20" s="184"/>
      <c r="C20" s="18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 ht="19.5" customHeight="1" x14ac:dyDescent="0.3">
      <c r="A21" s="23">
        <f>A19+1</f>
        <v>13</v>
      </c>
      <c r="B21" s="38" t="s">
        <v>12</v>
      </c>
      <c r="C21" s="23" t="s">
        <v>19</v>
      </c>
      <c r="D21" s="23"/>
      <c r="E21" s="23"/>
      <c r="F21" s="23"/>
      <c r="G21" s="23">
        <f t="shared" ref="G21:H24" si="13">IF(D21&gt;5,(D21-5)*2,0)</f>
        <v>0</v>
      </c>
      <c r="H21" s="23">
        <f t="shared" si="13"/>
        <v>0</v>
      </c>
      <c r="I21" s="23">
        <f t="shared" ref="I21:I24" si="14">IF(F21&gt;2,(F21-2)*1,0)</f>
        <v>0</v>
      </c>
      <c r="J21" s="23">
        <f t="shared" ref="J21:J24" si="15">SUM(G21:I21)</f>
        <v>0</v>
      </c>
      <c r="K21" s="23">
        <f>100-J21</f>
        <v>100</v>
      </c>
      <c r="L21" s="23" t="str">
        <f t="shared" ref="L21:L24" si="16">IF(K21&lt;71,"KL",IF(AND(K21&gt;=71,K21&lt;81),"C",IF(AND(K21&gt;=81,K21&lt;91),"B","A")))</f>
        <v>A</v>
      </c>
      <c r="M21" s="23" t="str">
        <f t="shared" ref="M21:M24" si="17">IF(L21="A","100% LTT",IF(L21="B","90% LTT",IF(L21="C","80% LTT","60% LTT")))</f>
        <v>100% LTT</v>
      </c>
    </row>
    <row r="22" spans="1:13" ht="19.5" customHeight="1" x14ac:dyDescent="0.3">
      <c r="A22" s="15">
        <f>A21+1</f>
        <v>14</v>
      </c>
      <c r="B22" s="16" t="s">
        <v>40</v>
      </c>
      <c r="C22" s="15" t="s">
        <v>19</v>
      </c>
      <c r="D22" s="15"/>
      <c r="E22" s="15"/>
      <c r="F22" s="15">
        <v>1</v>
      </c>
      <c r="G22" s="15">
        <f t="shared" si="13"/>
        <v>0</v>
      </c>
      <c r="H22" s="15">
        <f t="shared" si="13"/>
        <v>0</v>
      </c>
      <c r="I22" s="15">
        <f>IF(F22&gt;2,(F22-2)*1,0)</f>
        <v>0</v>
      </c>
      <c r="J22" s="15">
        <f t="shared" si="15"/>
        <v>0</v>
      </c>
      <c r="K22" s="15">
        <f>100-J22</f>
        <v>100</v>
      </c>
      <c r="L22" s="15" t="str">
        <f t="shared" si="16"/>
        <v>A</v>
      </c>
      <c r="M22" s="15" t="str">
        <f t="shared" si="17"/>
        <v>100% LTT</v>
      </c>
    </row>
    <row r="23" spans="1:13" ht="19.5" customHeight="1" x14ac:dyDescent="0.3">
      <c r="A23" s="15">
        <f t="shared" ref="A23:A24" si="18">A22+1</f>
        <v>15</v>
      </c>
      <c r="B23" s="16" t="s">
        <v>13</v>
      </c>
      <c r="C23" s="15" t="s">
        <v>19</v>
      </c>
      <c r="D23" s="15"/>
      <c r="E23" s="15"/>
      <c r="F23" s="15">
        <v>2</v>
      </c>
      <c r="G23" s="15">
        <f t="shared" si="13"/>
        <v>0</v>
      </c>
      <c r="H23" s="15">
        <f t="shared" si="13"/>
        <v>0</v>
      </c>
      <c r="I23" s="15">
        <f t="shared" si="14"/>
        <v>0</v>
      </c>
      <c r="J23" s="15">
        <f t="shared" si="15"/>
        <v>0</v>
      </c>
      <c r="K23" s="15">
        <f>100-J23</f>
        <v>100</v>
      </c>
      <c r="L23" s="15" t="str">
        <f t="shared" si="16"/>
        <v>A</v>
      </c>
      <c r="M23" s="15" t="str">
        <f t="shared" si="17"/>
        <v>100% LTT</v>
      </c>
    </row>
    <row r="24" spans="1:13" ht="19.5" customHeight="1" x14ac:dyDescent="0.3">
      <c r="A24" s="17">
        <f t="shared" si="18"/>
        <v>16</v>
      </c>
      <c r="B24" s="18" t="s">
        <v>14</v>
      </c>
      <c r="C24" s="17" t="s">
        <v>19</v>
      </c>
      <c r="D24" s="17"/>
      <c r="E24" s="17"/>
      <c r="F24" s="17">
        <v>2</v>
      </c>
      <c r="G24" s="17">
        <f t="shared" si="13"/>
        <v>0</v>
      </c>
      <c r="H24" s="17">
        <f t="shared" si="13"/>
        <v>0</v>
      </c>
      <c r="I24" s="17">
        <f t="shared" si="14"/>
        <v>0</v>
      </c>
      <c r="J24" s="17">
        <f t="shared" si="15"/>
        <v>0</v>
      </c>
      <c r="K24" s="17">
        <f>100-J24</f>
        <v>100</v>
      </c>
      <c r="L24" s="17" t="str">
        <f t="shared" si="16"/>
        <v>A</v>
      </c>
      <c r="M24" s="17" t="str">
        <f t="shared" si="17"/>
        <v>100% LTT</v>
      </c>
    </row>
    <row r="25" spans="1:13" ht="22.5" customHeight="1" x14ac:dyDescent="0.3">
      <c r="A25" s="180" t="s">
        <v>62</v>
      </c>
      <c r="B25" s="180"/>
      <c r="C25" s="180"/>
      <c r="D25" s="180"/>
      <c r="E25" s="180"/>
      <c r="F25" s="180"/>
      <c r="G25" s="180"/>
      <c r="H25" s="180"/>
      <c r="I25" s="180"/>
      <c r="J25" s="180"/>
      <c r="K25" s="180"/>
      <c r="L25" s="180"/>
      <c r="M25" s="180"/>
    </row>
    <row r="26" spans="1:13" ht="22.5" customHeight="1" x14ac:dyDescent="0.3">
      <c r="J26" s="185" t="s">
        <v>37</v>
      </c>
      <c r="K26" s="185"/>
      <c r="L26" s="185"/>
      <c r="M26" s="185"/>
    </row>
    <row r="27" spans="1:13" ht="22.5" customHeight="1" x14ac:dyDescent="0.3">
      <c r="B27" s="178" t="s">
        <v>22</v>
      </c>
      <c r="C27" s="178"/>
      <c r="D27" s="178"/>
      <c r="K27" s="178" t="s">
        <v>25</v>
      </c>
      <c r="L27" s="178"/>
      <c r="M27" s="178"/>
    </row>
    <row r="28" spans="1:13" ht="22.5" customHeight="1" x14ac:dyDescent="0.3">
      <c r="K28" s="39"/>
      <c r="L28" s="39"/>
    </row>
    <row r="29" spans="1:13" ht="22.5" customHeight="1" x14ac:dyDescent="0.3">
      <c r="K29" s="39"/>
      <c r="L29" s="39"/>
    </row>
    <row r="30" spans="1:13" ht="22.5" customHeight="1" x14ac:dyDescent="0.3">
      <c r="K30" s="39"/>
      <c r="L30" s="39"/>
    </row>
    <row r="31" spans="1:13" ht="22.5" customHeight="1" x14ac:dyDescent="0.3">
      <c r="B31" s="178" t="s">
        <v>28</v>
      </c>
      <c r="C31" s="178"/>
      <c r="D31" s="178"/>
      <c r="K31" s="178" t="s">
        <v>27</v>
      </c>
      <c r="L31" s="178"/>
      <c r="M31" s="178"/>
    </row>
    <row r="32" spans="1:13" ht="22.5" customHeight="1" x14ac:dyDescent="0.3">
      <c r="C32" s="1"/>
      <c r="D32" s="1"/>
    </row>
  </sheetData>
  <mergeCells count="24">
    <mergeCell ref="N4:N5"/>
    <mergeCell ref="B31:D31"/>
    <mergeCell ref="K31:M31"/>
    <mergeCell ref="A17:C17"/>
    <mergeCell ref="A20:C20"/>
    <mergeCell ref="A25:M25"/>
    <mergeCell ref="J26:M26"/>
    <mergeCell ref="B27:D27"/>
    <mergeCell ref="K27:M27"/>
    <mergeCell ref="A6:C6"/>
    <mergeCell ref="A1:M1"/>
    <mergeCell ref="A2:M2"/>
    <mergeCell ref="A3:M3"/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L4:L5"/>
    <mergeCell ref="M4:M5"/>
  </mergeCells>
  <pageMargins left="0.36" right="0.28000000000000003" top="0.35" bottom="0.4" header="0.3" footer="0.3"/>
  <pageSetup paperSize="9" scale="75"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"/>
  <sheetViews>
    <sheetView workbookViewId="0">
      <selection sqref="A1:XFD1048576"/>
    </sheetView>
  </sheetViews>
  <sheetFormatPr defaultColWidth="9.109375" defaultRowHeight="16.8" x14ac:dyDescent="0.3"/>
  <cols>
    <col min="1" max="1" width="6.109375" style="2" customWidth="1"/>
    <col min="2" max="2" width="27.5546875" style="1" customWidth="1"/>
    <col min="3" max="3" width="16.33203125" style="2" customWidth="1"/>
    <col min="4" max="4" width="10.44140625" style="2" customWidth="1"/>
    <col min="5" max="5" width="10.6640625" style="2" customWidth="1"/>
    <col min="6" max="9" width="12.33203125" style="2" customWidth="1"/>
    <col min="10" max="11" width="14.5546875" style="2" customWidth="1"/>
    <col min="12" max="12" width="9.44140625" style="2" customWidth="1"/>
    <col min="13" max="13" width="17.33203125" style="2" customWidth="1"/>
    <col min="14" max="14" width="53.88671875" style="2" customWidth="1"/>
    <col min="15" max="16384" width="9.109375" style="1"/>
  </cols>
  <sheetData>
    <row r="1" spans="1:14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</row>
    <row r="2" spans="1:14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</row>
    <row r="3" spans="1:14" ht="22.5" customHeight="1" x14ac:dyDescent="0.3">
      <c r="A3" s="179" t="s">
        <v>63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</row>
    <row r="4" spans="1:14" s="3" customFormat="1" ht="22.5" customHeight="1" x14ac:dyDescent="0.3">
      <c r="A4" s="180" t="s">
        <v>0</v>
      </c>
      <c r="B4" s="180" t="s">
        <v>1</v>
      </c>
      <c r="C4" s="180" t="s">
        <v>2</v>
      </c>
      <c r="D4" s="180" t="s">
        <v>23</v>
      </c>
      <c r="E4" s="180"/>
      <c r="F4" s="180"/>
      <c r="G4" s="181" t="s">
        <v>29</v>
      </c>
      <c r="H4" s="181" t="s">
        <v>30</v>
      </c>
      <c r="I4" s="181" t="s">
        <v>31</v>
      </c>
      <c r="J4" s="181" t="s">
        <v>24</v>
      </c>
      <c r="K4" s="180" t="s">
        <v>6</v>
      </c>
      <c r="L4" s="180" t="s">
        <v>7</v>
      </c>
      <c r="M4" s="180" t="s">
        <v>8</v>
      </c>
      <c r="N4" s="183"/>
    </row>
    <row r="5" spans="1:14" s="3" customFormat="1" ht="38.25" customHeight="1" x14ac:dyDescent="0.3">
      <c r="A5" s="180"/>
      <c r="B5" s="180"/>
      <c r="C5" s="180"/>
      <c r="D5" s="42" t="s">
        <v>3</v>
      </c>
      <c r="E5" s="42" t="s">
        <v>4</v>
      </c>
      <c r="F5" s="42" t="s">
        <v>5</v>
      </c>
      <c r="G5" s="182"/>
      <c r="H5" s="182"/>
      <c r="I5" s="182"/>
      <c r="J5" s="182"/>
      <c r="K5" s="180"/>
      <c r="L5" s="180"/>
      <c r="M5" s="180"/>
      <c r="N5" s="183"/>
    </row>
    <row r="6" spans="1:14" ht="19.5" customHeight="1" x14ac:dyDescent="0.3">
      <c r="A6" s="184" t="s">
        <v>15</v>
      </c>
      <c r="B6" s="184"/>
      <c r="C6" s="18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4" ht="19.5" customHeight="1" x14ac:dyDescent="0.3">
      <c r="A7" s="23">
        <v>1</v>
      </c>
      <c r="B7" s="38" t="s">
        <v>9</v>
      </c>
      <c r="C7" s="23" t="s">
        <v>50</v>
      </c>
      <c r="D7" s="23"/>
      <c r="E7" s="23">
        <v>1</v>
      </c>
      <c r="F7" s="23"/>
      <c r="G7" s="23">
        <f>IF(D7&gt;5,(D7-5)*2,0)</f>
        <v>0</v>
      </c>
      <c r="H7" s="23">
        <f>IF(E7&gt;5,(E7-5)*2,0)</f>
        <v>0</v>
      </c>
      <c r="I7" s="23">
        <f>IF(F7&gt;2,(F7-2)*1,0)</f>
        <v>0</v>
      </c>
      <c r="J7" s="23">
        <f t="shared" ref="J7" si="0">SUM(G7:I7)</f>
        <v>0</v>
      </c>
      <c r="K7" s="23">
        <f t="shared" ref="K7:K15" si="1">100-J7</f>
        <v>100</v>
      </c>
      <c r="L7" s="23" t="str">
        <f>IF(K7&lt;71,"KL",IF(AND(K7&gt;=71,K7&lt;81),"C",IF(AND(K7&gt;=81,K7&lt;91),"B","A")))</f>
        <v>A</v>
      </c>
      <c r="M7" s="23" t="str">
        <f>IF(L7="A","100% LTT",IF(L7="B","90% LTT",IF(L7="C","80% LTT","60% LTT")))</f>
        <v>100% LTT</v>
      </c>
      <c r="N7" s="14"/>
    </row>
    <row r="8" spans="1:14" ht="19.5" customHeight="1" x14ac:dyDescent="0.3">
      <c r="A8" s="15">
        <f>A7+1</f>
        <v>2</v>
      </c>
      <c r="B8" s="16" t="s">
        <v>49</v>
      </c>
      <c r="C8" s="15" t="s">
        <v>19</v>
      </c>
      <c r="D8" s="15">
        <v>1</v>
      </c>
      <c r="E8" s="15"/>
      <c r="F8" s="15"/>
      <c r="G8" s="15">
        <f t="shared" ref="G8:H15" si="2">IF(D8&gt;5,(D8-5)*2,0)</f>
        <v>0</v>
      </c>
      <c r="H8" s="15">
        <f t="shared" si="2"/>
        <v>0</v>
      </c>
      <c r="I8" s="15">
        <f t="shared" ref="I8:I15" si="3">IF(F8&gt;2,(F8-2)*1,0)</f>
        <v>0</v>
      </c>
      <c r="J8" s="15">
        <f t="shared" ref="J8:J15" si="4">SUM(G8:I8)</f>
        <v>0</v>
      </c>
      <c r="K8" s="15">
        <f t="shared" si="1"/>
        <v>100</v>
      </c>
      <c r="L8" s="15" t="str">
        <f t="shared" ref="L8:L15" si="5">IF(K8&lt;71,"KL",IF(AND(K8&gt;=71,K8&lt;81),"C",IF(AND(K8&gt;=81,K8&lt;91),"B","A")))</f>
        <v>A</v>
      </c>
      <c r="M8" s="15" t="str">
        <f t="shared" ref="M8:M15" si="6">IF(L8="A","100% LTT",IF(L8="B","90% LTT",IF(L8="C","80% LTT","60% LTT")))</f>
        <v>100% LTT</v>
      </c>
      <c r="N8" s="11" t="s">
        <v>33</v>
      </c>
    </row>
    <row r="9" spans="1:14" ht="19.5" customHeight="1" x14ac:dyDescent="0.3">
      <c r="A9" s="15">
        <f t="shared" ref="A9:A15" si="7">A8+1</f>
        <v>3</v>
      </c>
      <c r="B9" s="16" t="s">
        <v>52</v>
      </c>
      <c r="C9" s="15" t="s">
        <v>19</v>
      </c>
      <c r="D9" s="15"/>
      <c r="E9" s="15"/>
      <c r="F9" s="15"/>
      <c r="G9" s="15">
        <f t="shared" si="2"/>
        <v>0</v>
      </c>
      <c r="H9" s="15">
        <f t="shared" si="2"/>
        <v>0</v>
      </c>
      <c r="I9" s="15">
        <f t="shared" si="3"/>
        <v>0</v>
      </c>
      <c r="J9" s="15">
        <f t="shared" si="4"/>
        <v>0</v>
      </c>
      <c r="K9" s="15">
        <f t="shared" si="1"/>
        <v>100</v>
      </c>
      <c r="L9" s="15" t="str">
        <f t="shared" si="5"/>
        <v>A</v>
      </c>
      <c r="M9" s="15" t="str">
        <f t="shared" si="6"/>
        <v>100% LTT</v>
      </c>
      <c r="N9" s="34"/>
    </row>
    <row r="10" spans="1:14" ht="19.5" customHeight="1" x14ac:dyDescent="0.3">
      <c r="A10" s="15">
        <f>A9+1</f>
        <v>4</v>
      </c>
      <c r="B10" s="16" t="s">
        <v>57</v>
      </c>
      <c r="C10" s="15" t="s">
        <v>19</v>
      </c>
      <c r="D10" s="15"/>
      <c r="E10" s="15"/>
      <c r="F10" s="15"/>
      <c r="G10" s="15">
        <f t="shared" si="2"/>
        <v>0</v>
      </c>
      <c r="H10" s="15">
        <f t="shared" si="2"/>
        <v>0</v>
      </c>
      <c r="I10" s="15">
        <f t="shared" si="3"/>
        <v>0</v>
      </c>
      <c r="J10" s="15">
        <f t="shared" si="4"/>
        <v>0</v>
      </c>
      <c r="K10" s="15">
        <f t="shared" si="1"/>
        <v>100</v>
      </c>
      <c r="L10" s="15" t="str">
        <f t="shared" si="5"/>
        <v>A</v>
      </c>
      <c r="M10" s="15" t="str">
        <f t="shared" si="6"/>
        <v>100% LTT</v>
      </c>
      <c r="N10" s="35"/>
    </row>
    <row r="11" spans="1:14" ht="19.5" customHeight="1" x14ac:dyDescent="0.3">
      <c r="A11" s="15">
        <f t="shared" si="7"/>
        <v>5</v>
      </c>
      <c r="B11" s="16" t="s">
        <v>58</v>
      </c>
      <c r="C11" s="15" t="s">
        <v>19</v>
      </c>
      <c r="D11" s="15"/>
      <c r="E11" s="15"/>
      <c r="F11" s="15"/>
      <c r="G11" s="15">
        <f t="shared" si="2"/>
        <v>0</v>
      </c>
      <c r="H11" s="15">
        <f t="shared" si="2"/>
        <v>0</v>
      </c>
      <c r="I11" s="15">
        <f t="shared" si="3"/>
        <v>0</v>
      </c>
      <c r="J11" s="15">
        <f t="shared" si="4"/>
        <v>0</v>
      </c>
      <c r="K11" s="15">
        <f t="shared" si="1"/>
        <v>100</v>
      </c>
      <c r="L11" s="15" t="str">
        <f t="shared" si="5"/>
        <v>A</v>
      </c>
      <c r="M11" s="15" t="str">
        <f t="shared" si="6"/>
        <v>100% LTT</v>
      </c>
      <c r="N11" s="35"/>
    </row>
    <row r="12" spans="1:14" ht="19.5" customHeight="1" x14ac:dyDescent="0.3">
      <c r="A12" s="15">
        <f t="shared" si="7"/>
        <v>6</v>
      </c>
      <c r="B12" s="16" t="s">
        <v>59</v>
      </c>
      <c r="C12" s="15" t="s">
        <v>19</v>
      </c>
      <c r="D12" s="15"/>
      <c r="E12" s="15"/>
      <c r="F12" s="15"/>
      <c r="G12" s="15">
        <f t="shared" si="2"/>
        <v>0</v>
      </c>
      <c r="H12" s="15">
        <f t="shared" si="2"/>
        <v>0</v>
      </c>
      <c r="I12" s="15">
        <f t="shared" si="3"/>
        <v>0</v>
      </c>
      <c r="J12" s="15">
        <f t="shared" si="4"/>
        <v>0</v>
      </c>
      <c r="K12" s="15">
        <f t="shared" si="1"/>
        <v>100</v>
      </c>
      <c r="L12" s="15" t="str">
        <f t="shared" si="5"/>
        <v>A</v>
      </c>
      <c r="M12" s="15" t="str">
        <f t="shared" si="6"/>
        <v>100% LTT</v>
      </c>
      <c r="N12" s="35"/>
    </row>
    <row r="13" spans="1:14" ht="19.5" customHeight="1" x14ac:dyDescent="0.3">
      <c r="A13" s="15">
        <f t="shared" si="7"/>
        <v>7</v>
      </c>
      <c r="B13" s="16" t="s">
        <v>53</v>
      </c>
      <c r="C13" s="15" t="s">
        <v>19</v>
      </c>
      <c r="D13" s="15"/>
      <c r="E13" s="15"/>
      <c r="F13" s="15"/>
      <c r="G13" s="15">
        <f t="shared" si="2"/>
        <v>0</v>
      </c>
      <c r="H13" s="15">
        <f t="shared" si="2"/>
        <v>0</v>
      </c>
      <c r="I13" s="15">
        <f t="shared" si="3"/>
        <v>0</v>
      </c>
      <c r="J13" s="15">
        <f t="shared" si="4"/>
        <v>0</v>
      </c>
      <c r="K13" s="15">
        <f t="shared" si="1"/>
        <v>100</v>
      </c>
      <c r="L13" s="15" t="str">
        <f t="shared" si="5"/>
        <v>A</v>
      </c>
      <c r="M13" s="15" t="str">
        <f t="shared" si="6"/>
        <v>100% LTT</v>
      </c>
      <c r="N13" s="35"/>
    </row>
    <row r="14" spans="1:14" ht="19.5" customHeight="1" x14ac:dyDescent="0.3">
      <c r="A14" s="15">
        <f t="shared" si="7"/>
        <v>8</v>
      </c>
      <c r="B14" s="16" t="s">
        <v>54</v>
      </c>
      <c r="C14" s="15" t="s">
        <v>19</v>
      </c>
      <c r="D14" s="15"/>
      <c r="E14" s="15"/>
      <c r="F14" s="15"/>
      <c r="G14" s="15">
        <f t="shared" si="2"/>
        <v>0</v>
      </c>
      <c r="H14" s="15">
        <f t="shared" si="2"/>
        <v>0</v>
      </c>
      <c r="I14" s="15">
        <f t="shared" si="3"/>
        <v>0</v>
      </c>
      <c r="J14" s="15">
        <f t="shared" si="4"/>
        <v>0</v>
      </c>
      <c r="K14" s="15">
        <f t="shared" si="1"/>
        <v>100</v>
      </c>
      <c r="L14" s="15" t="str">
        <f t="shared" si="5"/>
        <v>A</v>
      </c>
      <c r="M14" s="15" t="str">
        <f t="shared" si="6"/>
        <v>100% LTT</v>
      </c>
      <c r="N14" s="35"/>
    </row>
    <row r="15" spans="1:14" ht="19.5" customHeight="1" x14ac:dyDescent="0.3">
      <c r="A15" s="17">
        <f t="shared" si="7"/>
        <v>9</v>
      </c>
      <c r="B15" s="18" t="s">
        <v>11</v>
      </c>
      <c r="C15" s="17" t="s">
        <v>51</v>
      </c>
      <c r="D15" s="17">
        <v>3</v>
      </c>
      <c r="E15" s="17"/>
      <c r="F15" s="17">
        <v>2</v>
      </c>
      <c r="G15" s="17">
        <f t="shared" si="2"/>
        <v>0</v>
      </c>
      <c r="H15" s="17">
        <f t="shared" si="2"/>
        <v>0</v>
      </c>
      <c r="I15" s="17">
        <f t="shared" si="3"/>
        <v>0</v>
      </c>
      <c r="J15" s="17">
        <f t="shared" si="4"/>
        <v>0</v>
      </c>
      <c r="K15" s="17">
        <f t="shared" si="1"/>
        <v>100</v>
      </c>
      <c r="L15" s="17" t="str">
        <f t="shared" si="5"/>
        <v>A</v>
      </c>
      <c r="M15" s="17" t="str">
        <f t="shared" si="6"/>
        <v>100% LTT</v>
      </c>
      <c r="N15" s="35"/>
    </row>
    <row r="16" spans="1:14" ht="19.5" customHeight="1" x14ac:dyDescent="0.3">
      <c r="A16" s="184" t="s">
        <v>16</v>
      </c>
      <c r="B16" s="184"/>
      <c r="C16" s="18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ht="19.5" customHeight="1" x14ac:dyDescent="0.3">
      <c r="A17" s="17">
        <f>A15+1</f>
        <v>10</v>
      </c>
      <c r="B17" s="18" t="s">
        <v>28</v>
      </c>
      <c r="C17" s="17" t="s">
        <v>19</v>
      </c>
      <c r="D17" s="17"/>
      <c r="E17" s="17"/>
      <c r="F17" s="17">
        <v>1</v>
      </c>
      <c r="G17" s="17">
        <f t="shared" ref="G17:H17" si="8">IF(D17&gt;5,(D17-5)*2,0)</f>
        <v>0</v>
      </c>
      <c r="H17" s="17">
        <f t="shared" si="8"/>
        <v>0</v>
      </c>
      <c r="I17" s="17">
        <f t="shared" ref="I17" si="9">IF(F17&gt;2,(F17-2)*1,0)</f>
        <v>0</v>
      </c>
      <c r="J17" s="17">
        <f t="shared" ref="J17" si="10">SUM(G17:I17)</f>
        <v>0</v>
      </c>
      <c r="K17" s="17">
        <f>100-J17</f>
        <v>100</v>
      </c>
      <c r="L17" s="17" t="str">
        <f t="shared" ref="L17" si="11">IF(K17&lt;71,"KL",IF(AND(K17&gt;=71,K17&lt;81),"C",IF(AND(K17&gt;=81,K17&lt;91),"B","A")))</f>
        <v>A</v>
      </c>
      <c r="M17" s="17" t="str">
        <f t="shared" ref="M17" si="12">IF(L17="A","100% LTT",IF(L17="B","90% LTT",IF(L17="C","80% LTT","60% LTT")))</f>
        <v>100% LTT</v>
      </c>
    </row>
    <row r="18" spans="1:13" ht="19.5" customHeight="1" x14ac:dyDescent="0.3">
      <c r="A18" s="184" t="s">
        <v>17</v>
      </c>
      <c r="B18" s="184"/>
      <c r="C18" s="18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ht="19.5" customHeight="1" x14ac:dyDescent="0.3">
      <c r="A19" s="23">
        <f>A17+1</f>
        <v>11</v>
      </c>
      <c r="B19" s="38" t="s">
        <v>12</v>
      </c>
      <c r="C19" s="23" t="s">
        <v>19</v>
      </c>
      <c r="D19" s="23"/>
      <c r="E19" s="23"/>
      <c r="F19" s="23">
        <v>2</v>
      </c>
      <c r="G19" s="23">
        <f t="shared" ref="G19:H22" si="13">IF(D19&gt;5,(D19-5)*2,0)</f>
        <v>0</v>
      </c>
      <c r="H19" s="23">
        <f t="shared" si="13"/>
        <v>0</v>
      </c>
      <c r="I19" s="23">
        <f t="shared" ref="I19:I22" si="14">IF(F19&gt;2,(F19-2)*1,0)</f>
        <v>0</v>
      </c>
      <c r="J19" s="23">
        <f t="shared" ref="J19:J22" si="15">SUM(G19:I19)</f>
        <v>0</v>
      </c>
      <c r="K19" s="23">
        <f>100-J19</f>
        <v>100</v>
      </c>
      <c r="L19" s="23" t="str">
        <f t="shared" ref="L19:L22" si="16">IF(K19&lt;71,"KL",IF(AND(K19&gt;=71,K19&lt;81),"C",IF(AND(K19&gt;=81,K19&lt;91),"B","A")))</f>
        <v>A</v>
      </c>
      <c r="M19" s="23" t="str">
        <f t="shared" ref="M19:M22" si="17">IF(L19="A","100% LTT",IF(L19="B","90% LTT",IF(L19="C","80% LTT","60% LTT")))</f>
        <v>100% LTT</v>
      </c>
    </row>
    <row r="20" spans="1:13" ht="19.5" customHeight="1" x14ac:dyDescent="0.3">
      <c r="A20" s="15">
        <f>A19+1</f>
        <v>12</v>
      </c>
      <c r="B20" s="16" t="s">
        <v>40</v>
      </c>
      <c r="C20" s="15" t="s">
        <v>19</v>
      </c>
      <c r="D20" s="15">
        <v>4</v>
      </c>
      <c r="E20" s="15"/>
      <c r="F20" s="15">
        <v>3</v>
      </c>
      <c r="G20" s="15">
        <f t="shared" si="13"/>
        <v>0</v>
      </c>
      <c r="H20" s="15">
        <f t="shared" si="13"/>
        <v>0</v>
      </c>
      <c r="I20" s="15">
        <f>IF(F20&gt;2,(F20-2)*1,0)</f>
        <v>1</v>
      </c>
      <c r="J20" s="15">
        <f t="shared" si="15"/>
        <v>1</v>
      </c>
      <c r="K20" s="15">
        <f>100-J20</f>
        <v>99</v>
      </c>
      <c r="L20" s="15" t="str">
        <f t="shared" si="16"/>
        <v>A</v>
      </c>
      <c r="M20" s="15" t="str">
        <f t="shared" si="17"/>
        <v>100% LTT</v>
      </c>
    </row>
    <row r="21" spans="1:13" ht="19.5" customHeight="1" x14ac:dyDescent="0.3">
      <c r="A21" s="15">
        <f t="shared" ref="A21:A22" si="18">A20+1</f>
        <v>13</v>
      </c>
      <c r="B21" s="16" t="s">
        <v>13</v>
      </c>
      <c r="C21" s="15" t="s">
        <v>19</v>
      </c>
      <c r="D21" s="15"/>
      <c r="E21" s="15"/>
      <c r="F21" s="15">
        <v>1</v>
      </c>
      <c r="G21" s="15">
        <f t="shared" si="13"/>
        <v>0</v>
      </c>
      <c r="H21" s="15">
        <f t="shared" si="13"/>
        <v>0</v>
      </c>
      <c r="I21" s="15">
        <f t="shared" si="14"/>
        <v>0</v>
      </c>
      <c r="J21" s="15">
        <f t="shared" si="15"/>
        <v>0</v>
      </c>
      <c r="K21" s="15">
        <f>100-J21</f>
        <v>100</v>
      </c>
      <c r="L21" s="15" t="str">
        <f t="shared" si="16"/>
        <v>A</v>
      </c>
      <c r="M21" s="15" t="str">
        <f t="shared" si="17"/>
        <v>100% LTT</v>
      </c>
    </row>
    <row r="22" spans="1:13" ht="19.5" customHeight="1" x14ac:dyDescent="0.3">
      <c r="A22" s="17">
        <f t="shared" si="18"/>
        <v>14</v>
      </c>
      <c r="B22" s="18" t="s">
        <v>14</v>
      </c>
      <c r="C22" s="17" t="s">
        <v>19</v>
      </c>
      <c r="D22" s="17"/>
      <c r="E22" s="17"/>
      <c r="F22" s="17">
        <v>1</v>
      </c>
      <c r="G22" s="17">
        <f t="shared" si="13"/>
        <v>0</v>
      </c>
      <c r="H22" s="17">
        <f t="shared" si="13"/>
        <v>0</v>
      </c>
      <c r="I22" s="17">
        <f t="shared" si="14"/>
        <v>0</v>
      </c>
      <c r="J22" s="17">
        <f t="shared" si="15"/>
        <v>0</v>
      </c>
      <c r="K22" s="17">
        <f>100-J22</f>
        <v>100</v>
      </c>
      <c r="L22" s="17" t="str">
        <f t="shared" si="16"/>
        <v>A</v>
      </c>
      <c r="M22" s="17" t="str">
        <f t="shared" si="17"/>
        <v>100% LTT</v>
      </c>
    </row>
    <row r="23" spans="1:13" ht="22.5" customHeight="1" x14ac:dyDescent="0.3">
      <c r="A23" s="180" t="s">
        <v>64</v>
      </c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</row>
    <row r="24" spans="1:13" ht="22.5" customHeight="1" x14ac:dyDescent="0.3">
      <c r="J24" s="185" t="s">
        <v>65</v>
      </c>
      <c r="K24" s="185"/>
      <c r="L24" s="185"/>
      <c r="M24" s="185"/>
    </row>
    <row r="25" spans="1:13" ht="22.5" customHeight="1" x14ac:dyDescent="0.3">
      <c r="B25" s="178" t="s">
        <v>22</v>
      </c>
      <c r="C25" s="178"/>
      <c r="D25" s="178"/>
      <c r="K25" s="178" t="s">
        <v>25</v>
      </c>
      <c r="L25" s="178"/>
      <c r="M25" s="178"/>
    </row>
    <row r="26" spans="1:13" ht="22.5" customHeight="1" x14ac:dyDescent="0.3">
      <c r="K26" s="41"/>
      <c r="L26" s="41"/>
    </row>
    <row r="27" spans="1:13" ht="22.5" customHeight="1" x14ac:dyDescent="0.3">
      <c r="K27" s="41"/>
      <c r="L27" s="41"/>
    </row>
    <row r="28" spans="1:13" ht="22.5" customHeight="1" x14ac:dyDescent="0.3">
      <c r="K28" s="41"/>
      <c r="L28" s="41"/>
    </row>
    <row r="29" spans="1:13" ht="22.5" customHeight="1" x14ac:dyDescent="0.3">
      <c r="B29" s="178" t="s">
        <v>28</v>
      </c>
      <c r="C29" s="178"/>
      <c r="D29" s="178"/>
      <c r="K29" s="178" t="s">
        <v>27</v>
      </c>
      <c r="L29" s="178"/>
      <c r="M29" s="178"/>
    </row>
    <row r="30" spans="1:13" ht="22.5" customHeight="1" x14ac:dyDescent="0.3">
      <c r="C30" s="1"/>
      <c r="D30" s="1"/>
    </row>
  </sheetData>
  <mergeCells count="24">
    <mergeCell ref="N4:N5"/>
    <mergeCell ref="B29:D29"/>
    <mergeCell ref="K29:M29"/>
    <mergeCell ref="A16:C16"/>
    <mergeCell ref="A18:C18"/>
    <mergeCell ref="A23:M23"/>
    <mergeCell ref="J24:M24"/>
    <mergeCell ref="B25:D25"/>
    <mergeCell ref="K25:M25"/>
    <mergeCell ref="A6:C6"/>
    <mergeCell ref="A1:M1"/>
    <mergeCell ref="A2:M2"/>
    <mergeCell ref="A3:M3"/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L4:L5"/>
    <mergeCell ref="M4:M5"/>
  </mergeCells>
  <pageMargins left="0.33" right="0.16" top="0.32" bottom="0.26" header="0.3" footer="0.3"/>
  <pageSetup paperSize="9" scale="80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"/>
  <sheetViews>
    <sheetView topLeftCell="N1" workbookViewId="0">
      <selection activeCell="V17" sqref="V17"/>
    </sheetView>
  </sheetViews>
  <sheetFormatPr defaultColWidth="9.109375" defaultRowHeight="16.8" x14ac:dyDescent="0.3"/>
  <cols>
    <col min="1" max="1" width="6.109375" style="2" customWidth="1"/>
    <col min="2" max="2" width="27.5546875" style="1" customWidth="1"/>
    <col min="3" max="3" width="16.33203125" style="2" customWidth="1"/>
    <col min="4" max="4" width="10.44140625" style="2" customWidth="1"/>
    <col min="5" max="5" width="10.6640625" style="2" customWidth="1"/>
    <col min="6" max="9" width="12.33203125" style="2" customWidth="1"/>
    <col min="10" max="11" width="14.5546875" style="2" customWidth="1"/>
    <col min="12" max="12" width="9.44140625" style="2" customWidth="1"/>
    <col min="13" max="13" width="17.33203125" style="2" customWidth="1"/>
    <col min="14" max="14" width="53.88671875" style="2" customWidth="1"/>
    <col min="15" max="16384" width="9.109375" style="1"/>
  </cols>
  <sheetData>
    <row r="1" spans="1:14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</row>
    <row r="2" spans="1:14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</row>
    <row r="3" spans="1:14" ht="22.5" customHeight="1" x14ac:dyDescent="0.3">
      <c r="A3" s="179" t="s">
        <v>66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</row>
    <row r="4" spans="1:14" s="3" customFormat="1" ht="22.5" customHeight="1" x14ac:dyDescent="0.3">
      <c r="A4" s="180" t="s">
        <v>0</v>
      </c>
      <c r="B4" s="180" t="s">
        <v>1</v>
      </c>
      <c r="C4" s="180" t="s">
        <v>2</v>
      </c>
      <c r="D4" s="180" t="s">
        <v>23</v>
      </c>
      <c r="E4" s="180"/>
      <c r="F4" s="180"/>
      <c r="G4" s="181" t="s">
        <v>29</v>
      </c>
      <c r="H4" s="181" t="s">
        <v>30</v>
      </c>
      <c r="I4" s="181" t="s">
        <v>31</v>
      </c>
      <c r="J4" s="181" t="s">
        <v>24</v>
      </c>
      <c r="K4" s="180" t="s">
        <v>6</v>
      </c>
      <c r="L4" s="180" t="s">
        <v>7</v>
      </c>
      <c r="M4" s="180" t="s">
        <v>8</v>
      </c>
      <c r="N4" s="183"/>
    </row>
    <row r="5" spans="1:14" s="3" customFormat="1" ht="38.25" customHeight="1" x14ac:dyDescent="0.3">
      <c r="A5" s="180"/>
      <c r="B5" s="180"/>
      <c r="C5" s="180"/>
      <c r="D5" s="44" t="s">
        <v>3</v>
      </c>
      <c r="E5" s="44" t="s">
        <v>4</v>
      </c>
      <c r="F5" s="44" t="s">
        <v>5</v>
      </c>
      <c r="G5" s="182"/>
      <c r="H5" s="182"/>
      <c r="I5" s="182"/>
      <c r="J5" s="182"/>
      <c r="K5" s="180"/>
      <c r="L5" s="180"/>
      <c r="M5" s="180"/>
      <c r="N5" s="183"/>
    </row>
    <row r="6" spans="1:14" ht="19.5" customHeight="1" x14ac:dyDescent="0.3">
      <c r="A6" s="184" t="s">
        <v>15</v>
      </c>
      <c r="B6" s="184"/>
      <c r="C6" s="18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4" ht="19.5" customHeight="1" x14ac:dyDescent="0.3">
      <c r="A7" s="23">
        <v>1</v>
      </c>
      <c r="B7" s="38" t="s">
        <v>9</v>
      </c>
      <c r="C7" s="23" t="s">
        <v>50</v>
      </c>
      <c r="D7" s="23"/>
      <c r="E7" s="23"/>
      <c r="F7" s="23"/>
      <c r="G7" s="23">
        <f>IF(D7&gt;5,(D7-5)*2,0)</f>
        <v>0</v>
      </c>
      <c r="H7" s="23">
        <f>IF(E7&gt;5,(E7-5)*2,0)</f>
        <v>0</v>
      </c>
      <c r="I7" s="23">
        <f>IF(F7&gt;2,(F7-2)*1,0)</f>
        <v>0</v>
      </c>
      <c r="J7" s="23">
        <f t="shared" ref="J7" si="0">SUM(G7:I7)</f>
        <v>0</v>
      </c>
      <c r="K7" s="23">
        <f t="shared" ref="K7:K15" si="1">100-J7</f>
        <v>100</v>
      </c>
      <c r="L7" s="23" t="str">
        <f>IF(K7&lt;71,"KL",IF(AND(K7&gt;=71,K7&lt;81),"C",IF(AND(K7&gt;=81,K7&lt;91),"B","A")))</f>
        <v>A</v>
      </c>
      <c r="M7" s="23" t="str">
        <f>IF(L7="A","100% LTT",IF(L7="B","90% LTT",IF(L7="C","80% LTT","60% LTT")))</f>
        <v>100% LTT</v>
      </c>
      <c r="N7" s="14"/>
    </row>
    <row r="8" spans="1:14" ht="19.5" customHeight="1" x14ac:dyDescent="0.3">
      <c r="A8" s="15">
        <f>A7+1</f>
        <v>2</v>
      </c>
      <c r="B8" s="16" t="s">
        <v>49</v>
      </c>
      <c r="C8" s="15" t="s">
        <v>19</v>
      </c>
      <c r="D8" s="15"/>
      <c r="E8" s="15"/>
      <c r="F8" s="15">
        <v>1</v>
      </c>
      <c r="G8" s="15">
        <f t="shared" ref="G8:H15" si="2">IF(D8&gt;5,(D8-5)*2,0)</f>
        <v>0</v>
      </c>
      <c r="H8" s="15">
        <f t="shared" si="2"/>
        <v>0</v>
      </c>
      <c r="I8" s="15">
        <f t="shared" ref="I8:I15" si="3">IF(F8&gt;2,(F8-2)*1,0)</f>
        <v>0</v>
      </c>
      <c r="J8" s="15">
        <f t="shared" ref="J8:J15" si="4">SUM(G8:I8)</f>
        <v>0</v>
      </c>
      <c r="K8" s="15">
        <f t="shared" si="1"/>
        <v>100</v>
      </c>
      <c r="L8" s="15" t="str">
        <f t="shared" ref="L8:L15" si="5">IF(K8&lt;71,"KL",IF(AND(K8&gt;=71,K8&lt;81),"C",IF(AND(K8&gt;=81,K8&lt;91),"B","A")))</f>
        <v>A</v>
      </c>
      <c r="M8" s="15" t="str">
        <f t="shared" ref="M8:M15" si="6">IF(L8="A","100% LTT",IF(L8="B","90% LTT",IF(L8="C","80% LTT","60% LTT")))</f>
        <v>100% LTT</v>
      </c>
      <c r="N8" s="11" t="s">
        <v>33</v>
      </c>
    </row>
    <row r="9" spans="1:14" ht="19.5" customHeight="1" x14ac:dyDescent="0.3">
      <c r="A9" s="15">
        <f t="shared" ref="A9:A15" si="7">A8+1</f>
        <v>3</v>
      </c>
      <c r="B9" s="16" t="s">
        <v>52</v>
      </c>
      <c r="C9" s="15" t="s">
        <v>19</v>
      </c>
      <c r="D9" s="15"/>
      <c r="E9" s="15"/>
      <c r="F9" s="15"/>
      <c r="G9" s="15">
        <f t="shared" si="2"/>
        <v>0</v>
      </c>
      <c r="H9" s="15">
        <f t="shared" si="2"/>
        <v>0</v>
      </c>
      <c r="I9" s="15">
        <f t="shared" si="3"/>
        <v>0</v>
      </c>
      <c r="J9" s="15">
        <f t="shared" si="4"/>
        <v>0</v>
      </c>
      <c r="K9" s="15">
        <f t="shared" si="1"/>
        <v>100</v>
      </c>
      <c r="L9" s="15" t="str">
        <f t="shared" si="5"/>
        <v>A</v>
      </c>
      <c r="M9" s="15" t="str">
        <f t="shared" si="6"/>
        <v>100% LTT</v>
      </c>
      <c r="N9" s="34"/>
    </row>
    <row r="10" spans="1:14" ht="19.5" customHeight="1" x14ac:dyDescent="0.3">
      <c r="A10" s="15">
        <f>A9+1</f>
        <v>4</v>
      </c>
      <c r="B10" s="16" t="s">
        <v>57</v>
      </c>
      <c r="C10" s="15" t="s">
        <v>19</v>
      </c>
      <c r="D10" s="15"/>
      <c r="E10" s="15"/>
      <c r="F10" s="15"/>
      <c r="G10" s="15">
        <f t="shared" si="2"/>
        <v>0</v>
      </c>
      <c r="H10" s="15">
        <f t="shared" si="2"/>
        <v>0</v>
      </c>
      <c r="I10" s="15">
        <f t="shared" si="3"/>
        <v>0</v>
      </c>
      <c r="J10" s="15">
        <f t="shared" si="4"/>
        <v>0</v>
      </c>
      <c r="K10" s="15">
        <f t="shared" si="1"/>
        <v>100</v>
      </c>
      <c r="L10" s="15" t="str">
        <f t="shared" si="5"/>
        <v>A</v>
      </c>
      <c r="M10" s="15" t="str">
        <f t="shared" si="6"/>
        <v>100% LTT</v>
      </c>
      <c r="N10" s="35"/>
    </row>
    <row r="11" spans="1:14" ht="19.5" customHeight="1" x14ac:dyDescent="0.3">
      <c r="A11" s="15">
        <f t="shared" si="7"/>
        <v>5</v>
      </c>
      <c r="B11" s="16" t="s">
        <v>58</v>
      </c>
      <c r="C11" s="15" t="s">
        <v>19</v>
      </c>
      <c r="D11" s="15"/>
      <c r="E11" s="15"/>
      <c r="F11" s="15"/>
      <c r="G11" s="15">
        <f t="shared" si="2"/>
        <v>0</v>
      </c>
      <c r="H11" s="15">
        <f t="shared" si="2"/>
        <v>0</v>
      </c>
      <c r="I11" s="15">
        <f t="shared" si="3"/>
        <v>0</v>
      </c>
      <c r="J11" s="15">
        <f t="shared" si="4"/>
        <v>0</v>
      </c>
      <c r="K11" s="15">
        <f t="shared" si="1"/>
        <v>100</v>
      </c>
      <c r="L11" s="15" t="str">
        <f t="shared" si="5"/>
        <v>A</v>
      </c>
      <c r="M11" s="15" t="str">
        <f t="shared" si="6"/>
        <v>100% LTT</v>
      </c>
      <c r="N11" s="35"/>
    </row>
    <row r="12" spans="1:14" ht="19.5" customHeight="1" x14ac:dyDescent="0.3">
      <c r="A12" s="15">
        <f t="shared" si="7"/>
        <v>6</v>
      </c>
      <c r="B12" s="16" t="s">
        <v>59</v>
      </c>
      <c r="C12" s="15" t="s">
        <v>19</v>
      </c>
      <c r="D12" s="15"/>
      <c r="E12" s="15"/>
      <c r="F12" s="15"/>
      <c r="G12" s="15">
        <f t="shared" si="2"/>
        <v>0</v>
      </c>
      <c r="H12" s="15">
        <f t="shared" si="2"/>
        <v>0</v>
      </c>
      <c r="I12" s="15">
        <f t="shared" si="3"/>
        <v>0</v>
      </c>
      <c r="J12" s="15">
        <f t="shared" si="4"/>
        <v>0</v>
      </c>
      <c r="K12" s="15">
        <f t="shared" si="1"/>
        <v>100</v>
      </c>
      <c r="L12" s="15" t="str">
        <f t="shared" si="5"/>
        <v>A</v>
      </c>
      <c r="M12" s="15" t="str">
        <f t="shared" si="6"/>
        <v>100% LTT</v>
      </c>
      <c r="N12" s="35"/>
    </row>
    <row r="13" spans="1:14" ht="19.5" customHeight="1" x14ac:dyDescent="0.3">
      <c r="A13" s="15">
        <f t="shared" si="7"/>
        <v>7</v>
      </c>
      <c r="B13" s="16" t="s">
        <v>53</v>
      </c>
      <c r="C13" s="15" t="s">
        <v>19</v>
      </c>
      <c r="D13" s="15"/>
      <c r="E13" s="15"/>
      <c r="F13" s="15"/>
      <c r="G13" s="15">
        <f t="shared" si="2"/>
        <v>0</v>
      </c>
      <c r="H13" s="15">
        <f t="shared" si="2"/>
        <v>0</v>
      </c>
      <c r="I13" s="15">
        <f t="shared" si="3"/>
        <v>0</v>
      </c>
      <c r="J13" s="15">
        <f t="shared" si="4"/>
        <v>0</v>
      </c>
      <c r="K13" s="15">
        <f t="shared" si="1"/>
        <v>100</v>
      </c>
      <c r="L13" s="15" t="str">
        <f t="shared" si="5"/>
        <v>A</v>
      </c>
      <c r="M13" s="15" t="str">
        <f t="shared" si="6"/>
        <v>100% LTT</v>
      </c>
      <c r="N13" s="35"/>
    </row>
    <row r="14" spans="1:14" ht="19.5" customHeight="1" x14ac:dyDescent="0.3">
      <c r="A14" s="15">
        <f t="shared" si="7"/>
        <v>8</v>
      </c>
      <c r="B14" s="16" t="s">
        <v>54</v>
      </c>
      <c r="C14" s="15" t="s">
        <v>19</v>
      </c>
      <c r="D14" s="15"/>
      <c r="E14" s="15"/>
      <c r="F14" s="15"/>
      <c r="G14" s="15">
        <f t="shared" si="2"/>
        <v>0</v>
      </c>
      <c r="H14" s="15">
        <f t="shared" si="2"/>
        <v>0</v>
      </c>
      <c r="I14" s="15">
        <f t="shared" si="3"/>
        <v>0</v>
      </c>
      <c r="J14" s="15">
        <f t="shared" si="4"/>
        <v>0</v>
      </c>
      <c r="K14" s="15">
        <f t="shared" si="1"/>
        <v>100</v>
      </c>
      <c r="L14" s="15" t="str">
        <f t="shared" si="5"/>
        <v>A</v>
      </c>
      <c r="M14" s="15" t="str">
        <f t="shared" si="6"/>
        <v>100% LTT</v>
      </c>
      <c r="N14" s="35"/>
    </row>
    <row r="15" spans="1:14" ht="19.5" customHeight="1" x14ac:dyDescent="0.3">
      <c r="A15" s="17">
        <f t="shared" si="7"/>
        <v>9</v>
      </c>
      <c r="B15" s="18" t="s">
        <v>11</v>
      </c>
      <c r="C15" s="17" t="s">
        <v>51</v>
      </c>
      <c r="D15" s="17">
        <v>2</v>
      </c>
      <c r="E15" s="17"/>
      <c r="F15" s="17">
        <v>2</v>
      </c>
      <c r="G15" s="17">
        <f t="shared" si="2"/>
        <v>0</v>
      </c>
      <c r="H15" s="17">
        <f t="shared" si="2"/>
        <v>0</v>
      </c>
      <c r="I15" s="17">
        <f t="shared" si="3"/>
        <v>0</v>
      </c>
      <c r="J15" s="17">
        <f t="shared" si="4"/>
        <v>0</v>
      </c>
      <c r="K15" s="17">
        <f t="shared" si="1"/>
        <v>100</v>
      </c>
      <c r="L15" s="17" t="str">
        <f t="shared" si="5"/>
        <v>A</v>
      </c>
      <c r="M15" s="17" t="str">
        <f t="shared" si="6"/>
        <v>100% LTT</v>
      </c>
      <c r="N15" s="35"/>
    </row>
    <row r="16" spans="1:14" ht="19.5" customHeight="1" x14ac:dyDescent="0.3">
      <c r="A16" s="184" t="s">
        <v>16</v>
      </c>
      <c r="B16" s="184"/>
      <c r="C16" s="18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ht="19.5" customHeight="1" x14ac:dyDescent="0.3">
      <c r="A17" s="17">
        <f>A15+1</f>
        <v>10</v>
      </c>
      <c r="B17" s="18" t="s">
        <v>28</v>
      </c>
      <c r="C17" s="17" t="s">
        <v>19</v>
      </c>
      <c r="D17" s="17"/>
      <c r="E17" s="17"/>
      <c r="F17" s="17">
        <v>1</v>
      </c>
      <c r="G17" s="17">
        <f t="shared" ref="G17:H17" si="8">IF(D17&gt;5,(D17-5)*2,0)</f>
        <v>0</v>
      </c>
      <c r="H17" s="17">
        <f t="shared" si="8"/>
        <v>0</v>
      </c>
      <c r="I17" s="17">
        <f t="shared" ref="I17" si="9">IF(F17&gt;2,(F17-2)*1,0)</f>
        <v>0</v>
      </c>
      <c r="J17" s="17">
        <f t="shared" ref="J17" si="10">SUM(G17:I17)</f>
        <v>0</v>
      </c>
      <c r="K17" s="17">
        <f>100-J17</f>
        <v>100</v>
      </c>
      <c r="L17" s="17" t="str">
        <f t="shared" ref="L17" si="11">IF(K17&lt;71,"KL",IF(AND(K17&gt;=71,K17&lt;81),"C",IF(AND(K17&gt;=81,K17&lt;91),"B","A")))</f>
        <v>A</v>
      </c>
      <c r="M17" s="17" t="str">
        <f t="shared" ref="M17" si="12">IF(L17="A","100% LTT",IF(L17="B","90% LTT",IF(L17="C","80% LTT","60% LTT")))</f>
        <v>100% LTT</v>
      </c>
    </row>
    <row r="18" spans="1:13" ht="19.5" customHeight="1" x14ac:dyDescent="0.3">
      <c r="A18" s="184" t="s">
        <v>17</v>
      </c>
      <c r="B18" s="184"/>
      <c r="C18" s="18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ht="19.5" customHeight="1" x14ac:dyDescent="0.3">
      <c r="A19" s="23">
        <f>A17+1</f>
        <v>11</v>
      </c>
      <c r="B19" s="38" t="s">
        <v>12</v>
      </c>
      <c r="C19" s="23" t="s">
        <v>19</v>
      </c>
      <c r="D19" s="23"/>
      <c r="E19" s="23"/>
      <c r="F19" s="23"/>
      <c r="G19" s="23">
        <f t="shared" ref="G19:H22" si="13">IF(D19&gt;5,(D19-5)*2,0)</f>
        <v>0</v>
      </c>
      <c r="H19" s="23">
        <f t="shared" si="13"/>
        <v>0</v>
      </c>
      <c r="I19" s="23">
        <f t="shared" ref="I19:I22" si="14">IF(F19&gt;2,(F19-2)*1,0)</f>
        <v>0</v>
      </c>
      <c r="J19" s="23">
        <f t="shared" ref="J19:J22" si="15">SUM(G19:I19)</f>
        <v>0</v>
      </c>
      <c r="K19" s="23">
        <f>100-J19</f>
        <v>100</v>
      </c>
      <c r="L19" s="23" t="str">
        <f t="shared" ref="L19:L22" si="16">IF(K19&lt;71,"KL",IF(AND(K19&gt;=71,K19&lt;81),"C",IF(AND(K19&gt;=81,K19&lt;91),"B","A")))</f>
        <v>A</v>
      </c>
      <c r="M19" s="23" t="str">
        <f t="shared" ref="M19:M22" si="17">IF(L19="A","100% LTT",IF(L19="B","90% LTT",IF(L19="C","80% LTT","60% LTT")))</f>
        <v>100% LTT</v>
      </c>
    </row>
    <row r="20" spans="1:13" ht="19.5" customHeight="1" x14ac:dyDescent="0.3">
      <c r="A20" s="15">
        <f>A19+1</f>
        <v>12</v>
      </c>
      <c r="B20" s="16" t="s">
        <v>40</v>
      </c>
      <c r="C20" s="15" t="s">
        <v>19</v>
      </c>
      <c r="D20" s="15">
        <v>3</v>
      </c>
      <c r="E20" s="15"/>
      <c r="F20" s="15">
        <v>2</v>
      </c>
      <c r="G20" s="15">
        <f t="shared" si="13"/>
        <v>0</v>
      </c>
      <c r="H20" s="15">
        <f t="shared" si="13"/>
        <v>0</v>
      </c>
      <c r="I20" s="15">
        <f>IF(F20&gt;2,(F20-2)*1,0)</f>
        <v>0</v>
      </c>
      <c r="J20" s="15">
        <f t="shared" si="15"/>
        <v>0</v>
      </c>
      <c r="K20" s="15">
        <f>100-J20</f>
        <v>100</v>
      </c>
      <c r="L20" s="15" t="str">
        <f t="shared" si="16"/>
        <v>A</v>
      </c>
      <c r="M20" s="15" t="str">
        <f t="shared" si="17"/>
        <v>100% LTT</v>
      </c>
    </row>
    <row r="21" spans="1:13" ht="19.5" customHeight="1" x14ac:dyDescent="0.3">
      <c r="A21" s="15">
        <f t="shared" ref="A21:A22" si="18">A20+1</f>
        <v>13</v>
      </c>
      <c r="B21" s="16" t="s">
        <v>13</v>
      </c>
      <c r="C21" s="15" t="s">
        <v>19</v>
      </c>
      <c r="D21" s="15"/>
      <c r="E21" s="15"/>
      <c r="F21" s="15">
        <v>2</v>
      </c>
      <c r="G21" s="15">
        <f t="shared" si="13"/>
        <v>0</v>
      </c>
      <c r="H21" s="15">
        <f t="shared" si="13"/>
        <v>0</v>
      </c>
      <c r="I21" s="15">
        <f t="shared" si="14"/>
        <v>0</v>
      </c>
      <c r="J21" s="15">
        <f t="shared" si="15"/>
        <v>0</v>
      </c>
      <c r="K21" s="15">
        <f>100-J21</f>
        <v>100</v>
      </c>
      <c r="L21" s="15" t="str">
        <f t="shared" si="16"/>
        <v>A</v>
      </c>
      <c r="M21" s="15" t="str">
        <f t="shared" si="17"/>
        <v>100% LTT</v>
      </c>
    </row>
    <row r="22" spans="1:13" ht="19.5" customHeight="1" x14ac:dyDescent="0.3">
      <c r="A22" s="17">
        <f t="shared" si="18"/>
        <v>14</v>
      </c>
      <c r="B22" s="18" t="s">
        <v>14</v>
      </c>
      <c r="C22" s="17" t="s">
        <v>19</v>
      </c>
      <c r="D22" s="17"/>
      <c r="E22" s="17"/>
      <c r="F22" s="17"/>
      <c r="G22" s="17">
        <f t="shared" si="13"/>
        <v>0</v>
      </c>
      <c r="H22" s="17">
        <f t="shared" si="13"/>
        <v>0</v>
      </c>
      <c r="I22" s="17">
        <f t="shared" si="14"/>
        <v>0</v>
      </c>
      <c r="J22" s="17">
        <f t="shared" si="15"/>
        <v>0</v>
      </c>
      <c r="K22" s="17">
        <f>100-J22</f>
        <v>100</v>
      </c>
      <c r="L22" s="17" t="str">
        <f t="shared" si="16"/>
        <v>A</v>
      </c>
      <c r="M22" s="17" t="str">
        <f t="shared" si="17"/>
        <v>100% LTT</v>
      </c>
    </row>
    <row r="23" spans="1:13" ht="22.5" customHeight="1" x14ac:dyDescent="0.3">
      <c r="A23" s="180" t="s">
        <v>64</v>
      </c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</row>
    <row r="24" spans="1:13" ht="22.5" customHeight="1" x14ac:dyDescent="0.3">
      <c r="J24" s="185" t="s">
        <v>65</v>
      </c>
      <c r="K24" s="185"/>
      <c r="L24" s="185"/>
      <c r="M24" s="185"/>
    </row>
    <row r="25" spans="1:13" ht="22.5" customHeight="1" x14ac:dyDescent="0.3">
      <c r="B25" s="178" t="s">
        <v>22</v>
      </c>
      <c r="C25" s="178"/>
      <c r="D25" s="178"/>
      <c r="K25" s="178" t="s">
        <v>25</v>
      </c>
      <c r="L25" s="178"/>
      <c r="M25" s="178"/>
    </row>
    <row r="26" spans="1:13" ht="22.5" customHeight="1" x14ac:dyDescent="0.3">
      <c r="K26" s="43"/>
      <c r="L26" s="43"/>
    </row>
    <row r="27" spans="1:13" ht="22.5" customHeight="1" x14ac:dyDescent="0.3">
      <c r="K27" s="43"/>
      <c r="L27" s="43"/>
    </row>
    <row r="28" spans="1:13" ht="22.5" customHeight="1" x14ac:dyDescent="0.3">
      <c r="K28" s="43"/>
      <c r="L28" s="43"/>
    </row>
    <row r="29" spans="1:13" ht="22.5" customHeight="1" x14ac:dyDescent="0.3">
      <c r="B29" s="178" t="s">
        <v>28</v>
      </c>
      <c r="C29" s="178"/>
      <c r="D29" s="178"/>
      <c r="K29" s="178" t="s">
        <v>27</v>
      </c>
      <c r="L29" s="178"/>
      <c r="M29" s="178"/>
    </row>
    <row r="30" spans="1:13" ht="22.5" customHeight="1" x14ac:dyDescent="0.3">
      <c r="C30" s="1"/>
      <c r="D30" s="1"/>
    </row>
  </sheetData>
  <mergeCells count="24">
    <mergeCell ref="N4:N5"/>
    <mergeCell ref="B29:D29"/>
    <mergeCell ref="K29:M29"/>
    <mergeCell ref="A16:C16"/>
    <mergeCell ref="A18:C18"/>
    <mergeCell ref="A23:M23"/>
    <mergeCell ref="J24:M24"/>
    <mergeCell ref="B25:D25"/>
    <mergeCell ref="K25:M25"/>
    <mergeCell ref="A6:C6"/>
    <mergeCell ref="A1:M1"/>
    <mergeCell ref="A2:M2"/>
    <mergeCell ref="A3:M3"/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L4:L5"/>
    <mergeCell ref="M4:M5"/>
  </mergeCells>
  <pageMargins left="0.24" right="0.32" top="0.41" bottom="0.37" header="0.3" footer="0.3"/>
  <pageSetup paperSize="9" scale="80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"/>
  <sheetViews>
    <sheetView workbookViewId="0">
      <selection sqref="A1:XFD1048576"/>
    </sheetView>
  </sheetViews>
  <sheetFormatPr defaultColWidth="9.109375" defaultRowHeight="16.8" x14ac:dyDescent="0.3"/>
  <cols>
    <col min="1" max="1" width="6.109375" style="2" customWidth="1"/>
    <col min="2" max="2" width="27.5546875" style="1" customWidth="1"/>
    <col min="3" max="3" width="16.33203125" style="2" customWidth="1"/>
    <col min="4" max="4" width="10.44140625" style="2" customWidth="1"/>
    <col min="5" max="5" width="10.6640625" style="2" customWidth="1"/>
    <col min="6" max="9" width="12.33203125" style="2" customWidth="1"/>
    <col min="10" max="11" width="14.5546875" style="2" customWidth="1"/>
    <col min="12" max="12" width="9.44140625" style="2" customWidth="1"/>
    <col min="13" max="13" width="17.33203125" style="2" customWidth="1"/>
    <col min="14" max="14" width="53.88671875" style="2" customWidth="1"/>
    <col min="15" max="16384" width="9.109375" style="1"/>
  </cols>
  <sheetData>
    <row r="1" spans="1:14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</row>
    <row r="2" spans="1:14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</row>
    <row r="3" spans="1:14" ht="22.5" customHeight="1" x14ac:dyDescent="0.3">
      <c r="A3" s="179" t="s">
        <v>67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</row>
    <row r="4" spans="1:14" s="3" customFormat="1" ht="22.5" customHeight="1" x14ac:dyDescent="0.3">
      <c r="A4" s="180" t="s">
        <v>0</v>
      </c>
      <c r="B4" s="180" t="s">
        <v>1</v>
      </c>
      <c r="C4" s="180" t="s">
        <v>2</v>
      </c>
      <c r="D4" s="180" t="s">
        <v>23</v>
      </c>
      <c r="E4" s="180"/>
      <c r="F4" s="180"/>
      <c r="G4" s="181" t="s">
        <v>29</v>
      </c>
      <c r="H4" s="181" t="s">
        <v>30</v>
      </c>
      <c r="I4" s="181" t="s">
        <v>31</v>
      </c>
      <c r="J4" s="181" t="s">
        <v>24</v>
      </c>
      <c r="K4" s="180" t="s">
        <v>6</v>
      </c>
      <c r="L4" s="180" t="s">
        <v>7</v>
      </c>
      <c r="M4" s="180" t="s">
        <v>8</v>
      </c>
      <c r="N4" s="183"/>
    </row>
    <row r="5" spans="1:14" s="3" customFormat="1" ht="38.25" customHeight="1" x14ac:dyDescent="0.3">
      <c r="A5" s="180"/>
      <c r="B5" s="180"/>
      <c r="C5" s="180"/>
      <c r="D5" s="46" t="s">
        <v>3</v>
      </c>
      <c r="E5" s="46" t="s">
        <v>4</v>
      </c>
      <c r="F5" s="46" t="s">
        <v>5</v>
      </c>
      <c r="G5" s="182"/>
      <c r="H5" s="182"/>
      <c r="I5" s="182"/>
      <c r="J5" s="182"/>
      <c r="K5" s="180"/>
      <c r="L5" s="180"/>
      <c r="M5" s="180"/>
      <c r="N5" s="183"/>
    </row>
    <row r="6" spans="1:14" ht="19.5" customHeight="1" x14ac:dyDescent="0.3">
      <c r="A6" s="184" t="s">
        <v>15</v>
      </c>
      <c r="B6" s="184"/>
      <c r="C6" s="18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4" ht="19.5" customHeight="1" x14ac:dyDescent="0.3">
      <c r="A7" s="23">
        <v>1</v>
      </c>
      <c r="B7" s="38" t="s">
        <v>9</v>
      </c>
      <c r="C7" s="23" t="s">
        <v>50</v>
      </c>
      <c r="D7" s="23"/>
      <c r="E7" s="23"/>
      <c r="F7" s="23"/>
      <c r="G7" s="23">
        <f>IF(D7&gt;5,(D7-5)*2,0)</f>
        <v>0</v>
      </c>
      <c r="H7" s="23">
        <f>IF(E7&gt;5,(E7-5)*2,0)</f>
        <v>0</v>
      </c>
      <c r="I7" s="23">
        <f>IF(F7&gt;2,(F7-2)*1,0)</f>
        <v>0</v>
      </c>
      <c r="J7" s="23">
        <f t="shared" ref="J7" si="0">SUM(G7:I7)</f>
        <v>0</v>
      </c>
      <c r="K7" s="23">
        <f t="shared" ref="K7:K15" si="1">100-J7</f>
        <v>100</v>
      </c>
      <c r="L7" s="23" t="str">
        <f>IF(K7&lt;71,"KL",IF(AND(K7&gt;=71,K7&lt;81),"C",IF(AND(K7&gt;=81,K7&lt;91),"B","A")))</f>
        <v>A</v>
      </c>
      <c r="M7" s="23" t="str">
        <f>IF(L7="A","100% LTT",IF(L7="B","90% LTT",IF(L7="C","80% LTT","60% LTT")))</f>
        <v>100% LTT</v>
      </c>
      <c r="N7" s="14"/>
    </row>
    <row r="8" spans="1:14" ht="19.5" customHeight="1" x14ac:dyDescent="0.3">
      <c r="A8" s="15">
        <f>A7+1</f>
        <v>2</v>
      </c>
      <c r="B8" s="16" t="s">
        <v>49</v>
      </c>
      <c r="C8" s="15" t="s">
        <v>19</v>
      </c>
      <c r="D8" s="15"/>
      <c r="E8" s="15"/>
      <c r="F8" s="15">
        <v>1</v>
      </c>
      <c r="G8" s="15">
        <f t="shared" ref="G8:H15" si="2">IF(D8&gt;5,(D8-5)*2,0)</f>
        <v>0</v>
      </c>
      <c r="H8" s="15">
        <f t="shared" si="2"/>
        <v>0</v>
      </c>
      <c r="I8" s="15">
        <f t="shared" ref="I8:I15" si="3">IF(F8&gt;2,(F8-2)*1,0)</f>
        <v>0</v>
      </c>
      <c r="J8" s="15">
        <f t="shared" ref="J8:J15" si="4">SUM(G8:I8)</f>
        <v>0</v>
      </c>
      <c r="K8" s="15">
        <f t="shared" si="1"/>
        <v>100</v>
      </c>
      <c r="L8" s="15" t="str">
        <f t="shared" ref="L8:L15" si="5">IF(K8&lt;71,"KL",IF(AND(K8&gt;=71,K8&lt;81),"C",IF(AND(K8&gt;=81,K8&lt;91),"B","A")))</f>
        <v>A</v>
      </c>
      <c r="M8" s="15" t="str">
        <f t="shared" ref="M8:M15" si="6">IF(L8="A","100% LTT",IF(L8="B","90% LTT",IF(L8="C","80% LTT","60% LTT")))</f>
        <v>100% LTT</v>
      </c>
      <c r="N8" s="11" t="s">
        <v>33</v>
      </c>
    </row>
    <row r="9" spans="1:14" ht="19.5" customHeight="1" x14ac:dyDescent="0.3">
      <c r="A9" s="15">
        <f t="shared" ref="A9:A15" si="7">A8+1</f>
        <v>3</v>
      </c>
      <c r="B9" s="16" t="s">
        <v>52</v>
      </c>
      <c r="C9" s="15" t="s">
        <v>19</v>
      </c>
      <c r="D9" s="15"/>
      <c r="E9" s="15"/>
      <c r="F9" s="15"/>
      <c r="G9" s="15">
        <f t="shared" si="2"/>
        <v>0</v>
      </c>
      <c r="H9" s="15">
        <f t="shared" si="2"/>
        <v>0</v>
      </c>
      <c r="I9" s="15">
        <f t="shared" si="3"/>
        <v>0</v>
      </c>
      <c r="J9" s="15">
        <f t="shared" si="4"/>
        <v>0</v>
      </c>
      <c r="K9" s="15">
        <f t="shared" si="1"/>
        <v>100</v>
      </c>
      <c r="L9" s="15" t="str">
        <f t="shared" si="5"/>
        <v>A</v>
      </c>
      <c r="M9" s="15" t="str">
        <f t="shared" si="6"/>
        <v>100% LTT</v>
      </c>
      <c r="N9" s="34"/>
    </row>
    <row r="10" spans="1:14" ht="19.5" customHeight="1" x14ac:dyDescent="0.3">
      <c r="A10" s="15">
        <f>A9+1</f>
        <v>4</v>
      </c>
      <c r="B10" s="16" t="s">
        <v>57</v>
      </c>
      <c r="C10" s="15" t="s">
        <v>19</v>
      </c>
      <c r="D10" s="15">
        <v>1</v>
      </c>
      <c r="E10" s="15"/>
      <c r="F10" s="15"/>
      <c r="G10" s="15">
        <f t="shared" si="2"/>
        <v>0</v>
      </c>
      <c r="H10" s="15">
        <f t="shared" si="2"/>
        <v>0</v>
      </c>
      <c r="I10" s="15">
        <f t="shared" si="3"/>
        <v>0</v>
      </c>
      <c r="J10" s="15">
        <f t="shared" si="4"/>
        <v>0</v>
      </c>
      <c r="K10" s="15">
        <f t="shared" si="1"/>
        <v>100</v>
      </c>
      <c r="L10" s="15" t="str">
        <f t="shared" si="5"/>
        <v>A</v>
      </c>
      <c r="M10" s="15" t="str">
        <f t="shared" si="6"/>
        <v>100% LTT</v>
      </c>
      <c r="N10" s="35"/>
    </row>
    <row r="11" spans="1:14" ht="19.5" customHeight="1" x14ac:dyDescent="0.3">
      <c r="A11" s="15">
        <f t="shared" si="7"/>
        <v>5</v>
      </c>
      <c r="B11" s="16" t="s">
        <v>58</v>
      </c>
      <c r="C11" s="15" t="s">
        <v>19</v>
      </c>
      <c r="D11" s="15"/>
      <c r="E11" s="15"/>
      <c r="F11" s="15"/>
      <c r="G11" s="15">
        <f t="shared" si="2"/>
        <v>0</v>
      </c>
      <c r="H11" s="15">
        <f t="shared" si="2"/>
        <v>0</v>
      </c>
      <c r="I11" s="15">
        <f t="shared" si="3"/>
        <v>0</v>
      </c>
      <c r="J11" s="15">
        <f t="shared" si="4"/>
        <v>0</v>
      </c>
      <c r="K11" s="15">
        <f t="shared" si="1"/>
        <v>100</v>
      </c>
      <c r="L11" s="15" t="str">
        <f t="shared" si="5"/>
        <v>A</v>
      </c>
      <c r="M11" s="15" t="str">
        <f t="shared" si="6"/>
        <v>100% LTT</v>
      </c>
      <c r="N11" s="35"/>
    </row>
    <row r="12" spans="1:14" ht="19.5" customHeight="1" x14ac:dyDescent="0.3">
      <c r="A12" s="15">
        <f t="shared" si="7"/>
        <v>6</v>
      </c>
      <c r="B12" s="16" t="s">
        <v>59</v>
      </c>
      <c r="C12" s="15" t="s">
        <v>19</v>
      </c>
      <c r="D12" s="15">
        <v>1</v>
      </c>
      <c r="E12" s="15"/>
      <c r="F12" s="15"/>
      <c r="G12" s="15">
        <f t="shared" si="2"/>
        <v>0</v>
      </c>
      <c r="H12" s="15">
        <f t="shared" si="2"/>
        <v>0</v>
      </c>
      <c r="I12" s="15">
        <f t="shared" si="3"/>
        <v>0</v>
      </c>
      <c r="J12" s="15">
        <f t="shared" si="4"/>
        <v>0</v>
      </c>
      <c r="K12" s="15">
        <f t="shared" si="1"/>
        <v>100</v>
      </c>
      <c r="L12" s="15" t="str">
        <f t="shared" si="5"/>
        <v>A</v>
      </c>
      <c r="M12" s="15" t="str">
        <f t="shared" si="6"/>
        <v>100% LTT</v>
      </c>
      <c r="N12" s="35"/>
    </row>
    <row r="13" spans="1:14" ht="19.5" customHeight="1" x14ac:dyDescent="0.3">
      <c r="A13" s="15">
        <f t="shared" si="7"/>
        <v>7</v>
      </c>
      <c r="B13" s="16" t="s">
        <v>53</v>
      </c>
      <c r="C13" s="15" t="s">
        <v>19</v>
      </c>
      <c r="D13" s="15"/>
      <c r="E13" s="15">
        <v>1</v>
      </c>
      <c r="F13" s="15"/>
      <c r="G13" s="15">
        <f t="shared" si="2"/>
        <v>0</v>
      </c>
      <c r="H13" s="15">
        <f t="shared" si="2"/>
        <v>0</v>
      </c>
      <c r="I13" s="15">
        <f t="shared" si="3"/>
        <v>0</v>
      </c>
      <c r="J13" s="15">
        <f t="shared" si="4"/>
        <v>0</v>
      </c>
      <c r="K13" s="15">
        <f t="shared" si="1"/>
        <v>100</v>
      </c>
      <c r="L13" s="15" t="str">
        <f t="shared" si="5"/>
        <v>A</v>
      </c>
      <c r="M13" s="15" t="str">
        <f t="shared" si="6"/>
        <v>100% LTT</v>
      </c>
      <c r="N13" s="35"/>
    </row>
    <row r="14" spans="1:14" ht="19.5" customHeight="1" x14ac:dyDescent="0.3">
      <c r="A14" s="15">
        <f t="shared" si="7"/>
        <v>8</v>
      </c>
      <c r="B14" s="16" t="s">
        <v>54</v>
      </c>
      <c r="C14" s="15" t="s">
        <v>19</v>
      </c>
      <c r="D14" s="15"/>
      <c r="E14" s="15"/>
      <c r="F14" s="15"/>
      <c r="G14" s="15">
        <f t="shared" si="2"/>
        <v>0</v>
      </c>
      <c r="H14" s="15">
        <f t="shared" si="2"/>
        <v>0</v>
      </c>
      <c r="I14" s="15">
        <f t="shared" si="3"/>
        <v>0</v>
      </c>
      <c r="J14" s="15">
        <f t="shared" si="4"/>
        <v>0</v>
      </c>
      <c r="K14" s="15">
        <f t="shared" si="1"/>
        <v>100</v>
      </c>
      <c r="L14" s="15" t="str">
        <f t="shared" si="5"/>
        <v>A</v>
      </c>
      <c r="M14" s="15" t="str">
        <f t="shared" si="6"/>
        <v>100% LTT</v>
      </c>
      <c r="N14" s="35"/>
    </row>
    <row r="15" spans="1:14" ht="19.5" customHeight="1" x14ac:dyDescent="0.3">
      <c r="A15" s="17">
        <f t="shared" si="7"/>
        <v>9</v>
      </c>
      <c r="B15" s="18" t="s">
        <v>11</v>
      </c>
      <c r="C15" s="17" t="s">
        <v>51</v>
      </c>
      <c r="D15" s="17"/>
      <c r="E15" s="17"/>
      <c r="F15" s="17">
        <v>2</v>
      </c>
      <c r="G15" s="17">
        <f t="shared" si="2"/>
        <v>0</v>
      </c>
      <c r="H15" s="17">
        <f t="shared" si="2"/>
        <v>0</v>
      </c>
      <c r="I15" s="17">
        <f t="shared" si="3"/>
        <v>0</v>
      </c>
      <c r="J15" s="17">
        <f t="shared" si="4"/>
        <v>0</v>
      </c>
      <c r="K15" s="17">
        <f t="shared" si="1"/>
        <v>100</v>
      </c>
      <c r="L15" s="17" t="str">
        <f t="shared" si="5"/>
        <v>A</v>
      </c>
      <c r="M15" s="17" t="str">
        <f t="shared" si="6"/>
        <v>100% LTT</v>
      </c>
      <c r="N15" s="35"/>
    </row>
    <row r="16" spans="1:14" ht="19.5" customHeight="1" x14ac:dyDescent="0.3">
      <c r="A16" s="184" t="s">
        <v>16</v>
      </c>
      <c r="B16" s="184"/>
      <c r="C16" s="18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ht="19.5" customHeight="1" x14ac:dyDescent="0.3">
      <c r="A17" s="17">
        <f>A15+1</f>
        <v>10</v>
      </c>
      <c r="B17" s="18" t="s">
        <v>28</v>
      </c>
      <c r="C17" s="17" t="s">
        <v>19</v>
      </c>
      <c r="D17" s="17"/>
      <c r="E17" s="17"/>
      <c r="F17" s="17">
        <v>1</v>
      </c>
      <c r="G17" s="17">
        <f t="shared" ref="G17:H17" si="8">IF(D17&gt;5,(D17-5)*2,0)</f>
        <v>0</v>
      </c>
      <c r="H17" s="17">
        <f t="shared" si="8"/>
        <v>0</v>
      </c>
      <c r="I17" s="17">
        <f t="shared" ref="I17" si="9">IF(F17&gt;2,(F17-2)*1,0)</f>
        <v>0</v>
      </c>
      <c r="J17" s="17">
        <f t="shared" ref="J17" si="10">SUM(G17:I17)</f>
        <v>0</v>
      </c>
      <c r="K17" s="17">
        <f>100-J17</f>
        <v>100</v>
      </c>
      <c r="L17" s="17" t="str">
        <f t="shared" ref="L17" si="11">IF(K17&lt;71,"KL",IF(AND(K17&gt;=71,K17&lt;81),"C",IF(AND(K17&gt;=81,K17&lt;91),"B","A")))</f>
        <v>A</v>
      </c>
      <c r="M17" s="17" t="str">
        <f t="shared" ref="M17" si="12">IF(L17="A","100% LTT",IF(L17="B","90% LTT",IF(L17="C","80% LTT","60% LTT")))</f>
        <v>100% LTT</v>
      </c>
    </row>
    <row r="18" spans="1:13" ht="19.5" customHeight="1" x14ac:dyDescent="0.3">
      <c r="A18" s="184" t="s">
        <v>17</v>
      </c>
      <c r="B18" s="184"/>
      <c r="C18" s="18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ht="19.5" customHeight="1" x14ac:dyDescent="0.3">
      <c r="A19" s="23">
        <f>A17+1</f>
        <v>11</v>
      </c>
      <c r="B19" s="38" t="s">
        <v>12</v>
      </c>
      <c r="C19" s="23" t="s">
        <v>19</v>
      </c>
      <c r="D19" s="23"/>
      <c r="E19" s="23"/>
      <c r="F19" s="23"/>
      <c r="G19" s="23">
        <f t="shared" ref="G19:H22" si="13">IF(D19&gt;5,(D19-5)*2,0)</f>
        <v>0</v>
      </c>
      <c r="H19" s="23">
        <f t="shared" si="13"/>
        <v>0</v>
      </c>
      <c r="I19" s="23">
        <f t="shared" ref="I19:I22" si="14">IF(F19&gt;2,(F19-2)*1,0)</f>
        <v>0</v>
      </c>
      <c r="J19" s="23">
        <f t="shared" ref="J19:J22" si="15">SUM(G19:I19)</f>
        <v>0</v>
      </c>
      <c r="K19" s="23">
        <f>100-J19</f>
        <v>100</v>
      </c>
      <c r="L19" s="23" t="str">
        <f t="shared" ref="L19:L22" si="16">IF(K19&lt;71,"KL",IF(AND(K19&gt;=71,K19&lt;81),"C",IF(AND(K19&gt;=81,K19&lt;91),"B","A")))</f>
        <v>A</v>
      </c>
      <c r="M19" s="23" t="str">
        <f t="shared" ref="M19:M22" si="17">IF(L19="A","100% LTT",IF(L19="B","90% LTT",IF(L19="C","80% LTT","60% LTT")))</f>
        <v>100% LTT</v>
      </c>
    </row>
    <row r="20" spans="1:13" ht="19.5" customHeight="1" x14ac:dyDescent="0.3">
      <c r="A20" s="15">
        <f>A19+1</f>
        <v>12</v>
      </c>
      <c r="B20" s="16" t="s">
        <v>40</v>
      </c>
      <c r="C20" s="15" t="s">
        <v>19</v>
      </c>
      <c r="D20" s="15"/>
      <c r="E20" s="15"/>
      <c r="F20" s="15"/>
      <c r="G20" s="15">
        <f t="shared" si="13"/>
        <v>0</v>
      </c>
      <c r="H20" s="15">
        <f t="shared" si="13"/>
        <v>0</v>
      </c>
      <c r="I20" s="15">
        <f>IF(F20&gt;2,(F20-2)*1,0)</f>
        <v>0</v>
      </c>
      <c r="J20" s="15">
        <f t="shared" si="15"/>
        <v>0</v>
      </c>
      <c r="K20" s="15">
        <f>100-J20</f>
        <v>100</v>
      </c>
      <c r="L20" s="15" t="str">
        <f t="shared" si="16"/>
        <v>A</v>
      </c>
      <c r="M20" s="15" t="str">
        <f t="shared" si="17"/>
        <v>100% LTT</v>
      </c>
    </row>
    <row r="21" spans="1:13" ht="19.5" customHeight="1" x14ac:dyDescent="0.3">
      <c r="A21" s="15">
        <f t="shared" ref="A21:A22" si="18">A20+1</f>
        <v>13</v>
      </c>
      <c r="B21" s="16" t="s">
        <v>13</v>
      </c>
      <c r="C21" s="15" t="s">
        <v>19</v>
      </c>
      <c r="D21" s="15">
        <v>1</v>
      </c>
      <c r="E21" s="15"/>
      <c r="F21" s="15">
        <v>2</v>
      </c>
      <c r="G21" s="15">
        <f t="shared" si="13"/>
        <v>0</v>
      </c>
      <c r="H21" s="15">
        <f t="shared" si="13"/>
        <v>0</v>
      </c>
      <c r="I21" s="15">
        <f t="shared" si="14"/>
        <v>0</v>
      </c>
      <c r="J21" s="15">
        <f t="shared" si="15"/>
        <v>0</v>
      </c>
      <c r="K21" s="15">
        <f>100-J21</f>
        <v>100</v>
      </c>
      <c r="L21" s="15" t="str">
        <f t="shared" si="16"/>
        <v>A</v>
      </c>
      <c r="M21" s="15" t="str">
        <f t="shared" si="17"/>
        <v>100% LTT</v>
      </c>
    </row>
    <row r="22" spans="1:13" ht="19.5" customHeight="1" x14ac:dyDescent="0.3">
      <c r="A22" s="17">
        <f t="shared" si="18"/>
        <v>14</v>
      </c>
      <c r="B22" s="18" t="s">
        <v>14</v>
      </c>
      <c r="C22" s="17" t="s">
        <v>19</v>
      </c>
      <c r="D22" s="17"/>
      <c r="E22" s="17"/>
      <c r="F22" s="17">
        <v>1</v>
      </c>
      <c r="G22" s="17">
        <f t="shared" si="13"/>
        <v>0</v>
      </c>
      <c r="H22" s="17">
        <f t="shared" si="13"/>
        <v>0</v>
      </c>
      <c r="I22" s="17">
        <f t="shared" si="14"/>
        <v>0</v>
      </c>
      <c r="J22" s="17">
        <f t="shared" si="15"/>
        <v>0</v>
      </c>
      <c r="K22" s="17">
        <f>100-J22</f>
        <v>100</v>
      </c>
      <c r="L22" s="17" t="str">
        <f t="shared" si="16"/>
        <v>A</v>
      </c>
      <c r="M22" s="17" t="str">
        <f t="shared" si="17"/>
        <v>100% LTT</v>
      </c>
    </row>
    <row r="23" spans="1:13" ht="22.5" customHeight="1" x14ac:dyDescent="0.3">
      <c r="A23" s="180" t="s">
        <v>64</v>
      </c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</row>
    <row r="24" spans="1:13" ht="22.5" customHeight="1" x14ac:dyDescent="0.3">
      <c r="J24" s="185" t="s">
        <v>65</v>
      </c>
      <c r="K24" s="185"/>
      <c r="L24" s="185"/>
      <c r="M24" s="185"/>
    </row>
    <row r="25" spans="1:13" ht="22.5" customHeight="1" x14ac:dyDescent="0.3">
      <c r="B25" s="178" t="s">
        <v>22</v>
      </c>
      <c r="C25" s="178"/>
      <c r="D25" s="178"/>
      <c r="K25" s="178" t="s">
        <v>25</v>
      </c>
      <c r="L25" s="178"/>
      <c r="M25" s="178"/>
    </row>
    <row r="26" spans="1:13" ht="22.5" customHeight="1" x14ac:dyDescent="0.3">
      <c r="K26" s="45"/>
      <c r="L26" s="45"/>
    </row>
    <row r="27" spans="1:13" ht="22.5" customHeight="1" x14ac:dyDescent="0.3">
      <c r="K27" s="45"/>
      <c r="L27" s="45"/>
    </row>
    <row r="28" spans="1:13" ht="22.5" customHeight="1" x14ac:dyDescent="0.3">
      <c r="K28" s="45"/>
      <c r="L28" s="45"/>
    </row>
    <row r="29" spans="1:13" ht="22.5" customHeight="1" x14ac:dyDescent="0.3">
      <c r="B29" s="178" t="s">
        <v>28</v>
      </c>
      <c r="C29" s="178"/>
      <c r="D29" s="178"/>
      <c r="K29" s="178" t="s">
        <v>27</v>
      </c>
      <c r="L29" s="178"/>
      <c r="M29" s="178"/>
    </row>
    <row r="30" spans="1:13" ht="22.5" customHeight="1" x14ac:dyDescent="0.3">
      <c r="C30" s="1"/>
      <c r="D30" s="1"/>
    </row>
  </sheetData>
  <mergeCells count="24">
    <mergeCell ref="N4:N5"/>
    <mergeCell ref="B29:D29"/>
    <mergeCell ref="K29:M29"/>
    <mergeCell ref="A16:C16"/>
    <mergeCell ref="A18:C18"/>
    <mergeCell ref="A23:M23"/>
    <mergeCell ref="J24:M24"/>
    <mergeCell ref="B25:D25"/>
    <mergeCell ref="K25:M25"/>
    <mergeCell ref="A6:C6"/>
    <mergeCell ref="A1:M1"/>
    <mergeCell ref="A2:M2"/>
    <mergeCell ref="A3:M3"/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L4:L5"/>
    <mergeCell ref="M4:M5"/>
  </mergeCells>
  <pageMargins left="0.24" right="0.26" top="0.4" bottom="0.4" header="0.3" footer="0.3"/>
  <pageSetup paperSize="9" scale="80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sqref="A1:XFD1048576"/>
    </sheetView>
  </sheetViews>
  <sheetFormatPr defaultColWidth="9.109375" defaultRowHeight="16.8" x14ac:dyDescent="0.3"/>
  <cols>
    <col min="1" max="1" width="6.109375" style="2" customWidth="1"/>
    <col min="2" max="2" width="27.5546875" style="1" customWidth="1"/>
    <col min="3" max="3" width="16.33203125" style="2" customWidth="1"/>
    <col min="4" max="4" width="10.44140625" style="2" customWidth="1"/>
    <col min="5" max="5" width="10.6640625" style="2" customWidth="1"/>
    <col min="6" max="9" width="12.33203125" style="2" customWidth="1"/>
    <col min="10" max="11" width="14.5546875" style="2" customWidth="1"/>
    <col min="12" max="12" width="9.44140625" style="2" customWidth="1"/>
    <col min="13" max="13" width="17.33203125" style="2" customWidth="1"/>
    <col min="14" max="14" width="53.88671875" style="2" customWidth="1"/>
    <col min="15" max="16384" width="9.109375" style="1"/>
  </cols>
  <sheetData>
    <row r="1" spans="1:14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</row>
    <row r="2" spans="1:14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</row>
    <row r="3" spans="1:14" ht="22.5" customHeight="1" x14ac:dyDescent="0.3">
      <c r="A3" s="179" t="s">
        <v>68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</row>
    <row r="4" spans="1:14" s="3" customFormat="1" ht="22.5" customHeight="1" x14ac:dyDescent="0.3">
      <c r="A4" s="180" t="s">
        <v>0</v>
      </c>
      <c r="B4" s="180" t="s">
        <v>1</v>
      </c>
      <c r="C4" s="180" t="s">
        <v>2</v>
      </c>
      <c r="D4" s="180" t="s">
        <v>23</v>
      </c>
      <c r="E4" s="180"/>
      <c r="F4" s="180"/>
      <c r="G4" s="181" t="s">
        <v>29</v>
      </c>
      <c r="H4" s="181" t="s">
        <v>30</v>
      </c>
      <c r="I4" s="181" t="s">
        <v>31</v>
      </c>
      <c r="J4" s="181" t="s">
        <v>24</v>
      </c>
      <c r="K4" s="180" t="s">
        <v>6</v>
      </c>
      <c r="L4" s="180" t="s">
        <v>7</v>
      </c>
      <c r="M4" s="180" t="s">
        <v>8</v>
      </c>
      <c r="N4" s="183"/>
    </row>
    <row r="5" spans="1:14" s="3" customFormat="1" ht="38.25" customHeight="1" x14ac:dyDescent="0.3">
      <c r="A5" s="180"/>
      <c r="B5" s="180"/>
      <c r="C5" s="180"/>
      <c r="D5" s="48" t="s">
        <v>3</v>
      </c>
      <c r="E5" s="48" t="s">
        <v>4</v>
      </c>
      <c r="F5" s="48" t="s">
        <v>5</v>
      </c>
      <c r="G5" s="182"/>
      <c r="H5" s="182"/>
      <c r="I5" s="182"/>
      <c r="J5" s="182"/>
      <c r="K5" s="180"/>
      <c r="L5" s="180"/>
      <c r="M5" s="180"/>
      <c r="N5" s="183"/>
    </row>
    <row r="6" spans="1:14" ht="19.5" customHeight="1" x14ac:dyDescent="0.3">
      <c r="A6" s="184" t="s">
        <v>15</v>
      </c>
      <c r="B6" s="184"/>
      <c r="C6" s="18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4" ht="19.5" customHeight="1" x14ac:dyDescent="0.3">
      <c r="A7" s="15">
        <v>1</v>
      </c>
      <c r="B7" s="16" t="s">
        <v>49</v>
      </c>
      <c r="C7" s="15" t="s">
        <v>19</v>
      </c>
      <c r="D7" s="15"/>
      <c r="E7" s="15"/>
      <c r="F7" s="15"/>
      <c r="G7" s="15">
        <f t="shared" ref="G7:H14" si="0">IF(D7&gt;5,(D7-5)*2,0)</f>
        <v>0</v>
      </c>
      <c r="H7" s="15">
        <f t="shared" si="0"/>
        <v>0</v>
      </c>
      <c r="I7" s="15">
        <f t="shared" ref="I7:I14" si="1">IF(F7&gt;2,(F7-2)*1,0)</f>
        <v>0</v>
      </c>
      <c r="J7" s="15">
        <f t="shared" ref="J7:J14" si="2">SUM(G7:I7)</f>
        <v>0</v>
      </c>
      <c r="K7" s="15">
        <f t="shared" ref="K7:K14" si="3">100-J7</f>
        <v>100</v>
      </c>
      <c r="L7" s="15" t="str">
        <f t="shared" ref="L7:L14" si="4">IF(K7&lt;71,"KL",IF(AND(K7&gt;=71,K7&lt;81),"C",IF(AND(K7&gt;=81,K7&lt;91),"B","A")))</f>
        <v>A</v>
      </c>
      <c r="M7" s="15" t="str">
        <f t="shared" ref="M7:M14" si="5">IF(L7="A","100% LTT",IF(L7="B","90% LTT",IF(L7="C","80% LTT","60% LTT")))</f>
        <v>100% LTT</v>
      </c>
      <c r="N7" s="11" t="s">
        <v>33</v>
      </c>
    </row>
    <row r="8" spans="1:14" ht="19.5" customHeight="1" x14ac:dyDescent="0.3">
      <c r="A8" s="15">
        <f t="shared" ref="A8:A14" si="6">A7+1</f>
        <v>2</v>
      </c>
      <c r="B8" s="16" t="s">
        <v>52</v>
      </c>
      <c r="C8" s="15" t="s">
        <v>19</v>
      </c>
      <c r="D8" s="15"/>
      <c r="E8" s="15"/>
      <c r="F8" s="15"/>
      <c r="G8" s="15">
        <f t="shared" si="0"/>
        <v>0</v>
      </c>
      <c r="H8" s="15">
        <f t="shared" si="0"/>
        <v>0</v>
      </c>
      <c r="I8" s="15">
        <f t="shared" si="1"/>
        <v>0</v>
      </c>
      <c r="J8" s="15">
        <f t="shared" si="2"/>
        <v>0</v>
      </c>
      <c r="K8" s="15">
        <f t="shared" si="3"/>
        <v>100</v>
      </c>
      <c r="L8" s="15" t="str">
        <f t="shared" si="4"/>
        <v>A</v>
      </c>
      <c r="M8" s="15" t="str">
        <f t="shared" si="5"/>
        <v>100% LTT</v>
      </c>
      <c r="N8" s="34"/>
    </row>
    <row r="9" spans="1:14" ht="19.5" customHeight="1" x14ac:dyDescent="0.3">
      <c r="A9" s="15">
        <f>A8+1</f>
        <v>3</v>
      </c>
      <c r="B9" s="16" t="s">
        <v>57</v>
      </c>
      <c r="C9" s="15" t="s">
        <v>19</v>
      </c>
      <c r="D9" s="15"/>
      <c r="E9" s="15"/>
      <c r="F9" s="15"/>
      <c r="G9" s="15">
        <f t="shared" si="0"/>
        <v>0</v>
      </c>
      <c r="H9" s="15">
        <f t="shared" si="0"/>
        <v>0</v>
      </c>
      <c r="I9" s="15">
        <f t="shared" si="1"/>
        <v>0</v>
      </c>
      <c r="J9" s="15">
        <f t="shared" si="2"/>
        <v>0</v>
      </c>
      <c r="K9" s="15">
        <f t="shared" si="3"/>
        <v>100</v>
      </c>
      <c r="L9" s="15" t="str">
        <f t="shared" si="4"/>
        <v>A</v>
      </c>
      <c r="M9" s="15" t="str">
        <f t="shared" si="5"/>
        <v>100% LTT</v>
      </c>
      <c r="N9" s="35"/>
    </row>
    <row r="10" spans="1:14" ht="19.5" customHeight="1" x14ac:dyDescent="0.3">
      <c r="A10" s="15">
        <f t="shared" si="6"/>
        <v>4</v>
      </c>
      <c r="B10" s="16" t="s">
        <v>58</v>
      </c>
      <c r="C10" s="15" t="s">
        <v>19</v>
      </c>
      <c r="D10" s="15"/>
      <c r="E10" s="15"/>
      <c r="F10" s="15"/>
      <c r="G10" s="15">
        <f t="shared" si="0"/>
        <v>0</v>
      </c>
      <c r="H10" s="15">
        <f t="shared" si="0"/>
        <v>0</v>
      </c>
      <c r="I10" s="15">
        <f t="shared" si="1"/>
        <v>0</v>
      </c>
      <c r="J10" s="15">
        <f t="shared" si="2"/>
        <v>0</v>
      </c>
      <c r="K10" s="15">
        <f t="shared" si="3"/>
        <v>100</v>
      </c>
      <c r="L10" s="15" t="str">
        <f t="shared" si="4"/>
        <v>A</v>
      </c>
      <c r="M10" s="15" t="str">
        <f t="shared" si="5"/>
        <v>100% LTT</v>
      </c>
      <c r="N10" s="35"/>
    </row>
    <row r="11" spans="1:14" ht="19.5" customHeight="1" x14ac:dyDescent="0.3">
      <c r="A11" s="15">
        <f t="shared" si="6"/>
        <v>5</v>
      </c>
      <c r="B11" s="16" t="s">
        <v>59</v>
      </c>
      <c r="C11" s="15" t="s">
        <v>19</v>
      </c>
      <c r="D11" s="15"/>
      <c r="E11" s="15"/>
      <c r="F11" s="15"/>
      <c r="G11" s="15">
        <f t="shared" si="0"/>
        <v>0</v>
      </c>
      <c r="H11" s="15">
        <f t="shared" si="0"/>
        <v>0</v>
      </c>
      <c r="I11" s="15">
        <f t="shared" si="1"/>
        <v>0</v>
      </c>
      <c r="J11" s="15">
        <f t="shared" si="2"/>
        <v>0</v>
      </c>
      <c r="K11" s="15">
        <f t="shared" si="3"/>
        <v>100</v>
      </c>
      <c r="L11" s="15" t="str">
        <f t="shared" si="4"/>
        <v>A</v>
      </c>
      <c r="M11" s="15" t="str">
        <f t="shared" si="5"/>
        <v>100% LTT</v>
      </c>
      <c r="N11" s="35"/>
    </row>
    <row r="12" spans="1:14" ht="19.5" customHeight="1" x14ac:dyDescent="0.3">
      <c r="A12" s="15">
        <f t="shared" si="6"/>
        <v>6</v>
      </c>
      <c r="B12" s="16" t="s">
        <v>53</v>
      </c>
      <c r="C12" s="15" t="s">
        <v>19</v>
      </c>
      <c r="D12" s="15"/>
      <c r="E12" s="15"/>
      <c r="F12" s="15"/>
      <c r="G12" s="15">
        <f t="shared" si="0"/>
        <v>0</v>
      </c>
      <c r="H12" s="15">
        <f t="shared" si="0"/>
        <v>0</v>
      </c>
      <c r="I12" s="15">
        <f t="shared" si="1"/>
        <v>0</v>
      </c>
      <c r="J12" s="15">
        <f t="shared" si="2"/>
        <v>0</v>
      </c>
      <c r="K12" s="15">
        <f t="shared" si="3"/>
        <v>100</v>
      </c>
      <c r="L12" s="15" t="str">
        <f t="shared" si="4"/>
        <v>A</v>
      </c>
      <c r="M12" s="15" t="str">
        <f t="shared" si="5"/>
        <v>100% LTT</v>
      </c>
      <c r="N12" s="35"/>
    </row>
    <row r="13" spans="1:14" ht="19.5" customHeight="1" x14ac:dyDescent="0.3">
      <c r="A13" s="15">
        <f t="shared" si="6"/>
        <v>7</v>
      </c>
      <c r="B13" s="16" t="s">
        <v>54</v>
      </c>
      <c r="C13" s="15" t="s">
        <v>19</v>
      </c>
      <c r="D13" s="15"/>
      <c r="E13" s="15"/>
      <c r="F13" s="15"/>
      <c r="G13" s="15">
        <f t="shared" si="0"/>
        <v>0</v>
      </c>
      <c r="H13" s="15">
        <f t="shared" si="0"/>
        <v>0</v>
      </c>
      <c r="I13" s="15">
        <f t="shared" si="1"/>
        <v>0</v>
      </c>
      <c r="J13" s="15">
        <f t="shared" si="2"/>
        <v>0</v>
      </c>
      <c r="K13" s="15">
        <f t="shared" si="3"/>
        <v>100</v>
      </c>
      <c r="L13" s="15" t="str">
        <f t="shared" si="4"/>
        <v>A</v>
      </c>
      <c r="M13" s="15" t="str">
        <f t="shared" si="5"/>
        <v>100% LTT</v>
      </c>
      <c r="N13" s="35"/>
    </row>
    <row r="14" spans="1:14" ht="19.5" customHeight="1" x14ac:dyDescent="0.3">
      <c r="A14" s="17">
        <f t="shared" si="6"/>
        <v>8</v>
      </c>
      <c r="B14" s="18" t="s">
        <v>11</v>
      </c>
      <c r="C14" s="17" t="s">
        <v>51</v>
      </c>
      <c r="D14" s="17"/>
      <c r="E14" s="17"/>
      <c r="F14" s="17">
        <v>3</v>
      </c>
      <c r="G14" s="17">
        <f t="shared" si="0"/>
        <v>0</v>
      </c>
      <c r="H14" s="17">
        <f t="shared" si="0"/>
        <v>0</v>
      </c>
      <c r="I14" s="17">
        <f t="shared" si="1"/>
        <v>1</v>
      </c>
      <c r="J14" s="17">
        <f t="shared" si="2"/>
        <v>1</v>
      </c>
      <c r="K14" s="17">
        <f t="shared" si="3"/>
        <v>99</v>
      </c>
      <c r="L14" s="17" t="str">
        <f t="shared" si="4"/>
        <v>A</v>
      </c>
      <c r="M14" s="17" t="str">
        <f t="shared" si="5"/>
        <v>100% LTT</v>
      </c>
      <c r="N14" s="35"/>
    </row>
    <row r="15" spans="1:14" ht="19.5" customHeight="1" x14ac:dyDescent="0.3">
      <c r="A15" s="184" t="s">
        <v>16</v>
      </c>
      <c r="B15" s="184"/>
      <c r="C15" s="18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4" ht="19.5" customHeight="1" x14ac:dyDescent="0.3">
      <c r="A16" s="17">
        <f>A14+1</f>
        <v>9</v>
      </c>
      <c r="B16" s="18" t="s">
        <v>28</v>
      </c>
      <c r="C16" s="17" t="s">
        <v>19</v>
      </c>
      <c r="D16" s="17"/>
      <c r="E16" s="17"/>
      <c r="F16" s="17">
        <v>3</v>
      </c>
      <c r="G16" s="17">
        <f t="shared" ref="G16:H16" si="7">IF(D16&gt;5,(D16-5)*2,0)</f>
        <v>0</v>
      </c>
      <c r="H16" s="17">
        <f t="shared" si="7"/>
        <v>0</v>
      </c>
      <c r="I16" s="17">
        <f t="shared" ref="I16" si="8">IF(F16&gt;2,(F16-2)*1,0)</f>
        <v>1</v>
      </c>
      <c r="J16" s="17">
        <f t="shared" ref="J16" si="9">SUM(G16:I16)</f>
        <v>1</v>
      </c>
      <c r="K16" s="17">
        <f>100-J16</f>
        <v>99</v>
      </c>
      <c r="L16" s="17" t="str">
        <f t="shared" ref="L16" si="10">IF(K16&lt;71,"KL",IF(AND(K16&gt;=71,K16&lt;81),"C",IF(AND(K16&gt;=81,K16&lt;91),"B","A")))</f>
        <v>A</v>
      </c>
      <c r="M16" s="17" t="str">
        <f t="shared" ref="M16" si="11">IF(L16="A","100% LTT",IF(L16="B","90% LTT",IF(L16="C","80% LTT","60% LTT")))</f>
        <v>100% LTT</v>
      </c>
    </row>
    <row r="17" spans="1:13" ht="19.5" customHeight="1" x14ac:dyDescent="0.3">
      <c r="A17" s="184" t="s">
        <v>17</v>
      </c>
      <c r="B17" s="184"/>
      <c r="C17" s="18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ht="19.5" customHeight="1" x14ac:dyDescent="0.3">
      <c r="A18" s="23">
        <f>A16+1</f>
        <v>10</v>
      </c>
      <c r="B18" s="38" t="s">
        <v>12</v>
      </c>
      <c r="C18" s="23" t="s">
        <v>19</v>
      </c>
      <c r="D18" s="23">
        <v>1</v>
      </c>
      <c r="E18" s="23"/>
      <c r="F18" s="23"/>
      <c r="G18" s="23">
        <f t="shared" ref="G18:H21" si="12">IF(D18&gt;5,(D18-5)*2,0)</f>
        <v>0</v>
      </c>
      <c r="H18" s="23">
        <f t="shared" si="12"/>
        <v>0</v>
      </c>
      <c r="I18" s="23">
        <f t="shared" ref="I18:I21" si="13">IF(F18&gt;2,(F18-2)*1,0)</f>
        <v>0</v>
      </c>
      <c r="J18" s="23">
        <f t="shared" ref="J18:J21" si="14">SUM(G18:I18)</f>
        <v>0</v>
      </c>
      <c r="K18" s="23">
        <f>100-J18</f>
        <v>100</v>
      </c>
      <c r="L18" s="23" t="str">
        <f t="shared" ref="L18:L21" si="15">IF(K18&lt;71,"KL",IF(AND(K18&gt;=71,K18&lt;81),"C",IF(AND(K18&gt;=81,K18&lt;91),"B","A")))</f>
        <v>A</v>
      </c>
      <c r="M18" s="23" t="str">
        <f t="shared" ref="M18:M21" si="16">IF(L18="A","100% LTT",IF(L18="B","90% LTT",IF(L18="C","80% LTT","60% LTT")))</f>
        <v>100% LTT</v>
      </c>
    </row>
    <row r="19" spans="1:13" ht="19.5" customHeight="1" x14ac:dyDescent="0.3">
      <c r="A19" s="15">
        <f>A18+1</f>
        <v>11</v>
      </c>
      <c r="B19" s="16" t="s">
        <v>40</v>
      </c>
      <c r="C19" s="15" t="s">
        <v>19</v>
      </c>
      <c r="D19" s="15"/>
      <c r="E19" s="15"/>
      <c r="F19" s="15"/>
      <c r="G19" s="15">
        <f t="shared" si="12"/>
        <v>0</v>
      </c>
      <c r="H19" s="15">
        <f t="shared" si="12"/>
        <v>0</v>
      </c>
      <c r="I19" s="15">
        <f>IF(F19&gt;2,(F19-2)*1,0)</f>
        <v>0</v>
      </c>
      <c r="J19" s="15">
        <f t="shared" si="14"/>
        <v>0</v>
      </c>
      <c r="K19" s="15">
        <f>100-J19</f>
        <v>100</v>
      </c>
      <c r="L19" s="15" t="str">
        <f t="shared" si="15"/>
        <v>A</v>
      </c>
      <c r="M19" s="15" t="str">
        <f t="shared" si="16"/>
        <v>100% LTT</v>
      </c>
    </row>
    <row r="20" spans="1:13" ht="19.5" customHeight="1" x14ac:dyDescent="0.3">
      <c r="A20" s="15">
        <f t="shared" ref="A20:A21" si="17">A19+1</f>
        <v>12</v>
      </c>
      <c r="B20" s="16" t="s">
        <v>13</v>
      </c>
      <c r="C20" s="15" t="s">
        <v>19</v>
      </c>
      <c r="D20" s="15"/>
      <c r="E20" s="15"/>
      <c r="F20" s="15">
        <v>1</v>
      </c>
      <c r="G20" s="15">
        <f t="shared" si="12"/>
        <v>0</v>
      </c>
      <c r="H20" s="15">
        <f t="shared" si="12"/>
        <v>0</v>
      </c>
      <c r="I20" s="15">
        <f t="shared" si="13"/>
        <v>0</v>
      </c>
      <c r="J20" s="15">
        <f t="shared" si="14"/>
        <v>0</v>
      </c>
      <c r="K20" s="15">
        <f>100-J20</f>
        <v>100</v>
      </c>
      <c r="L20" s="15" t="str">
        <f t="shared" si="15"/>
        <v>A</v>
      </c>
      <c r="M20" s="15" t="str">
        <f t="shared" si="16"/>
        <v>100% LTT</v>
      </c>
    </row>
    <row r="21" spans="1:13" ht="19.5" customHeight="1" x14ac:dyDescent="0.3">
      <c r="A21" s="17">
        <f t="shared" si="17"/>
        <v>13</v>
      </c>
      <c r="B21" s="18" t="s">
        <v>14</v>
      </c>
      <c r="C21" s="17" t="s">
        <v>19</v>
      </c>
      <c r="D21" s="17"/>
      <c r="E21" s="17"/>
      <c r="F21" s="17">
        <v>2</v>
      </c>
      <c r="G21" s="17">
        <f t="shared" si="12"/>
        <v>0</v>
      </c>
      <c r="H21" s="17">
        <f t="shared" si="12"/>
        <v>0</v>
      </c>
      <c r="I21" s="17">
        <f t="shared" si="13"/>
        <v>0</v>
      </c>
      <c r="J21" s="17">
        <f t="shared" si="14"/>
        <v>0</v>
      </c>
      <c r="K21" s="17">
        <f>100-J21</f>
        <v>100</v>
      </c>
      <c r="L21" s="17" t="str">
        <f t="shared" si="15"/>
        <v>A</v>
      </c>
      <c r="M21" s="17" t="str">
        <f t="shared" si="16"/>
        <v>100% LTT</v>
      </c>
    </row>
    <row r="22" spans="1:13" ht="22.5" customHeight="1" x14ac:dyDescent="0.3">
      <c r="A22" s="180" t="s">
        <v>55</v>
      </c>
      <c r="B22" s="180"/>
      <c r="C22" s="180"/>
      <c r="D22" s="180"/>
      <c r="E22" s="180"/>
      <c r="F22" s="180"/>
      <c r="G22" s="180"/>
      <c r="H22" s="180"/>
      <c r="I22" s="180"/>
      <c r="J22" s="180"/>
      <c r="K22" s="180"/>
      <c r="L22" s="180"/>
      <c r="M22" s="180"/>
    </row>
    <row r="23" spans="1:13" ht="22.5" customHeight="1" x14ac:dyDescent="0.3">
      <c r="J23" s="185" t="s">
        <v>65</v>
      </c>
      <c r="K23" s="185"/>
      <c r="L23" s="185"/>
      <c r="M23" s="185"/>
    </row>
    <row r="24" spans="1:13" ht="22.5" customHeight="1" x14ac:dyDescent="0.3">
      <c r="B24" s="178" t="s">
        <v>22</v>
      </c>
      <c r="C24" s="178"/>
      <c r="D24" s="178"/>
      <c r="K24" s="178" t="s">
        <v>25</v>
      </c>
      <c r="L24" s="178"/>
      <c r="M24" s="178"/>
    </row>
    <row r="25" spans="1:13" ht="22.5" customHeight="1" x14ac:dyDescent="0.3">
      <c r="K25" s="47"/>
      <c r="L25" s="47"/>
    </row>
    <row r="26" spans="1:13" ht="22.5" customHeight="1" x14ac:dyDescent="0.3">
      <c r="K26" s="47"/>
      <c r="L26" s="47"/>
    </row>
    <row r="27" spans="1:13" ht="22.5" customHeight="1" x14ac:dyDescent="0.3">
      <c r="K27" s="47"/>
      <c r="L27" s="47"/>
    </row>
    <row r="28" spans="1:13" ht="22.5" customHeight="1" x14ac:dyDescent="0.3">
      <c r="B28" s="178" t="s">
        <v>28</v>
      </c>
      <c r="C28" s="178"/>
      <c r="D28" s="178"/>
      <c r="K28" s="178" t="s">
        <v>27</v>
      </c>
      <c r="L28" s="178"/>
      <c r="M28" s="178"/>
    </row>
    <row r="29" spans="1:13" ht="22.5" customHeight="1" x14ac:dyDescent="0.3">
      <c r="C29" s="1"/>
      <c r="D29" s="1"/>
    </row>
  </sheetData>
  <mergeCells count="24">
    <mergeCell ref="A1:M1"/>
    <mergeCell ref="A2:M2"/>
    <mergeCell ref="A3:M3"/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L4:L5"/>
    <mergeCell ref="M4:M5"/>
    <mergeCell ref="N4:N5"/>
    <mergeCell ref="B28:D28"/>
    <mergeCell ref="K28:M28"/>
    <mergeCell ref="A15:C15"/>
    <mergeCell ref="A17:C17"/>
    <mergeCell ref="A22:M22"/>
    <mergeCell ref="J23:M23"/>
    <mergeCell ref="B24:D24"/>
    <mergeCell ref="K24:M24"/>
    <mergeCell ref="A6:C6"/>
  </mergeCells>
  <pageMargins left="0.28999999999999998" right="0.28999999999999998" top="0.31" bottom="0.4" header="0.3" footer="0.3"/>
  <pageSetup paperSize="9" scale="80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workbookViewId="0">
      <pane xSplit="2" ySplit="6" topLeftCell="C10" activePane="bottomRight" state="frozen"/>
      <selection pane="topRight" activeCell="C1" sqref="C1"/>
      <selection pane="bottomLeft" activeCell="A7" sqref="A7"/>
      <selection pane="bottomRight" activeCell="C19" sqref="C19"/>
    </sheetView>
  </sheetViews>
  <sheetFormatPr defaultColWidth="9.109375" defaultRowHeight="16.8" x14ac:dyDescent="0.3"/>
  <cols>
    <col min="1" max="1" width="6.109375" style="2" customWidth="1"/>
    <col min="2" max="2" width="27.5546875" style="1" customWidth="1"/>
    <col min="3" max="3" width="16.33203125" style="2" customWidth="1"/>
    <col min="4" max="4" width="10.44140625" style="2" customWidth="1"/>
    <col min="5" max="5" width="10.6640625" style="2" customWidth="1"/>
    <col min="6" max="9" width="12.33203125" style="2" customWidth="1"/>
    <col min="10" max="11" width="14.5546875" style="2" customWidth="1"/>
    <col min="12" max="12" width="9.44140625" style="2" customWidth="1"/>
    <col min="13" max="13" width="17.33203125" style="2" customWidth="1"/>
    <col min="14" max="14" width="53.88671875" style="2" customWidth="1"/>
    <col min="15" max="16384" width="9.109375" style="1"/>
  </cols>
  <sheetData>
    <row r="1" spans="1:14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</row>
    <row r="2" spans="1:14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</row>
    <row r="3" spans="1:14" ht="22.5" customHeight="1" x14ac:dyDescent="0.3">
      <c r="A3" s="179" t="s">
        <v>69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</row>
    <row r="4" spans="1:14" s="3" customFormat="1" ht="22.5" customHeight="1" x14ac:dyDescent="0.3">
      <c r="A4" s="180" t="s">
        <v>0</v>
      </c>
      <c r="B4" s="180" t="s">
        <v>1</v>
      </c>
      <c r="C4" s="180" t="s">
        <v>2</v>
      </c>
      <c r="D4" s="180" t="s">
        <v>23</v>
      </c>
      <c r="E4" s="180"/>
      <c r="F4" s="180"/>
      <c r="G4" s="181" t="s">
        <v>29</v>
      </c>
      <c r="H4" s="181" t="s">
        <v>30</v>
      </c>
      <c r="I4" s="181" t="s">
        <v>31</v>
      </c>
      <c r="J4" s="181" t="s">
        <v>24</v>
      </c>
      <c r="K4" s="180" t="s">
        <v>6</v>
      </c>
      <c r="L4" s="180" t="s">
        <v>7</v>
      </c>
      <c r="M4" s="180" t="s">
        <v>8</v>
      </c>
      <c r="N4" s="183"/>
    </row>
    <row r="5" spans="1:14" s="3" customFormat="1" ht="38.25" customHeight="1" x14ac:dyDescent="0.3">
      <c r="A5" s="180"/>
      <c r="B5" s="180"/>
      <c r="C5" s="180"/>
      <c r="D5" s="50" t="s">
        <v>3</v>
      </c>
      <c r="E5" s="50" t="s">
        <v>4</v>
      </c>
      <c r="F5" s="50" t="s">
        <v>5</v>
      </c>
      <c r="G5" s="182"/>
      <c r="H5" s="182"/>
      <c r="I5" s="182"/>
      <c r="J5" s="182"/>
      <c r="K5" s="180"/>
      <c r="L5" s="180"/>
      <c r="M5" s="180"/>
      <c r="N5" s="183"/>
    </row>
    <row r="6" spans="1:14" ht="19.5" customHeight="1" x14ac:dyDescent="0.3">
      <c r="A6" s="184" t="s">
        <v>15</v>
      </c>
      <c r="B6" s="184"/>
      <c r="C6" s="18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4" ht="19.5" customHeight="1" x14ac:dyDescent="0.3">
      <c r="A7" s="15">
        <v>1</v>
      </c>
      <c r="B7" s="16" t="s">
        <v>49</v>
      </c>
      <c r="C7" s="15" t="s">
        <v>19</v>
      </c>
      <c r="D7" s="15"/>
      <c r="E7" s="15"/>
      <c r="F7" s="15"/>
      <c r="G7" s="15">
        <f t="shared" ref="G7:H14" si="0">IF(D7&gt;5,(D7-5)*2,0)</f>
        <v>0</v>
      </c>
      <c r="H7" s="15">
        <f t="shared" si="0"/>
        <v>0</v>
      </c>
      <c r="I7" s="15">
        <f t="shared" ref="I7:I14" si="1">IF(F7&gt;2,(F7-2)*1,0)</f>
        <v>0</v>
      </c>
      <c r="J7" s="15">
        <f>SUM(G7:I7)</f>
        <v>0</v>
      </c>
      <c r="K7" s="15">
        <f t="shared" ref="K7:K14" si="2">100-J7</f>
        <v>100</v>
      </c>
      <c r="L7" s="15" t="str">
        <f t="shared" ref="L7:L14" si="3">IF(K7&lt;71,"KL",IF(AND(K7&gt;=71,K7&lt;81),"C",IF(AND(K7&gt;=81,K7&lt;91),"B","A")))</f>
        <v>A</v>
      </c>
      <c r="M7" s="15" t="str">
        <f t="shared" ref="M7:M14" si="4">IF(L7="A","100% LTT",IF(L7="B","90% LTT",IF(L7="C","80% LTT","60% LTT")))</f>
        <v>100% LTT</v>
      </c>
      <c r="N7" s="11" t="s">
        <v>33</v>
      </c>
    </row>
    <row r="8" spans="1:14" ht="19.5" customHeight="1" x14ac:dyDescent="0.3">
      <c r="A8" s="15">
        <f t="shared" ref="A8:A14" si="5">A7+1</f>
        <v>2</v>
      </c>
      <c r="B8" s="16" t="s">
        <v>52</v>
      </c>
      <c r="C8" s="15" t="s">
        <v>19</v>
      </c>
      <c r="D8" s="15"/>
      <c r="E8" s="15"/>
      <c r="F8" s="15"/>
      <c r="G8" s="15">
        <f t="shared" si="0"/>
        <v>0</v>
      </c>
      <c r="H8" s="15">
        <f t="shared" si="0"/>
        <v>0</v>
      </c>
      <c r="I8" s="15">
        <f t="shared" si="1"/>
        <v>0</v>
      </c>
      <c r="J8" s="15">
        <f t="shared" ref="J8:J14" si="6">SUM(G8:I8)</f>
        <v>0</v>
      </c>
      <c r="K8" s="15">
        <f t="shared" si="2"/>
        <v>100</v>
      </c>
      <c r="L8" s="15" t="str">
        <f t="shared" si="3"/>
        <v>A</v>
      </c>
      <c r="M8" s="15" t="str">
        <f t="shared" si="4"/>
        <v>100% LTT</v>
      </c>
      <c r="N8" s="34"/>
    </row>
    <row r="9" spans="1:14" ht="19.5" customHeight="1" x14ac:dyDescent="0.3">
      <c r="A9" s="15">
        <f>A8+1</f>
        <v>3</v>
      </c>
      <c r="B9" s="16" t="s">
        <v>57</v>
      </c>
      <c r="C9" s="15" t="s">
        <v>19</v>
      </c>
      <c r="D9" s="15"/>
      <c r="E9" s="15"/>
      <c r="F9" s="15"/>
      <c r="G9" s="15">
        <f t="shared" si="0"/>
        <v>0</v>
      </c>
      <c r="H9" s="15">
        <f t="shared" si="0"/>
        <v>0</v>
      </c>
      <c r="I9" s="15">
        <f t="shared" si="1"/>
        <v>0</v>
      </c>
      <c r="J9" s="15">
        <f t="shared" si="6"/>
        <v>0</v>
      </c>
      <c r="K9" s="15">
        <f t="shared" si="2"/>
        <v>100</v>
      </c>
      <c r="L9" s="15" t="str">
        <f t="shared" si="3"/>
        <v>A</v>
      </c>
      <c r="M9" s="15" t="str">
        <f t="shared" si="4"/>
        <v>100% LTT</v>
      </c>
      <c r="N9" s="35"/>
    </row>
    <row r="10" spans="1:14" ht="19.5" customHeight="1" x14ac:dyDescent="0.3">
      <c r="A10" s="15">
        <f t="shared" si="5"/>
        <v>4</v>
      </c>
      <c r="B10" s="16" t="s">
        <v>58</v>
      </c>
      <c r="C10" s="15" t="s">
        <v>19</v>
      </c>
      <c r="D10" s="15"/>
      <c r="E10" s="15"/>
      <c r="F10" s="15"/>
      <c r="G10" s="15">
        <f t="shared" si="0"/>
        <v>0</v>
      </c>
      <c r="H10" s="15">
        <f t="shared" si="0"/>
        <v>0</v>
      </c>
      <c r="I10" s="15">
        <f t="shared" si="1"/>
        <v>0</v>
      </c>
      <c r="J10" s="15">
        <f t="shared" si="6"/>
        <v>0</v>
      </c>
      <c r="K10" s="15">
        <f t="shared" si="2"/>
        <v>100</v>
      </c>
      <c r="L10" s="15" t="str">
        <f t="shared" si="3"/>
        <v>A</v>
      </c>
      <c r="M10" s="15" t="str">
        <f t="shared" si="4"/>
        <v>100% LTT</v>
      </c>
      <c r="N10" s="35"/>
    </row>
    <row r="11" spans="1:14" ht="19.5" customHeight="1" x14ac:dyDescent="0.3">
      <c r="A11" s="15">
        <f t="shared" si="5"/>
        <v>5</v>
      </c>
      <c r="B11" s="16" t="s">
        <v>59</v>
      </c>
      <c r="C11" s="15" t="s">
        <v>19</v>
      </c>
      <c r="D11" s="15"/>
      <c r="E11" s="15"/>
      <c r="F11" s="15"/>
      <c r="G11" s="15">
        <f t="shared" si="0"/>
        <v>0</v>
      </c>
      <c r="H11" s="15">
        <f t="shared" si="0"/>
        <v>0</v>
      </c>
      <c r="I11" s="15">
        <f t="shared" si="1"/>
        <v>0</v>
      </c>
      <c r="J11" s="15">
        <f t="shared" si="6"/>
        <v>0</v>
      </c>
      <c r="K11" s="15">
        <f t="shared" si="2"/>
        <v>100</v>
      </c>
      <c r="L11" s="15" t="str">
        <f t="shared" si="3"/>
        <v>A</v>
      </c>
      <c r="M11" s="15" t="str">
        <f t="shared" si="4"/>
        <v>100% LTT</v>
      </c>
      <c r="N11" s="35"/>
    </row>
    <row r="12" spans="1:14" ht="19.5" customHeight="1" x14ac:dyDescent="0.3">
      <c r="A12" s="15">
        <f t="shared" si="5"/>
        <v>6</v>
      </c>
      <c r="B12" s="16" t="s">
        <v>53</v>
      </c>
      <c r="C12" s="15" t="s">
        <v>19</v>
      </c>
      <c r="D12" s="15"/>
      <c r="E12" s="15"/>
      <c r="F12" s="15"/>
      <c r="G12" s="15">
        <f t="shared" si="0"/>
        <v>0</v>
      </c>
      <c r="H12" s="15">
        <f t="shared" si="0"/>
        <v>0</v>
      </c>
      <c r="I12" s="15">
        <f t="shared" si="1"/>
        <v>0</v>
      </c>
      <c r="J12" s="15">
        <f t="shared" si="6"/>
        <v>0</v>
      </c>
      <c r="K12" s="15">
        <f t="shared" si="2"/>
        <v>100</v>
      </c>
      <c r="L12" s="15" t="str">
        <f t="shared" si="3"/>
        <v>A</v>
      </c>
      <c r="M12" s="15" t="str">
        <f t="shared" si="4"/>
        <v>100% LTT</v>
      </c>
      <c r="N12" s="35"/>
    </row>
    <row r="13" spans="1:14" ht="19.5" customHeight="1" x14ac:dyDescent="0.3">
      <c r="A13" s="15">
        <f t="shared" si="5"/>
        <v>7</v>
      </c>
      <c r="B13" s="16" t="s">
        <v>54</v>
      </c>
      <c r="C13" s="15" t="s">
        <v>19</v>
      </c>
      <c r="D13" s="15"/>
      <c r="E13" s="15"/>
      <c r="F13" s="15"/>
      <c r="G13" s="15">
        <f t="shared" si="0"/>
        <v>0</v>
      </c>
      <c r="H13" s="15">
        <f t="shared" si="0"/>
        <v>0</v>
      </c>
      <c r="I13" s="15">
        <f t="shared" si="1"/>
        <v>0</v>
      </c>
      <c r="J13" s="15">
        <f t="shared" si="6"/>
        <v>0</v>
      </c>
      <c r="K13" s="15">
        <f t="shared" si="2"/>
        <v>100</v>
      </c>
      <c r="L13" s="15" t="str">
        <f t="shared" si="3"/>
        <v>A</v>
      </c>
      <c r="M13" s="15" t="str">
        <f t="shared" si="4"/>
        <v>100% LTT</v>
      </c>
      <c r="N13" s="35"/>
    </row>
    <row r="14" spans="1:14" ht="19.5" customHeight="1" x14ac:dyDescent="0.3">
      <c r="A14" s="17">
        <f t="shared" si="5"/>
        <v>8</v>
      </c>
      <c r="B14" s="18" t="s">
        <v>11</v>
      </c>
      <c r="C14" s="17" t="s">
        <v>51</v>
      </c>
      <c r="D14" s="17">
        <v>4</v>
      </c>
      <c r="E14" s="17"/>
      <c r="F14" s="17">
        <v>1</v>
      </c>
      <c r="G14" s="17">
        <f t="shared" si="0"/>
        <v>0</v>
      </c>
      <c r="H14" s="17">
        <f t="shared" si="0"/>
        <v>0</v>
      </c>
      <c r="I14" s="17">
        <f t="shared" si="1"/>
        <v>0</v>
      </c>
      <c r="J14" s="17">
        <f t="shared" si="6"/>
        <v>0</v>
      </c>
      <c r="K14" s="17">
        <f t="shared" si="2"/>
        <v>100</v>
      </c>
      <c r="L14" s="17" t="str">
        <f t="shared" si="3"/>
        <v>A</v>
      </c>
      <c r="M14" s="17" t="str">
        <f t="shared" si="4"/>
        <v>100% LTT</v>
      </c>
      <c r="N14" s="35"/>
    </row>
    <row r="15" spans="1:14" ht="19.5" customHeight="1" x14ac:dyDescent="0.3">
      <c r="A15" s="184" t="s">
        <v>16</v>
      </c>
      <c r="B15" s="184"/>
      <c r="C15" s="18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4" ht="19.5" customHeight="1" x14ac:dyDescent="0.3">
      <c r="A16" s="17">
        <f>A14+1</f>
        <v>9</v>
      </c>
      <c r="B16" s="18" t="s">
        <v>28</v>
      </c>
      <c r="C16" s="17" t="s">
        <v>19</v>
      </c>
      <c r="D16" s="17"/>
      <c r="E16" s="17"/>
      <c r="F16" s="17">
        <v>2</v>
      </c>
      <c r="G16" s="17">
        <f t="shared" ref="G16:H16" si="7">IF(D16&gt;5,(D16-5)*2,0)</f>
        <v>0</v>
      </c>
      <c r="H16" s="17">
        <f t="shared" si="7"/>
        <v>0</v>
      </c>
      <c r="I16" s="17">
        <f t="shared" ref="I16" si="8">IF(F16&gt;2,(F16-2)*1,0)</f>
        <v>0</v>
      </c>
      <c r="J16" s="17">
        <f t="shared" ref="J16" si="9">SUM(G16:I16)</f>
        <v>0</v>
      </c>
      <c r="K16" s="17">
        <f>100-J16</f>
        <v>100</v>
      </c>
      <c r="L16" s="17" t="str">
        <f t="shared" ref="L16" si="10">IF(K16&lt;71,"KL",IF(AND(K16&gt;=71,K16&lt;81),"C",IF(AND(K16&gt;=81,K16&lt;91),"B","A")))</f>
        <v>A</v>
      </c>
      <c r="M16" s="17" t="str">
        <f t="shared" ref="M16" si="11">IF(L16="A","100% LTT",IF(L16="B","90% LTT",IF(L16="C","80% LTT","60% LTT")))</f>
        <v>100% LTT</v>
      </c>
    </row>
    <row r="17" spans="1:13" ht="19.5" customHeight="1" x14ac:dyDescent="0.3">
      <c r="A17" s="184" t="s">
        <v>17</v>
      </c>
      <c r="B17" s="184"/>
      <c r="C17" s="18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ht="19.5" customHeight="1" x14ac:dyDescent="0.3">
      <c r="A18" s="23">
        <f>A16+1</f>
        <v>10</v>
      </c>
      <c r="B18" s="38" t="s">
        <v>12</v>
      </c>
      <c r="C18" s="23" t="s">
        <v>19</v>
      </c>
      <c r="D18" s="23"/>
      <c r="E18" s="23"/>
      <c r="F18" s="23"/>
      <c r="G18" s="23">
        <f t="shared" ref="G18:H20" si="12">IF(D18&gt;5,(D18-5)*2,0)</f>
        <v>0</v>
      </c>
      <c r="H18" s="23">
        <f t="shared" si="12"/>
        <v>0</v>
      </c>
      <c r="I18" s="23">
        <f t="shared" ref="I18:I20" si="13">IF(F18&gt;2,(F18-2)*1,0)</f>
        <v>0</v>
      </c>
      <c r="J18" s="23">
        <f t="shared" ref="J18:J20" si="14">SUM(G18:I18)</f>
        <v>0</v>
      </c>
      <c r="K18" s="23">
        <f>100-J18</f>
        <v>100</v>
      </c>
      <c r="L18" s="23" t="str">
        <f t="shared" ref="L18:L20" si="15">IF(K18&lt;71,"KL",IF(AND(K18&gt;=71,K18&lt;81),"C",IF(AND(K18&gt;=81,K18&lt;91),"B","A")))</f>
        <v>A</v>
      </c>
      <c r="M18" s="23" t="str">
        <f t="shared" ref="M18:M20" si="16">IF(L18="A","100% LTT",IF(L18="B","90% LTT",IF(L18="C","80% LTT","60% LTT")))</f>
        <v>100% LTT</v>
      </c>
    </row>
    <row r="19" spans="1:13" ht="19.5" customHeight="1" x14ac:dyDescent="0.3">
      <c r="A19" s="15">
        <f>A18+1</f>
        <v>11</v>
      </c>
      <c r="B19" s="16" t="s">
        <v>13</v>
      </c>
      <c r="C19" s="15" t="s">
        <v>19</v>
      </c>
      <c r="D19" s="15">
        <v>6</v>
      </c>
      <c r="E19" s="15"/>
      <c r="F19" s="15">
        <v>2</v>
      </c>
      <c r="G19" s="15">
        <f t="shared" si="12"/>
        <v>2</v>
      </c>
      <c r="H19" s="15">
        <f t="shared" si="12"/>
        <v>0</v>
      </c>
      <c r="I19" s="15">
        <f t="shared" si="13"/>
        <v>0</v>
      </c>
      <c r="J19" s="15">
        <f t="shared" si="14"/>
        <v>2</v>
      </c>
      <c r="K19" s="15">
        <f>100-J19</f>
        <v>98</v>
      </c>
      <c r="L19" s="15" t="str">
        <f t="shared" si="15"/>
        <v>A</v>
      </c>
      <c r="M19" s="15" t="str">
        <f t="shared" si="16"/>
        <v>100% LTT</v>
      </c>
    </row>
    <row r="20" spans="1:13" ht="19.5" customHeight="1" x14ac:dyDescent="0.3">
      <c r="A20" s="17">
        <f t="shared" ref="A20" si="17">A19+1</f>
        <v>12</v>
      </c>
      <c r="B20" s="18" t="s">
        <v>14</v>
      </c>
      <c r="C20" s="17" t="s">
        <v>19</v>
      </c>
      <c r="D20" s="17"/>
      <c r="E20" s="17"/>
      <c r="F20" s="17"/>
      <c r="G20" s="17">
        <f t="shared" si="12"/>
        <v>0</v>
      </c>
      <c r="H20" s="17">
        <f t="shared" si="12"/>
        <v>0</v>
      </c>
      <c r="I20" s="17">
        <f t="shared" si="13"/>
        <v>0</v>
      </c>
      <c r="J20" s="17">
        <f t="shared" si="14"/>
        <v>0</v>
      </c>
      <c r="K20" s="17">
        <f>100-J20</f>
        <v>100</v>
      </c>
      <c r="L20" s="17" t="str">
        <f t="shared" si="15"/>
        <v>A</v>
      </c>
      <c r="M20" s="17" t="str">
        <f t="shared" si="16"/>
        <v>100% LTT</v>
      </c>
    </row>
    <row r="21" spans="1:13" ht="22.5" customHeight="1" x14ac:dyDescent="0.3">
      <c r="A21" s="180" t="s">
        <v>94</v>
      </c>
      <c r="B21" s="180"/>
      <c r="C21" s="180"/>
      <c r="D21" s="180"/>
      <c r="E21" s="180"/>
      <c r="F21" s="180"/>
      <c r="G21" s="180"/>
      <c r="H21" s="180"/>
      <c r="I21" s="180"/>
      <c r="J21" s="180"/>
      <c r="K21" s="180"/>
      <c r="L21" s="180"/>
      <c r="M21" s="180"/>
    </row>
    <row r="22" spans="1:13" ht="22.5" customHeight="1" x14ac:dyDescent="0.3">
      <c r="J22" s="185" t="s">
        <v>65</v>
      </c>
      <c r="K22" s="185"/>
      <c r="L22" s="185"/>
      <c r="M22" s="185"/>
    </row>
    <row r="23" spans="1:13" ht="22.5" customHeight="1" x14ac:dyDescent="0.3">
      <c r="B23" s="178" t="s">
        <v>22</v>
      </c>
      <c r="C23" s="178"/>
      <c r="D23" s="178"/>
      <c r="K23" s="178" t="s">
        <v>25</v>
      </c>
      <c r="L23" s="178"/>
      <c r="M23" s="178"/>
    </row>
    <row r="24" spans="1:13" ht="22.5" customHeight="1" x14ac:dyDescent="0.3">
      <c r="K24" s="49"/>
      <c r="L24" s="49"/>
    </row>
    <row r="25" spans="1:13" ht="22.5" customHeight="1" x14ac:dyDescent="0.3">
      <c r="K25" s="49"/>
      <c r="L25" s="49"/>
    </row>
    <row r="26" spans="1:13" ht="22.5" customHeight="1" x14ac:dyDescent="0.3">
      <c r="K26" s="49"/>
      <c r="L26" s="49"/>
    </row>
    <row r="27" spans="1:13" ht="22.5" customHeight="1" x14ac:dyDescent="0.3">
      <c r="B27" s="178" t="s">
        <v>28</v>
      </c>
      <c r="C27" s="178"/>
      <c r="D27" s="178"/>
      <c r="K27" s="178" t="s">
        <v>27</v>
      </c>
      <c r="L27" s="178"/>
      <c r="M27" s="178"/>
    </row>
    <row r="28" spans="1:13" ht="22.5" customHeight="1" x14ac:dyDescent="0.3">
      <c r="C28" s="1"/>
      <c r="D28" s="1"/>
    </row>
  </sheetData>
  <mergeCells count="24">
    <mergeCell ref="N4:N5"/>
    <mergeCell ref="B27:D27"/>
    <mergeCell ref="K27:M27"/>
    <mergeCell ref="A15:C15"/>
    <mergeCell ref="A17:C17"/>
    <mergeCell ref="A21:M21"/>
    <mergeCell ref="J22:M22"/>
    <mergeCell ref="B23:D23"/>
    <mergeCell ref="K23:M23"/>
    <mergeCell ref="A6:C6"/>
    <mergeCell ref="A1:M1"/>
    <mergeCell ref="A2:M2"/>
    <mergeCell ref="A3:M3"/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L4:L5"/>
    <mergeCell ref="M4:M5"/>
  </mergeCells>
  <pageMargins left="0.28000000000000003" right="0.16" top="0.36" bottom="0.43" header="0.3" footer="0.3"/>
  <pageSetup paperSize="9" scale="80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K26"/>
  <sheetViews>
    <sheetView workbookViewId="0">
      <selection activeCell="F24" sqref="F24"/>
    </sheetView>
  </sheetViews>
  <sheetFormatPr defaultRowHeight="14.4" x14ac:dyDescent="0.3"/>
  <cols>
    <col min="1" max="1" width="18.77734375" customWidth="1"/>
    <col min="2" max="2" width="16.44140625" customWidth="1"/>
  </cols>
  <sheetData>
    <row r="6" spans="1:10" ht="45.6" customHeight="1" x14ac:dyDescent="0.3">
      <c r="A6" s="55" t="s">
        <v>93</v>
      </c>
      <c r="B6" s="55"/>
      <c r="C6" s="55" t="s">
        <v>74</v>
      </c>
      <c r="D6" s="55" t="s">
        <v>75</v>
      </c>
      <c r="E6" s="55" t="s">
        <v>80</v>
      </c>
      <c r="F6" s="55" t="s">
        <v>82</v>
      </c>
      <c r="G6" s="55" t="s">
        <v>87</v>
      </c>
      <c r="H6" s="55" t="s">
        <v>91</v>
      </c>
      <c r="I6" s="55" t="s">
        <v>92</v>
      </c>
      <c r="J6" s="55" t="s">
        <v>78</v>
      </c>
    </row>
    <row r="7" spans="1:10" x14ac:dyDescent="0.3">
      <c r="A7" s="51" t="s">
        <v>70</v>
      </c>
      <c r="B7" s="51" t="s">
        <v>76</v>
      </c>
      <c r="C7" s="51">
        <v>3</v>
      </c>
      <c r="D7" s="51">
        <v>3</v>
      </c>
      <c r="E7" s="51"/>
      <c r="F7" s="51"/>
      <c r="G7" s="51"/>
      <c r="H7" s="51"/>
      <c r="I7" s="51"/>
      <c r="J7" s="51">
        <f>SUM(C7:I7)</f>
        <v>6</v>
      </c>
    </row>
    <row r="8" spans="1:10" x14ac:dyDescent="0.3">
      <c r="A8" s="51" t="s">
        <v>83</v>
      </c>
      <c r="B8" s="51" t="s">
        <v>76</v>
      </c>
      <c r="C8" s="51"/>
      <c r="D8" s="51"/>
      <c r="E8" s="51"/>
      <c r="F8" s="51">
        <v>0.5</v>
      </c>
      <c r="G8" s="51"/>
      <c r="H8" s="51"/>
      <c r="I8" s="51"/>
      <c r="J8" s="51">
        <f t="shared" ref="J8:J9" si="0">SUM(C8:I8)</f>
        <v>0.5</v>
      </c>
    </row>
    <row r="9" spans="1:10" x14ac:dyDescent="0.3">
      <c r="A9" s="51" t="s">
        <v>84</v>
      </c>
      <c r="B9" s="51" t="s">
        <v>76</v>
      </c>
      <c r="C9" s="51"/>
      <c r="D9" s="51"/>
      <c r="E9" s="51"/>
      <c r="F9" s="51">
        <v>0.5</v>
      </c>
      <c r="G9" s="51"/>
      <c r="H9" s="51"/>
      <c r="I9" s="51"/>
      <c r="J9" s="51">
        <f t="shared" si="0"/>
        <v>0.5</v>
      </c>
    </row>
    <row r="10" spans="1:10" x14ac:dyDescent="0.3">
      <c r="A10" s="51" t="s">
        <v>71</v>
      </c>
      <c r="B10" s="51" t="s">
        <v>77</v>
      </c>
      <c r="C10" s="51">
        <v>2</v>
      </c>
      <c r="D10" s="51"/>
      <c r="E10" s="51"/>
      <c r="F10" s="51">
        <v>1</v>
      </c>
      <c r="G10" s="51"/>
      <c r="H10" s="51"/>
      <c r="I10" s="51"/>
      <c r="J10" s="51">
        <f>SUM(C10:I10)*0.03</f>
        <v>0.09</v>
      </c>
    </row>
    <row r="11" spans="1:10" s="54" customFormat="1" x14ac:dyDescent="0.3">
      <c r="A11" s="53" t="s">
        <v>72</v>
      </c>
      <c r="B11" s="53" t="s">
        <v>77</v>
      </c>
      <c r="C11" s="53">
        <v>1</v>
      </c>
      <c r="D11" s="53">
        <v>1</v>
      </c>
      <c r="E11" s="53">
        <v>1</v>
      </c>
      <c r="F11" s="53"/>
      <c r="G11" s="53"/>
      <c r="H11" s="53">
        <v>1</v>
      </c>
      <c r="I11" s="53"/>
      <c r="J11" s="53">
        <f>SUM(C11:I11)*0.8</f>
        <v>3.2</v>
      </c>
    </row>
    <row r="12" spans="1:10" s="54" customFormat="1" x14ac:dyDescent="0.3">
      <c r="A12" s="53" t="s">
        <v>81</v>
      </c>
      <c r="B12" s="53" t="s">
        <v>76</v>
      </c>
      <c r="C12" s="53">
        <v>1</v>
      </c>
      <c r="D12" s="53">
        <v>1</v>
      </c>
      <c r="E12" s="53">
        <v>1</v>
      </c>
      <c r="F12" s="53">
        <v>1</v>
      </c>
      <c r="G12" s="53"/>
      <c r="H12" s="53"/>
      <c r="I12" s="53"/>
      <c r="J12" s="53">
        <f t="shared" ref="J12:J25" si="1">SUM(C12:I12)</f>
        <v>4</v>
      </c>
    </row>
    <row r="13" spans="1:10" s="54" customFormat="1" x14ac:dyDescent="0.3">
      <c r="A13" s="53" t="s">
        <v>73</v>
      </c>
      <c r="B13" s="53" t="s">
        <v>76</v>
      </c>
      <c r="C13" s="53">
        <v>1</v>
      </c>
      <c r="D13" s="53">
        <v>1</v>
      </c>
      <c r="E13" s="53">
        <v>1</v>
      </c>
      <c r="F13" s="53">
        <v>0.5</v>
      </c>
      <c r="G13" s="53"/>
      <c r="H13" s="53">
        <v>1</v>
      </c>
      <c r="I13" s="53"/>
      <c r="J13" s="53">
        <f t="shared" si="1"/>
        <v>4.5</v>
      </c>
    </row>
    <row r="14" spans="1:10" x14ac:dyDescent="0.3">
      <c r="A14" s="51" t="s">
        <v>85</v>
      </c>
      <c r="B14" s="53" t="s">
        <v>76</v>
      </c>
      <c r="C14" s="51"/>
      <c r="D14" s="51"/>
      <c r="E14" s="51"/>
      <c r="F14" s="51">
        <v>0.5</v>
      </c>
      <c r="G14" s="51"/>
      <c r="H14" s="51"/>
      <c r="I14" s="51"/>
      <c r="J14" s="51">
        <f t="shared" si="1"/>
        <v>0.5</v>
      </c>
    </row>
    <row r="15" spans="1:10" x14ac:dyDescent="0.3">
      <c r="A15" s="51" t="s">
        <v>86</v>
      </c>
      <c r="B15" s="53" t="s">
        <v>76</v>
      </c>
      <c r="C15" s="51"/>
      <c r="D15" s="51"/>
      <c r="E15" s="51"/>
      <c r="F15" s="51">
        <v>1</v>
      </c>
      <c r="G15" s="51">
        <v>0.8</v>
      </c>
      <c r="H15" s="51"/>
      <c r="I15" s="51"/>
      <c r="J15" s="51">
        <f t="shared" si="1"/>
        <v>1.8</v>
      </c>
    </row>
    <row r="16" spans="1:10" s="54" customFormat="1" x14ac:dyDescent="0.3">
      <c r="A16" s="53" t="s">
        <v>88</v>
      </c>
      <c r="B16" s="53" t="s">
        <v>76</v>
      </c>
      <c r="C16" s="53"/>
      <c r="D16" s="53"/>
      <c r="E16" s="53"/>
      <c r="F16" s="53"/>
      <c r="G16" s="53">
        <v>1</v>
      </c>
      <c r="H16" s="53"/>
      <c r="I16" s="53"/>
      <c r="J16" s="53">
        <f t="shared" si="1"/>
        <v>1</v>
      </c>
    </row>
    <row r="17" spans="1:11" s="54" customFormat="1" x14ac:dyDescent="0.3">
      <c r="A17" s="53" t="s">
        <v>89</v>
      </c>
      <c r="B17" s="53" t="s">
        <v>76</v>
      </c>
      <c r="C17" s="53"/>
      <c r="D17" s="53"/>
      <c r="E17" s="53"/>
      <c r="F17" s="53"/>
      <c r="G17" s="53">
        <v>1</v>
      </c>
      <c r="H17" s="53"/>
      <c r="I17" s="53"/>
      <c r="J17" s="53">
        <f t="shared" si="1"/>
        <v>1</v>
      </c>
    </row>
    <row r="18" spans="1:11" s="54" customFormat="1" x14ac:dyDescent="0.3">
      <c r="A18" s="53" t="s">
        <v>90</v>
      </c>
      <c r="B18" s="53" t="s">
        <v>76</v>
      </c>
      <c r="C18" s="53">
        <v>0.5</v>
      </c>
      <c r="D18" s="53"/>
      <c r="E18" s="53"/>
      <c r="F18" s="53">
        <v>0.5</v>
      </c>
      <c r="G18" s="53"/>
      <c r="H18" s="53"/>
      <c r="I18" s="53"/>
      <c r="J18" s="53">
        <f t="shared" si="1"/>
        <v>1</v>
      </c>
    </row>
    <row r="19" spans="1:11" x14ac:dyDescent="0.3">
      <c r="A19" s="51"/>
      <c r="B19" s="51"/>
      <c r="C19" s="51"/>
      <c r="D19" s="51"/>
      <c r="E19" s="51"/>
      <c r="F19" s="51"/>
      <c r="G19" s="51"/>
      <c r="H19" s="51"/>
      <c r="I19" s="51"/>
      <c r="J19" s="51">
        <f t="shared" si="1"/>
        <v>0</v>
      </c>
      <c r="K19">
        <f>J26-J7-J8-J9-J10-J14-J15</f>
        <v>14.7</v>
      </c>
    </row>
    <row r="20" spans="1:11" x14ac:dyDescent="0.3">
      <c r="A20" s="51"/>
      <c r="B20" s="51"/>
      <c r="C20" s="51"/>
      <c r="D20" s="51"/>
      <c r="E20" s="51"/>
      <c r="F20" s="51"/>
      <c r="G20" s="51"/>
      <c r="H20" s="51"/>
      <c r="I20" s="51"/>
      <c r="J20" s="51">
        <f t="shared" si="1"/>
        <v>0</v>
      </c>
    </row>
    <row r="21" spans="1:11" x14ac:dyDescent="0.3">
      <c r="A21" s="51"/>
      <c r="B21" s="51"/>
      <c r="C21" s="51"/>
      <c r="D21" s="51"/>
      <c r="E21" s="51"/>
      <c r="F21" s="51"/>
      <c r="G21" s="51"/>
      <c r="H21" s="51"/>
      <c r="I21" s="51"/>
      <c r="J21" s="51">
        <f t="shared" si="1"/>
        <v>0</v>
      </c>
    </row>
    <row r="22" spans="1:11" x14ac:dyDescent="0.3">
      <c r="A22" s="51"/>
      <c r="B22" s="51"/>
      <c r="C22" s="51"/>
      <c r="D22" s="51"/>
      <c r="E22" s="51"/>
      <c r="F22" s="51"/>
      <c r="G22" s="51"/>
      <c r="H22" s="51"/>
      <c r="I22" s="51"/>
      <c r="J22" s="51">
        <f t="shared" si="1"/>
        <v>0</v>
      </c>
    </row>
    <row r="23" spans="1:11" x14ac:dyDescent="0.3">
      <c r="A23" s="51"/>
      <c r="B23" s="51"/>
      <c r="C23" s="51"/>
      <c r="D23" s="51"/>
      <c r="E23" s="51"/>
      <c r="F23" s="51"/>
      <c r="G23" s="51"/>
      <c r="H23" s="51"/>
      <c r="I23" s="51"/>
      <c r="J23" s="51">
        <f t="shared" si="1"/>
        <v>0</v>
      </c>
    </row>
    <row r="24" spans="1:11" x14ac:dyDescent="0.3">
      <c r="A24" s="51"/>
      <c r="B24" s="51"/>
      <c r="C24" s="51"/>
      <c r="D24" s="51"/>
      <c r="E24" s="51"/>
      <c r="F24" s="51"/>
      <c r="G24" s="51"/>
      <c r="H24" s="51"/>
      <c r="I24" s="51"/>
      <c r="J24" s="51">
        <f t="shared" si="1"/>
        <v>0</v>
      </c>
    </row>
    <row r="25" spans="1:11" x14ac:dyDescent="0.3">
      <c r="A25" s="51"/>
      <c r="B25" s="51"/>
      <c r="C25" s="51"/>
      <c r="D25" s="51"/>
      <c r="E25" s="51"/>
      <c r="F25" s="51"/>
      <c r="G25" s="51"/>
      <c r="H25" s="51"/>
      <c r="I25" s="51"/>
      <c r="J25" s="51">
        <f t="shared" si="1"/>
        <v>0</v>
      </c>
    </row>
    <row r="26" spans="1:11" x14ac:dyDescent="0.3">
      <c r="A26" s="51" t="s">
        <v>79</v>
      </c>
      <c r="B26" s="51"/>
      <c r="C26" s="51"/>
      <c r="D26" s="51"/>
      <c r="E26" s="51"/>
      <c r="F26" s="51"/>
      <c r="G26" s="51"/>
      <c r="H26" s="51"/>
      <c r="I26" s="51"/>
      <c r="J26" s="52">
        <f>SUM(J7:J25)</f>
        <v>24.09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zoomScale="77" zoomScaleNormal="77" workbookViewId="0">
      <pane xSplit="1" ySplit="6" topLeftCell="B7" activePane="bottomRight" state="frozen"/>
      <selection pane="topRight" activeCell="B1" sqref="B1"/>
      <selection pane="bottomLeft" activeCell="A7" sqref="A7"/>
      <selection pane="bottomRight" sqref="A1:XFD1048576"/>
    </sheetView>
  </sheetViews>
  <sheetFormatPr defaultColWidth="9.109375" defaultRowHeight="16.8" x14ac:dyDescent="0.3"/>
  <cols>
    <col min="1" max="1" width="6.109375" style="2" customWidth="1"/>
    <col min="2" max="2" width="25.77734375" style="1" customWidth="1"/>
    <col min="3" max="3" width="22" style="2" customWidth="1"/>
    <col min="4" max="4" width="9.5546875" style="2" customWidth="1"/>
    <col min="5" max="5" width="10.6640625" style="2" customWidth="1"/>
    <col min="6" max="6" width="12.6640625" style="2" customWidth="1"/>
    <col min="7" max="9" width="12.33203125" style="2" customWidth="1"/>
    <col min="10" max="10" width="12.44140625" style="2" customWidth="1"/>
    <col min="11" max="11" width="11.33203125" style="2" customWidth="1"/>
    <col min="12" max="12" width="12.109375" style="2" customWidth="1"/>
    <col min="13" max="13" width="9.44140625" style="2" customWidth="1"/>
    <col min="14" max="14" width="15" style="2" customWidth="1"/>
    <col min="15" max="15" width="53.88671875" style="2" customWidth="1"/>
    <col min="16" max="16384" width="9.109375" style="1"/>
  </cols>
  <sheetData>
    <row r="1" spans="1:15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5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</row>
    <row r="3" spans="1:15" ht="22.5" customHeight="1" x14ac:dyDescent="0.3">
      <c r="A3" s="179" t="s">
        <v>95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</row>
    <row r="4" spans="1:15" s="3" customFormat="1" ht="22.5" customHeight="1" x14ac:dyDescent="0.3">
      <c r="A4" s="180" t="s">
        <v>0</v>
      </c>
      <c r="B4" s="180" t="s">
        <v>1</v>
      </c>
      <c r="C4" s="180" t="s">
        <v>2</v>
      </c>
      <c r="D4" s="180" t="s">
        <v>23</v>
      </c>
      <c r="E4" s="180"/>
      <c r="F4" s="180"/>
      <c r="G4" s="181" t="s">
        <v>29</v>
      </c>
      <c r="H4" s="181" t="s">
        <v>30</v>
      </c>
      <c r="I4" s="181" t="s">
        <v>31</v>
      </c>
      <c r="J4" s="181" t="s">
        <v>96</v>
      </c>
      <c r="K4" s="181" t="s">
        <v>97</v>
      </c>
      <c r="L4" s="180" t="s">
        <v>6</v>
      </c>
      <c r="M4" s="180" t="s">
        <v>7</v>
      </c>
      <c r="N4" s="180" t="s">
        <v>8</v>
      </c>
      <c r="O4" s="183"/>
    </row>
    <row r="5" spans="1:15" s="3" customFormat="1" ht="38.25" customHeight="1" x14ac:dyDescent="0.3">
      <c r="A5" s="180"/>
      <c r="B5" s="180"/>
      <c r="C5" s="180"/>
      <c r="D5" s="57" t="s">
        <v>3</v>
      </c>
      <c r="E5" s="57" t="s">
        <v>4</v>
      </c>
      <c r="F5" s="57" t="s">
        <v>5</v>
      </c>
      <c r="G5" s="182"/>
      <c r="H5" s="182"/>
      <c r="I5" s="182"/>
      <c r="J5" s="182"/>
      <c r="K5" s="182"/>
      <c r="L5" s="180"/>
      <c r="M5" s="180"/>
      <c r="N5" s="180"/>
      <c r="O5" s="183"/>
    </row>
    <row r="6" spans="1:15" ht="19.5" customHeight="1" x14ac:dyDescent="0.3">
      <c r="A6" s="184" t="s">
        <v>15</v>
      </c>
      <c r="B6" s="184"/>
      <c r="C6" s="18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5" ht="19.5" customHeight="1" x14ac:dyDescent="0.3">
      <c r="A7" s="15">
        <v>1</v>
      </c>
      <c r="B7" s="16" t="s">
        <v>49</v>
      </c>
      <c r="C7" s="15" t="s">
        <v>19</v>
      </c>
      <c r="D7" s="15"/>
      <c r="E7" s="15"/>
      <c r="F7" s="15"/>
      <c r="G7" s="15">
        <f t="shared" ref="G7:H14" si="0">IF(D7&gt;5,(D7-5)*2,0)</f>
        <v>0</v>
      </c>
      <c r="H7" s="15">
        <f t="shared" si="0"/>
        <v>0</v>
      </c>
      <c r="I7" s="15">
        <f t="shared" ref="I7:I14" si="1">IF(F7&gt;2,(F7-2)*1,0)</f>
        <v>0</v>
      </c>
      <c r="J7" s="15">
        <f>SUM(G7:I7)</f>
        <v>0</v>
      </c>
      <c r="K7" s="15">
        <v>2</v>
      </c>
      <c r="L7" s="15">
        <f>100-J7-K7</f>
        <v>98</v>
      </c>
      <c r="M7" s="15" t="str">
        <f t="shared" ref="M7:M14" si="2">IF(L7&lt;71,"KL",IF(AND(L7&gt;=71,L7&lt;81),"C",IF(AND(L7&gt;=81,L7&lt;91),"B","A")))</f>
        <v>A</v>
      </c>
      <c r="N7" s="15" t="str">
        <f t="shared" ref="N7:N14" si="3">IF(M7="A","100% LTT",IF(M7="B","90% LTT",IF(M7="C","80% LTT","60% LTT")))</f>
        <v>100% LTT</v>
      </c>
      <c r="O7" s="11" t="s">
        <v>33</v>
      </c>
    </row>
    <row r="8" spans="1:15" ht="19.5" customHeight="1" x14ac:dyDescent="0.3">
      <c r="A8" s="15">
        <f t="shared" ref="A8:A14" si="4">A7+1</f>
        <v>2</v>
      </c>
      <c r="B8" s="16" t="s">
        <v>52</v>
      </c>
      <c r="C8" s="15" t="s">
        <v>19</v>
      </c>
      <c r="D8" s="15"/>
      <c r="E8" s="15"/>
      <c r="F8" s="15"/>
      <c r="G8" s="15">
        <f t="shared" si="0"/>
        <v>0</v>
      </c>
      <c r="H8" s="15">
        <f t="shared" si="0"/>
        <v>0</v>
      </c>
      <c r="I8" s="15">
        <f t="shared" si="1"/>
        <v>0</v>
      </c>
      <c r="J8" s="15">
        <f t="shared" ref="J8:J14" si="5">SUM(G8:I8)</f>
        <v>0</v>
      </c>
      <c r="K8" s="15"/>
      <c r="L8" s="15">
        <f t="shared" ref="L8:L14" si="6">100-J8-K8</f>
        <v>100</v>
      </c>
      <c r="M8" s="15" t="str">
        <f t="shared" si="2"/>
        <v>A</v>
      </c>
      <c r="N8" s="15" t="str">
        <f t="shared" si="3"/>
        <v>100% LTT</v>
      </c>
      <c r="O8" s="34"/>
    </row>
    <row r="9" spans="1:15" ht="19.5" customHeight="1" x14ac:dyDescent="0.3">
      <c r="A9" s="15">
        <f>A8+1</f>
        <v>3</v>
      </c>
      <c r="B9" s="16" t="s">
        <v>57</v>
      </c>
      <c r="C9" s="15" t="s">
        <v>19</v>
      </c>
      <c r="D9" s="15"/>
      <c r="E9" s="15"/>
      <c r="F9" s="15"/>
      <c r="G9" s="15">
        <f t="shared" si="0"/>
        <v>0</v>
      </c>
      <c r="H9" s="15">
        <f t="shared" si="0"/>
        <v>0</v>
      </c>
      <c r="I9" s="15">
        <f t="shared" si="1"/>
        <v>0</v>
      </c>
      <c r="J9" s="15">
        <f t="shared" si="5"/>
        <v>0</v>
      </c>
      <c r="K9" s="15"/>
      <c r="L9" s="15">
        <f t="shared" si="6"/>
        <v>100</v>
      </c>
      <c r="M9" s="15" t="str">
        <f t="shared" si="2"/>
        <v>A</v>
      </c>
      <c r="N9" s="15" t="str">
        <f t="shared" si="3"/>
        <v>100% LTT</v>
      </c>
      <c r="O9" s="35"/>
    </row>
    <row r="10" spans="1:15" ht="19.5" customHeight="1" x14ac:dyDescent="0.3">
      <c r="A10" s="15">
        <f t="shared" si="4"/>
        <v>4</v>
      </c>
      <c r="B10" s="16" t="s">
        <v>58</v>
      </c>
      <c r="C10" s="15" t="s">
        <v>19</v>
      </c>
      <c r="D10" s="15"/>
      <c r="E10" s="15"/>
      <c r="F10" s="15"/>
      <c r="G10" s="15">
        <f t="shared" si="0"/>
        <v>0</v>
      </c>
      <c r="H10" s="15">
        <f t="shared" si="0"/>
        <v>0</v>
      </c>
      <c r="I10" s="15">
        <f t="shared" si="1"/>
        <v>0</v>
      </c>
      <c r="J10" s="15">
        <f t="shared" si="5"/>
        <v>0</v>
      </c>
      <c r="K10" s="15"/>
      <c r="L10" s="15">
        <f t="shared" si="6"/>
        <v>100</v>
      </c>
      <c r="M10" s="15" t="str">
        <f t="shared" si="2"/>
        <v>A</v>
      </c>
      <c r="N10" s="15" t="str">
        <f t="shared" si="3"/>
        <v>100% LTT</v>
      </c>
      <c r="O10" s="35"/>
    </row>
    <row r="11" spans="1:15" ht="19.5" customHeight="1" x14ac:dyDescent="0.3">
      <c r="A11" s="15">
        <f t="shared" si="4"/>
        <v>5</v>
      </c>
      <c r="B11" s="16" t="s">
        <v>59</v>
      </c>
      <c r="C11" s="15" t="s">
        <v>19</v>
      </c>
      <c r="D11" s="15"/>
      <c r="E11" s="15"/>
      <c r="F11" s="15"/>
      <c r="G11" s="15">
        <f t="shared" si="0"/>
        <v>0</v>
      </c>
      <c r="H11" s="15">
        <f t="shared" si="0"/>
        <v>0</v>
      </c>
      <c r="I11" s="15">
        <f t="shared" si="1"/>
        <v>0</v>
      </c>
      <c r="J11" s="15">
        <f t="shared" si="5"/>
        <v>0</v>
      </c>
      <c r="K11" s="15"/>
      <c r="L11" s="15">
        <f t="shared" si="6"/>
        <v>100</v>
      </c>
      <c r="M11" s="15" t="str">
        <f t="shared" si="2"/>
        <v>A</v>
      </c>
      <c r="N11" s="15" t="str">
        <f t="shared" si="3"/>
        <v>100% LTT</v>
      </c>
      <c r="O11" s="35"/>
    </row>
    <row r="12" spans="1:15" ht="19.5" customHeight="1" x14ac:dyDescent="0.3">
      <c r="A12" s="15">
        <f t="shared" si="4"/>
        <v>6</v>
      </c>
      <c r="B12" s="16" t="s">
        <v>53</v>
      </c>
      <c r="C12" s="15" t="s">
        <v>19</v>
      </c>
      <c r="D12" s="15"/>
      <c r="E12" s="15"/>
      <c r="F12" s="15"/>
      <c r="G12" s="15">
        <f t="shared" si="0"/>
        <v>0</v>
      </c>
      <c r="H12" s="15">
        <f t="shared" si="0"/>
        <v>0</v>
      </c>
      <c r="I12" s="15">
        <f t="shared" si="1"/>
        <v>0</v>
      </c>
      <c r="J12" s="15">
        <f t="shared" si="5"/>
        <v>0</v>
      </c>
      <c r="K12" s="15"/>
      <c r="L12" s="15">
        <f t="shared" si="6"/>
        <v>100</v>
      </c>
      <c r="M12" s="15" t="str">
        <f t="shared" si="2"/>
        <v>A</v>
      </c>
      <c r="N12" s="15" t="str">
        <f t="shared" si="3"/>
        <v>100% LTT</v>
      </c>
      <c r="O12" s="35"/>
    </row>
    <row r="13" spans="1:15" ht="19.5" customHeight="1" x14ac:dyDescent="0.3">
      <c r="A13" s="15">
        <f t="shared" si="4"/>
        <v>7</v>
      </c>
      <c r="B13" s="16" t="s">
        <v>54</v>
      </c>
      <c r="C13" s="15" t="s">
        <v>19</v>
      </c>
      <c r="D13" s="15"/>
      <c r="E13" s="15"/>
      <c r="F13" s="15"/>
      <c r="G13" s="15">
        <f t="shared" si="0"/>
        <v>0</v>
      </c>
      <c r="H13" s="15">
        <f t="shared" si="0"/>
        <v>0</v>
      </c>
      <c r="I13" s="15">
        <f t="shared" si="1"/>
        <v>0</v>
      </c>
      <c r="J13" s="15">
        <f t="shared" si="5"/>
        <v>0</v>
      </c>
      <c r="K13" s="15"/>
      <c r="L13" s="15">
        <f t="shared" si="6"/>
        <v>100</v>
      </c>
      <c r="M13" s="15" t="str">
        <f t="shared" si="2"/>
        <v>A</v>
      </c>
      <c r="N13" s="15" t="str">
        <f t="shared" si="3"/>
        <v>100% LTT</v>
      </c>
      <c r="O13" s="35"/>
    </row>
    <row r="14" spans="1:15" ht="19.5" customHeight="1" x14ac:dyDescent="0.3">
      <c r="A14" s="17">
        <f t="shared" si="4"/>
        <v>8</v>
      </c>
      <c r="B14" s="18" t="s">
        <v>11</v>
      </c>
      <c r="C14" s="17" t="s">
        <v>51</v>
      </c>
      <c r="D14" s="17"/>
      <c r="E14" s="17"/>
      <c r="F14" s="17">
        <v>3</v>
      </c>
      <c r="G14" s="17">
        <f t="shared" si="0"/>
        <v>0</v>
      </c>
      <c r="H14" s="17">
        <f t="shared" si="0"/>
        <v>0</v>
      </c>
      <c r="I14" s="17">
        <f t="shared" si="1"/>
        <v>1</v>
      </c>
      <c r="J14" s="17">
        <f t="shared" si="5"/>
        <v>1</v>
      </c>
      <c r="K14" s="17">
        <v>1</v>
      </c>
      <c r="L14" s="15">
        <f t="shared" si="6"/>
        <v>98</v>
      </c>
      <c r="M14" s="17" t="str">
        <f t="shared" si="2"/>
        <v>A</v>
      </c>
      <c r="N14" s="17" t="str">
        <f t="shared" si="3"/>
        <v>100% LTT</v>
      </c>
      <c r="O14" s="35"/>
    </row>
    <row r="15" spans="1:15" ht="19.5" customHeight="1" x14ac:dyDescent="0.3">
      <c r="A15" s="184" t="s">
        <v>16</v>
      </c>
      <c r="B15" s="184"/>
      <c r="C15" s="18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5" ht="19.5" customHeight="1" x14ac:dyDescent="0.3">
      <c r="A16" s="17">
        <f>A14+1</f>
        <v>9</v>
      </c>
      <c r="B16" s="18" t="s">
        <v>28</v>
      </c>
      <c r="C16" s="17" t="s">
        <v>19</v>
      </c>
      <c r="D16" s="17"/>
      <c r="E16" s="17"/>
      <c r="F16" s="17">
        <v>1</v>
      </c>
      <c r="G16" s="17">
        <f t="shared" ref="G16:H16" si="7">IF(D16&gt;5,(D16-5)*2,0)</f>
        <v>0</v>
      </c>
      <c r="H16" s="17">
        <f t="shared" si="7"/>
        <v>0</v>
      </c>
      <c r="I16" s="17">
        <f t="shared" ref="I16" si="8">IF(F16&gt;2,(F16-2)*1,0)</f>
        <v>0</v>
      </c>
      <c r="J16" s="17">
        <f t="shared" ref="J16" si="9">SUM(G16:I16)</f>
        <v>0</v>
      </c>
      <c r="K16" s="17"/>
      <c r="L16" s="17">
        <f>100-J16-K16</f>
        <v>100</v>
      </c>
      <c r="M16" s="17" t="str">
        <f t="shared" ref="M16" si="10">IF(L16&lt;71,"KL",IF(AND(L16&gt;=71,L16&lt;81),"C",IF(AND(L16&gt;=81,L16&lt;91),"B","A")))</f>
        <v>A</v>
      </c>
      <c r="N16" s="17" t="str">
        <f t="shared" ref="N16" si="11">IF(M16="A","100% LTT",IF(M16="B","90% LTT",IF(M16="C","80% LTT","60% LTT")))</f>
        <v>100% LTT</v>
      </c>
    </row>
    <row r="17" spans="1:14" ht="19.5" customHeight="1" x14ac:dyDescent="0.3">
      <c r="A17" s="184" t="s">
        <v>17</v>
      </c>
      <c r="B17" s="184"/>
      <c r="C17" s="18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ht="19.5" customHeight="1" x14ac:dyDescent="0.3">
      <c r="A18" s="23">
        <f>A16+1</f>
        <v>10</v>
      </c>
      <c r="B18" s="38" t="s">
        <v>12</v>
      </c>
      <c r="C18" s="23" t="s">
        <v>19</v>
      </c>
      <c r="D18" s="23"/>
      <c r="E18" s="23"/>
      <c r="F18" s="23">
        <v>2</v>
      </c>
      <c r="G18" s="23">
        <f t="shared" ref="G18:H24" si="12">IF(D18&gt;5,(D18-5)*2,0)</f>
        <v>0</v>
      </c>
      <c r="H18" s="23">
        <f t="shared" si="12"/>
        <v>0</v>
      </c>
      <c r="I18" s="23">
        <f t="shared" ref="I18:I24" si="13">IF(F18&gt;2,(F18-2)*1,0)</f>
        <v>0</v>
      </c>
      <c r="J18" s="23">
        <f t="shared" ref="J18:J24" si="14">SUM(G18:I18)</f>
        <v>0</v>
      </c>
      <c r="K18" s="23">
        <v>5</v>
      </c>
      <c r="L18" s="23">
        <f>100-J18-K18</f>
        <v>95</v>
      </c>
      <c r="M18" s="23" t="str">
        <f t="shared" ref="M18:M24" si="15">IF(L18&lt;71,"KL",IF(AND(L18&gt;=71,L18&lt;81),"C",IF(AND(L18&gt;=81,L18&lt;91),"B","A")))</f>
        <v>A</v>
      </c>
      <c r="N18" s="23" t="str">
        <f t="shared" ref="N18:N24" si="16">IF(M18="A","100% LTT",IF(M18="B","90% LTT",IF(M18="C","80% LTT","60% LTT")))</f>
        <v>100% LTT</v>
      </c>
    </row>
    <row r="19" spans="1:14" ht="19.5" customHeight="1" x14ac:dyDescent="0.3">
      <c r="A19" s="15">
        <f>A18+1</f>
        <v>11</v>
      </c>
      <c r="B19" s="16" t="s">
        <v>13</v>
      </c>
      <c r="C19" s="15" t="s">
        <v>101</v>
      </c>
      <c r="D19" s="15">
        <v>6</v>
      </c>
      <c r="E19" s="15"/>
      <c r="F19" s="15"/>
      <c r="G19" s="15">
        <f>IF(D19&gt;5,(D19-5)*2,0)</f>
        <v>2</v>
      </c>
      <c r="H19" s="15">
        <f t="shared" si="12"/>
        <v>0</v>
      </c>
      <c r="I19" s="15">
        <f t="shared" si="13"/>
        <v>0</v>
      </c>
      <c r="J19" s="15">
        <f t="shared" si="14"/>
        <v>2</v>
      </c>
      <c r="K19" s="15">
        <v>4</v>
      </c>
      <c r="L19" s="15">
        <f t="shared" ref="L19:L24" si="17">100-J19-K19</f>
        <v>94</v>
      </c>
      <c r="M19" s="15" t="str">
        <f t="shared" si="15"/>
        <v>A</v>
      </c>
      <c r="N19" s="15" t="str">
        <f t="shared" si="16"/>
        <v>100% LTT</v>
      </c>
    </row>
    <row r="20" spans="1:14" ht="19.5" customHeight="1" x14ac:dyDescent="0.3">
      <c r="A20" s="15">
        <f t="shared" ref="A20:A24" si="18">A19+1</f>
        <v>12</v>
      </c>
      <c r="B20" s="16" t="s">
        <v>14</v>
      </c>
      <c r="C20" s="15" t="s">
        <v>19</v>
      </c>
      <c r="D20" s="15"/>
      <c r="E20" s="15"/>
      <c r="F20" s="15">
        <v>1</v>
      </c>
      <c r="G20" s="15">
        <f t="shared" si="12"/>
        <v>0</v>
      </c>
      <c r="H20" s="15">
        <f t="shared" si="12"/>
        <v>0</v>
      </c>
      <c r="I20" s="15">
        <f t="shared" si="13"/>
        <v>0</v>
      </c>
      <c r="J20" s="15">
        <f t="shared" si="14"/>
        <v>0</v>
      </c>
      <c r="K20" s="15">
        <v>5</v>
      </c>
      <c r="L20" s="15">
        <f t="shared" si="17"/>
        <v>95</v>
      </c>
      <c r="M20" s="15" t="str">
        <f t="shared" si="15"/>
        <v>A</v>
      </c>
      <c r="N20" s="15" t="str">
        <f t="shared" si="16"/>
        <v>100% LTT</v>
      </c>
    </row>
    <row r="21" spans="1:14" ht="19.5" customHeight="1" x14ac:dyDescent="0.3">
      <c r="A21" s="15">
        <f t="shared" si="18"/>
        <v>13</v>
      </c>
      <c r="B21" s="16" t="s">
        <v>40</v>
      </c>
      <c r="C21" s="15" t="s">
        <v>19</v>
      </c>
      <c r="D21" s="15"/>
      <c r="E21" s="15"/>
      <c r="F21" s="15"/>
      <c r="G21" s="15">
        <f t="shared" si="12"/>
        <v>0</v>
      </c>
      <c r="H21" s="15">
        <f t="shared" si="12"/>
        <v>0</v>
      </c>
      <c r="I21" s="15">
        <f t="shared" si="13"/>
        <v>0</v>
      </c>
      <c r="J21" s="15">
        <f t="shared" si="14"/>
        <v>0</v>
      </c>
      <c r="K21" s="15">
        <v>5</v>
      </c>
      <c r="L21" s="15">
        <f t="shared" si="17"/>
        <v>95</v>
      </c>
      <c r="M21" s="15" t="str">
        <f t="shared" si="15"/>
        <v>A</v>
      </c>
      <c r="N21" s="15" t="str">
        <f t="shared" si="16"/>
        <v>100% LTT</v>
      </c>
    </row>
    <row r="22" spans="1:14" ht="19.5" customHeight="1" x14ac:dyDescent="0.3">
      <c r="A22" s="15">
        <f t="shared" si="18"/>
        <v>14</v>
      </c>
      <c r="B22" s="16" t="s">
        <v>98</v>
      </c>
      <c r="C22" s="15" t="s">
        <v>102</v>
      </c>
      <c r="D22" s="15"/>
      <c r="E22" s="15"/>
      <c r="F22" s="15"/>
      <c r="G22" s="15">
        <f t="shared" si="12"/>
        <v>0</v>
      </c>
      <c r="H22" s="15">
        <f t="shared" si="12"/>
        <v>0</v>
      </c>
      <c r="I22" s="15">
        <f t="shared" si="13"/>
        <v>0</v>
      </c>
      <c r="J22" s="15">
        <f t="shared" si="14"/>
        <v>0</v>
      </c>
      <c r="K22" s="15">
        <v>9</v>
      </c>
      <c r="L22" s="15">
        <f t="shared" si="17"/>
        <v>91</v>
      </c>
      <c r="M22" s="15" t="str">
        <f t="shared" si="15"/>
        <v>A</v>
      </c>
      <c r="N22" s="15" t="str">
        <f t="shared" si="16"/>
        <v>100% LTT</v>
      </c>
    </row>
    <row r="23" spans="1:14" ht="19.5" customHeight="1" x14ac:dyDescent="0.3">
      <c r="A23" s="15">
        <f t="shared" si="18"/>
        <v>15</v>
      </c>
      <c r="B23" s="16" t="s">
        <v>99</v>
      </c>
      <c r="C23" s="15" t="s">
        <v>102</v>
      </c>
      <c r="D23" s="15"/>
      <c r="E23" s="15"/>
      <c r="F23" s="15"/>
      <c r="G23" s="15">
        <f t="shared" si="12"/>
        <v>0</v>
      </c>
      <c r="H23" s="15">
        <f t="shared" si="12"/>
        <v>0</v>
      </c>
      <c r="I23" s="15">
        <f t="shared" si="13"/>
        <v>0</v>
      </c>
      <c r="J23" s="15">
        <f t="shared" si="14"/>
        <v>0</v>
      </c>
      <c r="K23" s="15"/>
      <c r="L23" s="15">
        <f t="shared" si="17"/>
        <v>100</v>
      </c>
      <c r="M23" s="15" t="str">
        <f t="shared" si="15"/>
        <v>A</v>
      </c>
      <c r="N23" s="15" t="str">
        <f t="shared" si="16"/>
        <v>100% LTT</v>
      </c>
    </row>
    <row r="24" spans="1:14" ht="19.5" customHeight="1" x14ac:dyDescent="0.3">
      <c r="A24" s="15">
        <f t="shared" si="18"/>
        <v>16</v>
      </c>
      <c r="B24" s="16" t="s">
        <v>100</v>
      </c>
      <c r="C24" s="15" t="s">
        <v>102</v>
      </c>
      <c r="D24" s="15"/>
      <c r="E24" s="15"/>
      <c r="F24" s="15"/>
      <c r="G24" s="15">
        <f t="shared" si="12"/>
        <v>0</v>
      </c>
      <c r="H24" s="15">
        <f t="shared" si="12"/>
        <v>0</v>
      </c>
      <c r="I24" s="15">
        <f t="shared" si="13"/>
        <v>0</v>
      </c>
      <c r="J24" s="15">
        <f t="shared" si="14"/>
        <v>0</v>
      </c>
      <c r="K24" s="15">
        <v>4</v>
      </c>
      <c r="L24" s="15">
        <f t="shared" si="17"/>
        <v>96</v>
      </c>
      <c r="M24" s="15" t="str">
        <f t="shared" si="15"/>
        <v>A</v>
      </c>
      <c r="N24" s="15" t="str">
        <f t="shared" si="16"/>
        <v>100% LTT</v>
      </c>
    </row>
    <row r="25" spans="1:14" ht="19.5" customHeight="1" x14ac:dyDescent="0.3">
      <c r="A25" s="17"/>
      <c r="B25" s="18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</row>
    <row r="26" spans="1:14" ht="22.5" customHeight="1" x14ac:dyDescent="0.3">
      <c r="A26" s="180" t="s">
        <v>62</v>
      </c>
      <c r="B26" s="180"/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0"/>
      <c r="N26" s="180"/>
    </row>
    <row r="27" spans="1:14" ht="22.5" customHeight="1" x14ac:dyDescent="0.3">
      <c r="J27" s="185" t="s">
        <v>65</v>
      </c>
      <c r="K27" s="185"/>
      <c r="L27" s="185"/>
      <c r="M27" s="185"/>
      <c r="N27" s="185"/>
    </row>
    <row r="28" spans="1:14" ht="22.5" customHeight="1" x14ac:dyDescent="0.3">
      <c r="B28" s="178" t="s">
        <v>22</v>
      </c>
      <c r="C28" s="178"/>
      <c r="D28" s="178"/>
      <c r="L28" s="178" t="s">
        <v>25</v>
      </c>
      <c r="M28" s="178"/>
      <c r="N28" s="178"/>
    </row>
    <row r="29" spans="1:14" ht="22.5" customHeight="1" x14ac:dyDescent="0.3">
      <c r="L29" s="56"/>
      <c r="M29" s="56"/>
    </row>
    <row r="30" spans="1:14" ht="22.5" customHeight="1" x14ac:dyDescent="0.3">
      <c r="L30" s="56"/>
      <c r="M30" s="56"/>
    </row>
    <row r="31" spans="1:14" ht="22.5" customHeight="1" x14ac:dyDescent="0.3">
      <c r="L31" s="56"/>
      <c r="M31" s="56"/>
    </row>
    <row r="32" spans="1:14" ht="22.5" customHeight="1" x14ac:dyDescent="0.3">
      <c r="B32" s="178" t="s">
        <v>28</v>
      </c>
      <c r="C32" s="178"/>
      <c r="D32" s="178"/>
      <c r="L32" s="178" t="s">
        <v>27</v>
      </c>
      <c r="M32" s="178"/>
      <c r="N32" s="178"/>
    </row>
    <row r="33" spans="3:4" ht="22.5" customHeight="1" x14ac:dyDescent="0.3">
      <c r="C33" s="1"/>
      <c r="D33" s="1"/>
    </row>
  </sheetData>
  <mergeCells count="25">
    <mergeCell ref="O4:O5"/>
    <mergeCell ref="A6:C6"/>
    <mergeCell ref="A1:N1"/>
    <mergeCell ref="A2:N2"/>
    <mergeCell ref="A3:N3"/>
    <mergeCell ref="A4:A5"/>
    <mergeCell ref="B4:B5"/>
    <mergeCell ref="C4:C5"/>
    <mergeCell ref="D4:F4"/>
    <mergeCell ref="G4:G5"/>
    <mergeCell ref="H4:H5"/>
    <mergeCell ref="I4:I5"/>
    <mergeCell ref="B32:D32"/>
    <mergeCell ref="L32:N32"/>
    <mergeCell ref="K4:K5"/>
    <mergeCell ref="A15:C15"/>
    <mergeCell ref="A17:C17"/>
    <mergeCell ref="A26:N26"/>
    <mergeCell ref="J27:N27"/>
    <mergeCell ref="B28:D28"/>
    <mergeCell ref="L28:N28"/>
    <mergeCell ref="J4:J5"/>
    <mergeCell ref="L4:L5"/>
    <mergeCell ref="M4:M5"/>
    <mergeCell ref="N4:N5"/>
  </mergeCells>
  <pageMargins left="0.2" right="0.21" top="0.45" bottom="0.33" header="0.3" footer="0.3"/>
  <pageSetup paperSize="9" scale="75" orientation="landscape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workbookViewId="0">
      <pane xSplit="2" ySplit="6" topLeftCell="C22" activePane="bottomRight" state="frozen"/>
      <selection pane="topRight" activeCell="C1" sqref="C1"/>
      <selection pane="bottomLeft" activeCell="A7" sqref="A7"/>
      <selection pane="bottomRight" activeCell="A29" sqref="A29"/>
    </sheetView>
  </sheetViews>
  <sheetFormatPr defaultColWidth="9.109375" defaultRowHeight="16.8" x14ac:dyDescent="0.3"/>
  <cols>
    <col min="1" max="1" width="6.109375" style="2" customWidth="1"/>
    <col min="2" max="2" width="25.77734375" style="1" customWidth="1"/>
    <col min="3" max="3" width="22" style="2" customWidth="1"/>
    <col min="4" max="4" width="9.5546875" style="2" customWidth="1"/>
    <col min="5" max="5" width="10.6640625" style="2" customWidth="1"/>
    <col min="6" max="6" width="12.6640625" style="2" customWidth="1"/>
    <col min="7" max="9" width="12.33203125" style="2" customWidth="1"/>
    <col min="10" max="10" width="12.44140625" style="2" customWidth="1"/>
    <col min="11" max="11" width="11.33203125" style="2" customWidth="1"/>
    <col min="12" max="12" width="12.109375" style="2" customWidth="1"/>
    <col min="13" max="13" width="9.44140625" style="2" customWidth="1"/>
    <col min="14" max="14" width="15" style="2" customWidth="1"/>
    <col min="15" max="15" width="53.88671875" style="2" customWidth="1"/>
    <col min="16" max="16384" width="9.109375" style="1"/>
  </cols>
  <sheetData>
    <row r="1" spans="1:15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5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</row>
    <row r="3" spans="1:15" ht="22.5" customHeight="1" x14ac:dyDescent="0.3">
      <c r="A3" s="179" t="s">
        <v>103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</row>
    <row r="4" spans="1:15" s="3" customFormat="1" ht="22.5" customHeight="1" x14ac:dyDescent="0.3">
      <c r="A4" s="180" t="s">
        <v>0</v>
      </c>
      <c r="B4" s="180" t="s">
        <v>1</v>
      </c>
      <c r="C4" s="180" t="s">
        <v>2</v>
      </c>
      <c r="D4" s="180" t="s">
        <v>23</v>
      </c>
      <c r="E4" s="180"/>
      <c r="F4" s="180"/>
      <c r="G4" s="181" t="s">
        <v>29</v>
      </c>
      <c r="H4" s="181" t="s">
        <v>30</v>
      </c>
      <c r="I4" s="181" t="s">
        <v>31</v>
      </c>
      <c r="J4" s="181" t="s">
        <v>96</v>
      </c>
      <c r="K4" s="181" t="s">
        <v>97</v>
      </c>
      <c r="L4" s="180" t="s">
        <v>6</v>
      </c>
      <c r="M4" s="180" t="s">
        <v>7</v>
      </c>
      <c r="N4" s="180" t="s">
        <v>8</v>
      </c>
      <c r="O4" s="183"/>
    </row>
    <row r="5" spans="1:15" s="3" customFormat="1" ht="38.25" customHeight="1" x14ac:dyDescent="0.3">
      <c r="A5" s="180"/>
      <c r="B5" s="180"/>
      <c r="C5" s="180"/>
      <c r="D5" s="59" t="s">
        <v>3</v>
      </c>
      <c r="E5" s="59" t="s">
        <v>4</v>
      </c>
      <c r="F5" s="59" t="s">
        <v>5</v>
      </c>
      <c r="G5" s="182"/>
      <c r="H5" s="182"/>
      <c r="I5" s="182"/>
      <c r="J5" s="182"/>
      <c r="K5" s="182"/>
      <c r="L5" s="180"/>
      <c r="M5" s="180"/>
      <c r="N5" s="180"/>
      <c r="O5" s="183"/>
    </row>
    <row r="6" spans="1:15" ht="19.5" customHeight="1" x14ac:dyDescent="0.3">
      <c r="A6" s="184" t="s">
        <v>15</v>
      </c>
      <c r="B6" s="184"/>
      <c r="C6" s="18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5" ht="19.5" customHeight="1" x14ac:dyDescent="0.3">
      <c r="A7" s="15">
        <v>1</v>
      </c>
      <c r="B7" s="16" t="s">
        <v>49</v>
      </c>
      <c r="C7" s="15" t="s">
        <v>19</v>
      </c>
      <c r="D7" s="15">
        <v>1</v>
      </c>
      <c r="E7" s="15"/>
      <c r="F7" s="15"/>
      <c r="G7" s="15">
        <f t="shared" ref="G7:H14" si="0">IF(D7&gt;5,(D7-5)*2,0)</f>
        <v>0</v>
      </c>
      <c r="H7" s="15">
        <f t="shared" si="0"/>
        <v>0</v>
      </c>
      <c r="I7" s="15">
        <f t="shared" ref="I7:I14" si="1">IF(F7&gt;2,(F7-2)*1,0)</f>
        <v>0</v>
      </c>
      <c r="J7" s="15">
        <f>SUM(G7:I7)</f>
        <v>0</v>
      </c>
      <c r="K7" s="15">
        <v>4</v>
      </c>
      <c r="L7" s="15">
        <f>100-J7-K7</f>
        <v>96</v>
      </c>
      <c r="M7" s="15" t="str">
        <f t="shared" ref="M7:M14" si="2">IF(L7&lt;71,"KL",IF(AND(L7&gt;=71,L7&lt;81),"C",IF(AND(L7&gt;=81,L7&lt;91),"B","A")))</f>
        <v>A</v>
      </c>
      <c r="N7" s="15" t="str">
        <f t="shared" ref="N7:N14" si="3">IF(M7="A","100% LTT",IF(M7="B","90% LTT",IF(M7="C","80% LTT","60% LTT")))</f>
        <v>100% LTT</v>
      </c>
      <c r="O7" s="11" t="s">
        <v>33</v>
      </c>
    </row>
    <row r="8" spans="1:15" ht="19.5" customHeight="1" x14ac:dyDescent="0.3">
      <c r="A8" s="15">
        <f t="shared" ref="A8:A14" si="4">A7+1</f>
        <v>2</v>
      </c>
      <c r="B8" s="16" t="s">
        <v>52</v>
      </c>
      <c r="C8" s="15" t="s">
        <v>19</v>
      </c>
      <c r="D8" s="15"/>
      <c r="E8" s="15"/>
      <c r="F8" s="15"/>
      <c r="G8" s="15">
        <f t="shared" si="0"/>
        <v>0</v>
      </c>
      <c r="H8" s="15">
        <f t="shared" si="0"/>
        <v>0</v>
      </c>
      <c r="I8" s="15">
        <f t="shared" si="1"/>
        <v>0</v>
      </c>
      <c r="J8" s="15">
        <f t="shared" ref="J8:J14" si="5">SUM(G8:I8)</f>
        <v>0</v>
      </c>
      <c r="K8" s="15"/>
      <c r="L8" s="15">
        <f t="shared" ref="L8:L14" si="6">100-J8-K8</f>
        <v>100</v>
      </c>
      <c r="M8" s="15" t="str">
        <f t="shared" si="2"/>
        <v>A</v>
      </c>
      <c r="N8" s="15" t="str">
        <f t="shared" si="3"/>
        <v>100% LTT</v>
      </c>
      <c r="O8" s="34"/>
    </row>
    <row r="9" spans="1:15" ht="19.5" customHeight="1" x14ac:dyDescent="0.3">
      <c r="A9" s="15">
        <f>A8+1</f>
        <v>3</v>
      </c>
      <c r="B9" s="16" t="s">
        <v>57</v>
      </c>
      <c r="C9" s="15" t="s">
        <v>19</v>
      </c>
      <c r="D9" s="15"/>
      <c r="E9" s="15"/>
      <c r="F9" s="15"/>
      <c r="G9" s="15">
        <f t="shared" si="0"/>
        <v>0</v>
      </c>
      <c r="H9" s="15">
        <f t="shared" si="0"/>
        <v>0</v>
      </c>
      <c r="I9" s="15">
        <f t="shared" si="1"/>
        <v>0</v>
      </c>
      <c r="J9" s="15">
        <f t="shared" si="5"/>
        <v>0</v>
      </c>
      <c r="K9" s="15"/>
      <c r="L9" s="15">
        <f t="shared" si="6"/>
        <v>100</v>
      </c>
      <c r="M9" s="15" t="str">
        <f t="shared" si="2"/>
        <v>A</v>
      </c>
      <c r="N9" s="15" t="str">
        <f t="shared" si="3"/>
        <v>100% LTT</v>
      </c>
      <c r="O9" s="35"/>
    </row>
    <row r="10" spans="1:15" ht="19.5" customHeight="1" x14ac:dyDescent="0.3">
      <c r="A10" s="15">
        <f t="shared" si="4"/>
        <v>4</v>
      </c>
      <c r="B10" s="16" t="s">
        <v>58</v>
      </c>
      <c r="C10" s="15" t="s">
        <v>19</v>
      </c>
      <c r="D10" s="15"/>
      <c r="E10" s="15"/>
      <c r="F10" s="15"/>
      <c r="G10" s="15">
        <f t="shared" si="0"/>
        <v>0</v>
      </c>
      <c r="H10" s="15">
        <f t="shared" si="0"/>
        <v>0</v>
      </c>
      <c r="I10" s="15">
        <f t="shared" si="1"/>
        <v>0</v>
      </c>
      <c r="J10" s="15">
        <f t="shared" si="5"/>
        <v>0</v>
      </c>
      <c r="K10" s="15"/>
      <c r="L10" s="15">
        <f t="shared" si="6"/>
        <v>100</v>
      </c>
      <c r="M10" s="15" t="str">
        <f t="shared" si="2"/>
        <v>A</v>
      </c>
      <c r="N10" s="15" t="str">
        <f t="shared" si="3"/>
        <v>100% LTT</v>
      </c>
      <c r="O10" s="35"/>
    </row>
    <row r="11" spans="1:15" ht="19.5" customHeight="1" x14ac:dyDescent="0.3">
      <c r="A11" s="15">
        <f t="shared" si="4"/>
        <v>5</v>
      </c>
      <c r="B11" s="16" t="s">
        <v>59</v>
      </c>
      <c r="C11" s="15" t="s">
        <v>19</v>
      </c>
      <c r="D11" s="15"/>
      <c r="E11" s="15"/>
      <c r="F11" s="15"/>
      <c r="G11" s="15">
        <f t="shared" si="0"/>
        <v>0</v>
      </c>
      <c r="H11" s="15">
        <f t="shared" si="0"/>
        <v>0</v>
      </c>
      <c r="I11" s="15">
        <f t="shared" si="1"/>
        <v>0</v>
      </c>
      <c r="J11" s="15">
        <f t="shared" si="5"/>
        <v>0</v>
      </c>
      <c r="K11" s="15"/>
      <c r="L11" s="15">
        <f t="shared" si="6"/>
        <v>100</v>
      </c>
      <c r="M11" s="15" t="str">
        <f t="shared" si="2"/>
        <v>A</v>
      </c>
      <c r="N11" s="15" t="str">
        <f t="shared" si="3"/>
        <v>100% LTT</v>
      </c>
      <c r="O11" s="35"/>
    </row>
    <row r="12" spans="1:15" ht="19.5" customHeight="1" x14ac:dyDescent="0.3">
      <c r="A12" s="15">
        <f t="shared" si="4"/>
        <v>6</v>
      </c>
      <c r="B12" s="16" t="s">
        <v>53</v>
      </c>
      <c r="C12" s="15" t="s">
        <v>19</v>
      </c>
      <c r="D12" s="15"/>
      <c r="E12" s="15"/>
      <c r="F12" s="15"/>
      <c r="G12" s="15">
        <f t="shared" si="0"/>
        <v>0</v>
      </c>
      <c r="H12" s="15">
        <f t="shared" si="0"/>
        <v>0</v>
      </c>
      <c r="I12" s="15">
        <f t="shared" si="1"/>
        <v>0</v>
      </c>
      <c r="J12" s="15">
        <f t="shared" si="5"/>
        <v>0</v>
      </c>
      <c r="K12" s="15"/>
      <c r="L12" s="15">
        <f t="shared" si="6"/>
        <v>100</v>
      </c>
      <c r="M12" s="15" t="str">
        <f t="shared" si="2"/>
        <v>A</v>
      </c>
      <c r="N12" s="15" t="str">
        <f t="shared" si="3"/>
        <v>100% LTT</v>
      </c>
      <c r="O12" s="35"/>
    </row>
    <row r="13" spans="1:15" ht="19.5" customHeight="1" x14ac:dyDescent="0.3">
      <c r="A13" s="15">
        <f t="shared" si="4"/>
        <v>7</v>
      </c>
      <c r="B13" s="16" t="s">
        <v>54</v>
      </c>
      <c r="C13" s="15" t="s">
        <v>19</v>
      </c>
      <c r="D13" s="15"/>
      <c r="E13" s="15"/>
      <c r="F13" s="15"/>
      <c r="G13" s="15">
        <f t="shared" si="0"/>
        <v>0</v>
      </c>
      <c r="H13" s="15">
        <f t="shared" si="0"/>
        <v>0</v>
      </c>
      <c r="I13" s="15">
        <f t="shared" si="1"/>
        <v>0</v>
      </c>
      <c r="J13" s="15">
        <f t="shared" si="5"/>
        <v>0</v>
      </c>
      <c r="K13" s="15"/>
      <c r="L13" s="15">
        <f t="shared" si="6"/>
        <v>100</v>
      </c>
      <c r="M13" s="15" t="str">
        <f t="shared" si="2"/>
        <v>A</v>
      </c>
      <c r="N13" s="15" t="str">
        <f t="shared" si="3"/>
        <v>100% LTT</v>
      </c>
      <c r="O13" s="35"/>
    </row>
    <row r="14" spans="1:15" ht="19.5" customHeight="1" x14ac:dyDescent="0.3">
      <c r="A14" s="17">
        <f t="shared" si="4"/>
        <v>8</v>
      </c>
      <c r="B14" s="18" t="s">
        <v>11</v>
      </c>
      <c r="C14" s="17" t="s">
        <v>51</v>
      </c>
      <c r="D14" s="17">
        <v>3</v>
      </c>
      <c r="E14" s="17"/>
      <c r="F14" s="17">
        <v>2</v>
      </c>
      <c r="G14" s="17">
        <f t="shared" si="0"/>
        <v>0</v>
      </c>
      <c r="H14" s="17">
        <f t="shared" si="0"/>
        <v>0</v>
      </c>
      <c r="I14" s="17">
        <f t="shared" si="1"/>
        <v>0</v>
      </c>
      <c r="J14" s="17">
        <f t="shared" si="5"/>
        <v>0</v>
      </c>
      <c r="K14" s="17">
        <v>1</v>
      </c>
      <c r="L14" s="15">
        <f t="shared" si="6"/>
        <v>99</v>
      </c>
      <c r="M14" s="17" t="str">
        <f t="shared" si="2"/>
        <v>A</v>
      </c>
      <c r="N14" s="17" t="str">
        <f t="shared" si="3"/>
        <v>100% LTT</v>
      </c>
      <c r="O14" s="35"/>
    </row>
    <row r="15" spans="1:15" ht="19.5" customHeight="1" x14ac:dyDescent="0.3">
      <c r="A15" s="184" t="s">
        <v>16</v>
      </c>
      <c r="B15" s="184"/>
      <c r="C15" s="18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5" ht="19.5" customHeight="1" x14ac:dyDescent="0.3">
      <c r="A16" s="17">
        <f>A14+1</f>
        <v>9</v>
      </c>
      <c r="B16" s="18" t="s">
        <v>28</v>
      </c>
      <c r="C16" s="17" t="s">
        <v>19</v>
      </c>
      <c r="D16" s="17"/>
      <c r="E16" s="17"/>
      <c r="F16" s="17"/>
      <c r="G16" s="17">
        <f t="shared" ref="G16:H16" si="7">IF(D16&gt;5,(D16-5)*2,0)</f>
        <v>0</v>
      </c>
      <c r="H16" s="17">
        <f t="shared" si="7"/>
        <v>0</v>
      </c>
      <c r="I16" s="17">
        <f t="shared" ref="I16" si="8">IF(F16&gt;2,(F16-2)*1,0)</f>
        <v>0</v>
      </c>
      <c r="J16" s="17">
        <f t="shared" ref="J16" si="9">SUM(G16:I16)</f>
        <v>0</v>
      </c>
      <c r="K16" s="17"/>
      <c r="L16" s="17">
        <f>100-J16-K16</f>
        <v>100</v>
      </c>
      <c r="M16" s="17" t="str">
        <f t="shared" ref="M16" si="10">IF(L16&lt;71,"KL",IF(AND(L16&gt;=71,L16&lt;81),"C",IF(AND(L16&gt;=81,L16&lt;91),"B","A")))</f>
        <v>A</v>
      </c>
      <c r="N16" s="17" t="str">
        <f t="shared" ref="N16" si="11">IF(M16="A","100% LTT",IF(M16="B","90% LTT",IF(M16="C","80% LTT","60% LTT")))</f>
        <v>100% LTT</v>
      </c>
    </row>
    <row r="17" spans="1:14" ht="19.5" customHeight="1" x14ac:dyDescent="0.3">
      <c r="A17" s="184" t="s">
        <v>17</v>
      </c>
      <c r="B17" s="184"/>
      <c r="C17" s="18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ht="19.5" customHeight="1" x14ac:dyDescent="0.3">
      <c r="A18" s="23">
        <f>A16+1</f>
        <v>10</v>
      </c>
      <c r="B18" s="38" t="s">
        <v>12</v>
      </c>
      <c r="C18" s="23" t="s">
        <v>19</v>
      </c>
      <c r="D18" s="23"/>
      <c r="E18" s="23"/>
      <c r="F18" s="23">
        <v>1</v>
      </c>
      <c r="G18" s="23">
        <f t="shared" ref="G18:H25" si="12">IF(D18&gt;5,(D18-5)*2,0)</f>
        <v>0</v>
      </c>
      <c r="H18" s="23">
        <f t="shared" si="12"/>
        <v>0</v>
      </c>
      <c r="I18" s="23">
        <f t="shared" ref="I18:I25" si="13">IF(F18&gt;2,(F18-2)*1,0)</f>
        <v>0</v>
      </c>
      <c r="J18" s="23">
        <f t="shared" ref="J18:J25" si="14">SUM(G18:I18)</f>
        <v>0</v>
      </c>
      <c r="K18" s="23">
        <v>5</v>
      </c>
      <c r="L18" s="23">
        <f>100-J18-K18</f>
        <v>95</v>
      </c>
      <c r="M18" s="23" t="str">
        <f t="shared" ref="M18:M25" si="15">IF(L18&lt;71,"KL",IF(AND(L18&gt;=71,L18&lt;81),"C",IF(AND(L18&gt;=81,L18&lt;91),"B","A")))</f>
        <v>A</v>
      </c>
      <c r="N18" s="23" t="str">
        <f t="shared" ref="N18:N25" si="16">IF(M18="A","100% LTT",IF(M18="B","90% LTT",IF(M18="C","80% LTT","60% LTT")))</f>
        <v>100% LTT</v>
      </c>
    </row>
    <row r="19" spans="1:14" ht="19.5" customHeight="1" x14ac:dyDescent="0.3">
      <c r="A19" s="15">
        <f>A18+1</f>
        <v>11</v>
      </c>
      <c r="B19" s="16" t="s">
        <v>13</v>
      </c>
      <c r="C19" s="15" t="s">
        <v>101</v>
      </c>
      <c r="D19" s="15">
        <v>2</v>
      </c>
      <c r="E19" s="15"/>
      <c r="F19" s="15">
        <v>2</v>
      </c>
      <c r="G19" s="15">
        <f>IF(D19&gt;5,(D19-5)*2,0)</f>
        <v>0</v>
      </c>
      <c r="H19" s="15">
        <f t="shared" si="12"/>
        <v>0</v>
      </c>
      <c r="I19" s="15">
        <f t="shared" si="13"/>
        <v>0</v>
      </c>
      <c r="J19" s="15">
        <f t="shared" si="14"/>
        <v>0</v>
      </c>
      <c r="K19" s="15">
        <v>2</v>
      </c>
      <c r="L19" s="15">
        <f t="shared" ref="L19:L25" si="17">100-J19-K19</f>
        <v>98</v>
      </c>
      <c r="M19" s="15" t="str">
        <f t="shared" si="15"/>
        <v>A</v>
      </c>
      <c r="N19" s="15" t="str">
        <f t="shared" si="16"/>
        <v>100% LTT</v>
      </c>
    </row>
    <row r="20" spans="1:14" ht="19.5" customHeight="1" x14ac:dyDescent="0.3">
      <c r="A20" s="15">
        <f t="shared" ref="A20:A24" si="18">A19+1</f>
        <v>12</v>
      </c>
      <c r="B20" s="16" t="s">
        <v>14</v>
      </c>
      <c r="C20" s="15" t="s">
        <v>19</v>
      </c>
      <c r="D20" s="15"/>
      <c r="E20" s="15"/>
      <c r="F20" s="15"/>
      <c r="G20" s="15">
        <f t="shared" si="12"/>
        <v>0</v>
      </c>
      <c r="H20" s="15">
        <f t="shared" si="12"/>
        <v>0</v>
      </c>
      <c r="I20" s="15">
        <f t="shared" si="13"/>
        <v>0</v>
      </c>
      <c r="J20" s="15">
        <f t="shared" si="14"/>
        <v>0</v>
      </c>
      <c r="K20" s="15">
        <v>6</v>
      </c>
      <c r="L20" s="15">
        <f t="shared" si="17"/>
        <v>94</v>
      </c>
      <c r="M20" s="15" t="str">
        <f t="shared" si="15"/>
        <v>A</v>
      </c>
      <c r="N20" s="15" t="str">
        <f t="shared" si="16"/>
        <v>100% LTT</v>
      </c>
    </row>
    <row r="21" spans="1:14" ht="19.5" customHeight="1" x14ac:dyDescent="0.3">
      <c r="A21" s="15">
        <f t="shared" si="18"/>
        <v>13</v>
      </c>
      <c r="B21" s="16" t="s">
        <v>40</v>
      </c>
      <c r="C21" s="15" t="s">
        <v>19</v>
      </c>
      <c r="D21" s="15"/>
      <c r="E21" s="15"/>
      <c r="F21" s="15"/>
      <c r="G21" s="15">
        <f t="shared" si="12"/>
        <v>0</v>
      </c>
      <c r="H21" s="15">
        <f t="shared" si="12"/>
        <v>0</v>
      </c>
      <c r="I21" s="15">
        <f t="shared" si="13"/>
        <v>0</v>
      </c>
      <c r="J21" s="15">
        <f t="shared" si="14"/>
        <v>0</v>
      </c>
      <c r="K21" s="15">
        <v>5</v>
      </c>
      <c r="L21" s="15">
        <f t="shared" si="17"/>
        <v>95</v>
      </c>
      <c r="M21" s="15" t="str">
        <f t="shared" si="15"/>
        <v>A</v>
      </c>
      <c r="N21" s="15" t="str">
        <f t="shared" si="16"/>
        <v>100% LTT</v>
      </c>
    </row>
    <row r="22" spans="1:14" ht="19.5" customHeight="1" x14ac:dyDescent="0.3">
      <c r="A22" s="15">
        <f t="shared" si="18"/>
        <v>14</v>
      </c>
      <c r="B22" s="16" t="s">
        <v>98</v>
      </c>
      <c r="C22" s="15" t="s">
        <v>102</v>
      </c>
      <c r="D22" s="15"/>
      <c r="E22" s="15"/>
      <c r="F22" s="15"/>
      <c r="G22" s="15">
        <f t="shared" si="12"/>
        <v>0</v>
      </c>
      <c r="H22" s="15">
        <f t="shared" si="12"/>
        <v>0</v>
      </c>
      <c r="I22" s="15">
        <f t="shared" si="13"/>
        <v>0</v>
      </c>
      <c r="J22" s="15">
        <f t="shared" si="14"/>
        <v>0</v>
      </c>
      <c r="K22" s="15">
        <v>9</v>
      </c>
      <c r="L22" s="15">
        <f t="shared" si="17"/>
        <v>91</v>
      </c>
      <c r="M22" s="15" t="str">
        <f t="shared" si="15"/>
        <v>A</v>
      </c>
      <c r="N22" s="15" t="str">
        <f t="shared" si="16"/>
        <v>100% LTT</v>
      </c>
    </row>
    <row r="23" spans="1:14" ht="19.5" customHeight="1" x14ac:dyDescent="0.3">
      <c r="A23" s="15">
        <f t="shared" si="18"/>
        <v>15</v>
      </c>
      <c r="B23" s="16" t="s">
        <v>99</v>
      </c>
      <c r="C23" s="15" t="s">
        <v>102</v>
      </c>
      <c r="D23" s="15"/>
      <c r="E23" s="15"/>
      <c r="F23" s="15"/>
      <c r="G23" s="15">
        <f t="shared" si="12"/>
        <v>0</v>
      </c>
      <c r="H23" s="15">
        <f t="shared" si="12"/>
        <v>0</v>
      </c>
      <c r="I23" s="15">
        <f t="shared" si="13"/>
        <v>0</v>
      </c>
      <c r="J23" s="15">
        <f t="shared" si="14"/>
        <v>0</v>
      </c>
      <c r="K23" s="15">
        <v>5</v>
      </c>
      <c r="L23" s="15">
        <f t="shared" si="17"/>
        <v>95</v>
      </c>
      <c r="M23" s="15" t="str">
        <f t="shared" si="15"/>
        <v>A</v>
      </c>
      <c r="N23" s="15" t="str">
        <f t="shared" si="16"/>
        <v>100% LTT</v>
      </c>
    </row>
    <row r="24" spans="1:14" ht="19.5" customHeight="1" x14ac:dyDescent="0.3">
      <c r="A24" s="15">
        <f t="shared" si="18"/>
        <v>16</v>
      </c>
      <c r="B24" s="16" t="s">
        <v>100</v>
      </c>
      <c r="C24" s="15" t="s">
        <v>102</v>
      </c>
      <c r="D24" s="15"/>
      <c r="E24" s="15"/>
      <c r="F24" s="15"/>
      <c r="G24" s="15">
        <f t="shared" si="12"/>
        <v>0</v>
      </c>
      <c r="H24" s="15">
        <f t="shared" si="12"/>
        <v>0</v>
      </c>
      <c r="I24" s="15">
        <f t="shared" si="13"/>
        <v>0</v>
      </c>
      <c r="J24" s="15">
        <f t="shared" si="14"/>
        <v>0</v>
      </c>
      <c r="K24" s="15">
        <v>6</v>
      </c>
      <c r="L24" s="15">
        <f t="shared" si="17"/>
        <v>94</v>
      </c>
      <c r="M24" s="15" t="str">
        <f t="shared" si="15"/>
        <v>A</v>
      </c>
      <c r="N24" s="15" t="str">
        <f t="shared" si="16"/>
        <v>100% LTT</v>
      </c>
    </row>
    <row r="25" spans="1:14" ht="19.5" customHeight="1" x14ac:dyDescent="0.3">
      <c r="A25" s="17">
        <v>17</v>
      </c>
      <c r="B25" s="18" t="s">
        <v>104</v>
      </c>
      <c r="C25" s="17"/>
      <c r="D25" s="17"/>
      <c r="E25" s="17"/>
      <c r="F25" s="17"/>
      <c r="G25" s="15">
        <f t="shared" si="12"/>
        <v>0</v>
      </c>
      <c r="H25" s="15">
        <f t="shared" si="12"/>
        <v>0</v>
      </c>
      <c r="I25" s="15">
        <f t="shared" si="13"/>
        <v>0</v>
      </c>
      <c r="J25" s="15">
        <f t="shared" si="14"/>
        <v>0</v>
      </c>
      <c r="K25" s="17">
        <v>5</v>
      </c>
      <c r="L25" s="17">
        <f t="shared" si="17"/>
        <v>95</v>
      </c>
      <c r="M25" s="17" t="str">
        <f t="shared" si="15"/>
        <v>A</v>
      </c>
      <c r="N25" s="17" t="str">
        <f t="shared" si="16"/>
        <v>100% LTT</v>
      </c>
    </row>
    <row r="26" spans="1:14" ht="22.5" customHeight="1" x14ac:dyDescent="0.3">
      <c r="A26" s="180" t="s">
        <v>60</v>
      </c>
      <c r="B26" s="180"/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0"/>
      <c r="N26" s="180"/>
    </row>
    <row r="27" spans="1:14" ht="22.5" customHeight="1" x14ac:dyDescent="0.3">
      <c r="J27" s="185" t="s">
        <v>65</v>
      </c>
      <c r="K27" s="185"/>
      <c r="L27" s="185"/>
      <c r="M27" s="185"/>
      <c r="N27" s="185"/>
    </row>
    <row r="28" spans="1:14" ht="22.5" customHeight="1" x14ac:dyDescent="0.3">
      <c r="B28" s="178" t="s">
        <v>22</v>
      </c>
      <c r="C28" s="178"/>
      <c r="D28" s="178"/>
      <c r="L28" s="178" t="s">
        <v>25</v>
      </c>
      <c r="M28" s="178"/>
      <c r="N28" s="178"/>
    </row>
    <row r="29" spans="1:14" ht="22.5" customHeight="1" x14ac:dyDescent="0.3">
      <c r="L29" s="58"/>
      <c r="M29" s="58"/>
    </row>
    <row r="30" spans="1:14" ht="22.5" customHeight="1" x14ac:dyDescent="0.3">
      <c r="L30" s="58"/>
      <c r="M30" s="58"/>
    </row>
    <row r="31" spans="1:14" ht="22.5" customHeight="1" x14ac:dyDescent="0.3">
      <c r="L31" s="58"/>
      <c r="M31" s="58"/>
    </row>
    <row r="32" spans="1:14" ht="22.5" customHeight="1" x14ac:dyDescent="0.3">
      <c r="B32" s="178" t="s">
        <v>28</v>
      </c>
      <c r="C32" s="178"/>
      <c r="D32" s="178"/>
      <c r="L32" s="178" t="s">
        <v>27</v>
      </c>
      <c r="M32" s="178"/>
      <c r="N32" s="178"/>
    </row>
    <row r="33" spans="3:4" ht="22.5" customHeight="1" x14ac:dyDescent="0.3">
      <c r="C33" s="1"/>
      <c r="D33" s="1"/>
    </row>
  </sheetData>
  <mergeCells count="25">
    <mergeCell ref="B32:D32"/>
    <mergeCell ref="L32:N32"/>
    <mergeCell ref="A6:C6"/>
    <mergeCell ref="A15:C15"/>
    <mergeCell ref="A17:C17"/>
    <mergeCell ref="A26:N26"/>
    <mergeCell ref="J27:N27"/>
    <mergeCell ref="B28:D28"/>
    <mergeCell ref="L28:N28"/>
    <mergeCell ref="O4:O5"/>
    <mergeCell ref="A1:N1"/>
    <mergeCell ref="A2:N2"/>
    <mergeCell ref="A3:N3"/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L4:L5"/>
    <mergeCell ref="M4:M5"/>
    <mergeCell ref="N4:N5"/>
  </mergeCells>
  <pageMargins left="0.2" right="0.2" top="0.34" bottom="0.33" header="0.3" footer="0.3"/>
  <pageSetup paperSize="9" scale="75" orientation="landscape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topLeftCell="C1" workbookViewId="0">
      <selection activeCell="F17" sqref="F17"/>
    </sheetView>
  </sheetViews>
  <sheetFormatPr defaultColWidth="9.109375" defaultRowHeight="16.8" x14ac:dyDescent="0.3"/>
  <cols>
    <col min="1" max="1" width="6.109375" style="2" customWidth="1"/>
    <col min="2" max="2" width="25.77734375" style="1" customWidth="1"/>
    <col min="3" max="3" width="22" style="2" customWidth="1"/>
    <col min="4" max="4" width="9.5546875" style="2" customWidth="1"/>
    <col min="5" max="5" width="10.6640625" style="2" customWidth="1"/>
    <col min="6" max="6" width="12.6640625" style="2" customWidth="1"/>
    <col min="7" max="9" width="12.33203125" style="2" customWidth="1"/>
    <col min="10" max="10" width="12.44140625" style="2" customWidth="1"/>
    <col min="11" max="11" width="11.33203125" style="2" customWidth="1"/>
    <col min="12" max="12" width="12.109375" style="2" customWidth="1"/>
    <col min="13" max="13" width="9.44140625" style="2" customWidth="1"/>
    <col min="14" max="14" width="15" style="2" customWidth="1"/>
    <col min="15" max="15" width="53.88671875" style="2" customWidth="1"/>
    <col min="16" max="16384" width="9.109375" style="1"/>
  </cols>
  <sheetData>
    <row r="1" spans="1:15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5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</row>
    <row r="3" spans="1:15" ht="22.5" customHeight="1" x14ac:dyDescent="0.3">
      <c r="A3" s="179" t="s">
        <v>105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</row>
    <row r="4" spans="1:15" s="3" customFormat="1" ht="22.5" customHeight="1" x14ac:dyDescent="0.3">
      <c r="A4" s="180" t="s">
        <v>0</v>
      </c>
      <c r="B4" s="180" t="s">
        <v>1</v>
      </c>
      <c r="C4" s="180" t="s">
        <v>2</v>
      </c>
      <c r="D4" s="180" t="s">
        <v>23</v>
      </c>
      <c r="E4" s="180"/>
      <c r="F4" s="180"/>
      <c r="G4" s="181" t="s">
        <v>29</v>
      </c>
      <c r="H4" s="181" t="s">
        <v>30</v>
      </c>
      <c r="I4" s="181" t="s">
        <v>31</v>
      </c>
      <c r="J4" s="181" t="s">
        <v>96</v>
      </c>
      <c r="K4" s="181" t="s">
        <v>97</v>
      </c>
      <c r="L4" s="180" t="s">
        <v>6</v>
      </c>
      <c r="M4" s="180" t="s">
        <v>7</v>
      </c>
      <c r="N4" s="180" t="s">
        <v>8</v>
      </c>
      <c r="O4" s="183"/>
    </row>
    <row r="5" spans="1:15" s="3" customFormat="1" ht="38.25" customHeight="1" x14ac:dyDescent="0.3">
      <c r="A5" s="180"/>
      <c r="B5" s="180"/>
      <c r="C5" s="180"/>
      <c r="D5" s="61" t="s">
        <v>3</v>
      </c>
      <c r="E5" s="61" t="s">
        <v>4</v>
      </c>
      <c r="F5" s="61" t="s">
        <v>5</v>
      </c>
      <c r="G5" s="182"/>
      <c r="H5" s="182"/>
      <c r="I5" s="182"/>
      <c r="J5" s="182"/>
      <c r="K5" s="182"/>
      <c r="L5" s="180"/>
      <c r="M5" s="180"/>
      <c r="N5" s="180"/>
      <c r="O5" s="183"/>
    </row>
    <row r="6" spans="1:15" ht="19.5" customHeight="1" x14ac:dyDescent="0.3">
      <c r="A6" s="184" t="s">
        <v>15</v>
      </c>
      <c r="B6" s="184"/>
      <c r="C6" s="18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5" ht="19.5" customHeight="1" x14ac:dyDescent="0.3">
      <c r="A7" s="15">
        <v>1</v>
      </c>
      <c r="B7" s="16" t="s">
        <v>49</v>
      </c>
      <c r="C7" s="15" t="s">
        <v>19</v>
      </c>
      <c r="D7" s="15"/>
      <c r="E7" s="15"/>
      <c r="F7" s="15"/>
      <c r="G7" s="15">
        <f t="shared" ref="G7:H14" si="0">IF(D7&gt;5,(D7-5)*2,0)</f>
        <v>0</v>
      </c>
      <c r="H7" s="15">
        <f t="shared" si="0"/>
        <v>0</v>
      </c>
      <c r="I7" s="15">
        <f t="shared" ref="I7:I14" si="1">IF(F7&gt;2,(F7-2)*1,0)</f>
        <v>0</v>
      </c>
      <c r="J7" s="15">
        <f>SUM(G7:I7)</f>
        <v>0</v>
      </c>
      <c r="K7" s="15"/>
      <c r="L7" s="15">
        <f>100-J7-K7</f>
        <v>100</v>
      </c>
      <c r="M7" s="15" t="str">
        <f t="shared" ref="M7:M14" si="2">IF(L7&lt;71,"KL",IF(AND(L7&gt;=71,L7&lt;81),"C",IF(AND(L7&gt;=81,L7&lt;91),"B","A")))</f>
        <v>A</v>
      </c>
      <c r="N7" s="15" t="str">
        <f t="shared" ref="N7:N14" si="3">IF(M7="A","100% LTT",IF(M7="B","90% LTT",IF(M7="C","80% LTT","60% LTT")))</f>
        <v>100% LTT</v>
      </c>
      <c r="O7" s="11" t="s">
        <v>33</v>
      </c>
    </row>
    <row r="8" spans="1:15" ht="19.5" customHeight="1" x14ac:dyDescent="0.3">
      <c r="A8" s="15">
        <f t="shared" ref="A8:A14" si="4">A7+1</f>
        <v>2</v>
      </c>
      <c r="B8" s="16" t="s">
        <v>52</v>
      </c>
      <c r="C8" s="15" t="s">
        <v>19</v>
      </c>
      <c r="D8" s="15"/>
      <c r="E8" s="15"/>
      <c r="F8" s="15"/>
      <c r="G8" s="15">
        <f t="shared" si="0"/>
        <v>0</v>
      </c>
      <c r="H8" s="15">
        <f t="shared" si="0"/>
        <v>0</v>
      </c>
      <c r="I8" s="15">
        <f t="shared" si="1"/>
        <v>0</v>
      </c>
      <c r="J8" s="15">
        <f t="shared" ref="J8:J14" si="5">SUM(G8:I8)</f>
        <v>0</v>
      </c>
      <c r="K8" s="15"/>
      <c r="L8" s="15">
        <f t="shared" ref="L8:L14" si="6">100-J8-K8</f>
        <v>100</v>
      </c>
      <c r="M8" s="15" t="str">
        <f t="shared" si="2"/>
        <v>A</v>
      </c>
      <c r="N8" s="15" t="str">
        <f t="shared" si="3"/>
        <v>100% LTT</v>
      </c>
      <c r="O8" s="34"/>
    </row>
    <row r="9" spans="1:15" ht="19.5" customHeight="1" x14ac:dyDescent="0.3">
      <c r="A9" s="15">
        <f>A8+1</f>
        <v>3</v>
      </c>
      <c r="B9" s="16" t="s">
        <v>57</v>
      </c>
      <c r="C9" s="15" t="s">
        <v>19</v>
      </c>
      <c r="D9" s="15"/>
      <c r="E9" s="15"/>
      <c r="F9" s="15"/>
      <c r="G9" s="15">
        <f t="shared" si="0"/>
        <v>0</v>
      </c>
      <c r="H9" s="15">
        <f t="shared" si="0"/>
        <v>0</v>
      </c>
      <c r="I9" s="15">
        <f t="shared" si="1"/>
        <v>0</v>
      </c>
      <c r="J9" s="15">
        <f t="shared" si="5"/>
        <v>0</v>
      </c>
      <c r="K9" s="15"/>
      <c r="L9" s="15">
        <f t="shared" si="6"/>
        <v>100</v>
      </c>
      <c r="M9" s="15" t="str">
        <f t="shared" si="2"/>
        <v>A</v>
      </c>
      <c r="N9" s="15" t="str">
        <f t="shared" si="3"/>
        <v>100% LTT</v>
      </c>
      <c r="O9" s="35"/>
    </row>
    <row r="10" spans="1:15" ht="19.5" customHeight="1" x14ac:dyDescent="0.3">
      <c r="A10" s="15">
        <f t="shared" si="4"/>
        <v>4</v>
      </c>
      <c r="B10" s="16" t="s">
        <v>58</v>
      </c>
      <c r="C10" s="15" t="s">
        <v>19</v>
      </c>
      <c r="D10" s="15"/>
      <c r="E10" s="15"/>
      <c r="F10" s="15"/>
      <c r="G10" s="15">
        <f t="shared" si="0"/>
        <v>0</v>
      </c>
      <c r="H10" s="15">
        <f t="shared" si="0"/>
        <v>0</v>
      </c>
      <c r="I10" s="15">
        <f t="shared" si="1"/>
        <v>0</v>
      </c>
      <c r="J10" s="15">
        <f t="shared" si="5"/>
        <v>0</v>
      </c>
      <c r="K10" s="15"/>
      <c r="L10" s="15">
        <f t="shared" si="6"/>
        <v>100</v>
      </c>
      <c r="M10" s="15" t="str">
        <f t="shared" si="2"/>
        <v>A</v>
      </c>
      <c r="N10" s="15" t="str">
        <f t="shared" si="3"/>
        <v>100% LTT</v>
      </c>
      <c r="O10" s="35"/>
    </row>
    <row r="11" spans="1:15" ht="19.5" customHeight="1" x14ac:dyDescent="0.3">
      <c r="A11" s="15">
        <f t="shared" si="4"/>
        <v>5</v>
      </c>
      <c r="B11" s="16" t="s">
        <v>59</v>
      </c>
      <c r="C11" s="15" t="s">
        <v>19</v>
      </c>
      <c r="D11" s="15"/>
      <c r="E11" s="15"/>
      <c r="F11" s="15"/>
      <c r="G11" s="15">
        <f t="shared" si="0"/>
        <v>0</v>
      </c>
      <c r="H11" s="15">
        <f t="shared" si="0"/>
        <v>0</v>
      </c>
      <c r="I11" s="15">
        <f t="shared" si="1"/>
        <v>0</v>
      </c>
      <c r="J11" s="15">
        <f t="shared" si="5"/>
        <v>0</v>
      </c>
      <c r="K11" s="15"/>
      <c r="L11" s="15">
        <f t="shared" si="6"/>
        <v>100</v>
      </c>
      <c r="M11" s="15" t="str">
        <f t="shared" si="2"/>
        <v>A</v>
      </c>
      <c r="N11" s="15" t="str">
        <f t="shared" si="3"/>
        <v>100% LTT</v>
      </c>
      <c r="O11" s="35"/>
    </row>
    <row r="12" spans="1:15" ht="19.5" customHeight="1" x14ac:dyDescent="0.3">
      <c r="A12" s="15">
        <f t="shared" si="4"/>
        <v>6</v>
      </c>
      <c r="B12" s="16" t="s">
        <v>53</v>
      </c>
      <c r="C12" s="15" t="s">
        <v>19</v>
      </c>
      <c r="D12" s="15"/>
      <c r="E12" s="15"/>
      <c r="F12" s="15"/>
      <c r="G12" s="15">
        <f t="shared" si="0"/>
        <v>0</v>
      </c>
      <c r="H12" s="15">
        <f t="shared" si="0"/>
        <v>0</v>
      </c>
      <c r="I12" s="15">
        <f t="shared" si="1"/>
        <v>0</v>
      </c>
      <c r="J12" s="15">
        <f t="shared" si="5"/>
        <v>0</v>
      </c>
      <c r="K12" s="15"/>
      <c r="L12" s="15">
        <f t="shared" si="6"/>
        <v>100</v>
      </c>
      <c r="M12" s="15" t="str">
        <f t="shared" si="2"/>
        <v>A</v>
      </c>
      <c r="N12" s="15" t="str">
        <f t="shared" si="3"/>
        <v>100% LTT</v>
      </c>
      <c r="O12" s="35"/>
    </row>
    <row r="13" spans="1:15" ht="19.5" customHeight="1" x14ac:dyDescent="0.3">
      <c r="A13" s="15">
        <f t="shared" si="4"/>
        <v>7</v>
      </c>
      <c r="B13" s="16" t="s">
        <v>54</v>
      </c>
      <c r="C13" s="15" t="s">
        <v>19</v>
      </c>
      <c r="D13" s="15"/>
      <c r="E13" s="15"/>
      <c r="F13" s="15"/>
      <c r="G13" s="15">
        <f t="shared" si="0"/>
        <v>0</v>
      </c>
      <c r="H13" s="15">
        <f t="shared" si="0"/>
        <v>0</v>
      </c>
      <c r="I13" s="15">
        <f t="shared" si="1"/>
        <v>0</v>
      </c>
      <c r="J13" s="15">
        <f t="shared" si="5"/>
        <v>0</v>
      </c>
      <c r="K13" s="15"/>
      <c r="L13" s="15">
        <f t="shared" si="6"/>
        <v>100</v>
      </c>
      <c r="M13" s="15" t="str">
        <f t="shared" si="2"/>
        <v>A</v>
      </c>
      <c r="N13" s="15" t="str">
        <f t="shared" si="3"/>
        <v>100% LTT</v>
      </c>
      <c r="O13" s="35"/>
    </row>
    <row r="14" spans="1:15" ht="19.5" customHeight="1" x14ac:dyDescent="0.3">
      <c r="A14" s="17">
        <f t="shared" si="4"/>
        <v>8</v>
      </c>
      <c r="B14" s="18" t="s">
        <v>11</v>
      </c>
      <c r="C14" s="17" t="s">
        <v>51</v>
      </c>
      <c r="D14" s="17"/>
      <c r="E14" s="17"/>
      <c r="F14" s="17"/>
      <c r="G14" s="17">
        <f t="shared" si="0"/>
        <v>0</v>
      </c>
      <c r="H14" s="17">
        <f t="shared" si="0"/>
        <v>0</v>
      </c>
      <c r="I14" s="17">
        <f t="shared" si="1"/>
        <v>0</v>
      </c>
      <c r="J14" s="17">
        <f t="shared" si="5"/>
        <v>0</v>
      </c>
      <c r="K14" s="17"/>
      <c r="L14" s="15">
        <f t="shared" si="6"/>
        <v>100</v>
      </c>
      <c r="M14" s="17" t="str">
        <f t="shared" si="2"/>
        <v>A</v>
      </c>
      <c r="N14" s="17" t="str">
        <f t="shared" si="3"/>
        <v>100% LTT</v>
      </c>
      <c r="O14" s="35"/>
    </row>
    <row r="15" spans="1:15" ht="19.5" customHeight="1" x14ac:dyDescent="0.3">
      <c r="A15" s="184" t="s">
        <v>16</v>
      </c>
      <c r="B15" s="184"/>
      <c r="C15" s="18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5" ht="19.5" customHeight="1" x14ac:dyDescent="0.3">
      <c r="A16" s="17">
        <f>A14+1</f>
        <v>9</v>
      </c>
      <c r="B16" s="18" t="s">
        <v>28</v>
      </c>
      <c r="C16" s="17" t="s">
        <v>19</v>
      </c>
      <c r="D16" s="17"/>
      <c r="E16" s="17"/>
      <c r="F16" s="17"/>
      <c r="G16" s="17">
        <f t="shared" ref="G16:H16" si="7">IF(D16&gt;5,(D16-5)*2,0)</f>
        <v>0</v>
      </c>
      <c r="H16" s="17">
        <f t="shared" si="7"/>
        <v>0</v>
      </c>
      <c r="I16" s="17">
        <f t="shared" ref="I16" si="8">IF(F16&gt;2,(F16-2)*1,0)</f>
        <v>0</v>
      </c>
      <c r="J16" s="17">
        <f t="shared" ref="J16" si="9">SUM(G16:I16)</f>
        <v>0</v>
      </c>
      <c r="K16" s="17"/>
      <c r="L16" s="17">
        <f>100-J16-K16</f>
        <v>100</v>
      </c>
      <c r="M16" s="17" t="str">
        <f t="shared" ref="M16" si="10">IF(L16&lt;71,"KL",IF(AND(L16&gt;=71,L16&lt;81),"C",IF(AND(L16&gt;=81,L16&lt;91),"B","A")))</f>
        <v>A</v>
      </c>
      <c r="N16" s="17" t="str">
        <f t="shared" ref="N16" si="11">IF(M16="A","100% LTT",IF(M16="B","90% LTT",IF(M16="C","80% LTT","60% LTT")))</f>
        <v>100% LTT</v>
      </c>
    </row>
    <row r="17" spans="1:14" ht="19.5" customHeight="1" x14ac:dyDescent="0.3">
      <c r="A17" s="184" t="s">
        <v>17</v>
      </c>
      <c r="B17" s="184"/>
      <c r="C17" s="18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ht="19.5" customHeight="1" x14ac:dyDescent="0.3">
      <c r="A18" s="23">
        <f>A16+1</f>
        <v>10</v>
      </c>
      <c r="B18" s="38" t="s">
        <v>12</v>
      </c>
      <c r="C18" s="23" t="s">
        <v>19</v>
      </c>
      <c r="D18" s="23"/>
      <c r="E18" s="23"/>
      <c r="F18" s="23"/>
      <c r="G18" s="23">
        <f t="shared" ref="G18:H25" si="12">IF(D18&gt;5,(D18-5)*2,0)</f>
        <v>0</v>
      </c>
      <c r="H18" s="23">
        <f t="shared" si="12"/>
        <v>0</v>
      </c>
      <c r="I18" s="23">
        <f t="shared" ref="I18:I25" si="13">IF(F18&gt;2,(F18-2)*1,0)</f>
        <v>0</v>
      </c>
      <c r="J18" s="23">
        <f t="shared" ref="J18:J25" si="14">SUM(G18:I18)</f>
        <v>0</v>
      </c>
      <c r="K18" s="23"/>
      <c r="L18" s="23">
        <f>100-J18-K18</f>
        <v>100</v>
      </c>
      <c r="M18" s="23" t="str">
        <f t="shared" ref="M18:M25" si="15">IF(L18&lt;71,"KL",IF(AND(L18&gt;=71,L18&lt;81),"C",IF(AND(L18&gt;=81,L18&lt;91),"B","A")))</f>
        <v>A</v>
      </c>
      <c r="N18" s="23" t="str">
        <f t="shared" ref="N18:N25" si="16">IF(M18="A","100% LTT",IF(M18="B","90% LTT",IF(M18="C","80% LTT","60% LTT")))</f>
        <v>100% LTT</v>
      </c>
    </row>
    <row r="19" spans="1:14" ht="19.5" customHeight="1" x14ac:dyDescent="0.3">
      <c r="A19" s="15">
        <f>A18+1</f>
        <v>11</v>
      </c>
      <c r="B19" s="16" t="s">
        <v>13</v>
      </c>
      <c r="C19" s="15" t="s">
        <v>101</v>
      </c>
      <c r="D19" s="15"/>
      <c r="E19" s="15"/>
      <c r="F19" s="15"/>
      <c r="G19" s="15">
        <f>IF(D19&gt;5,(D19-5)*2,0)</f>
        <v>0</v>
      </c>
      <c r="H19" s="15">
        <f t="shared" si="12"/>
        <v>0</v>
      </c>
      <c r="I19" s="15">
        <f t="shared" si="13"/>
        <v>0</v>
      </c>
      <c r="J19" s="15">
        <f t="shared" si="14"/>
        <v>0</v>
      </c>
      <c r="K19" s="15"/>
      <c r="L19" s="15">
        <f t="shared" ref="L19:L25" si="17">100-J19-K19</f>
        <v>100</v>
      </c>
      <c r="M19" s="15" t="str">
        <f t="shared" si="15"/>
        <v>A</v>
      </c>
      <c r="N19" s="15" t="str">
        <f t="shared" si="16"/>
        <v>100% LTT</v>
      </c>
    </row>
    <row r="20" spans="1:14" ht="19.5" customHeight="1" x14ac:dyDescent="0.3">
      <c r="A20" s="15">
        <f t="shared" ref="A20:A24" si="18">A19+1</f>
        <v>12</v>
      </c>
      <c r="B20" s="16" t="s">
        <v>14</v>
      </c>
      <c r="C20" s="15" t="s">
        <v>19</v>
      </c>
      <c r="D20" s="15"/>
      <c r="E20" s="15"/>
      <c r="F20" s="15"/>
      <c r="G20" s="15">
        <f t="shared" si="12"/>
        <v>0</v>
      </c>
      <c r="H20" s="15">
        <f t="shared" si="12"/>
        <v>0</v>
      </c>
      <c r="I20" s="15">
        <f t="shared" si="13"/>
        <v>0</v>
      </c>
      <c r="J20" s="15">
        <f t="shared" si="14"/>
        <v>0</v>
      </c>
      <c r="K20" s="15"/>
      <c r="L20" s="15">
        <f t="shared" si="17"/>
        <v>100</v>
      </c>
      <c r="M20" s="15" t="str">
        <f t="shared" si="15"/>
        <v>A</v>
      </c>
      <c r="N20" s="15" t="str">
        <f t="shared" si="16"/>
        <v>100% LTT</v>
      </c>
    </row>
    <row r="21" spans="1:14" ht="19.5" customHeight="1" x14ac:dyDescent="0.3">
      <c r="A21" s="15">
        <f t="shared" si="18"/>
        <v>13</v>
      </c>
      <c r="B21" s="16" t="s">
        <v>40</v>
      </c>
      <c r="C21" s="15" t="s">
        <v>19</v>
      </c>
      <c r="D21" s="15"/>
      <c r="E21" s="15"/>
      <c r="F21" s="15"/>
      <c r="G21" s="15">
        <f t="shared" si="12"/>
        <v>0</v>
      </c>
      <c r="H21" s="15">
        <f t="shared" si="12"/>
        <v>0</v>
      </c>
      <c r="I21" s="15">
        <f t="shared" si="13"/>
        <v>0</v>
      </c>
      <c r="J21" s="15">
        <f t="shared" si="14"/>
        <v>0</v>
      </c>
      <c r="K21" s="15"/>
      <c r="L21" s="15">
        <f t="shared" si="17"/>
        <v>100</v>
      </c>
      <c r="M21" s="15" t="str">
        <f t="shared" si="15"/>
        <v>A</v>
      </c>
      <c r="N21" s="15" t="str">
        <f t="shared" si="16"/>
        <v>100% LTT</v>
      </c>
    </row>
    <row r="22" spans="1:14" ht="19.5" customHeight="1" x14ac:dyDescent="0.3">
      <c r="A22" s="15">
        <f t="shared" si="18"/>
        <v>14</v>
      </c>
      <c r="B22" s="16" t="s">
        <v>98</v>
      </c>
      <c r="C22" s="15" t="s">
        <v>102</v>
      </c>
      <c r="D22" s="15"/>
      <c r="E22" s="15"/>
      <c r="F22" s="15"/>
      <c r="G22" s="15">
        <f t="shared" si="12"/>
        <v>0</v>
      </c>
      <c r="H22" s="15">
        <f t="shared" si="12"/>
        <v>0</v>
      </c>
      <c r="I22" s="15">
        <f t="shared" si="13"/>
        <v>0</v>
      </c>
      <c r="J22" s="15">
        <f t="shared" si="14"/>
        <v>0</v>
      </c>
      <c r="K22" s="15"/>
      <c r="L22" s="15">
        <f t="shared" si="17"/>
        <v>100</v>
      </c>
      <c r="M22" s="15" t="str">
        <f t="shared" si="15"/>
        <v>A</v>
      </c>
      <c r="N22" s="15" t="str">
        <f t="shared" si="16"/>
        <v>100% LTT</v>
      </c>
    </row>
    <row r="23" spans="1:14" ht="19.5" customHeight="1" x14ac:dyDescent="0.3">
      <c r="A23" s="15">
        <f t="shared" si="18"/>
        <v>15</v>
      </c>
      <c r="B23" s="16" t="s">
        <v>99</v>
      </c>
      <c r="C23" s="15" t="s">
        <v>102</v>
      </c>
      <c r="D23" s="15"/>
      <c r="E23" s="15"/>
      <c r="F23" s="15"/>
      <c r="G23" s="15">
        <f t="shared" si="12"/>
        <v>0</v>
      </c>
      <c r="H23" s="15">
        <f t="shared" si="12"/>
        <v>0</v>
      </c>
      <c r="I23" s="15">
        <f t="shared" si="13"/>
        <v>0</v>
      </c>
      <c r="J23" s="15">
        <f t="shared" si="14"/>
        <v>0</v>
      </c>
      <c r="K23" s="15"/>
      <c r="L23" s="15">
        <f t="shared" si="17"/>
        <v>100</v>
      </c>
      <c r="M23" s="15" t="str">
        <f t="shared" si="15"/>
        <v>A</v>
      </c>
      <c r="N23" s="15" t="str">
        <f t="shared" si="16"/>
        <v>100% LTT</v>
      </c>
    </row>
    <row r="24" spans="1:14" ht="19.5" customHeight="1" x14ac:dyDescent="0.3">
      <c r="A24" s="15">
        <f t="shared" si="18"/>
        <v>16</v>
      </c>
      <c r="B24" s="16" t="s">
        <v>100</v>
      </c>
      <c r="C24" s="15" t="s">
        <v>102</v>
      </c>
      <c r="D24" s="15"/>
      <c r="E24" s="15"/>
      <c r="F24" s="15"/>
      <c r="G24" s="15">
        <f t="shared" si="12"/>
        <v>0</v>
      </c>
      <c r="H24" s="15">
        <f t="shared" si="12"/>
        <v>0</v>
      </c>
      <c r="I24" s="15">
        <f t="shared" si="13"/>
        <v>0</v>
      </c>
      <c r="J24" s="15">
        <f t="shared" si="14"/>
        <v>0</v>
      </c>
      <c r="K24" s="15"/>
      <c r="L24" s="15">
        <f t="shared" si="17"/>
        <v>100</v>
      </c>
      <c r="M24" s="15" t="str">
        <f t="shared" si="15"/>
        <v>A</v>
      </c>
      <c r="N24" s="15" t="str">
        <f t="shared" si="16"/>
        <v>100% LTT</v>
      </c>
    </row>
    <row r="25" spans="1:14" ht="19.5" customHeight="1" x14ac:dyDescent="0.3">
      <c r="A25" s="17">
        <v>17</v>
      </c>
      <c r="B25" s="18" t="s">
        <v>104</v>
      </c>
      <c r="C25" s="17" t="s">
        <v>107</v>
      </c>
      <c r="D25" s="17"/>
      <c r="E25" s="17"/>
      <c r="F25" s="17"/>
      <c r="G25" s="15">
        <f t="shared" si="12"/>
        <v>0</v>
      </c>
      <c r="H25" s="15">
        <f t="shared" si="12"/>
        <v>0</v>
      </c>
      <c r="I25" s="15">
        <f t="shared" si="13"/>
        <v>0</v>
      </c>
      <c r="J25" s="15">
        <f t="shared" si="14"/>
        <v>0</v>
      </c>
      <c r="K25" s="17"/>
      <c r="L25" s="17">
        <f t="shared" si="17"/>
        <v>100</v>
      </c>
      <c r="M25" s="17" t="str">
        <f t="shared" si="15"/>
        <v>A</v>
      </c>
      <c r="N25" s="17" t="str">
        <f t="shared" si="16"/>
        <v>100% LTT</v>
      </c>
    </row>
    <row r="26" spans="1:14" ht="22.5" customHeight="1" x14ac:dyDescent="0.3">
      <c r="A26" s="180" t="s">
        <v>60</v>
      </c>
      <c r="B26" s="180"/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0"/>
      <c r="N26" s="180"/>
    </row>
    <row r="27" spans="1:14" ht="22.5" customHeight="1" x14ac:dyDescent="0.3">
      <c r="J27" s="185" t="s">
        <v>65</v>
      </c>
      <c r="K27" s="185"/>
      <c r="L27" s="185"/>
      <c r="M27" s="185"/>
      <c r="N27" s="185"/>
    </row>
    <row r="28" spans="1:14" ht="22.5" customHeight="1" x14ac:dyDescent="0.3">
      <c r="B28" s="178" t="s">
        <v>22</v>
      </c>
      <c r="C28" s="178"/>
      <c r="D28" s="178"/>
      <c r="L28" s="178" t="s">
        <v>25</v>
      </c>
      <c r="M28" s="178"/>
      <c r="N28" s="178"/>
    </row>
    <row r="29" spans="1:14" ht="22.5" customHeight="1" x14ac:dyDescent="0.3">
      <c r="L29" s="60"/>
      <c r="M29" s="60"/>
    </row>
    <row r="30" spans="1:14" ht="22.5" customHeight="1" x14ac:dyDescent="0.3">
      <c r="L30" s="60"/>
      <c r="M30" s="60"/>
    </row>
    <row r="31" spans="1:14" ht="22.5" customHeight="1" x14ac:dyDescent="0.3">
      <c r="L31" s="60"/>
      <c r="M31" s="60"/>
    </row>
    <row r="32" spans="1:14" ht="22.5" customHeight="1" x14ac:dyDescent="0.3">
      <c r="B32" s="178" t="s">
        <v>28</v>
      </c>
      <c r="C32" s="178"/>
      <c r="D32" s="178"/>
      <c r="L32" s="178" t="s">
        <v>27</v>
      </c>
      <c r="M32" s="178"/>
      <c r="N32" s="178"/>
    </row>
    <row r="33" spans="3:4" ht="22.5" customHeight="1" x14ac:dyDescent="0.3">
      <c r="C33" s="1"/>
      <c r="D33" s="1"/>
    </row>
  </sheetData>
  <mergeCells count="25">
    <mergeCell ref="B32:D32"/>
    <mergeCell ref="L32:N32"/>
    <mergeCell ref="A6:C6"/>
    <mergeCell ref="A15:C15"/>
    <mergeCell ref="A17:C17"/>
    <mergeCell ref="A26:N26"/>
    <mergeCell ref="J27:N27"/>
    <mergeCell ref="B28:D28"/>
    <mergeCell ref="L28:N28"/>
    <mergeCell ref="O4:O5"/>
    <mergeCell ref="A1:N1"/>
    <mergeCell ref="A2:N2"/>
    <mergeCell ref="A3:N3"/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L4:L5"/>
    <mergeCell ref="M4:M5"/>
    <mergeCell ref="N4:N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sqref="A1:XFD1048576"/>
    </sheetView>
  </sheetViews>
  <sheetFormatPr defaultColWidth="9.109375" defaultRowHeight="16.8" x14ac:dyDescent="0.3"/>
  <cols>
    <col min="1" max="1" width="6.109375" style="2" customWidth="1"/>
    <col min="2" max="2" width="25.77734375" style="1" customWidth="1"/>
    <col min="3" max="3" width="22" style="2" customWidth="1"/>
    <col min="4" max="4" width="9.5546875" style="2" customWidth="1"/>
    <col min="5" max="5" width="10.6640625" style="2" customWidth="1"/>
    <col min="6" max="6" width="12.6640625" style="2" customWidth="1"/>
    <col min="7" max="9" width="12.33203125" style="2" customWidth="1"/>
    <col min="10" max="10" width="12.44140625" style="2" customWidth="1"/>
    <col min="11" max="11" width="11.33203125" style="2" customWidth="1"/>
    <col min="12" max="12" width="12.109375" style="2" customWidth="1"/>
    <col min="13" max="13" width="9.44140625" style="2" customWidth="1"/>
    <col min="14" max="14" width="15" style="2" customWidth="1"/>
    <col min="15" max="15" width="53.88671875" style="2" customWidth="1"/>
    <col min="16" max="16384" width="9.109375" style="1"/>
  </cols>
  <sheetData>
    <row r="1" spans="1:15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5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</row>
    <row r="3" spans="1:15" ht="22.5" customHeight="1" x14ac:dyDescent="0.3">
      <c r="A3" s="179" t="s">
        <v>106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</row>
    <row r="4" spans="1:15" s="3" customFormat="1" ht="22.5" customHeight="1" x14ac:dyDescent="0.3">
      <c r="A4" s="180" t="s">
        <v>0</v>
      </c>
      <c r="B4" s="180" t="s">
        <v>1</v>
      </c>
      <c r="C4" s="180" t="s">
        <v>2</v>
      </c>
      <c r="D4" s="180" t="s">
        <v>23</v>
      </c>
      <c r="E4" s="180"/>
      <c r="F4" s="180"/>
      <c r="G4" s="181" t="s">
        <v>29</v>
      </c>
      <c r="H4" s="181" t="s">
        <v>30</v>
      </c>
      <c r="I4" s="181" t="s">
        <v>31</v>
      </c>
      <c r="J4" s="181" t="s">
        <v>96</v>
      </c>
      <c r="K4" s="181" t="s">
        <v>97</v>
      </c>
      <c r="L4" s="180" t="s">
        <v>6</v>
      </c>
      <c r="M4" s="180" t="s">
        <v>7</v>
      </c>
      <c r="N4" s="180" t="s">
        <v>8</v>
      </c>
      <c r="O4" s="183"/>
    </row>
    <row r="5" spans="1:15" s="3" customFormat="1" ht="38.25" customHeight="1" x14ac:dyDescent="0.3">
      <c r="A5" s="180"/>
      <c r="B5" s="180"/>
      <c r="C5" s="180"/>
      <c r="D5" s="61" t="s">
        <v>3</v>
      </c>
      <c r="E5" s="61" t="s">
        <v>4</v>
      </c>
      <c r="F5" s="61" t="s">
        <v>5</v>
      </c>
      <c r="G5" s="182"/>
      <c r="H5" s="182"/>
      <c r="I5" s="182"/>
      <c r="J5" s="182"/>
      <c r="K5" s="182"/>
      <c r="L5" s="180"/>
      <c r="M5" s="180"/>
      <c r="N5" s="180"/>
      <c r="O5" s="183"/>
    </row>
    <row r="6" spans="1:15" ht="19.5" customHeight="1" x14ac:dyDescent="0.3">
      <c r="A6" s="184" t="s">
        <v>15</v>
      </c>
      <c r="B6" s="184"/>
      <c r="C6" s="18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5" ht="19.5" customHeight="1" x14ac:dyDescent="0.3">
      <c r="A7" s="15">
        <v>1</v>
      </c>
      <c r="B7" s="16" t="s">
        <v>49</v>
      </c>
      <c r="C7" s="15" t="s">
        <v>19</v>
      </c>
      <c r="D7" s="15"/>
      <c r="E7" s="15"/>
      <c r="F7" s="15"/>
      <c r="G7" s="15">
        <f t="shared" ref="G7:H14" si="0">IF(D7&gt;5,(D7-5)*2,0)</f>
        <v>0</v>
      </c>
      <c r="H7" s="15">
        <f t="shared" si="0"/>
        <v>0</v>
      </c>
      <c r="I7" s="15">
        <f t="shared" ref="I7:I14" si="1">IF(F7&gt;2,(F7-2)*1,0)</f>
        <v>0</v>
      </c>
      <c r="J7" s="15">
        <f>SUM(G7:I7)</f>
        <v>0</v>
      </c>
      <c r="K7" s="15">
        <v>3</v>
      </c>
      <c r="L7" s="15">
        <f>100-J7-K7</f>
        <v>97</v>
      </c>
      <c r="M7" s="15" t="str">
        <f t="shared" ref="M7:M14" si="2">IF(L7&lt;71,"KL",IF(AND(L7&gt;=71,L7&lt;81),"C",IF(AND(L7&gt;=81,L7&lt;91),"B","A")))</f>
        <v>A</v>
      </c>
      <c r="N7" s="15" t="str">
        <f t="shared" ref="N7:N14" si="3">IF(M7="A","100% LTT",IF(M7="B","90% LTT",IF(M7="C","80% LTT","60% LTT")))</f>
        <v>100% LTT</v>
      </c>
      <c r="O7" s="11" t="s">
        <v>33</v>
      </c>
    </row>
    <row r="8" spans="1:15" ht="19.5" customHeight="1" x14ac:dyDescent="0.3">
      <c r="A8" s="15">
        <f t="shared" ref="A8:A14" si="4">A7+1</f>
        <v>2</v>
      </c>
      <c r="B8" s="16" t="s">
        <v>52</v>
      </c>
      <c r="C8" s="15" t="s">
        <v>19</v>
      </c>
      <c r="D8" s="15"/>
      <c r="E8" s="15"/>
      <c r="F8" s="15"/>
      <c r="G8" s="15">
        <f t="shared" si="0"/>
        <v>0</v>
      </c>
      <c r="H8" s="15">
        <f t="shared" si="0"/>
        <v>0</v>
      </c>
      <c r="I8" s="15">
        <f t="shared" si="1"/>
        <v>0</v>
      </c>
      <c r="J8" s="15">
        <f t="shared" ref="J8:J14" si="5">SUM(G8:I8)</f>
        <v>0</v>
      </c>
      <c r="K8" s="15"/>
      <c r="L8" s="15">
        <f t="shared" ref="L8:L14" si="6">100-J8-K8</f>
        <v>100</v>
      </c>
      <c r="M8" s="15" t="str">
        <f t="shared" si="2"/>
        <v>A</v>
      </c>
      <c r="N8" s="15" t="str">
        <f t="shared" si="3"/>
        <v>100% LTT</v>
      </c>
      <c r="O8" s="34"/>
    </row>
    <row r="9" spans="1:15" ht="19.5" customHeight="1" x14ac:dyDescent="0.3">
      <c r="A9" s="15">
        <f>A8+1</f>
        <v>3</v>
      </c>
      <c r="B9" s="16" t="s">
        <v>57</v>
      </c>
      <c r="C9" s="15" t="s">
        <v>19</v>
      </c>
      <c r="D9" s="15"/>
      <c r="E9" s="15"/>
      <c r="F9" s="15"/>
      <c r="G9" s="15">
        <f t="shared" si="0"/>
        <v>0</v>
      </c>
      <c r="H9" s="15">
        <f t="shared" si="0"/>
        <v>0</v>
      </c>
      <c r="I9" s="15">
        <f t="shared" si="1"/>
        <v>0</v>
      </c>
      <c r="J9" s="15">
        <f t="shared" si="5"/>
        <v>0</v>
      </c>
      <c r="K9" s="15"/>
      <c r="L9" s="15">
        <f t="shared" si="6"/>
        <v>100</v>
      </c>
      <c r="M9" s="15" t="str">
        <f t="shared" si="2"/>
        <v>A</v>
      </c>
      <c r="N9" s="15" t="str">
        <f t="shared" si="3"/>
        <v>100% LTT</v>
      </c>
      <c r="O9" s="35"/>
    </row>
    <row r="10" spans="1:15" ht="19.5" customHeight="1" x14ac:dyDescent="0.3">
      <c r="A10" s="15">
        <f t="shared" si="4"/>
        <v>4</v>
      </c>
      <c r="B10" s="16" t="s">
        <v>58</v>
      </c>
      <c r="C10" s="15" t="s">
        <v>19</v>
      </c>
      <c r="D10" s="15"/>
      <c r="E10" s="15"/>
      <c r="F10" s="15"/>
      <c r="G10" s="15">
        <f t="shared" si="0"/>
        <v>0</v>
      </c>
      <c r="H10" s="15">
        <f t="shared" si="0"/>
        <v>0</v>
      </c>
      <c r="I10" s="15">
        <f t="shared" si="1"/>
        <v>0</v>
      </c>
      <c r="J10" s="15">
        <f t="shared" si="5"/>
        <v>0</v>
      </c>
      <c r="K10" s="15"/>
      <c r="L10" s="15">
        <f t="shared" si="6"/>
        <v>100</v>
      </c>
      <c r="M10" s="15" t="str">
        <f t="shared" si="2"/>
        <v>A</v>
      </c>
      <c r="N10" s="15" t="str">
        <f t="shared" si="3"/>
        <v>100% LTT</v>
      </c>
      <c r="O10" s="35"/>
    </row>
    <row r="11" spans="1:15" ht="19.5" customHeight="1" x14ac:dyDescent="0.3">
      <c r="A11" s="15">
        <f t="shared" si="4"/>
        <v>5</v>
      </c>
      <c r="B11" s="16" t="s">
        <v>59</v>
      </c>
      <c r="C11" s="15" t="s">
        <v>19</v>
      </c>
      <c r="D11" s="15"/>
      <c r="E11" s="15"/>
      <c r="F11" s="15"/>
      <c r="G11" s="15">
        <f t="shared" si="0"/>
        <v>0</v>
      </c>
      <c r="H11" s="15">
        <f t="shared" si="0"/>
        <v>0</v>
      </c>
      <c r="I11" s="15">
        <f t="shared" si="1"/>
        <v>0</v>
      </c>
      <c r="J11" s="15">
        <f t="shared" si="5"/>
        <v>0</v>
      </c>
      <c r="K11" s="15"/>
      <c r="L11" s="15">
        <f t="shared" si="6"/>
        <v>100</v>
      </c>
      <c r="M11" s="15" t="str">
        <f t="shared" si="2"/>
        <v>A</v>
      </c>
      <c r="N11" s="15" t="str">
        <f t="shared" si="3"/>
        <v>100% LTT</v>
      </c>
      <c r="O11" s="35"/>
    </row>
    <row r="12" spans="1:15" ht="19.5" customHeight="1" x14ac:dyDescent="0.3">
      <c r="A12" s="15">
        <f t="shared" si="4"/>
        <v>6</v>
      </c>
      <c r="B12" s="16" t="s">
        <v>53</v>
      </c>
      <c r="C12" s="15" t="s">
        <v>19</v>
      </c>
      <c r="D12" s="15"/>
      <c r="E12" s="15"/>
      <c r="F12" s="15"/>
      <c r="G12" s="15">
        <f t="shared" si="0"/>
        <v>0</v>
      </c>
      <c r="H12" s="15">
        <f t="shared" si="0"/>
        <v>0</v>
      </c>
      <c r="I12" s="15">
        <f t="shared" si="1"/>
        <v>0</v>
      </c>
      <c r="J12" s="15">
        <f t="shared" si="5"/>
        <v>0</v>
      </c>
      <c r="K12" s="15"/>
      <c r="L12" s="15">
        <f t="shared" si="6"/>
        <v>100</v>
      </c>
      <c r="M12" s="15" t="str">
        <f t="shared" si="2"/>
        <v>A</v>
      </c>
      <c r="N12" s="15" t="str">
        <f t="shared" si="3"/>
        <v>100% LTT</v>
      </c>
      <c r="O12" s="35"/>
    </row>
    <row r="13" spans="1:15" ht="19.5" customHeight="1" x14ac:dyDescent="0.3">
      <c r="A13" s="15">
        <f t="shared" si="4"/>
        <v>7</v>
      </c>
      <c r="B13" s="16" t="s">
        <v>54</v>
      </c>
      <c r="C13" s="15" t="s">
        <v>19</v>
      </c>
      <c r="D13" s="15"/>
      <c r="E13" s="15"/>
      <c r="F13" s="15"/>
      <c r="G13" s="15">
        <f t="shared" si="0"/>
        <v>0</v>
      </c>
      <c r="H13" s="15">
        <f t="shared" si="0"/>
        <v>0</v>
      </c>
      <c r="I13" s="15">
        <f t="shared" si="1"/>
        <v>0</v>
      </c>
      <c r="J13" s="15">
        <f t="shared" si="5"/>
        <v>0</v>
      </c>
      <c r="K13" s="15"/>
      <c r="L13" s="15">
        <f t="shared" si="6"/>
        <v>100</v>
      </c>
      <c r="M13" s="15" t="str">
        <f t="shared" si="2"/>
        <v>A</v>
      </c>
      <c r="N13" s="15" t="str">
        <f t="shared" si="3"/>
        <v>100% LTT</v>
      </c>
      <c r="O13" s="35"/>
    </row>
    <row r="14" spans="1:15" ht="19.5" customHeight="1" x14ac:dyDescent="0.3">
      <c r="A14" s="17">
        <f t="shared" si="4"/>
        <v>8</v>
      </c>
      <c r="B14" s="18" t="s">
        <v>11</v>
      </c>
      <c r="C14" s="17" t="s">
        <v>51</v>
      </c>
      <c r="D14" s="17"/>
      <c r="E14" s="17"/>
      <c r="F14" s="17">
        <v>1</v>
      </c>
      <c r="G14" s="17">
        <f t="shared" si="0"/>
        <v>0</v>
      </c>
      <c r="H14" s="17">
        <f t="shared" si="0"/>
        <v>0</v>
      </c>
      <c r="I14" s="17">
        <f t="shared" si="1"/>
        <v>0</v>
      </c>
      <c r="J14" s="17">
        <f t="shared" si="5"/>
        <v>0</v>
      </c>
      <c r="K14" s="17">
        <v>1</v>
      </c>
      <c r="L14" s="15">
        <f t="shared" si="6"/>
        <v>99</v>
      </c>
      <c r="M14" s="17" t="str">
        <f t="shared" si="2"/>
        <v>A</v>
      </c>
      <c r="N14" s="17" t="str">
        <f t="shared" si="3"/>
        <v>100% LTT</v>
      </c>
      <c r="O14" s="35"/>
    </row>
    <row r="15" spans="1:15" ht="19.5" customHeight="1" x14ac:dyDescent="0.3">
      <c r="A15" s="184" t="s">
        <v>16</v>
      </c>
      <c r="B15" s="184"/>
      <c r="C15" s="18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5" ht="19.5" customHeight="1" x14ac:dyDescent="0.3">
      <c r="A16" s="17">
        <f>A14+1</f>
        <v>9</v>
      </c>
      <c r="B16" s="18" t="s">
        <v>28</v>
      </c>
      <c r="C16" s="17" t="s">
        <v>19</v>
      </c>
      <c r="D16" s="17"/>
      <c r="E16" s="17"/>
      <c r="F16" s="17"/>
      <c r="G16" s="17">
        <f t="shared" ref="G16:H16" si="7">IF(D16&gt;5,(D16-5)*2,0)</f>
        <v>0</v>
      </c>
      <c r="H16" s="17">
        <f t="shared" si="7"/>
        <v>0</v>
      </c>
      <c r="I16" s="17">
        <f t="shared" ref="I16" si="8">IF(F16&gt;2,(F16-2)*1,0)</f>
        <v>0</v>
      </c>
      <c r="J16" s="17">
        <f t="shared" ref="J16" si="9">SUM(G16:I16)</f>
        <v>0</v>
      </c>
      <c r="K16" s="17"/>
      <c r="L16" s="17">
        <f>100-J16-K16</f>
        <v>100</v>
      </c>
      <c r="M16" s="17" t="str">
        <f t="shared" ref="M16" si="10">IF(L16&lt;71,"KL",IF(AND(L16&gt;=71,L16&lt;81),"C",IF(AND(L16&gt;=81,L16&lt;91),"B","A")))</f>
        <v>A</v>
      </c>
      <c r="N16" s="17" t="str">
        <f t="shared" ref="N16" si="11">IF(M16="A","100% LTT",IF(M16="B","90% LTT",IF(M16="C","80% LTT","60% LTT")))</f>
        <v>100% LTT</v>
      </c>
    </row>
    <row r="17" spans="1:14" ht="19.5" customHeight="1" x14ac:dyDescent="0.3">
      <c r="A17" s="184" t="s">
        <v>17</v>
      </c>
      <c r="B17" s="184"/>
      <c r="C17" s="18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ht="19.5" customHeight="1" x14ac:dyDescent="0.3">
      <c r="A18" s="23">
        <f>A16+1</f>
        <v>10</v>
      </c>
      <c r="B18" s="38" t="s">
        <v>12</v>
      </c>
      <c r="C18" s="23" t="s">
        <v>19</v>
      </c>
      <c r="D18" s="23">
        <v>1</v>
      </c>
      <c r="E18" s="23"/>
      <c r="F18" s="23"/>
      <c r="G18" s="23">
        <f t="shared" ref="G18:H25" si="12">IF(D18&gt;5,(D18-5)*2,0)</f>
        <v>0</v>
      </c>
      <c r="H18" s="23">
        <f t="shared" si="12"/>
        <v>0</v>
      </c>
      <c r="I18" s="23">
        <f t="shared" ref="I18:I25" si="13">IF(F18&gt;2,(F18-2)*1,0)</f>
        <v>0</v>
      </c>
      <c r="J18" s="23">
        <f t="shared" ref="J18:J25" si="14">SUM(G18:I18)</f>
        <v>0</v>
      </c>
      <c r="K18" s="23">
        <v>8</v>
      </c>
      <c r="L18" s="23">
        <f>100-J18-K18</f>
        <v>92</v>
      </c>
      <c r="M18" s="23" t="str">
        <f t="shared" ref="M18:M25" si="15">IF(L18&lt;71,"KL",IF(AND(L18&gt;=71,L18&lt;81),"C",IF(AND(L18&gt;=81,L18&lt;91),"B","A")))</f>
        <v>A</v>
      </c>
      <c r="N18" s="23" t="str">
        <f t="shared" ref="N18:N25" si="16">IF(M18="A","100% LTT",IF(M18="B","90% LTT",IF(M18="C","80% LTT","60% LTT")))</f>
        <v>100% LTT</v>
      </c>
    </row>
    <row r="19" spans="1:14" ht="19.5" customHeight="1" x14ac:dyDescent="0.3">
      <c r="A19" s="15">
        <f>A18+1</f>
        <v>11</v>
      </c>
      <c r="B19" s="16" t="s">
        <v>13</v>
      </c>
      <c r="C19" s="15" t="s">
        <v>101</v>
      </c>
      <c r="D19" s="15"/>
      <c r="E19" s="15"/>
      <c r="F19" s="15">
        <v>3</v>
      </c>
      <c r="G19" s="15">
        <f>IF(D19&gt;5,(D19-5)*2,0)</f>
        <v>0</v>
      </c>
      <c r="H19" s="15">
        <f t="shared" si="12"/>
        <v>0</v>
      </c>
      <c r="I19" s="15">
        <f t="shared" si="13"/>
        <v>1</v>
      </c>
      <c r="J19" s="15">
        <f t="shared" si="14"/>
        <v>1</v>
      </c>
      <c r="K19" s="15">
        <v>3</v>
      </c>
      <c r="L19" s="15">
        <f t="shared" ref="L19:L25" si="17">100-J19-K19</f>
        <v>96</v>
      </c>
      <c r="M19" s="15" t="str">
        <f t="shared" si="15"/>
        <v>A</v>
      </c>
      <c r="N19" s="15" t="str">
        <f t="shared" si="16"/>
        <v>100% LTT</v>
      </c>
    </row>
    <row r="20" spans="1:14" ht="19.5" customHeight="1" x14ac:dyDescent="0.3">
      <c r="A20" s="15">
        <f t="shared" ref="A20:A24" si="18">A19+1</f>
        <v>12</v>
      </c>
      <c r="B20" s="16" t="s">
        <v>14</v>
      </c>
      <c r="C20" s="15" t="s">
        <v>19</v>
      </c>
      <c r="D20" s="15"/>
      <c r="E20" s="15"/>
      <c r="F20" s="15"/>
      <c r="G20" s="15">
        <f t="shared" si="12"/>
        <v>0</v>
      </c>
      <c r="H20" s="15">
        <f t="shared" si="12"/>
        <v>0</v>
      </c>
      <c r="I20" s="15">
        <f t="shared" si="13"/>
        <v>0</v>
      </c>
      <c r="J20" s="15">
        <f t="shared" si="14"/>
        <v>0</v>
      </c>
      <c r="K20" s="15">
        <v>8</v>
      </c>
      <c r="L20" s="15">
        <f t="shared" si="17"/>
        <v>92</v>
      </c>
      <c r="M20" s="15" t="str">
        <f t="shared" si="15"/>
        <v>A</v>
      </c>
      <c r="N20" s="15" t="str">
        <f t="shared" si="16"/>
        <v>100% LTT</v>
      </c>
    </row>
    <row r="21" spans="1:14" ht="19.5" customHeight="1" x14ac:dyDescent="0.3">
      <c r="A21" s="15">
        <f t="shared" si="18"/>
        <v>13</v>
      </c>
      <c r="B21" s="16" t="s">
        <v>40</v>
      </c>
      <c r="C21" s="15" t="s">
        <v>19</v>
      </c>
      <c r="D21" s="15"/>
      <c r="E21" s="15"/>
      <c r="F21" s="15"/>
      <c r="G21" s="15">
        <f t="shared" si="12"/>
        <v>0</v>
      </c>
      <c r="H21" s="15">
        <f t="shared" si="12"/>
        <v>0</v>
      </c>
      <c r="I21" s="15">
        <f t="shared" si="13"/>
        <v>0</v>
      </c>
      <c r="J21" s="15">
        <f t="shared" si="14"/>
        <v>0</v>
      </c>
      <c r="K21" s="15">
        <v>8</v>
      </c>
      <c r="L21" s="15">
        <f t="shared" si="17"/>
        <v>92</v>
      </c>
      <c r="M21" s="15" t="str">
        <f t="shared" si="15"/>
        <v>A</v>
      </c>
      <c r="N21" s="15" t="str">
        <f t="shared" si="16"/>
        <v>100% LTT</v>
      </c>
    </row>
    <row r="22" spans="1:14" ht="19.5" customHeight="1" x14ac:dyDescent="0.3">
      <c r="A22" s="15">
        <f t="shared" si="18"/>
        <v>14</v>
      </c>
      <c r="B22" s="16" t="s">
        <v>98</v>
      </c>
      <c r="C22" s="15" t="s">
        <v>102</v>
      </c>
      <c r="D22" s="15"/>
      <c r="E22" s="15"/>
      <c r="F22" s="15"/>
      <c r="G22" s="15">
        <f t="shared" si="12"/>
        <v>0</v>
      </c>
      <c r="H22" s="15">
        <f t="shared" si="12"/>
        <v>0</v>
      </c>
      <c r="I22" s="15">
        <f t="shared" si="13"/>
        <v>0</v>
      </c>
      <c r="J22" s="15">
        <f t="shared" si="14"/>
        <v>0</v>
      </c>
      <c r="K22" s="15">
        <v>8</v>
      </c>
      <c r="L22" s="15">
        <f t="shared" si="17"/>
        <v>92</v>
      </c>
      <c r="M22" s="15" t="str">
        <f t="shared" si="15"/>
        <v>A</v>
      </c>
      <c r="N22" s="15" t="str">
        <f t="shared" si="16"/>
        <v>100% LTT</v>
      </c>
    </row>
    <row r="23" spans="1:14" ht="19.5" customHeight="1" x14ac:dyDescent="0.3">
      <c r="A23" s="15">
        <f t="shared" si="18"/>
        <v>15</v>
      </c>
      <c r="B23" s="16" t="s">
        <v>99</v>
      </c>
      <c r="C23" s="15" t="s">
        <v>102</v>
      </c>
      <c r="D23" s="15"/>
      <c r="E23" s="15"/>
      <c r="F23" s="15"/>
      <c r="G23" s="15">
        <f t="shared" si="12"/>
        <v>0</v>
      </c>
      <c r="H23" s="15">
        <f t="shared" si="12"/>
        <v>0</v>
      </c>
      <c r="I23" s="15">
        <f t="shared" si="13"/>
        <v>0</v>
      </c>
      <c r="J23" s="15">
        <f t="shared" si="14"/>
        <v>0</v>
      </c>
      <c r="K23" s="15">
        <v>7</v>
      </c>
      <c r="L23" s="15">
        <f t="shared" si="17"/>
        <v>93</v>
      </c>
      <c r="M23" s="15" t="str">
        <f t="shared" si="15"/>
        <v>A</v>
      </c>
      <c r="N23" s="15" t="str">
        <f t="shared" si="16"/>
        <v>100% LTT</v>
      </c>
    </row>
    <row r="24" spans="1:14" ht="19.5" customHeight="1" x14ac:dyDescent="0.3">
      <c r="A24" s="15">
        <f t="shared" si="18"/>
        <v>16</v>
      </c>
      <c r="B24" s="16" t="s">
        <v>100</v>
      </c>
      <c r="C24" s="15" t="s">
        <v>102</v>
      </c>
      <c r="D24" s="15"/>
      <c r="E24" s="15"/>
      <c r="F24" s="15"/>
      <c r="G24" s="15">
        <f t="shared" si="12"/>
        <v>0</v>
      </c>
      <c r="H24" s="15">
        <f t="shared" si="12"/>
        <v>0</v>
      </c>
      <c r="I24" s="15">
        <f t="shared" si="13"/>
        <v>0</v>
      </c>
      <c r="J24" s="15">
        <f t="shared" si="14"/>
        <v>0</v>
      </c>
      <c r="K24" s="15">
        <v>6</v>
      </c>
      <c r="L24" s="15">
        <f t="shared" si="17"/>
        <v>94</v>
      </c>
      <c r="M24" s="15" t="str">
        <f t="shared" si="15"/>
        <v>A</v>
      </c>
      <c r="N24" s="15" t="str">
        <f t="shared" si="16"/>
        <v>100% LTT</v>
      </c>
    </row>
    <row r="25" spans="1:14" ht="19.5" customHeight="1" x14ac:dyDescent="0.3">
      <c r="A25" s="17">
        <v>17</v>
      </c>
      <c r="B25" s="18" t="s">
        <v>104</v>
      </c>
      <c r="C25" s="17" t="s">
        <v>107</v>
      </c>
      <c r="D25" s="17"/>
      <c r="E25" s="17"/>
      <c r="F25" s="17"/>
      <c r="G25" s="15">
        <f t="shared" si="12"/>
        <v>0</v>
      </c>
      <c r="H25" s="15">
        <f t="shared" si="12"/>
        <v>0</v>
      </c>
      <c r="I25" s="15">
        <f t="shared" si="13"/>
        <v>0</v>
      </c>
      <c r="J25" s="15">
        <f t="shared" si="14"/>
        <v>0</v>
      </c>
      <c r="K25" s="17">
        <v>8</v>
      </c>
      <c r="L25" s="17">
        <f t="shared" si="17"/>
        <v>92</v>
      </c>
      <c r="M25" s="17" t="str">
        <f t="shared" si="15"/>
        <v>A</v>
      </c>
      <c r="N25" s="17" t="str">
        <f t="shared" si="16"/>
        <v>100% LTT</v>
      </c>
    </row>
    <row r="26" spans="1:14" ht="22.5" customHeight="1" x14ac:dyDescent="0.3">
      <c r="A26" s="180" t="s">
        <v>60</v>
      </c>
      <c r="B26" s="180"/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0"/>
      <c r="N26" s="180"/>
    </row>
    <row r="27" spans="1:14" ht="22.5" customHeight="1" x14ac:dyDescent="0.3">
      <c r="J27" s="185" t="s">
        <v>65</v>
      </c>
      <c r="K27" s="185"/>
      <c r="L27" s="185"/>
      <c r="M27" s="185"/>
      <c r="N27" s="185"/>
    </row>
    <row r="28" spans="1:14" ht="22.5" customHeight="1" x14ac:dyDescent="0.3">
      <c r="B28" s="178" t="s">
        <v>22</v>
      </c>
      <c r="C28" s="178"/>
      <c r="D28" s="178"/>
      <c r="L28" s="178" t="s">
        <v>25</v>
      </c>
      <c r="M28" s="178"/>
      <c r="N28" s="178"/>
    </row>
    <row r="29" spans="1:14" ht="22.5" customHeight="1" x14ac:dyDescent="0.3">
      <c r="L29" s="60"/>
      <c r="M29" s="60"/>
    </row>
    <row r="30" spans="1:14" ht="22.5" customHeight="1" x14ac:dyDescent="0.3">
      <c r="L30" s="60"/>
      <c r="M30" s="60"/>
    </row>
    <row r="31" spans="1:14" ht="22.5" customHeight="1" x14ac:dyDescent="0.3">
      <c r="L31" s="60"/>
      <c r="M31" s="60"/>
    </row>
    <row r="32" spans="1:14" ht="22.5" customHeight="1" x14ac:dyDescent="0.3">
      <c r="B32" s="178" t="s">
        <v>28</v>
      </c>
      <c r="C32" s="178"/>
      <c r="D32" s="178"/>
      <c r="L32" s="178" t="s">
        <v>27</v>
      </c>
      <c r="M32" s="178"/>
      <c r="N32" s="178"/>
    </row>
    <row r="33" spans="3:4" ht="22.5" customHeight="1" x14ac:dyDescent="0.3">
      <c r="C33" s="1"/>
      <c r="D33" s="1"/>
    </row>
  </sheetData>
  <mergeCells count="25">
    <mergeCell ref="B32:D32"/>
    <mergeCell ref="L32:N32"/>
    <mergeCell ref="A6:C6"/>
    <mergeCell ref="A15:C15"/>
    <mergeCell ref="A17:C17"/>
    <mergeCell ref="A26:N26"/>
    <mergeCell ref="J27:N27"/>
    <mergeCell ref="B28:D28"/>
    <mergeCell ref="L28:N28"/>
    <mergeCell ref="O4:O5"/>
    <mergeCell ref="A1:N1"/>
    <mergeCell ref="A2:N2"/>
    <mergeCell ref="A3:N3"/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L4:L5"/>
    <mergeCell ref="M4:M5"/>
    <mergeCell ref="N4:N5"/>
  </mergeCells>
  <pageMargins left="0.2" right="0.2" top="0.38" bottom="0.38" header="0.3" footer="0.3"/>
  <pageSetup paperSize="9" scale="75" orientation="landscape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workbookViewId="0">
      <pane xSplit="2" ySplit="6" topLeftCell="G7" activePane="bottomRight" state="frozen"/>
      <selection pane="topRight" activeCell="C1" sqref="C1"/>
      <selection pane="bottomLeft" activeCell="A7" sqref="A7"/>
      <selection pane="bottomRight" sqref="A1:XFD1048576"/>
    </sheetView>
  </sheetViews>
  <sheetFormatPr defaultColWidth="9.109375" defaultRowHeight="16.8" x14ac:dyDescent="0.3"/>
  <cols>
    <col min="1" max="1" width="6.109375" style="2" customWidth="1"/>
    <col min="2" max="2" width="25.77734375" style="1" customWidth="1"/>
    <col min="3" max="3" width="22" style="2" customWidth="1"/>
    <col min="4" max="4" width="9.5546875" style="2" customWidth="1"/>
    <col min="5" max="5" width="10.6640625" style="2" customWidth="1"/>
    <col min="6" max="6" width="12.6640625" style="2" customWidth="1"/>
    <col min="7" max="9" width="12.33203125" style="2" customWidth="1"/>
    <col min="10" max="10" width="12.44140625" style="2" customWidth="1"/>
    <col min="11" max="11" width="11.33203125" style="2" customWidth="1"/>
    <col min="12" max="12" width="12.109375" style="2" customWidth="1"/>
    <col min="13" max="13" width="9.44140625" style="2" customWidth="1"/>
    <col min="14" max="14" width="15" style="2" customWidth="1"/>
    <col min="15" max="15" width="53.88671875" style="2" customWidth="1"/>
    <col min="16" max="16384" width="9.109375" style="1"/>
  </cols>
  <sheetData>
    <row r="1" spans="1:15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5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</row>
    <row r="3" spans="1:15" ht="22.5" customHeight="1" x14ac:dyDescent="0.3">
      <c r="A3" s="179" t="s">
        <v>108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</row>
    <row r="4" spans="1:15" s="3" customFormat="1" ht="22.5" customHeight="1" x14ac:dyDescent="0.3">
      <c r="A4" s="180" t="s">
        <v>0</v>
      </c>
      <c r="B4" s="180" t="s">
        <v>1</v>
      </c>
      <c r="C4" s="180" t="s">
        <v>2</v>
      </c>
      <c r="D4" s="180" t="s">
        <v>23</v>
      </c>
      <c r="E4" s="180"/>
      <c r="F4" s="180"/>
      <c r="G4" s="181" t="s">
        <v>29</v>
      </c>
      <c r="H4" s="181" t="s">
        <v>30</v>
      </c>
      <c r="I4" s="181" t="s">
        <v>31</v>
      </c>
      <c r="J4" s="181" t="s">
        <v>96</v>
      </c>
      <c r="K4" s="181" t="s">
        <v>97</v>
      </c>
      <c r="L4" s="180" t="s">
        <v>6</v>
      </c>
      <c r="M4" s="180" t="s">
        <v>7</v>
      </c>
      <c r="N4" s="180" t="s">
        <v>8</v>
      </c>
      <c r="O4" s="183"/>
    </row>
    <row r="5" spans="1:15" s="3" customFormat="1" ht="38.25" customHeight="1" x14ac:dyDescent="0.3">
      <c r="A5" s="180"/>
      <c r="B5" s="180"/>
      <c r="C5" s="180"/>
      <c r="D5" s="63" t="s">
        <v>3</v>
      </c>
      <c r="E5" s="63" t="s">
        <v>4</v>
      </c>
      <c r="F5" s="63" t="s">
        <v>5</v>
      </c>
      <c r="G5" s="182"/>
      <c r="H5" s="182"/>
      <c r="I5" s="182"/>
      <c r="J5" s="182"/>
      <c r="K5" s="182"/>
      <c r="L5" s="180"/>
      <c r="M5" s="180"/>
      <c r="N5" s="180"/>
      <c r="O5" s="183"/>
    </row>
    <row r="6" spans="1:15" ht="19.5" customHeight="1" x14ac:dyDescent="0.3">
      <c r="A6" s="184" t="s">
        <v>15</v>
      </c>
      <c r="B6" s="184"/>
      <c r="C6" s="18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5" ht="19.5" customHeight="1" x14ac:dyDescent="0.3">
      <c r="A7" s="15">
        <v>1</v>
      </c>
      <c r="B7" s="16" t="s">
        <v>49</v>
      </c>
      <c r="C7" s="15" t="s">
        <v>19</v>
      </c>
      <c r="D7" s="15"/>
      <c r="E7" s="15"/>
      <c r="F7" s="15"/>
      <c r="G7" s="15">
        <f t="shared" ref="G7:H14" si="0">IF(D7&gt;5,(D7-5)*2,0)</f>
        <v>0</v>
      </c>
      <c r="H7" s="15">
        <f t="shared" si="0"/>
        <v>0</v>
      </c>
      <c r="I7" s="15">
        <f t="shared" ref="I7:I14" si="1">IF(F7&gt;2,(F7-2)*1,0)</f>
        <v>0</v>
      </c>
      <c r="J7" s="15">
        <f>SUM(G7:I7)</f>
        <v>0</v>
      </c>
      <c r="K7" s="15">
        <v>4</v>
      </c>
      <c r="L7" s="15">
        <f>100-J7-K7</f>
        <v>96</v>
      </c>
      <c r="M7" s="15" t="str">
        <f t="shared" ref="M7:M14" si="2">IF(L7&lt;71,"KL",IF(AND(L7&gt;=71,L7&lt;81),"C",IF(AND(L7&gt;=81,L7&lt;91),"B","A")))</f>
        <v>A</v>
      </c>
      <c r="N7" s="15" t="str">
        <f t="shared" ref="N7:N14" si="3">IF(M7="A","100% LTT",IF(M7="B","90% LTT",IF(M7="C","80% LTT","60% LTT")))</f>
        <v>100% LTT</v>
      </c>
      <c r="O7" s="11" t="s">
        <v>33</v>
      </c>
    </row>
    <row r="8" spans="1:15" ht="19.5" customHeight="1" x14ac:dyDescent="0.3">
      <c r="A8" s="15">
        <f t="shared" ref="A8:A14" si="4">A7+1</f>
        <v>2</v>
      </c>
      <c r="B8" s="16" t="s">
        <v>52</v>
      </c>
      <c r="C8" s="15" t="s">
        <v>19</v>
      </c>
      <c r="D8" s="15"/>
      <c r="E8" s="15"/>
      <c r="F8" s="15"/>
      <c r="G8" s="15">
        <f t="shared" si="0"/>
        <v>0</v>
      </c>
      <c r="H8" s="15">
        <f t="shared" si="0"/>
        <v>0</v>
      </c>
      <c r="I8" s="15">
        <f t="shared" si="1"/>
        <v>0</v>
      </c>
      <c r="J8" s="15">
        <f t="shared" ref="J8:J14" si="5">SUM(G8:I8)</f>
        <v>0</v>
      </c>
      <c r="K8" s="15"/>
      <c r="L8" s="15">
        <f t="shared" ref="L8:L14" si="6">100-J8-K8</f>
        <v>100</v>
      </c>
      <c r="M8" s="15" t="str">
        <f t="shared" si="2"/>
        <v>A</v>
      </c>
      <c r="N8" s="15" t="str">
        <f t="shared" si="3"/>
        <v>100% LTT</v>
      </c>
      <c r="O8" s="34"/>
    </row>
    <row r="9" spans="1:15" ht="19.5" customHeight="1" x14ac:dyDescent="0.3">
      <c r="A9" s="15">
        <f>A8+1</f>
        <v>3</v>
      </c>
      <c r="B9" s="16" t="s">
        <v>57</v>
      </c>
      <c r="C9" s="15" t="s">
        <v>19</v>
      </c>
      <c r="D9" s="15"/>
      <c r="E9" s="15"/>
      <c r="F9" s="15"/>
      <c r="G9" s="15">
        <f t="shared" si="0"/>
        <v>0</v>
      </c>
      <c r="H9" s="15">
        <f t="shared" si="0"/>
        <v>0</v>
      </c>
      <c r="I9" s="15">
        <f t="shared" si="1"/>
        <v>0</v>
      </c>
      <c r="J9" s="15">
        <f t="shared" si="5"/>
        <v>0</v>
      </c>
      <c r="K9" s="15"/>
      <c r="L9" s="15">
        <f t="shared" si="6"/>
        <v>100</v>
      </c>
      <c r="M9" s="15" t="str">
        <f t="shared" si="2"/>
        <v>A</v>
      </c>
      <c r="N9" s="15" t="str">
        <f t="shared" si="3"/>
        <v>100% LTT</v>
      </c>
      <c r="O9" s="35"/>
    </row>
    <row r="10" spans="1:15" ht="19.5" customHeight="1" x14ac:dyDescent="0.3">
      <c r="A10" s="15">
        <f t="shared" si="4"/>
        <v>4</v>
      </c>
      <c r="B10" s="16" t="s">
        <v>58</v>
      </c>
      <c r="C10" s="15" t="s">
        <v>19</v>
      </c>
      <c r="D10" s="15"/>
      <c r="E10" s="15"/>
      <c r="F10" s="15"/>
      <c r="G10" s="15">
        <f t="shared" si="0"/>
        <v>0</v>
      </c>
      <c r="H10" s="15">
        <f t="shared" si="0"/>
        <v>0</v>
      </c>
      <c r="I10" s="15">
        <f t="shared" si="1"/>
        <v>0</v>
      </c>
      <c r="J10" s="15">
        <f t="shared" si="5"/>
        <v>0</v>
      </c>
      <c r="K10" s="15"/>
      <c r="L10" s="15">
        <f t="shared" si="6"/>
        <v>100</v>
      </c>
      <c r="M10" s="15" t="str">
        <f t="shared" si="2"/>
        <v>A</v>
      </c>
      <c r="N10" s="15" t="str">
        <f t="shared" si="3"/>
        <v>100% LTT</v>
      </c>
      <c r="O10" s="35"/>
    </row>
    <row r="11" spans="1:15" ht="19.5" customHeight="1" x14ac:dyDescent="0.3">
      <c r="A11" s="15">
        <f t="shared" si="4"/>
        <v>5</v>
      </c>
      <c r="B11" s="16" t="s">
        <v>59</v>
      </c>
      <c r="C11" s="15" t="s">
        <v>19</v>
      </c>
      <c r="D11" s="15"/>
      <c r="E11" s="15"/>
      <c r="F11" s="15"/>
      <c r="G11" s="15">
        <f t="shared" si="0"/>
        <v>0</v>
      </c>
      <c r="H11" s="15">
        <f t="shared" si="0"/>
        <v>0</v>
      </c>
      <c r="I11" s="15">
        <f t="shared" si="1"/>
        <v>0</v>
      </c>
      <c r="J11" s="15">
        <f t="shared" si="5"/>
        <v>0</v>
      </c>
      <c r="K11" s="15"/>
      <c r="L11" s="15">
        <f t="shared" si="6"/>
        <v>100</v>
      </c>
      <c r="M11" s="15" t="str">
        <f t="shared" si="2"/>
        <v>A</v>
      </c>
      <c r="N11" s="15" t="str">
        <f t="shared" si="3"/>
        <v>100% LTT</v>
      </c>
      <c r="O11" s="35"/>
    </row>
    <row r="12" spans="1:15" ht="19.5" customHeight="1" x14ac:dyDescent="0.3">
      <c r="A12" s="15">
        <f t="shared" si="4"/>
        <v>6</v>
      </c>
      <c r="B12" s="16" t="s">
        <v>53</v>
      </c>
      <c r="C12" s="15" t="s">
        <v>19</v>
      </c>
      <c r="D12" s="15"/>
      <c r="E12" s="15"/>
      <c r="F12" s="15"/>
      <c r="G12" s="15">
        <f t="shared" si="0"/>
        <v>0</v>
      </c>
      <c r="H12" s="15">
        <f t="shared" si="0"/>
        <v>0</v>
      </c>
      <c r="I12" s="15">
        <f t="shared" si="1"/>
        <v>0</v>
      </c>
      <c r="J12" s="15">
        <f t="shared" si="5"/>
        <v>0</v>
      </c>
      <c r="K12" s="15"/>
      <c r="L12" s="15">
        <f t="shared" si="6"/>
        <v>100</v>
      </c>
      <c r="M12" s="15" t="str">
        <f t="shared" si="2"/>
        <v>A</v>
      </c>
      <c r="N12" s="15" t="str">
        <f t="shared" si="3"/>
        <v>100% LTT</v>
      </c>
      <c r="O12" s="35"/>
    </row>
    <row r="13" spans="1:15" ht="19.5" customHeight="1" x14ac:dyDescent="0.3">
      <c r="A13" s="15">
        <f t="shared" si="4"/>
        <v>7</v>
      </c>
      <c r="B13" s="16" t="s">
        <v>54</v>
      </c>
      <c r="C13" s="15" t="s">
        <v>19</v>
      </c>
      <c r="D13" s="15"/>
      <c r="E13" s="15"/>
      <c r="F13" s="15"/>
      <c r="G13" s="15">
        <f t="shared" si="0"/>
        <v>0</v>
      </c>
      <c r="H13" s="15">
        <f t="shared" si="0"/>
        <v>0</v>
      </c>
      <c r="I13" s="15">
        <f t="shared" si="1"/>
        <v>0</v>
      </c>
      <c r="J13" s="15">
        <f t="shared" si="5"/>
        <v>0</v>
      </c>
      <c r="K13" s="15"/>
      <c r="L13" s="15">
        <f t="shared" si="6"/>
        <v>100</v>
      </c>
      <c r="M13" s="15" t="str">
        <f t="shared" si="2"/>
        <v>A</v>
      </c>
      <c r="N13" s="15" t="str">
        <f t="shared" si="3"/>
        <v>100% LTT</v>
      </c>
      <c r="O13" s="35"/>
    </row>
    <row r="14" spans="1:15" ht="19.5" customHeight="1" x14ac:dyDescent="0.3">
      <c r="A14" s="17">
        <f t="shared" si="4"/>
        <v>8</v>
      </c>
      <c r="B14" s="18" t="s">
        <v>11</v>
      </c>
      <c r="C14" s="17" t="s">
        <v>51</v>
      </c>
      <c r="D14" s="17">
        <v>2</v>
      </c>
      <c r="E14" s="17"/>
      <c r="F14" s="17">
        <v>2</v>
      </c>
      <c r="G14" s="17">
        <f t="shared" si="0"/>
        <v>0</v>
      </c>
      <c r="H14" s="17">
        <f t="shared" si="0"/>
        <v>0</v>
      </c>
      <c r="I14" s="17">
        <f t="shared" si="1"/>
        <v>0</v>
      </c>
      <c r="J14" s="17">
        <f t="shared" si="5"/>
        <v>0</v>
      </c>
      <c r="K14" s="17">
        <v>2</v>
      </c>
      <c r="L14" s="15">
        <f t="shared" si="6"/>
        <v>98</v>
      </c>
      <c r="M14" s="17" t="str">
        <f t="shared" si="2"/>
        <v>A</v>
      </c>
      <c r="N14" s="17" t="str">
        <f t="shared" si="3"/>
        <v>100% LTT</v>
      </c>
      <c r="O14" s="35"/>
    </row>
    <row r="15" spans="1:15" ht="19.5" customHeight="1" x14ac:dyDescent="0.3">
      <c r="A15" s="184" t="s">
        <v>16</v>
      </c>
      <c r="B15" s="184"/>
      <c r="C15" s="18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5" ht="19.5" customHeight="1" x14ac:dyDescent="0.3">
      <c r="A16" s="17">
        <f>A14+1</f>
        <v>9</v>
      </c>
      <c r="B16" s="18" t="s">
        <v>28</v>
      </c>
      <c r="C16" s="17" t="s">
        <v>19</v>
      </c>
      <c r="D16" s="17"/>
      <c r="E16" s="17"/>
      <c r="F16" s="17">
        <v>3</v>
      </c>
      <c r="G16" s="17">
        <f t="shared" ref="G16:H16" si="7">IF(D16&gt;5,(D16-5)*2,0)</f>
        <v>0</v>
      </c>
      <c r="H16" s="17">
        <f t="shared" si="7"/>
        <v>0</v>
      </c>
      <c r="I16" s="17">
        <f t="shared" ref="I16" si="8">IF(F16&gt;2,(F16-2)*1,0)</f>
        <v>1</v>
      </c>
      <c r="J16" s="17">
        <f t="shared" ref="J16" si="9">SUM(G16:I16)</f>
        <v>1</v>
      </c>
      <c r="K16" s="17">
        <v>0</v>
      </c>
      <c r="L16" s="17">
        <f>100-J16-K16</f>
        <v>99</v>
      </c>
      <c r="M16" s="17" t="str">
        <f t="shared" ref="M16" si="10">IF(L16&lt;71,"KL",IF(AND(L16&gt;=71,L16&lt;81),"C",IF(AND(L16&gt;=81,L16&lt;91),"B","A")))</f>
        <v>A</v>
      </c>
      <c r="N16" s="17" t="str">
        <f t="shared" ref="N16" si="11">IF(M16="A","100% LTT",IF(M16="B","90% LTT",IF(M16="C","80% LTT","60% LTT")))</f>
        <v>100% LTT</v>
      </c>
    </row>
    <row r="17" spans="1:14" ht="19.5" customHeight="1" x14ac:dyDescent="0.3">
      <c r="A17" s="184" t="s">
        <v>17</v>
      </c>
      <c r="B17" s="184"/>
      <c r="C17" s="18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ht="19.5" customHeight="1" x14ac:dyDescent="0.3">
      <c r="A18" s="23">
        <f>A16+1</f>
        <v>10</v>
      </c>
      <c r="B18" s="38" t="s">
        <v>12</v>
      </c>
      <c r="C18" s="23" t="s">
        <v>19</v>
      </c>
      <c r="D18" s="23"/>
      <c r="E18" s="23"/>
      <c r="F18" s="23"/>
      <c r="G18" s="23">
        <f t="shared" ref="G18:H25" si="12">IF(D18&gt;5,(D18-5)*2,0)</f>
        <v>0</v>
      </c>
      <c r="H18" s="23">
        <f t="shared" si="12"/>
        <v>0</v>
      </c>
      <c r="I18" s="23">
        <f t="shared" ref="I18:I25" si="13">IF(F18&gt;2,(F18-2)*1,0)</f>
        <v>0</v>
      </c>
      <c r="J18" s="23">
        <f t="shared" ref="J18:J25" si="14">SUM(G18:I18)</f>
        <v>0</v>
      </c>
      <c r="K18" s="23">
        <v>8</v>
      </c>
      <c r="L18" s="23">
        <f>100-J18-K18</f>
        <v>92</v>
      </c>
      <c r="M18" s="23" t="str">
        <f t="shared" ref="M18:M25" si="15">IF(L18&lt;71,"KL",IF(AND(L18&gt;=71,L18&lt;81),"C",IF(AND(L18&gt;=81,L18&lt;91),"B","A")))</f>
        <v>A</v>
      </c>
      <c r="N18" s="23" t="str">
        <f t="shared" ref="N18:N25" si="16">IF(M18="A","100% LTT",IF(M18="B","90% LTT",IF(M18="C","80% LTT","60% LTT")))</f>
        <v>100% LTT</v>
      </c>
    </row>
    <row r="19" spans="1:14" ht="19.5" customHeight="1" x14ac:dyDescent="0.3">
      <c r="A19" s="15">
        <f>A18+1</f>
        <v>11</v>
      </c>
      <c r="B19" s="16" t="s">
        <v>13</v>
      </c>
      <c r="C19" s="15" t="s">
        <v>101</v>
      </c>
      <c r="D19" s="15">
        <v>5</v>
      </c>
      <c r="E19" s="15"/>
      <c r="F19" s="15">
        <v>1</v>
      </c>
      <c r="G19" s="15">
        <f>IF(D19&gt;5,(D19-5)*2,0)</f>
        <v>0</v>
      </c>
      <c r="H19" s="15">
        <f t="shared" si="12"/>
        <v>0</v>
      </c>
      <c r="I19" s="15">
        <f t="shared" si="13"/>
        <v>0</v>
      </c>
      <c r="J19" s="15">
        <f t="shared" si="14"/>
        <v>0</v>
      </c>
      <c r="K19" s="15">
        <v>2</v>
      </c>
      <c r="L19" s="15">
        <f t="shared" ref="L19:L25" si="17">100-J19-K19</f>
        <v>98</v>
      </c>
      <c r="M19" s="15" t="str">
        <f t="shared" si="15"/>
        <v>A</v>
      </c>
      <c r="N19" s="15" t="str">
        <f>IF(M19="A","100% LTT",IF(M19="B","90% LTT",IF(M19="C","80% LTT","60% LTT")))</f>
        <v>100% LTT</v>
      </c>
    </row>
    <row r="20" spans="1:14" ht="19.5" customHeight="1" x14ac:dyDescent="0.3">
      <c r="A20" s="15">
        <f t="shared" ref="A20:A24" si="18">A19+1</f>
        <v>12</v>
      </c>
      <c r="B20" s="16" t="s">
        <v>14</v>
      </c>
      <c r="C20" s="15" t="s">
        <v>19</v>
      </c>
      <c r="D20" s="15"/>
      <c r="E20" s="15"/>
      <c r="F20" s="15">
        <v>1</v>
      </c>
      <c r="G20" s="15">
        <f t="shared" si="12"/>
        <v>0</v>
      </c>
      <c r="H20" s="15">
        <f t="shared" si="12"/>
        <v>0</v>
      </c>
      <c r="I20" s="15">
        <f t="shared" si="13"/>
        <v>0</v>
      </c>
      <c r="J20" s="15">
        <f t="shared" si="14"/>
        <v>0</v>
      </c>
      <c r="K20" s="15">
        <v>6</v>
      </c>
      <c r="L20" s="15">
        <f t="shared" si="17"/>
        <v>94</v>
      </c>
      <c r="M20" s="15" t="str">
        <f t="shared" si="15"/>
        <v>A</v>
      </c>
      <c r="N20" s="15" t="str">
        <f t="shared" si="16"/>
        <v>100% LTT</v>
      </c>
    </row>
    <row r="21" spans="1:14" ht="19.5" customHeight="1" x14ac:dyDescent="0.3">
      <c r="A21" s="15">
        <f t="shared" si="18"/>
        <v>13</v>
      </c>
      <c r="B21" s="16" t="s">
        <v>40</v>
      </c>
      <c r="C21" s="15" t="s">
        <v>19</v>
      </c>
      <c r="D21" s="15"/>
      <c r="E21" s="15"/>
      <c r="F21" s="15"/>
      <c r="G21" s="15">
        <f t="shared" si="12"/>
        <v>0</v>
      </c>
      <c r="H21" s="15">
        <f t="shared" si="12"/>
        <v>0</v>
      </c>
      <c r="I21" s="15">
        <f t="shared" si="13"/>
        <v>0</v>
      </c>
      <c r="J21" s="15">
        <f t="shared" si="14"/>
        <v>0</v>
      </c>
      <c r="K21" s="15">
        <v>8</v>
      </c>
      <c r="L21" s="15">
        <f t="shared" si="17"/>
        <v>92</v>
      </c>
      <c r="M21" s="15" t="str">
        <f t="shared" si="15"/>
        <v>A</v>
      </c>
      <c r="N21" s="15" t="str">
        <f t="shared" si="16"/>
        <v>100% LTT</v>
      </c>
    </row>
    <row r="22" spans="1:14" ht="19.5" customHeight="1" x14ac:dyDescent="0.3">
      <c r="A22" s="15">
        <f t="shared" si="18"/>
        <v>14</v>
      </c>
      <c r="B22" s="16" t="s">
        <v>98</v>
      </c>
      <c r="C22" s="15" t="s">
        <v>102</v>
      </c>
      <c r="D22" s="15"/>
      <c r="E22" s="15"/>
      <c r="F22" s="15"/>
      <c r="G22" s="15">
        <f t="shared" si="12"/>
        <v>0</v>
      </c>
      <c r="H22" s="15">
        <f t="shared" si="12"/>
        <v>0</v>
      </c>
      <c r="I22" s="15">
        <f t="shared" si="13"/>
        <v>0</v>
      </c>
      <c r="J22" s="15">
        <f t="shared" si="14"/>
        <v>0</v>
      </c>
      <c r="K22" s="15">
        <v>8</v>
      </c>
      <c r="L22" s="15">
        <f t="shared" si="17"/>
        <v>92</v>
      </c>
      <c r="M22" s="15" t="str">
        <f t="shared" si="15"/>
        <v>A</v>
      </c>
      <c r="N22" s="15" t="str">
        <f t="shared" si="16"/>
        <v>100% LTT</v>
      </c>
    </row>
    <row r="23" spans="1:14" ht="19.5" customHeight="1" x14ac:dyDescent="0.3">
      <c r="A23" s="15">
        <f t="shared" si="18"/>
        <v>15</v>
      </c>
      <c r="B23" s="16" t="s">
        <v>99</v>
      </c>
      <c r="C23" s="15" t="s">
        <v>102</v>
      </c>
      <c r="D23" s="15"/>
      <c r="E23" s="15"/>
      <c r="F23" s="15"/>
      <c r="G23" s="15">
        <f t="shared" si="12"/>
        <v>0</v>
      </c>
      <c r="H23" s="15">
        <f t="shared" si="12"/>
        <v>0</v>
      </c>
      <c r="I23" s="15">
        <f t="shared" si="13"/>
        <v>0</v>
      </c>
      <c r="J23" s="15">
        <f t="shared" si="14"/>
        <v>0</v>
      </c>
      <c r="K23" s="15">
        <v>8</v>
      </c>
      <c r="L23" s="15">
        <f t="shared" si="17"/>
        <v>92</v>
      </c>
      <c r="M23" s="15" t="str">
        <f t="shared" si="15"/>
        <v>A</v>
      </c>
      <c r="N23" s="15" t="str">
        <f t="shared" si="16"/>
        <v>100% LTT</v>
      </c>
    </row>
    <row r="24" spans="1:14" ht="19.5" customHeight="1" x14ac:dyDescent="0.3">
      <c r="A24" s="15">
        <f t="shared" si="18"/>
        <v>16</v>
      </c>
      <c r="B24" s="16" t="s">
        <v>100</v>
      </c>
      <c r="C24" s="15" t="s">
        <v>102</v>
      </c>
      <c r="D24" s="15"/>
      <c r="E24" s="15"/>
      <c r="F24" s="15"/>
      <c r="G24" s="15">
        <f t="shared" si="12"/>
        <v>0</v>
      </c>
      <c r="H24" s="15">
        <f t="shared" si="12"/>
        <v>0</v>
      </c>
      <c r="I24" s="15">
        <f t="shared" si="13"/>
        <v>0</v>
      </c>
      <c r="J24" s="15">
        <f t="shared" si="14"/>
        <v>0</v>
      </c>
      <c r="K24" s="15">
        <v>5</v>
      </c>
      <c r="L24" s="15">
        <f t="shared" si="17"/>
        <v>95</v>
      </c>
      <c r="M24" s="15" t="str">
        <f t="shared" si="15"/>
        <v>A</v>
      </c>
      <c r="N24" s="15" t="str">
        <f t="shared" si="16"/>
        <v>100% LTT</v>
      </c>
    </row>
    <row r="25" spans="1:14" ht="19.5" customHeight="1" x14ac:dyDescent="0.3">
      <c r="A25" s="17">
        <v>17</v>
      </c>
      <c r="B25" s="18" t="s">
        <v>104</v>
      </c>
      <c r="C25" s="17" t="s">
        <v>107</v>
      </c>
      <c r="D25" s="17"/>
      <c r="E25" s="17"/>
      <c r="F25" s="17"/>
      <c r="G25" s="15">
        <f t="shared" si="12"/>
        <v>0</v>
      </c>
      <c r="H25" s="15">
        <f t="shared" si="12"/>
        <v>0</v>
      </c>
      <c r="I25" s="15">
        <f t="shared" si="13"/>
        <v>0</v>
      </c>
      <c r="J25" s="15">
        <f t="shared" si="14"/>
        <v>0</v>
      </c>
      <c r="K25" s="17">
        <v>9</v>
      </c>
      <c r="L25" s="17">
        <f t="shared" si="17"/>
        <v>91</v>
      </c>
      <c r="M25" s="17" t="str">
        <f t="shared" si="15"/>
        <v>A</v>
      </c>
      <c r="N25" s="17" t="str">
        <f t="shared" si="16"/>
        <v>100% LTT</v>
      </c>
    </row>
    <row r="26" spans="1:14" ht="22.5" customHeight="1" x14ac:dyDescent="0.3">
      <c r="A26" s="180" t="s">
        <v>60</v>
      </c>
      <c r="B26" s="180"/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0"/>
      <c r="N26" s="180"/>
    </row>
    <row r="27" spans="1:14" ht="22.5" customHeight="1" x14ac:dyDescent="0.3">
      <c r="J27" s="185" t="s">
        <v>65</v>
      </c>
      <c r="K27" s="185"/>
      <c r="L27" s="185"/>
      <c r="M27" s="185"/>
      <c r="N27" s="185"/>
    </row>
    <row r="28" spans="1:14" ht="22.5" customHeight="1" x14ac:dyDescent="0.3">
      <c r="B28" s="178" t="s">
        <v>22</v>
      </c>
      <c r="C28" s="178"/>
      <c r="D28" s="178"/>
      <c r="L28" s="178" t="s">
        <v>25</v>
      </c>
      <c r="M28" s="178"/>
      <c r="N28" s="178"/>
    </row>
    <row r="29" spans="1:14" ht="22.5" customHeight="1" x14ac:dyDescent="0.3">
      <c r="L29" s="62"/>
      <c r="M29" s="62"/>
    </row>
    <row r="30" spans="1:14" ht="22.5" customHeight="1" x14ac:dyDescent="0.3">
      <c r="L30" s="62"/>
      <c r="M30" s="62"/>
    </row>
    <row r="31" spans="1:14" ht="22.5" customHeight="1" x14ac:dyDescent="0.3">
      <c r="L31" s="62"/>
      <c r="M31" s="62"/>
    </row>
    <row r="32" spans="1:14" ht="22.5" customHeight="1" x14ac:dyDescent="0.3">
      <c r="B32" s="178" t="s">
        <v>28</v>
      </c>
      <c r="C32" s="178"/>
      <c r="D32" s="178"/>
      <c r="L32" s="178" t="s">
        <v>27</v>
      </c>
      <c r="M32" s="178"/>
      <c r="N32" s="178"/>
    </row>
    <row r="33" spans="3:4" ht="22.5" customHeight="1" x14ac:dyDescent="0.3">
      <c r="C33" s="1"/>
      <c r="D33" s="1"/>
    </row>
  </sheetData>
  <mergeCells count="25">
    <mergeCell ref="O4:O5"/>
    <mergeCell ref="A1:N1"/>
    <mergeCell ref="A2:N2"/>
    <mergeCell ref="A3:N3"/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L4:L5"/>
    <mergeCell ref="M4:M5"/>
    <mergeCell ref="N4:N5"/>
    <mergeCell ref="B32:D32"/>
    <mergeCell ref="L32:N32"/>
    <mergeCell ref="A6:C6"/>
    <mergeCell ref="A15:C15"/>
    <mergeCell ref="A17:C17"/>
    <mergeCell ref="A26:N26"/>
    <mergeCell ref="J27:N27"/>
    <mergeCell ref="B28:D28"/>
    <mergeCell ref="L28:N28"/>
  </mergeCells>
  <pageMargins left="0.2" right="0.26" top="0.36" bottom="0.33" header="0.3" footer="0.3"/>
  <pageSetup paperSize="9" scale="75" orientation="landscape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zoomScale="84" zoomScaleNormal="84" workbookViewId="0">
      <selection sqref="A1:XFD1048576"/>
    </sheetView>
  </sheetViews>
  <sheetFormatPr defaultColWidth="9.109375" defaultRowHeight="16.8" x14ac:dyDescent="0.3"/>
  <cols>
    <col min="1" max="1" width="6.109375" style="2" customWidth="1"/>
    <col min="2" max="2" width="24.6640625" style="1" customWidth="1"/>
    <col min="3" max="3" width="22" style="2" customWidth="1"/>
    <col min="4" max="6" width="11.33203125" style="2" customWidth="1"/>
    <col min="7" max="9" width="12.33203125" style="2" customWidth="1"/>
    <col min="10" max="10" width="12.44140625" style="2" customWidth="1"/>
    <col min="11" max="11" width="11.33203125" style="2" customWidth="1"/>
    <col min="12" max="12" width="12.109375" style="2" customWidth="1"/>
    <col min="13" max="13" width="9.44140625" style="2" customWidth="1"/>
    <col min="14" max="14" width="15" style="2" customWidth="1"/>
    <col min="15" max="15" width="53.88671875" style="2" customWidth="1"/>
    <col min="16" max="16384" width="9.109375" style="1"/>
  </cols>
  <sheetData>
    <row r="1" spans="1:15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5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</row>
    <row r="3" spans="1:15" ht="22.5" customHeight="1" x14ac:dyDescent="0.3">
      <c r="A3" s="179" t="s">
        <v>109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</row>
    <row r="4" spans="1:15" s="3" customFormat="1" ht="22.5" customHeight="1" x14ac:dyDescent="0.3">
      <c r="A4" s="180" t="s">
        <v>0</v>
      </c>
      <c r="B4" s="180" t="s">
        <v>1</v>
      </c>
      <c r="C4" s="180" t="s">
        <v>2</v>
      </c>
      <c r="D4" s="180" t="s">
        <v>23</v>
      </c>
      <c r="E4" s="180"/>
      <c r="F4" s="180"/>
      <c r="G4" s="181" t="s">
        <v>29</v>
      </c>
      <c r="H4" s="181" t="s">
        <v>30</v>
      </c>
      <c r="I4" s="181" t="s">
        <v>31</v>
      </c>
      <c r="J4" s="181" t="s">
        <v>96</v>
      </c>
      <c r="K4" s="181" t="s">
        <v>97</v>
      </c>
      <c r="L4" s="180" t="s">
        <v>6</v>
      </c>
      <c r="M4" s="180" t="s">
        <v>7</v>
      </c>
      <c r="N4" s="180" t="s">
        <v>8</v>
      </c>
      <c r="O4" s="183"/>
    </row>
    <row r="5" spans="1:15" s="3" customFormat="1" ht="49.8" customHeight="1" x14ac:dyDescent="0.3">
      <c r="A5" s="180"/>
      <c r="B5" s="180"/>
      <c r="C5" s="180"/>
      <c r="D5" s="65" t="s">
        <v>3</v>
      </c>
      <c r="E5" s="65" t="s">
        <v>4</v>
      </c>
      <c r="F5" s="65" t="s">
        <v>5</v>
      </c>
      <c r="G5" s="182"/>
      <c r="H5" s="182"/>
      <c r="I5" s="182"/>
      <c r="J5" s="182"/>
      <c r="K5" s="182"/>
      <c r="L5" s="180"/>
      <c r="M5" s="180"/>
      <c r="N5" s="180"/>
      <c r="O5" s="183"/>
    </row>
    <row r="6" spans="1:15" ht="19.5" customHeight="1" x14ac:dyDescent="0.3">
      <c r="A6" s="184" t="s">
        <v>15</v>
      </c>
      <c r="B6" s="184"/>
      <c r="C6" s="18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5" ht="19.5" customHeight="1" x14ac:dyDescent="0.3">
      <c r="A7" s="15">
        <v>1</v>
      </c>
      <c r="B7" s="16" t="s">
        <v>49</v>
      </c>
      <c r="C7" s="15" t="s">
        <v>19</v>
      </c>
      <c r="D7" s="15"/>
      <c r="E7" s="15"/>
      <c r="F7" s="15"/>
      <c r="G7" s="15">
        <f t="shared" ref="G7:H14" si="0">IF(D7&gt;5,(D7-5)*2,0)</f>
        <v>0</v>
      </c>
      <c r="H7" s="15">
        <f t="shared" si="0"/>
        <v>0</v>
      </c>
      <c r="I7" s="15">
        <f t="shared" ref="I7:I14" si="1">IF(F7&gt;2,(F7-2)*1,0)</f>
        <v>0</v>
      </c>
      <c r="J7" s="15">
        <f>SUM(G7:I7)</f>
        <v>0</v>
      </c>
      <c r="K7" s="15">
        <v>4</v>
      </c>
      <c r="L7" s="15">
        <f>100-J7-K7</f>
        <v>96</v>
      </c>
      <c r="M7" s="15" t="str">
        <f t="shared" ref="M7:M14" si="2">IF(L7&lt;71,"KL",IF(AND(L7&gt;=71,L7&lt;81),"C",IF(AND(L7&gt;=81,L7&lt;91),"B","A")))</f>
        <v>A</v>
      </c>
      <c r="N7" s="15" t="str">
        <f t="shared" ref="N7:N14" si="3">IF(M7="A","100% LTT",IF(M7="B","90% LTT",IF(M7="C","80% LTT","60% LTT")))</f>
        <v>100% LTT</v>
      </c>
      <c r="O7" s="11" t="s">
        <v>33</v>
      </c>
    </row>
    <row r="8" spans="1:15" ht="19.5" customHeight="1" x14ac:dyDescent="0.3">
      <c r="A8" s="15">
        <f t="shared" ref="A8:A14" si="4">A7+1</f>
        <v>2</v>
      </c>
      <c r="B8" s="16" t="s">
        <v>52</v>
      </c>
      <c r="C8" s="15" t="s">
        <v>19</v>
      </c>
      <c r="D8" s="15"/>
      <c r="E8" s="15"/>
      <c r="F8" s="15"/>
      <c r="G8" s="15">
        <f t="shared" si="0"/>
        <v>0</v>
      </c>
      <c r="H8" s="15">
        <f t="shared" si="0"/>
        <v>0</v>
      </c>
      <c r="I8" s="15">
        <f t="shared" si="1"/>
        <v>0</v>
      </c>
      <c r="J8" s="15">
        <f t="shared" ref="J8:J14" si="5">SUM(G8:I8)</f>
        <v>0</v>
      </c>
      <c r="K8" s="15"/>
      <c r="L8" s="15">
        <f t="shared" ref="L8:L14" si="6">100-J8-K8</f>
        <v>100</v>
      </c>
      <c r="M8" s="15" t="str">
        <f t="shared" si="2"/>
        <v>A</v>
      </c>
      <c r="N8" s="15" t="str">
        <f t="shared" si="3"/>
        <v>100% LTT</v>
      </c>
      <c r="O8" s="34"/>
    </row>
    <row r="9" spans="1:15" ht="19.5" customHeight="1" x14ac:dyDescent="0.3">
      <c r="A9" s="15">
        <f>A8+1</f>
        <v>3</v>
      </c>
      <c r="B9" s="16" t="s">
        <v>57</v>
      </c>
      <c r="C9" s="15" t="s">
        <v>19</v>
      </c>
      <c r="D9" s="15"/>
      <c r="E9" s="15"/>
      <c r="F9" s="15"/>
      <c r="G9" s="15">
        <f t="shared" si="0"/>
        <v>0</v>
      </c>
      <c r="H9" s="15">
        <f t="shared" si="0"/>
        <v>0</v>
      </c>
      <c r="I9" s="15">
        <f t="shared" si="1"/>
        <v>0</v>
      </c>
      <c r="J9" s="15">
        <f t="shared" si="5"/>
        <v>0</v>
      </c>
      <c r="K9" s="15"/>
      <c r="L9" s="15">
        <f t="shared" si="6"/>
        <v>100</v>
      </c>
      <c r="M9" s="15" t="str">
        <f t="shared" si="2"/>
        <v>A</v>
      </c>
      <c r="N9" s="15" t="str">
        <f t="shared" si="3"/>
        <v>100% LTT</v>
      </c>
      <c r="O9" s="35"/>
    </row>
    <row r="10" spans="1:15" ht="19.5" customHeight="1" x14ac:dyDescent="0.3">
      <c r="A10" s="15">
        <f t="shared" si="4"/>
        <v>4</v>
      </c>
      <c r="B10" s="16" t="s">
        <v>58</v>
      </c>
      <c r="C10" s="15" t="s">
        <v>19</v>
      </c>
      <c r="D10" s="15"/>
      <c r="E10" s="15"/>
      <c r="F10" s="15"/>
      <c r="G10" s="15">
        <f t="shared" si="0"/>
        <v>0</v>
      </c>
      <c r="H10" s="15">
        <f t="shared" si="0"/>
        <v>0</v>
      </c>
      <c r="I10" s="15">
        <f t="shared" si="1"/>
        <v>0</v>
      </c>
      <c r="J10" s="15">
        <f t="shared" si="5"/>
        <v>0</v>
      </c>
      <c r="K10" s="15"/>
      <c r="L10" s="15">
        <f t="shared" si="6"/>
        <v>100</v>
      </c>
      <c r="M10" s="15" t="str">
        <f t="shared" si="2"/>
        <v>A</v>
      </c>
      <c r="N10" s="15" t="str">
        <f t="shared" si="3"/>
        <v>100% LTT</v>
      </c>
      <c r="O10" s="35"/>
    </row>
    <row r="11" spans="1:15" ht="19.5" customHeight="1" x14ac:dyDescent="0.3">
      <c r="A11" s="15">
        <f t="shared" si="4"/>
        <v>5</v>
      </c>
      <c r="B11" s="16" t="s">
        <v>59</v>
      </c>
      <c r="C11" s="15" t="s">
        <v>19</v>
      </c>
      <c r="D11" s="15"/>
      <c r="E11" s="15"/>
      <c r="F11" s="15"/>
      <c r="G11" s="15">
        <f t="shared" si="0"/>
        <v>0</v>
      </c>
      <c r="H11" s="15">
        <f t="shared" si="0"/>
        <v>0</v>
      </c>
      <c r="I11" s="15">
        <f t="shared" si="1"/>
        <v>0</v>
      </c>
      <c r="J11" s="15">
        <f t="shared" si="5"/>
        <v>0</v>
      </c>
      <c r="K11" s="15"/>
      <c r="L11" s="15">
        <f t="shared" si="6"/>
        <v>100</v>
      </c>
      <c r="M11" s="15" t="str">
        <f t="shared" si="2"/>
        <v>A</v>
      </c>
      <c r="N11" s="15" t="str">
        <f t="shared" si="3"/>
        <v>100% LTT</v>
      </c>
      <c r="O11" s="35"/>
    </row>
    <row r="12" spans="1:15" ht="19.5" customHeight="1" x14ac:dyDescent="0.3">
      <c r="A12" s="15">
        <f t="shared" si="4"/>
        <v>6</v>
      </c>
      <c r="B12" s="16" t="s">
        <v>53</v>
      </c>
      <c r="C12" s="15" t="s">
        <v>19</v>
      </c>
      <c r="D12" s="15"/>
      <c r="E12" s="15"/>
      <c r="F12" s="15"/>
      <c r="G12" s="15">
        <f t="shared" si="0"/>
        <v>0</v>
      </c>
      <c r="H12" s="15">
        <f t="shared" si="0"/>
        <v>0</v>
      </c>
      <c r="I12" s="15">
        <f t="shared" si="1"/>
        <v>0</v>
      </c>
      <c r="J12" s="15">
        <f t="shared" si="5"/>
        <v>0</v>
      </c>
      <c r="K12" s="15"/>
      <c r="L12" s="15">
        <f t="shared" si="6"/>
        <v>100</v>
      </c>
      <c r="M12" s="15" t="str">
        <f t="shared" si="2"/>
        <v>A</v>
      </c>
      <c r="N12" s="15" t="str">
        <f t="shared" si="3"/>
        <v>100% LTT</v>
      </c>
      <c r="O12" s="35"/>
    </row>
    <row r="13" spans="1:15" ht="19.5" customHeight="1" x14ac:dyDescent="0.3">
      <c r="A13" s="15">
        <f t="shared" si="4"/>
        <v>7</v>
      </c>
      <c r="B13" s="16" t="s">
        <v>54</v>
      </c>
      <c r="C13" s="15" t="s">
        <v>19</v>
      </c>
      <c r="D13" s="15"/>
      <c r="E13" s="15"/>
      <c r="F13" s="15"/>
      <c r="G13" s="15">
        <f t="shared" si="0"/>
        <v>0</v>
      </c>
      <c r="H13" s="15">
        <f t="shared" si="0"/>
        <v>0</v>
      </c>
      <c r="I13" s="15">
        <f t="shared" si="1"/>
        <v>0</v>
      </c>
      <c r="J13" s="15">
        <f t="shared" si="5"/>
        <v>0</v>
      </c>
      <c r="K13" s="15"/>
      <c r="L13" s="15">
        <f t="shared" si="6"/>
        <v>100</v>
      </c>
      <c r="M13" s="15" t="str">
        <f t="shared" si="2"/>
        <v>A</v>
      </c>
      <c r="N13" s="15" t="str">
        <f t="shared" si="3"/>
        <v>100% LTT</v>
      </c>
      <c r="O13" s="35"/>
    </row>
    <row r="14" spans="1:15" ht="19.5" customHeight="1" x14ac:dyDescent="0.3">
      <c r="A14" s="17">
        <f t="shared" si="4"/>
        <v>8</v>
      </c>
      <c r="B14" s="18" t="s">
        <v>11</v>
      </c>
      <c r="C14" s="17" t="s">
        <v>51</v>
      </c>
      <c r="D14" s="17"/>
      <c r="E14" s="17"/>
      <c r="F14" s="17">
        <v>2</v>
      </c>
      <c r="G14" s="17">
        <f t="shared" si="0"/>
        <v>0</v>
      </c>
      <c r="H14" s="17">
        <f t="shared" si="0"/>
        <v>0</v>
      </c>
      <c r="I14" s="17">
        <f t="shared" si="1"/>
        <v>0</v>
      </c>
      <c r="J14" s="17">
        <f t="shared" si="5"/>
        <v>0</v>
      </c>
      <c r="K14" s="17">
        <v>2</v>
      </c>
      <c r="L14" s="15">
        <f t="shared" si="6"/>
        <v>98</v>
      </c>
      <c r="M14" s="17" t="str">
        <f t="shared" si="2"/>
        <v>A</v>
      </c>
      <c r="N14" s="17" t="str">
        <f t="shared" si="3"/>
        <v>100% LTT</v>
      </c>
      <c r="O14" s="35"/>
    </row>
    <row r="15" spans="1:15" ht="19.5" customHeight="1" x14ac:dyDescent="0.3">
      <c r="A15" s="184" t="s">
        <v>16</v>
      </c>
      <c r="B15" s="184"/>
      <c r="C15" s="18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5" ht="19.5" customHeight="1" x14ac:dyDescent="0.3">
      <c r="A16" s="17">
        <f>A14+1</f>
        <v>9</v>
      </c>
      <c r="B16" s="18" t="s">
        <v>28</v>
      </c>
      <c r="C16" s="17" t="s">
        <v>19</v>
      </c>
      <c r="D16" s="17"/>
      <c r="E16" s="17"/>
      <c r="F16" s="17"/>
      <c r="G16" s="17">
        <f t="shared" ref="G16:H16" si="7">IF(D16&gt;5,(D16-5)*2,0)</f>
        <v>0</v>
      </c>
      <c r="H16" s="17">
        <f t="shared" si="7"/>
        <v>0</v>
      </c>
      <c r="I16" s="17">
        <f t="shared" ref="I16" si="8">IF(F16&gt;2,(F16-2)*1,0)</f>
        <v>0</v>
      </c>
      <c r="J16" s="17">
        <f t="shared" ref="J16" si="9">SUM(G16:I16)</f>
        <v>0</v>
      </c>
      <c r="K16" s="17">
        <v>0</v>
      </c>
      <c r="L16" s="17">
        <f>100-J16-K16</f>
        <v>100</v>
      </c>
      <c r="M16" s="17" t="str">
        <f t="shared" ref="M16" si="10">IF(L16&lt;71,"KL",IF(AND(L16&gt;=71,L16&lt;81),"C",IF(AND(L16&gt;=81,L16&lt;91),"B","A")))</f>
        <v>A</v>
      </c>
      <c r="N16" s="17" t="str">
        <f t="shared" ref="N16" si="11">IF(M16="A","100% LTT",IF(M16="B","90% LTT",IF(M16="C","80% LTT","60% LTT")))</f>
        <v>100% LTT</v>
      </c>
    </row>
    <row r="17" spans="1:14" ht="19.5" customHeight="1" x14ac:dyDescent="0.3">
      <c r="A17" s="184" t="s">
        <v>17</v>
      </c>
      <c r="B17" s="184"/>
      <c r="C17" s="18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ht="19.5" customHeight="1" x14ac:dyDescent="0.3">
      <c r="A18" s="23">
        <f>A16+1</f>
        <v>10</v>
      </c>
      <c r="B18" s="38" t="s">
        <v>12</v>
      </c>
      <c r="C18" s="23" t="s">
        <v>19</v>
      </c>
      <c r="D18" s="23"/>
      <c r="E18" s="23"/>
      <c r="F18" s="23">
        <v>1</v>
      </c>
      <c r="G18" s="23">
        <f t="shared" ref="G18:H25" si="12">IF(D18&gt;5,(D18-5)*2,0)</f>
        <v>0</v>
      </c>
      <c r="H18" s="23">
        <f t="shared" si="12"/>
        <v>0</v>
      </c>
      <c r="I18" s="23">
        <f t="shared" ref="I18:I25" si="13">IF(F18&gt;2,(F18-2)*1,0)</f>
        <v>0</v>
      </c>
      <c r="J18" s="23">
        <f t="shared" ref="J18:J25" si="14">SUM(G18:I18)</f>
        <v>0</v>
      </c>
      <c r="K18" s="23">
        <v>8</v>
      </c>
      <c r="L18" s="23">
        <f>100-J18-K18</f>
        <v>92</v>
      </c>
      <c r="M18" s="23" t="str">
        <f t="shared" ref="M18:M25" si="15">IF(L18&lt;71,"KL",IF(AND(L18&gt;=71,L18&lt;81),"C",IF(AND(L18&gt;=81,L18&lt;91),"B","A")))</f>
        <v>A</v>
      </c>
      <c r="N18" s="23" t="str">
        <f t="shared" ref="N18:N25" si="16">IF(M18="A","100% LTT",IF(M18="B","90% LTT",IF(M18="C","80% LTT","60% LTT")))</f>
        <v>100% LTT</v>
      </c>
    </row>
    <row r="19" spans="1:14" ht="19.5" customHeight="1" x14ac:dyDescent="0.3">
      <c r="A19" s="15">
        <f>A18+1</f>
        <v>11</v>
      </c>
      <c r="B19" s="16" t="s">
        <v>13</v>
      </c>
      <c r="C19" s="15" t="s">
        <v>101</v>
      </c>
      <c r="D19" s="15">
        <v>8</v>
      </c>
      <c r="E19" s="15">
        <v>1</v>
      </c>
      <c r="F19" s="15"/>
      <c r="G19" s="15">
        <f>IF(D19&gt;5,(D19-5)*2,0)</f>
        <v>6</v>
      </c>
      <c r="H19" s="15">
        <f t="shared" si="12"/>
        <v>0</v>
      </c>
      <c r="I19" s="15">
        <f t="shared" si="13"/>
        <v>0</v>
      </c>
      <c r="J19" s="15">
        <f t="shared" si="14"/>
        <v>6</v>
      </c>
      <c r="K19" s="15">
        <v>3</v>
      </c>
      <c r="L19" s="15">
        <f t="shared" ref="L19:L25" si="17">100-J19-K19</f>
        <v>91</v>
      </c>
      <c r="M19" s="15" t="str">
        <f t="shared" si="15"/>
        <v>A</v>
      </c>
      <c r="N19" s="15" t="str">
        <f>IF(M19="A","100% LTT",IF(M19="B","90% LTT",IF(M19="C","80% LTT","60% LTT")))</f>
        <v>100% LTT</v>
      </c>
    </row>
    <row r="20" spans="1:14" ht="19.5" customHeight="1" x14ac:dyDescent="0.3">
      <c r="A20" s="15">
        <f t="shared" ref="A20:A24" si="18">A19+1</f>
        <v>12</v>
      </c>
      <c r="B20" s="16" t="s">
        <v>14</v>
      </c>
      <c r="C20" s="15" t="s">
        <v>19</v>
      </c>
      <c r="D20" s="15"/>
      <c r="E20" s="15"/>
      <c r="F20" s="15">
        <v>1</v>
      </c>
      <c r="G20" s="15">
        <f t="shared" si="12"/>
        <v>0</v>
      </c>
      <c r="H20" s="15">
        <f t="shared" si="12"/>
        <v>0</v>
      </c>
      <c r="I20" s="15">
        <f t="shared" si="13"/>
        <v>0</v>
      </c>
      <c r="J20" s="15">
        <f t="shared" si="14"/>
        <v>0</v>
      </c>
      <c r="K20" s="15">
        <v>6</v>
      </c>
      <c r="L20" s="15">
        <f t="shared" si="17"/>
        <v>94</v>
      </c>
      <c r="M20" s="15" t="str">
        <f t="shared" si="15"/>
        <v>A</v>
      </c>
      <c r="N20" s="15" t="str">
        <f t="shared" si="16"/>
        <v>100% LTT</v>
      </c>
    </row>
    <row r="21" spans="1:14" ht="19.5" customHeight="1" x14ac:dyDescent="0.3">
      <c r="A21" s="15">
        <f t="shared" si="18"/>
        <v>13</v>
      </c>
      <c r="B21" s="16" t="s">
        <v>40</v>
      </c>
      <c r="C21" s="15" t="s">
        <v>19</v>
      </c>
      <c r="D21" s="15"/>
      <c r="E21" s="15"/>
      <c r="F21" s="15"/>
      <c r="G21" s="15">
        <f t="shared" si="12"/>
        <v>0</v>
      </c>
      <c r="H21" s="15">
        <f t="shared" si="12"/>
        <v>0</v>
      </c>
      <c r="I21" s="15">
        <f t="shared" si="13"/>
        <v>0</v>
      </c>
      <c r="J21" s="15">
        <f t="shared" si="14"/>
        <v>0</v>
      </c>
      <c r="K21" s="15">
        <v>8</v>
      </c>
      <c r="L21" s="15">
        <f t="shared" si="17"/>
        <v>92</v>
      </c>
      <c r="M21" s="15" t="str">
        <f t="shared" si="15"/>
        <v>A</v>
      </c>
      <c r="N21" s="15" t="str">
        <f t="shared" si="16"/>
        <v>100% LTT</v>
      </c>
    </row>
    <row r="22" spans="1:14" ht="19.5" customHeight="1" x14ac:dyDescent="0.3">
      <c r="A22" s="15">
        <f t="shared" si="18"/>
        <v>14</v>
      </c>
      <c r="B22" s="16" t="s">
        <v>98</v>
      </c>
      <c r="C22" s="15" t="s">
        <v>102</v>
      </c>
      <c r="D22" s="15"/>
      <c r="E22" s="15"/>
      <c r="F22" s="15"/>
      <c r="G22" s="15">
        <f t="shared" si="12"/>
        <v>0</v>
      </c>
      <c r="H22" s="15">
        <f t="shared" si="12"/>
        <v>0</v>
      </c>
      <c r="I22" s="15">
        <f t="shared" si="13"/>
        <v>0</v>
      </c>
      <c r="J22" s="15">
        <f t="shared" si="14"/>
        <v>0</v>
      </c>
      <c r="K22" s="15">
        <v>8</v>
      </c>
      <c r="L22" s="15">
        <f t="shared" si="17"/>
        <v>92</v>
      </c>
      <c r="M22" s="15" t="str">
        <f t="shared" si="15"/>
        <v>A</v>
      </c>
      <c r="N22" s="15" t="str">
        <f t="shared" si="16"/>
        <v>100% LTT</v>
      </c>
    </row>
    <row r="23" spans="1:14" ht="19.5" customHeight="1" x14ac:dyDescent="0.3">
      <c r="A23" s="15">
        <f t="shared" si="18"/>
        <v>15</v>
      </c>
      <c r="B23" s="16" t="s">
        <v>99</v>
      </c>
      <c r="C23" s="15" t="s">
        <v>102</v>
      </c>
      <c r="D23" s="15"/>
      <c r="E23" s="15"/>
      <c r="F23" s="15"/>
      <c r="G23" s="15">
        <f t="shared" si="12"/>
        <v>0</v>
      </c>
      <c r="H23" s="15">
        <f t="shared" si="12"/>
        <v>0</v>
      </c>
      <c r="I23" s="15">
        <f t="shared" si="13"/>
        <v>0</v>
      </c>
      <c r="J23" s="15">
        <f t="shared" si="14"/>
        <v>0</v>
      </c>
      <c r="K23" s="15">
        <v>5</v>
      </c>
      <c r="L23" s="15">
        <f t="shared" si="17"/>
        <v>95</v>
      </c>
      <c r="M23" s="15" t="str">
        <f t="shared" si="15"/>
        <v>A</v>
      </c>
      <c r="N23" s="15" t="str">
        <f t="shared" si="16"/>
        <v>100% LTT</v>
      </c>
    </row>
    <row r="24" spans="1:14" ht="19.5" customHeight="1" x14ac:dyDescent="0.3">
      <c r="A24" s="15">
        <f t="shared" si="18"/>
        <v>16</v>
      </c>
      <c r="B24" s="16" t="s">
        <v>100</v>
      </c>
      <c r="C24" s="15" t="s">
        <v>102</v>
      </c>
      <c r="D24" s="15"/>
      <c r="E24" s="15"/>
      <c r="F24" s="15"/>
      <c r="G24" s="15">
        <f t="shared" si="12"/>
        <v>0</v>
      </c>
      <c r="H24" s="15">
        <f t="shared" si="12"/>
        <v>0</v>
      </c>
      <c r="I24" s="15">
        <f t="shared" si="13"/>
        <v>0</v>
      </c>
      <c r="J24" s="15">
        <f t="shared" si="14"/>
        <v>0</v>
      </c>
      <c r="K24" s="15">
        <v>4</v>
      </c>
      <c r="L24" s="15">
        <f t="shared" si="17"/>
        <v>96</v>
      </c>
      <c r="M24" s="15" t="str">
        <f t="shared" si="15"/>
        <v>A</v>
      </c>
      <c r="N24" s="15" t="str">
        <f t="shared" si="16"/>
        <v>100% LTT</v>
      </c>
    </row>
    <row r="25" spans="1:14" ht="19.5" customHeight="1" x14ac:dyDescent="0.3">
      <c r="A25" s="17">
        <v>17</v>
      </c>
      <c r="B25" s="18" t="s">
        <v>104</v>
      </c>
      <c r="C25" s="17" t="s">
        <v>107</v>
      </c>
      <c r="D25" s="17"/>
      <c r="E25" s="17"/>
      <c r="F25" s="17"/>
      <c r="G25" s="15">
        <f t="shared" si="12"/>
        <v>0</v>
      </c>
      <c r="H25" s="15">
        <f t="shared" si="12"/>
        <v>0</v>
      </c>
      <c r="I25" s="15">
        <f t="shared" si="13"/>
        <v>0</v>
      </c>
      <c r="J25" s="15">
        <f t="shared" si="14"/>
        <v>0</v>
      </c>
      <c r="K25" s="17">
        <v>7</v>
      </c>
      <c r="L25" s="17">
        <f t="shared" si="17"/>
        <v>93</v>
      </c>
      <c r="M25" s="17" t="str">
        <f t="shared" si="15"/>
        <v>A</v>
      </c>
      <c r="N25" s="17" t="str">
        <f t="shared" si="16"/>
        <v>100% LTT</v>
      </c>
    </row>
    <row r="26" spans="1:14" ht="22.5" customHeight="1" x14ac:dyDescent="0.3">
      <c r="A26" s="180" t="s">
        <v>60</v>
      </c>
      <c r="B26" s="180"/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0"/>
      <c r="N26" s="180"/>
    </row>
    <row r="27" spans="1:14" ht="22.5" customHeight="1" x14ac:dyDescent="0.3">
      <c r="J27" s="185" t="s">
        <v>65</v>
      </c>
      <c r="K27" s="185"/>
      <c r="L27" s="185"/>
      <c r="M27" s="185"/>
      <c r="N27" s="185"/>
    </row>
    <row r="28" spans="1:14" ht="22.5" customHeight="1" x14ac:dyDescent="0.3">
      <c r="B28" s="178" t="s">
        <v>22</v>
      </c>
      <c r="C28" s="178"/>
      <c r="D28" s="178"/>
      <c r="L28" s="178" t="s">
        <v>25</v>
      </c>
      <c r="M28" s="178"/>
      <c r="N28" s="178"/>
    </row>
    <row r="29" spans="1:14" ht="22.5" customHeight="1" x14ac:dyDescent="0.3">
      <c r="L29" s="64"/>
      <c r="M29" s="64"/>
    </row>
    <row r="30" spans="1:14" ht="22.5" customHeight="1" x14ac:dyDescent="0.3">
      <c r="L30" s="64"/>
      <c r="M30" s="64"/>
    </row>
    <row r="31" spans="1:14" ht="22.5" customHeight="1" x14ac:dyDescent="0.3">
      <c r="L31" s="64"/>
      <c r="M31" s="64"/>
    </row>
    <row r="32" spans="1:14" ht="22.5" customHeight="1" x14ac:dyDescent="0.3">
      <c r="B32" s="178" t="s">
        <v>28</v>
      </c>
      <c r="C32" s="178"/>
      <c r="D32" s="178"/>
      <c r="L32" s="178" t="s">
        <v>27</v>
      </c>
      <c r="M32" s="178"/>
      <c r="N32" s="178"/>
    </row>
    <row r="33" spans="3:4" ht="22.5" customHeight="1" x14ac:dyDescent="0.3">
      <c r="C33" s="1"/>
      <c r="D33" s="1"/>
    </row>
  </sheetData>
  <mergeCells count="25">
    <mergeCell ref="O4:O5"/>
    <mergeCell ref="A1:N1"/>
    <mergeCell ref="A2:N2"/>
    <mergeCell ref="A3:N3"/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L4:L5"/>
    <mergeCell ref="M4:M5"/>
    <mergeCell ref="N4:N5"/>
    <mergeCell ref="B32:D32"/>
    <mergeCell ref="L32:N32"/>
    <mergeCell ref="A6:C6"/>
    <mergeCell ref="A15:C15"/>
    <mergeCell ref="A17:C17"/>
    <mergeCell ref="A26:N26"/>
    <mergeCell ref="J27:N27"/>
    <mergeCell ref="B28:D28"/>
    <mergeCell ref="L28:N28"/>
  </mergeCells>
  <pageMargins left="0.2" right="0.2" top="0.34" bottom="0.31" header="0.3" footer="0.3"/>
  <pageSetup paperSize="9" scale="75" orientation="landscape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sqref="A1:XFD1048576"/>
    </sheetView>
  </sheetViews>
  <sheetFormatPr defaultColWidth="9.109375" defaultRowHeight="16.8" x14ac:dyDescent="0.3"/>
  <cols>
    <col min="1" max="1" width="6.109375" style="2" customWidth="1"/>
    <col min="2" max="2" width="24.6640625" style="1" customWidth="1"/>
    <col min="3" max="3" width="22" style="2" customWidth="1"/>
    <col min="4" max="6" width="11.33203125" style="2" customWidth="1"/>
    <col min="7" max="9" width="12.33203125" style="2" customWidth="1"/>
    <col min="10" max="10" width="12.44140625" style="2" customWidth="1"/>
    <col min="11" max="11" width="11.33203125" style="2" customWidth="1"/>
    <col min="12" max="12" width="12.109375" style="2" customWidth="1"/>
    <col min="13" max="13" width="9.44140625" style="2" customWidth="1"/>
    <col min="14" max="14" width="15" style="2" customWidth="1"/>
    <col min="15" max="15" width="53.88671875" style="2" customWidth="1"/>
    <col min="16" max="16384" width="9.109375" style="1"/>
  </cols>
  <sheetData>
    <row r="1" spans="1:15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5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</row>
    <row r="3" spans="1:15" ht="22.5" customHeight="1" x14ac:dyDescent="0.3">
      <c r="A3" s="179" t="s">
        <v>110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</row>
    <row r="4" spans="1:15" s="3" customFormat="1" ht="22.5" customHeight="1" x14ac:dyDescent="0.3">
      <c r="A4" s="180" t="s">
        <v>0</v>
      </c>
      <c r="B4" s="180" t="s">
        <v>1</v>
      </c>
      <c r="C4" s="180" t="s">
        <v>2</v>
      </c>
      <c r="D4" s="180" t="s">
        <v>23</v>
      </c>
      <c r="E4" s="180"/>
      <c r="F4" s="180"/>
      <c r="G4" s="181" t="s">
        <v>29</v>
      </c>
      <c r="H4" s="181" t="s">
        <v>30</v>
      </c>
      <c r="I4" s="181" t="s">
        <v>31</v>
      </c>
      <c r="J4" s="181" t="s">
        <v>96</v>
      </c>
      <c r="K4" s="181" t="s">
        <v>97</v>
      </c>
      <c r="L4" s="180" t="s">
        <v>6</v>
      </c>
      <c r="M4" s="180" t="s">
        <v>7</v>
      </c>
      <c r="N4" s="180" t="s">
        <v>8</v>
      </c>
      <c r="O4" s="183"/>
    </row>
    <row r="5" spans="1:15" s="3" customFormat="1" ht="49.8" customHeight="1" x14ac:dyDescent="0.3">
      <c r="A5" s="180"/>
      <c r="B5" s="180"/>
      <c r="C5" s="180"/>
      <c r="D5" s="67" t="s">
        <v>3</v>
      </c>
      <c r="E5" s="67" t="s">
        <v>4</v>
      </c>
      <c r="F5" s="67" t="s">
        <v>5</v>
      </c>
      <c r="G5" s="182"/>
      <c r="H5" s="182"/>
      <c r="I5" s="182"/>
      <c r="J5" s="182"/>
      <c r="K5" s="182"/>
      <c r="L5" s="180"/>
      <c r="M5" s="180"/>
      <c r="N5" s="180"/>
      <c r="O5" s="183"/>
    </row>
    <row r="6" spans="1:15" ht="19.5" customHeight="1" x14ac:dyDescent="0.3">
      <c r="A6" s="184" t="s">
        <v>15</v>
      </c>
      <c r="B6" s="184"/>
      <c r="C6" s="18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5" ht="19.5" customHeight="1" x14ac:dyDescent="0.3">
      <c r="A7" s="15">
        <v>1</v>
      </c>
      <c r="B7" s="16" t="s">
        <v>49</v>
      </c>
      <c r="C7" s="15" t="s">
        <v>19</v>
      </c>
      <c r="D7" s="15"/>
      <c r="E7" s="15"/>
      <c r="F7" s="15">
        <v>1</v>
      </c>
      <c r="G7" s="15">
        <f t="shared" ref="G7:H14" si="0">IF(D7&gt;5,(D7-5)*2,0)</f>
        <v>0</v>
      </c>
      <c r="H7" s="15">
        <f t="shared" si="0"/>
        <v>0</v>
      </c>
      <c r="I7" s="15">
        <f t="shared" ref="I7:I14" si="1">IF(F7&gt;2,(F7-2)*1,0)</f>
        <v>0</v>
      </c>
      <c r="J7" s="15">
        <f>SUM(G7:I7)</f>
        <v>0</v>
      </c>
      <c r="K7" s="15">
        <v>5</v>
      </c>
      <c r="L7" s="15">
        <f>100-J7-K7</f>
        <v>95</v>
      </c>
      <c r="M7" s="15" t="str">
        <f t="shared" ref="M7:M14" si="2">IF(L7&lt;71,"KL",IF(AND(L7&gt;=71,L7&lt;81),"C",IF(AND(L7&gt;=81,L7&lt;91),"B","A")))</f>
        <v>A</v>
      </c>
      <c r="N7" s="15" t="str">
        <f t="shared" ref="N7:N14" si="3">IF(M7="A","100% LTT",IF(M7="B","90% LTT",IF(M7="C","80% LTT","60% LTT")))</f>
        <v>100% LTT</v>
      </c>
      <c r="O7" s="11" t="s">
        <v>33</v>
      </c>
    </row>
    <row r="8" spans="1:15" ht="19.5" customHeight="1" x14ac:dyDescent="0.3">
      <c r="A8" s="15">
        <f t="shared" ref="A8:A14" si="4">A7+1</f>
        <v>2</v>
      </c>
      <c r="B8" s="16" t="s">
        <v>52</v>
      </c>
      <c r="C8" s="15" t="s">
        <v>19</v>
      </c>
      <c r="D8" s="15"/>
      <c r="E8" s="15"/>
      <c r="F8" s="15"/>
      <c r="G8" s="15">
        <f t="shared" si="0"/>
        <v>0</v>
      </c>
      <c r="H8" s="15">
        <f t="shared" si="0"/>
        <v>0</v>
      </c>
      <c r="I8" s="15">
        <f t="shared" si="1"/>
        <v>0</v>
      </c>
      <c r="J8" s="15">
        <f t="shared" ref="J8:J14" si="5">SUM(G8:I8)</f>
        <v>0</v>
      </c>
      <c r="K8" s="15"/>
      <c r="L8" s="15">
        <f t="shared" ref="L8:L14" si="6">100-J8-K8</f>
        <v>100</v>
      </c>
      <c r="M8" s="15" t="str">
        <f t="shared" si="2"/>
        <v>A</v>
      </c>
      <c r="N8" s="15" t="str">
        <f t="shared" si="3"/>
        <v>100% LTT</v>
      </c>
      <c r="O8" s="34"/>
    </row>
    <row r="9" spans="1:15" ht="19.5" customHeight="1" x14ac:dyDescent="0.3">
      <c r="A9" s="15">
        <f>A8+1</f>
        <v>3</v>
      </c>
      <c r="B9" s="16" t="s">
        <v>57</v>
      </c>
      <c r="C9" s="15" t="s">
        <v>19</v>
      </c>
      <c r="D9" s="15"/>
      <c r="E9" s="15"/>
      <c r="F9" s="15"/>
      <c r="G9" s="15">
        <f t="shared" si="0"/>
        <v>0</v>
      </c>
      <c r="H9" s="15">
        <f t="shared" si="0"/>
        <v>0</v>
      </c>
      <c r="I9" s="15">
        <f t="shared" si="1"/>
        <v>0</v>
      </c>
      <c r="J9" s="15">
        <f t="shared" si="5"/>
        <v>0</v>
      </c>
      <c r="K9" s="15"/>
      <c r="L9" s="15">
        <f t="shared" si="6"/>
        <v>100</v>
      </c>
      <c r="M9" s="15" t="str">
        <f t="shared" si="2"/>
        <v>A</v>
      </c>
      <c r="N9" s="15" t="str">
        <f t="shared" si="3"/>
        <v>100% LTT</v>
      </c>
      <c r="O9" s="35"/>
    </row>
    <row r="10" spans="1:15" ht="19.5" customHeight="1" x14ac:dyDescent="0.3">
      <c r="A10" s="15">
        <f t="shared" si="4"/>
        <v>4</v>
      </c>
      <c r="B10" s="16" t="s">
        <v>58</v>
      </c>
      <c r="C10" s="15" t="s">
        <v>19</v>
      </c>
      <c r="D10" s="15"/>
      <c r="E10" s="15"/>
      <c r="F10" s="15"/>
      <c r="G10" s="15">
        <f t="shared" si="0"/>
        <v>0</v>
      </c>
      <c r="H10" s="15">
        <f t="shared" si="0"/>
        <v>0</v>
      </c>
      <c r="I10" s="15">
        <f t="shared" si="1"/>
        <v>0</v>
      </c>
      <c r="J10" s="15">
        <f t="shared" si="5"/>
        <v>0</v>
      </c>
      <c r="K10" s="15"/>
      <c r="L10" s="15">
        <f t="shared" si="6"/>
        <v>100</v>
      </c>
      <c r="M10" s="15" t="str">
        <f t="shared" si="2"/>
        <v>A</v>
      </c>
      <c r="N10" s="15" t="str">
        <f t="shared" si="3"/>
        <v>100% LTT</v>
      </c>
      <c r="O10" s="35"/>
    </row>
    <row r="11" spans="1:15" ht="19.5" customHeight="1" x14ac:dyDescent="0.3">
      <c r="A11" s="15">
        <f t="shared" si="4"/>
        <v>5</v>
      </c>
      <c r="B11" s="16" t="s">
        <v>59</v>
      </c>
      <c r="C11" s="15" t="s">
        <v>19</v>
      </c>
      <c r="D11" s="15"/>
      <c r="E11" s="15"/>
      <c r="F11" s="15"/>
      <c r="G11" s="15">
        <f t="shared" si="0"/>
        <v>0</v>
      </c>
      <c r="H11" s="15">
        <f t="shared" si="0"/>
        <v>0</v>
      </c>
      <c r="I11" s="15">
        <f t="shared" si="1"/>
        <v>0</v>
      </c>
      <c r="J11" s="15">
        <f t="shared" si="5"/>
        <v>0</v>
      </c>
      <c r="K11" s="15"/>
      <c r="L11" s="15">
        <f t="shared" si="6"/>
        <v>100</v>
      </c>
      <c r="M11" s="15" t="str">
        <f t="shared" si="2"/>
        <v>A</v>
      </c>
      <c r="N11" s="15" t="str">
        <f t="shared" si="3"/>
        <v>100% LTT</v>
      </c>
      <c r="O11" s="35"/>
    </row>
    <row r="12" spans="1:15" ht="19.5" customHeight="1" x14ac:dyDescent="0.3">
      <c r="A12" s="15">
        <f t="shared" si="4"/>
        <v>6</v>
      </c>
      <c r="B12" s="16" t="s">
        <v>53</v>
      </c>
      <c r="C12" s="15" t="s">
        <v>19</v>
      </c>
      <c r="D12" s="15"/>
      <c r="E12" s="15"/>
      <c r="F12" s="15"/>
      <c r="G12" s="15">
        <f t="shared" si="0"/>
        <v>0</v>
      </c>
      <c r="H12" s="15">
        <f t="shared" si="0"/>
        <v>0</v>
      </c>
      <c r="I12" s="15">
        <f t="shared" si="1"/>
        <v>0</v>
      </c>
      <c r="J12" s="15">
        <f t="shared" si="5"/>
        <v>0</v>
      </c>
      <c r="K12" s="15"/>
      <c r="L12" s="15">
        <f t="shared" si="6"/>
        <v>100</v>
      </c>
      <c r="M12" s="15" t="str">
        <f t="shared" si="2"/>
        <v>A</v>
      </c>
      <c r="N12" s="15" t="str">
        <f t="shared" si="3"/>
        <v>100% LTT</v>
      </c>
      <c r="O12" s="35"/>
    </row>
    <row r="13" spans="1:15" ht="19.5" customHeight="1" x14ac:dyDescent="0.3">
      <c r="A13" s="15">
        <f t="shared" si="4"/>
        <v>7</v>
      </c>
      <c r="B13" s="16" t="s">
        <v>54</v>
      </c>
      <c r="C13" s="15" t="s">
        <v>19</v>
      </c>
      <c r="D13" s="15"/>
      <c r="E13" s="15"/>
      <c r="F13" s="15"/>
      <c r="G13" s="15">
        <f t="shared" si="0"/>
        <v>0</v>
      </c>
      <c r="H13" s="15">
        <f t="shared" si="0"/>
        <v>0</v>
      </c>
      <c r="I13" s="15">
        <f t="shared" si="1"/>
        <v>0</v>
      </c>
      <c r="J13" s="15">
        <f t="shared" si="5"/>
        <v>0</v>
      </c>
      <c r="K13" s="15"/>
      <c r="L13" s="15">
        <f t="shared" si="6"/>
        <v>100</v>
      </c>
      <c r="M13" s="15" t="str">
        <f t="shared" si="2"/>
        <v>A</v>
      </c>
      <c r="N13" s="15" t="str">
        <f t="shared" si="3"/>
        <v>100% LTT</v>
      </c>
      <c r="O13" s="35"/>
    </row>
    <row r="14" spans="1:15" ht="19.5" customHeight="1" x14ac:dyDescent="0.3">
      <c r="A14" s="17">
        <f t="shared" si="4"/>
        <v>8</v>
      </c>
      <c r="B14" s="18" t="s">
        <v>11</v>
      </c>
      <c r="C14" s="17" t="s">
        <v>51</v>
      </c>
      <c r="D14" s="17"/>
      <c r="E14" s="17"/>
      <c r="F14" s="17"/>
      <c r="G14" s="17">
        <f t="shared" si="0"/>
        <v>0</v>
      </c>
      <c r="H14" s="17">
        <f t="shared" si="0"/>
        <v>0</v>
      </c>
      <c r="I14" s="17">
        <f t="shared" si="1"/>
        <v>0</v>
      </c>
      <c r="J14" s="17">
        <f t="shared" si="5"/>
        <v>0</v>
      </c>
      <c r="K14" s="17"/>
      <c r="L14" s="15">
        <f t="shared" si="6"/>
        <v>100</v>
      </c>
      <c r="M14" s="17" t="str">
        <f t="shared" si="2"/>
        <v>A</v>
      </c>
      <c r="N14" s="17" t="str">
        <f t="shared" si="3"/>
        <v>100% LTT</v>
      </c>
      <c r="O14" s="35"/>
    </row>
    <row r="15" spans="1:15" ht="19.5" customHeight="1" x14ac:dyDescent="0.3">
      <c r="A15" s="184" t="s">
        <v>16</v>
      </c>
      <c r="B15" s="184"/>
      <c r="C15" s="18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5" ht="19.5" customHeight="1" x14ac:dyDescent="0.3">
      <c r="A16" s="17">
        <f>A14+1</f>
        <v>9</v>
      </c>
      <c r="B16" s="18" t="s">
        <v>28</v>
      </c>
      <c r="C16" s="17" t="s">
        <v>19</v>
      </c>
      <c r="D16" s="17"/>
      <c r="E16" s="17"/>
      <c r="F16" s="17">
        <v>1</v>
      </c>
      <c r="G16" s="17">
        <f t="shared" ref="G16:H16" si="7">IF(D16&gt;5,(D16-5)*2,0)</f>
        <v>0</v>
      </c>
      <c r="H16" s="17">
        <f t="shared" si="7"/>
        <v>0</v>
      </c>
      <c r="I16" s="17">
        <f t="shared" ref="I16" si="8">IF(F16&gt;2,(F16-2)*1,0)</f>
        <v>0</v>
      </c>
      <c r="J16" s="17">
        <f t="shared" ref="J16" si="9">SUM(G16:I16)</f>
        <v>0</v>
      </c>
      <c r="K16" s="17">
        <v>0</v>
      </c>
      <c r="L16" s="17">
        <f>100-J16-K16</f>
        <v>100</v>
      </c>
      <c r="M16" s="17" t="str">
        <f t="shared" ref="M16" si="10">IF(L16&lt;71,"KL",IF(AND(L16&gt;=71,L16&lt;81),"C",IF(AND(L16&gt;=81,L16&lt;91),"B","A")))</f>
        <v>A</v>
      </c>
      <c r="N16" s="17" t="str">
        <f t="shared" ref="N16" si="11">IF(M16="A","100% LTT",IF(M16="B","90% LTT",IF(M16="C","80% LTT","60% LTT")))</f>
        <v>100% LTT</v>
      </c>
    </row>
    <row r="17" spans="1:14" ht="19.5" customHeight="1" x14ac:dyDescent="0.3">
      <c r="A17" s="184" t="s">
        <v>17</v>
      </c>
      <c r="B17" s="184"/>
      <c r="C17" s="18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ht="19.5" customHeight="1" x14ac:dyDescent="0.3">
      <c r="A18" s="23">
        <f>A16+1</f>
        <v>10</v>
      </c>
      <c r="B18" s="38" t="s">
        <v>12</v>
      </c>
      <c r="C18" s="23" t="s">
        <v>19</v>
      </c>
      <c r="D18" s="23">
        <v>1</v>
      </c>
      <c r="E18" s="23"/>
      <c r="F18" s="23"/>
      <c r="G18" s="23">
        <f t="shared" ref="G18:H25" si="12">IF(D18&gt;5,(D18-5)*2,0)</f>
        <v>0</v>
      </c>
      <c r="H18" s="23">
        <f t="shared" si="12"/>
        <v>0</v>
      </c>
      <c r="I18" s="23">
        <f t="shared" ref="I18:I25" si="13">IF(F18&gt;2,(F18-2)*1,0)</f>
        <v>0</v>
      </c>
      <c r="J18" s="23">
        <f t="shared" ref="J18:J25" si="14">SUM(G18:I18)</f>
        <v>0</v>
      </c>
      <c r="K18" s="23">
        <v>8</v>
      </c>
      <c r="L18" s="23">
        <f>100-J18-K18</f>
        <v>92</v>
      </c>
      <c r="M18" s="23" t="str">
        <f t="shared" ref="M18:M25" si="15">IF(L18&lt;71,"KL",IF(AND(L18&gt;=71,L18&lt;81),"C",IF(AND(L18&gt;=81,L18&lt;91),"B","A")))</f>
        <v>A</v>
      </c>
      <c r="N18" s="23" t="str">
        <f t="shared" ref="N18:N25" si="16">IF(M18="A","100% LTT",IF(M18="B","90% LTT",IF(M18="C","80% LTT","60% LTT")))</f>
        <v>100% LTT</v>
      </c>
    </row>
    <row r="19" spans="1:14" ht="19.5" customHeight="1" x14ac:dyDescent="0.3">
      <c r="A19" s="15">
        <f>A18+1</f>
        <v>11</v>
      </c>
      <c r="B19" s="16" t="s">
        <v>13</v>
      </c>
      <c r="C19" s="15" t="s">
        <v>101</v>
      </c>
      <c r="D19" s="15">
        <v>6</v>
      </c>
      <c r="E19" s="15"/>
      <c r="F19" s="15">
        <v>2</v>
      </c>
      <c r="G19" s="15">
        <f>IF(D19&gt;5,(D19-5)*2,0)</f>
        <v>2</v>
      </c>
      <c r="H19" s="15">
        <f t="shared" si="12"/>
        <v>0</v>
      </c>
      <c r="I19" s="15">
        <f t="shared" si="13"/>
        <v>0</v>
      </c>
      <c r="J19" s="15">
        <f t="shared" si="14"/>
        <v>2</v>
      </c>
      <c r="K19" s="15">
        <v>1</v>
      </c>
      <c r="L19" s="15">
        <f t="shared" ref="L19:L25" si="17">100-J19-K19</f>
        <v>97</v>
      </c>
      <c r="M19" s="15" t="str">
        <f t="shared" si="15"/>
        <v>A</v>
      </c>
      <c r="N19" s="15" t="str">
        <f>IF(M19="A","100% LTT",IF(M19="B","90% LTT",IF(M19="C","80% LTT","60% LTT")))</f>
        <v>100% LTT</v>
      </c>
    </row>
    <row r="20" spans="1:14" ht="19.5" customHeight="1" x14ac:dyDescent="0.3">
      <c r="A20" s="15">
        <f t="shared" ref="A20:A24" si="18">A19+1</f>
        <v>12</v>
      </c>
      <c r="B20" s="16" t="s">
        <v>14</v>
      </c>
      <c r="C20" s="15" t="s">
        <v>19</v>
      </c>
      <c r="D20" s="15"/>
      <c r="E20" s="15"/>
      <c r="F20" s="15"/>
      <c r="G20" s="15">
        <f t="shared" si="12"/>
        <v>0</v>
      </c>
      <c r="H20" s="15">
        <f t="shared" si="12"/>
        <v>0</v>
      </c>
      <c r="I20" s="15">
        <f t="shared" si="13"/>
        <v>0</v>
      </c>
      <c r="J20" s="15">
        <f t="shared" si="14"/>
        <v>0</v>
      </c>
      <c r="K20" s="15">
        <v>5</v>
      </c>
      <c r="L20" s="15">
        <f t="shared" si="17"/>
        <v>95</v>
      </c>
      <c r="M20" s="15" t="str">
        <f t="shared" si="15"/>
        <v>A</v>
      </c>
      <c r="N20" s="15" t="str">
        <f t="shared" si="16"/>
        <v>100% LTT</v>
      </c>
    </row>
    <row r="21" spans="1:14" ht="19.5" customHeight="1" x14ac:dyDescent="0.3">
      <c r="A21" s="15">
        <f t="shared" si="18"/>
        <v>13</v>
      </c>
      <c r="B21" s="16" t="s">
        <v>40</v>
      </c>
      <c r="C21" s="15" t="s">
        <v>19</v>
      </c>
      <c r="D21" s="15"/>
      <c r="E21" s="15"/>
      <c r="F21" s="15"/>
      <c r="G21" s="15">
        <f t="shared" si="12"/>
        <v>0</v>
      </c>
      <c r="H21" s="15">
        <f t="shared" si="12"/>
        <v>0</v>
      </c>
      <c r="I21" s="15">
        <f t="shared" si="13"/>
        <v>0</v>
      </c>
      <c r="J21" s="15">
        <f t="shared" si="14"/>
        <v>0</v>
      </c>
      <c r="K21" s="15">
        <v>9</v>
      </c>
      <c r="L21" s="15">
        <f t="shared" si="17"/>
        <v>91</v>
      </c>
      <c r="M21" s="15" t="str">
        <f t="shared" si="15"/>
        <v>A</v>
      </c>
      <c r="N21" s="15" t="str">
        <f t="shared" si="16"/>
        <v>100% LTT</v>
      </c>
    </row>
    <row r="22" spans="1:14" ht="19.5" customHeight="1" x14ac:dyDescent="0.3">
      <c r="A22" s="15">
        <f t="shared" si="18"/>
        <v>14</v>
      </c>
      <c r="B22" s="16" t="s">
        <v>98</v>
      </c>
      <c r="C22" s="15" t="s">
        <v>102</v>
      </c>
      <c r="D22" s="15"/>
      <c r="E22" s="15"/>
      <c r="F22" s="15"/>
      <c r="G22" s="15">
        <f t="shared" si="12"/>
        <v>0</v>
      </c>
      <c r="H22" s="15">
        <f t="shared" si="12"/>
        <v>0</v>
      </c>
      <c r="I22" s="15">
        <f t="shared" si="13"/>
        <v>0</v>
      </c>
      <c r="J22" s="15">
        <f t="shared" si="14"/>
        <v>0</v>
      </c>
      <c r="K22" s="15">
        <v>9</v>
      </c>
      <c r="L22" s="15">
        <f t="shared" si="17"/>
        <v>91</v>
      </c>
      <c r="M22" s="15" t="str">
        <f t="shared" si="15"/>
        <v>A</v>
      </c>
      <c r="N22" s="15" t="str">
        <f t="shared" si="16"/>
        <v>100% LTT</v>
      </c>
    </row>
    <row r="23" spans="1:14" ht="19.5" customHeight="1" x14ac:dyDescent="0.3">
      <c r="A23" s="15">
        <f t="shared" si="18"/>
        <v>15</v>
      </c>
      <c r="B23" s="16" t="s">
        <v>99</v>
      </c>
      <c r="C23" s="15" t="s">
        <v>102</v>
      </c>
      <c r="D23" s="15"/>
      <c r="E23" s="15"/>
      <c r="F23" s="15"/>
      <c r="G23" s="15">
        <f t="shared" si="12"/>
        <v>0</v>
      </c>
      <c r="H23" s="15">
        <f t="shared" si="12"/>
        <v>0</v>
      </c>
      <c r="I23" s="15">
        <f t="shared" si="13"/>
        <v>0</v>
      </c>
      <c r="J23" s="15">
        <f t="shared" si="14"/>
        <v>0</v>
      </c>
      <c r="K23" s="15">
        <v>6</v>
      </c>
      <c r="L23" s="15">
        <f t="shared" si="17"/>
        <v>94</v>
      </c>
      <c r="M23" s="15" t="str">
        <f t="shared" si="15"/>
        <v>A</v>
      </c>
      <c r="N23" s="15" t="str">
        <f t="shared" si="16"/>
        <v>100% LTT</v>
      </c>
    </row>
    <row r="24" spans="1:14" ht="19.5" customHeight="1" x14ac:dyDescent="0.3">
      <c r="A24" s="15">
        <f t="shared" si="18"/>
        <v>16</v>
      </c>
      <c r="B24" s="16" t="s">
        <v>100</v>
      </c>
      <c r="C24" s="15" t="s">
        <v>102</v>
      </c>
      <c r="D24" s="15"/>
      <c r="E24" s="15"/>
      <c r="F24" s="15"/>
      <c r="G24" s="15">
        <f t="shared" si="12"/>
        <v>0</v>
      </c>
      <c r="H24" s="15">
        <f t="shared" si="12"/>
        <v>0</v>
      </c>
      <c r="I24" s="15">
        <f t="shared" si="13"/>
        <v>0</v>
      </c>
      <c r="J24" s="15">
        <f t="shared" si="14"/>
        <v>0</v>
      </c>
      <c r="K24" s="15">
        <v>5</v>
      </c>
      <c r="L24" s="15">
        <f t="shared" si="17"/>
        <v>95</v>
      </c>
      <c r="M24" s="15" t="str">
        <f t="shared" si="15"/>
        <v>A</v>
      </c>
      <c r="N24" s="15" t="str">
        <f t="shared" si="16"/>
        <v>100% LTT</v>
      </c>
    </row>
    <row r="25" spans="1:14" ht="19.5" customHeight="1" x14ac:dyDescent="0.3">
      <c r="A25" s="17">
        <v>17</v>
      </c>
      <c r="B25" s="18" t="s">
        <v>104</v>
      </c>
      <c r="C25" s="17" t="s">
        <v>107</v>
      </c>
      <c r="D25" s="17"/>
      <c r="E25" s="17"/>
      <c r="F25" s="17"/>
      <c r="G25" s="15">
        <f t="shared" si="12"/>
        <v>0</v>
      </c>
      <c r="H25" s="15">
        <f t="shared" si="12"/>
        <v>0</v>
      </c>
      <c r="I25" s="15">
        <f t="shared" si="13"/>
        <v>0</v>
      </c>
      <c r="J25" s="15">
        <f t="shared" si="14"/>
        <v>0</v>
      </c>
      <c r="K25" s="17">
        <v>8</v>
      </c>
      <c r="L25" s="17">
        <f t="shared" si="17"/>
        <v>92</v>
      </c>
      <c r="M25" s="17" t="str">
        <f t="shared" si="15"/>
        <v>A</v>
      </c>
      <c r="N25" s="17" t="str">
        <f t="shared" si="16"/>
        <v>100% LTT</v>
      </c>
    </row>
    <row r="26" spans="1:14" ht="22.5" customHeight="1" x14ac:dyDescent="0.3">
      <c r="A26" s="180" t="s">
        <v>60</v>
      </c>
      <c r="B26" s="180"/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0"/>
      <c r="N26" s="180"/>
    </row>
    <row r="27" spans="1:14" ht="22.5" customHeight="1" x14ac:dyDescent="0.3">
      <c r="J27" s="185" t="s">
        <v>111</v>
      </c>
      <c r="K27" s="185"/>
      <c r="L27" s="185"/>
      <c r="M27" s="185"/>
      <c r="N27" s="185"/>
    </row>
    <row r="28" spans="1:14" ht="22.5" customHeight="1" x14ac:dyDescent="0.3">
      <c r="B28" s="178" t="s">
        <v>22</v>
      </c>
      <c r="C28" s="178"/>
      <c r="D28" s="178"/>
      <c r="L28" s="178" t="s">
        <v>25</v>
      </c>
      <c r="M28" s="178"/>
      <c r="N28" s="178"/>
    </row>
    <row r="29" spans="1:14" ht="22.5" customHeight="1" x14ac:dyDescent="0.3">
      <c r="L29" s="66"/>
      <c r="M29" s="66"/>
    </row>
    <row r="30" spans="1:14" ht="22.5" customHeight="1" x14ac:dyDescent="0.3">
      <c r="L30" s="66"/>
      <c r="M30" s="66"/>
    </row>
    <row r="31" spans="1:14" ht="22.5" customHeight="1" x14ac:dyDescent="0.3">
      <c r="L31" s="66"/>
      <c r="M31" s="66"/>
    </row>
    <row r="32" spans="1:14" ht="22.5" customHeight="1" x14ac:dyDescent="0.3">
      <c r="B32" s="178" t="s">
        <v>28</v>
      </c>
      <c r="C32" s="178"/>
      <c r="D32" s="178"/>
      <c r="L32" s="178" t="s">
        <v>27</v>
      </c>
      <c r="M32" s="178"/>
      <c r="N32" s="178"/>
    </row>
    <row r="33" spans="3:4" ht="22.5" customHeight="1" x14ac:dyDescent="0.3">
      <c r="C33" s="1"/>
      <c r="D33" s="1"/>
    </row>
  </sheetData>
  <mergeCells count="25">
    <mergeCell ref="B32:D32"/>
    <mergeCell ref="L32:N32"/>
    <mergeCell ref="A6:C6"/>
    <mergeCell ref="A15:C15"/>
    <mergeCell ref="A17:C17"/>
    <mergeCell ref="A26:N26"/>
    <mergeCell ref="J27:N27"/>
    <mergeCell ref="B28:D28"/>
    <mergeCell ref="L28:N28"/>
    <mergeCell ref="O4:O5"/>
    <mergeCell ref="A1:N1"/>
    <mergeCell ref="A2:N2"/>
    <mergeCell ref="A3:N3"/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L4:L5"/>
    <mergeCell ref="M4:M5"/>
    <mergeCell ref="N4:N5"/>
  </mergeCells>
  <pageMargins left="0.27" right="0.26" top="0.38" bottom="0.34" header="0.3" footer="0.3"/>
  <pageSetup paperSize="9" scale="75" orientation="landscape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sqref="A1:XFD1048576"/>
    </sheetView>
  </sheetViews>
  <sheetFormatPr defaultColWidth="9.109375" defaultRowHeight="16.8" x14ac:dyDescent="0.3"/>
  <cols>
    <col min="1" max="1" width="6.109375" style="2" customWidth="1"/>
    <col min="2" max="2" width="24.6640625" style="1" customWidth="1"/>
    <col min="3" max="3" width="22" style="2" customWidth="1"/>
    <col min="4" max="6" width="11.33203125" style="2" customWidth="1"/>
    <col min="7" max="9" width="12.33203125" style="2" customWidth="1"/>
    <col min="10" max="10" width="12.44140625" style="2" customWidth="1"/>
    <col min="11" max="11" width="11.33203125" style="2" customWidth="1"/>
    <col min="12" max="12" width="12.109375" style="2" customWidth="1"/>
    <col min="13" max="13" width="9.44140625" style="2" customWidth="1"/>
    <col min="14" max="14" width="15" style="2" customWidth="1"/>
    <col min="15" max="15" width="53.88671875" style="2" customWidth="1"/>
    <col min="16" max="16384" width="9.109375" style="1"/>
  </cols>
  <sheetData>
    <row r="1" spans="1:15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5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</row>
    <row r="3" spans="1:15" ht="22.5" customHeight="1" x14ac:dyDescent="0.3">
      <c r="A3" s="179" t="s">
        <v>112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</row>
    <row r="4" spans="1:15" s="3" customFormat="1" ht="22.5" customHeight="1" x14ac:dyDescent="0.3">
      <c r="A4" s="180" t="s">
        <v>0</v>
      </c>
      <c r="B4" s="180" t="s">
        <v>1</v>
      </c>
      <c r="C4" s="180" t="s">
        <v>2</v>
      </c>
      <c r="D4" s="180" t="s">
        <v>23</v>
      </c>
      <c r="E4" s="180"/>
      <c r="F4" s="180"/>
      <c r="G4" s="181" t="s">
        <v>29</v>
      </c>
      <c r="H4" s="181" t="s">
        <v>30</v>
      </c>
      <c r="I4" s="181" t="s">
        <v>31</v>
      </c>
      <c r="J4" s="181" t="s">
        <v>96</v>
      </c>
      <c r="K4" s="181" t="s">
        <v>97</v>
      </c>
      <c r="L4" s="180" t="s">
        <v>6</v>
      </c>
      <c r="M4" s="180" t="s">
        <v>7</v>
      </c>
      <c r="N4" s="180" t="s">
        <v>8</v>
      </c>
      <c r="O4" s="183"/>
    </row>
    <row r="5" spans="1:15" s="3" customFormat="1" ht="49.8" customHeight="1" x14ac:dyDescent="0.3">
      <c r="A5" s="180"/>
      <c r="B5" s="180"/>
      <c r="C5" s="180"/>
      <c r="D5" s="69" t="s">
        <v>3</v>
      </c>
      <c r="E5" s="69" t="s">
        <v>4</v>
      </c>
      <c r="F5" s="69" t="s">
        <v>5</v>
      </c>
      <c r="G5" s="182"/>
      <c r="H5" s="182"/>
      <c r="I5" s="182"/>
      <c r="J5" s="182"/>
      <c r="K5" s="182"/>
      <c r="L5" s="180"/>
      <c r="M5" s="180"/>
      <c r="N5" s="180"/>
      <c r="O5" s="183"/>
    </row>
    <row r="6" spans="1:15" ht="19.5" customHeight="1" x14ac:dyDescent="0.3">
      <c r="A6" s="184" t="s">
        <v>15</v>
      </c>
      <c r="B6" s="184"/>
      <c r="C6" s="18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5" ht="19.5" customHeight="1" x14ac:dyDescent="0.3">
      <c r="A7" s="15">
        <v>1</v>
      </c>
      <c r="B7" s="16" t="s">
        <v>49</v>
      </c>
      <c r="C7" s="15" t="s">
        <v>19</v>
      </c>
      <c r="D7" s="15"/>
      <c r="E7" s="15"/>
      <c r="F7" s="15"/>
      <c r="G7" s="15">
        <f t="shared" ref="G7:H14" si="0">IF(D7&gt;5,(D7-5)*2,0)</f>
        <v>0</v>
      </c>
      <c r="H7" s="15">
        <f t="shared" si="0"/>
        <v>0</v>
      </c>
      <c r="I7" s="15">
        <f t="shared" ref="I7:I14" si="1">IF(F7&gt;2,(F7-2)*1,0)</f>
        <v>0</v>
      </c>
      <c r="J7" s="15">
        <f>SUM(G7:I7)</f>
        <v>0</v>
      </c>
      <c r="K7" s="15"/>
      <c r="L7" s="15">
        <f>100-J7-K7</f>
        <v>100</v>
      </c>
      <c r="M7" s="15" t="str">
        <f t="shared" ref="M7:M14" si="2">IF(L7&lt;71,"KL",IF(AND(L7&gt;=71,L7&lt;81),"C",IF(AND(L7&gt;=81,L7&lt;91),"B","A")))</f>
        <v>A</v>
      </c>
      <c r="N7" s="15" t="str">
        <f t="shared" ref="N7:N14" si="3">IF(M7="A","100% LTT",IF(M7="B","90% LTT",IF(M7="C","80% LTT","60% LTT")))</f>
        <v>100% LTT</v>
      </c>
      <c r="O7" s="11" t="s">
        <v>33</v>
      </c>
    </row>
    <row r="8" spans="1:15" ht="19.5" customHeight="1" x14ac:dyDescent="0.3">
      <c r="A8" s="15">
        <f t="shared" ref="A8:A14" si="4">A7+1</f>
        <v>2</v>
      </c>
      <c r="B8" s="16" t="s">
        <v>52</v>
      </c>
      <c r="C8" s="15" t="s">
        <v>19</v>
      </c>
      <c r="D8" s="15"/>
      <c r="E8" s="15"/>
      <c r="F8" s="15"/>
      <c r="G8" s="15">
        <f t="shared" si="0"/>
        <v>0</v>
      </c>
      <c r="H8" s="15">
        <f t="shared" si="0"/>
        <v>0</v>
      </c>
      <c r="I8" s="15">
        <f t="shared" si="1"/>
        <v>0</v>
      </c>
      <c r="J8" s="15">
        <f t="shared" ref="J8:J14" si="5">SUM(G8:I8)</f>
        <v>0</v>
      </c>
      <c r="K8" s="15"/>
      <c r="L8" s="15">
        <f t="shared" ref="L8:L14" si="6">100-J8-K8</f>
        <v>100</v>
      </c>
      <c r="M8" s="15" t="str">
        <f t="shared" si="2"/>
        <v>A</v>
      </c>
      <c r="N8" s="15" t="str">
        <f t="shared" si="3"/>
        <v>100% LTT</v>
      </c>
      <c r="O8" s="34"/>
    </row>
    <row r="9" spans="1:15" ht="19.5" customHeight="1" x14ac:dyDescent="0.3">
      <c r="A9" s="15">
        <f>A8+1</f>
        <v>3</v>
      </c>
      <c r="B9" s="16" t="s">
        <v>57</v>
      </c>
      <c r="C9" s="15" t="s">
        <v>19</v>
      </c>
      <c r="D9" s="15"/>
      <c r="E9" s="15"/>
      <c r="F9" s="15"/>
      <c r="G9" s="15">
        <f t="shared" si="0"/>
        <v>0</v>
      </c>
      <c r="H9" s="15">
        <f t="shared" si="0"/>
        <v>0</v>
      </c>
      <c r="I9" s="15">
        <f t="shared" si="1"/>
        <v>0</v>
      </c>
      <c r="J9" s="15">
        <f t="shared" si="5"/>
        <v>0</v>
      </c>
      <c r="K9" s="15"/>
      <c r="L9" s="15">
        <f t="shared" si="6"/>
        <v>100</v>
      </c>
      <c r="M9" s="15" t="str">
        <f t="shared" si="2"/>
        <v>A</v>
      </c>
      <c r="N9" s="15" t="str">
        <f t="shared" si="3"/>
        <v>100% LTT</v>
      </c>
      <c r="O9" s="35"/>
    </row>
    <row r="10" spans="1:15" ht="19.5" customHeight="1" x14ac:dyDescent="0.3">
      <c r="A10" s="15">
        <f t="shared" si="4"/>
        <v>4</v>
      </c>
      <c r="B10" s="16" t="s">
        <v>58</v>
      </c>
      <c r="C10" s="15" t="s">
        <v>19</v>
      </c>
      <c r="D10" s="15"/>
      <c r="E10" s="15"/>
      <c r="F10" s="15"/>
      <c r="G10" s="15">
        <f t="shared" si="0"/>
        <v>0</v>
      </c>
      <c r="H10" s="15">
        <f t="shared" si="0"/>
        <v>0</v>
      </c>
      <c r="I10" s="15">
        <f t="shared" si="1"/>
        <v>0</v>
      </c>
      <c r="J10" s="15">
        <f t="shared" si="5"/>
        <v>0</v>
      </c>
      <c r="K10" s="15"/>
      <c r="L10" s="15">
        <f t="shared" si="6"/>
        <v>100</v>
      </c>
      <c r="M10" s="15" t="str">
        <f t="shared" si="2"/>
        <v>A</v>
      </c>
      <c r="N10" s="15" t="str">
        <f t="shared" si="3"/>
        <v>100% LTT</v>
      </c>
      <c r="O10" s="35"/>
    </row>
    <row r="11" spans="1:15" ht="19.5" customHeight="1" x14ac:dyDescent="0.3">
      <c r="A11" s="15">
        <f t="shared" si="4"/>
        <v>5</v>
      </c>
      <c r="B11" s="16" t="s">
        <v>59</v>
      </c>
      <c r="C11" s="15" t="s">
        <v>19</v>
      </c>
      <c r="D11" s="15"/>
      <c r="E11" s="15"/>
      <c r="F11" s="15"/>
      <c r="G11" s="15">
        <f t="shared" si="0"/>
        <v>0</v>
      </c>
      <c r="H11" s="15">
        <f t="shared" si="0"/>
        <v>0</v>
      </c>
      <c r="I11" s="15">
        <f t="shared" si="1"/>
        <v>0</v>
      </c>
      <c r="J11" s="15">
        <f t="shared" si="5"/>
        <v>0</v>
      </c>
      <c r="K11" s="15"/>
      <c r="L11" s="15">
        <f t="shared" si="6"/>
        <v>100</v>
      </c>
      <c r="M11" s="15" t="str">
        <f t="shared" si="2"/>
        <v>A</v>
      </c>
      <c r="N11" s="15" t="str">
        <f t="shared" si="3"/>
        <v>100% LTT</v>
      </c>
      <c r="O11" s="35"/>
    </row>
    <row r="12" spans="1:15" ht="19.5" customHeight="1" x14ac:dyDescent="0.3">
      <c r="A12" s="15">
        <f t="shared" si="4"/>
        <v>6</v>
      </c>
      <c r="B12" s="16" t="s">
        <v>53</v>
      </c>
      <c r="C12" s="15" t="s">
        <v>19</v>
      </c>
      <c r="D12" s="15"/>
      <c r="E12" s="15"/>
      <c r="F12" s="15"/>
      <c r="G12" s="15">
        <f t="shared" si="0"/>
        <v>0</v>
      </c>
      <c r="H12" s="15">
        <f t="shared" si="0"/>
        <v>0</v>
      </c>
      <c r="I12" s="15">
        <f t="shared" si="1"/>
        <v>0</v>
      </c>
      <c r="J12" s="15">
        <f t="shared" si="5"/>
        <v>0</v>
      </c>
      <c r="K12" s="15"/>
      <c r="L12" s="15">
        <f t="shared" si="6"/>
        <v>100</v>
      </c>
      <c r="M12" s="15" t="str">
        <f t="shared" si="2"/>
        <v>A</v>
      </c>
      <c r="N12" s="15" t="str">
        <f t="shared" si="3"/>
        <v>100% LTT</v>
      </c>
      <c r="O12" s="35"/>
    </row>
    <row r="13" spans="1:15" ht="19.5" customHeight="1" x14ac:dyDescent="0.3">
      <c r="A13" s="15">
        <f t="shared" si="4"/>
        <v>7</v>
      </c>
      <c r="B13" s="16" t="s">
        <v>54</v>
      </c>
      <c r="C13" s="15" t="s">
        <v>19</v>
      </c>
      <c r="D13" s="15"/>
      <c r="E13" s="15"/>
      <c r="F13" s="15"/>
      <c r="G13" s="15">
        <f t="shared" si="0"/>
        <v>0</v>
      </c>
      <c r="H13" s="15">
        <f t="shared" si="0"/>
        <v>0</v>
      </c>
      <c r="I13" s="15">
        <f t="shared" si="1"/>
        <v>0</v>
      </c>
      <c r="J13" s="15">
        <f t="shared" si="5"/>
        <v>0</v>
      </c>
      <c r="K13" s="15"/>
      <c r="L13" s="15">
        <f t="shared" si="6"/>
        <v>100</v>
      </c>
      <c r="M13" s="15" t="str">
        <f t="shared" si="2"/>
        <v>A</v>
      </c>
      <c r="N13" s="15" t="str">
        <f t="shared" si="3"/>
        <v>100% LTT</v>
      </c>
      <c r="O13" s="35"/>
    </row>
    <row r="14" spans="1:15" ht="19.5" customHeight="1" x14ac:dyDescent="0.3">
      <c r="A14" s="17">
        <f t="shared" si="4"/>
        <v>8</v>
      </c>
      <c r="B14" s="18" t="s">
        <v>11</v>
      </c>
      <c r="C14" s="17" t="s">
        <v>51</v>
      </c>
      <c r="D14" s="17"/>
      <c r="E14" s="17"/>
      <c r="F14" s="17"/>
      <c r="G14" s="17">
        <f t="shared" si="0"/>
        <v>0</v>
      </c>
      <c r="H14" s="17">
        <f t="shared" si="0"/>
        <v>0</v>
      </c>
      <c r="I14" s="17">
        <f t="shared" si="1"/>
        <v>0</v>
      </c>
      <c r="J14" s="17">
        <f t="shared" si="5"/>
        <v>0</v>
      </c>
      <c r="K14" s="17"/>
      <c r="L14" s="15">
        <f t="shared" si="6"/>
        <v>100</v>
      </c>
      <c r="M14" s="17" t="str">
        <f t="shared" si="2"/>
        <v>A</v>
      </c>
      <c r="N14" s="17" t="str">
        <f t="shared" si="3"/>
        <v>100% LTT</v>
      </c>
      <c r="O14" s="35"/>
    </row>
    <row r="15" spans="1:15" ht="19.5" customHeight="1" x14ac:dyDescent="0.3">
      <c r="A15" s="184" t="s">
        <v>16</v>
      </c>
      <c r="B15" s="184"/>
      <c r="C15" s="18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5" ht="19.5" customHeight="1" x14ac:dyDescent="0.3">
      <c r="A16" s="17">
        <f>A14+1</f>
        <v>9</v>
      </c>
      <c r="B16" s="18" t="s">
        <v>28</v>
      </c>
      <c r="C16" s="17" t="s">
        <v>19</v>
      </c>
      <c r="D16" s="17"/>
      <c r="E16" s="17"/>
      <c r="F16" s="17"/>
      <c r="G16" s="17">
        <f t="shared" ref="G16:H16" si="7">IF(D16&gt;5,(D16-5)*2,0)</f>
        <v>0</v>
      </c>
      <c r="H16" s="17">
        <f t="shared" si="7"/>
        <v>0</v>
      </c>
      <c r="I16" s="17">
        <f t="shared" ref="I16" si="8">IF(F16&gt;2,(F16-2)*1,0)</f>
        <v>0</v>
      </c>
      <c r="J16" s="17">
        <f t="shared" ref="J16" si="9">SUM(G16:I16)</f>
        <v>0</v>
      </c>
      <c r="K16" s="17">
        <v>0</v>
      </c>
      <c r="L16" s="17">
        <f>100-J16-K16</f>
        <v>100</v>
      </c>
      <c r="M16" s="17" t="str">
        <f t="shared" ref="M16" si="10">IF(L16&lt;71,"KL",IF(AND(L16&gt;=71,L16&lt;81),"C",IF(AND(L16&gt;=81,L16&lt;91),"B","A")))</f>
        <v>A</v>
      </c>
      <c r="N16" s="17" t="str">
        <f t="shared" ref="N16" si="11">IF(M16="A","100% LTT",IF(M16="B","90% LTT",IF(M16="C","80% LTT","60% LTT")))</f>
        <v>100% LTT</v>
      </c>
    </row>
    <row r="17" spans="1:14" ht="19.5" customHeight="1" x14ac:dyDescent="0.3">
      <c r="A17" s="184" t="s">
        <v>17</v>
      </c>
      <c r="B17" s="184"/>
      <c r="C17" s="18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ht="19.5" customHeight="1" x14ac:dyDescent="0.3">
      <c r="A18" s="23">
        <f>A16+1</f>
        <v>10</v>
      </c>
      <c r="B18" s="38" t="s">
        <v>12</v>
      </c>
      <c r="C18" s="23" t="s">
        <v>19</v>
      </c>
      <c r="D18" s="23"/>
      <c r="E18" s="23"/>
      <c r="F18" s="23"/>
      <c r="G18" s="23">
        <f t="shared" ref="G18:H25" si="12">IF(D18&gt;5,(D18-5)*2,0)</f>
        <v>0</v>
      </c>
      <c r="H18" s="23">
        <f t="shared" si="12"/>
        <v>0</v>
      </c>
      <c r="I18" s="23">
        <f t="shared" ref="I18:I25" si="13">IF(F18&gt;2,(F18-2)*1,0)</f>
        <v>0</v>
      </c>
      <c r="J18" s="23">
        <f t="shared" ref="J18:J25" si="14">SUM(G18:I18)</f>
        <v>0</v>
      </c>
      <c r="K18" s="23"/>
      <c r="L18" s="23">
        <f>100-J18-K18</f>
        <v>100</v>
      </c>
      <c r="M18" s="23" t="str">
        <f t="shared" ref="M18:M25" si="15">IF(L18&lt;71,"KL",IF(AND(L18&gt;=71,L18&lt;81),"C",IF(AND(L18&gt;=81,L18&lt;91),"B","A")))</f>
        <v>A</v>
      </c>
      <c r="N18" s="23" t="str">
        <f t="shared" ref="N18:N25" si="16">IF(M18="A","100% LTT",IF(M18="B","90% LTT",IF(M18="C","80% LTT","60% LTT")))</f>
        <v>100% LTT</v>
      </c>
    </row>
    <row r="19" spans="1:14" ht="19.5" customHeight="1" x14ac:dyDescent="0.3">
      <c r="A19" s="15">
        <f>A18+1</f>
        <v>11</v>
      </c>
      <c r="B19" s="16" t="s">
        <v>13</v>
      </c>
      <c r="C19" s="15" t="s">
        <v>101</v>
      </c>
      <c r="D19" s="15"/>
      <c r="E19" s="15"/>
      <c r="F19" s="15"/>
      <c r="G19" s="15">
        <f>IF(D19&gt;5,(D19-5)*2,0)</f>
        <v>0</v>
      </c>
      <c r="H19" s="15">
        <f t="shared" si="12"/>
        <v>0</v>
      </c>
      <c r="I19" s="15">
        <f t="shared" si="13"/>
        <v>0</v>
      </c>
      <c r="J19" s="15">
        <f t="shared" si="14"/>
        <v>0</v>
      </c>
      <c r="K19" s="15"/>
      <c r="L19" s="15">
        <f t="shared" ref="L19:L25" si="17">100-J19-K19</f>
        <v>100</v>
      </c>
      <c r="M19" s="15" t="str">
        <f t="shared" si="15"/>
        <v>A</v>
      </c>
      <c r="N19" s="15" t="str">
        <f>IF(M19="A","100% LTT",IF(M19="B","90% LTT",IF(M19="C","80% LTT","60% LTT")))</f>
        <v>100% LTT</v>
      </c>
    </row>
    <row r="20" spans="1:14" ht="19.5" customHeight="1" x14ac:dyDescent="0.3">
      <c r="A20" s="15">
        <f t="shared" ref="A20:A24" si="18">A19+1</f>
        <v>12</v>
      </c>
      <c r="B20" s="16" t="s">
        <v>14</v>
      </c>
      <c r="C20" s="15" t="s">
        <v>19</v>
      </c>
      <c r="D20" s="15"/>
      <c r="E20" s="15"/>
      <c r="F20" s="15"/>
      <c r="G20" s="15">
        <f t="shared" si="12"/>
        <v>0</v>
      </c>
      <c r="H20" s="15">
        <f t="shared" si="12"/>
        <v>0</v>
      </c>
      <c r="I20" s="15">
        <f t="shared" si="13"/>
        <v>0</v>
      </c>
      <c r="J20" s="15">
        <f t="shared" si="14"/>
        <v>0</v>
      </c>
      <c r="K20" s="15"/>
      <c r="L20" s="15">
        <f t="shared" si="17"/>
        <v>100</v>
      </c>
      <c r="M20" s="15" t="str">
        <f t="shared" si="15"/>
        <v>A</v>
      </c>
      <c r="N20" s="15" t="str">
        <f t="shared" si="16"/>
        <v>100% LTT</v>
      </c>
    </row>
    <row r="21" spans="1:14" ht="19.5" customHeight="1" x14ac:dyDescent="0.3">
      <c r="A21" s="15">
        <f t="shared" si="18"/>
        <v>13</v>
      </c>
      <c r="B21" s="16" t="s">
        <v>40</v>
      </c>
      <c r="C21" s="15" t="s">
        <v>19</v>
      </c>
      <c r="D21" s="15"/>
      <c r="E21" s="15"/>
      <c r="F21" s="15"/>
      <c r="G21" s="15">
        <f t="shared" si="12"/>
        <v>0</v>
      </c>
      <c r="H21" s="15">
        <f t="shared" si="12"/>
        <v>0</v>
      </c>
      <c r="I21" s="15">
        <f t="shared" si="13"/>
        <v>0</v>
      </c>
      <c r="J21" s="15">
        <f t="shared" si="14"/>
        <v>0</v>
      </c>
      <c r="K21" s="15"/>
      <c r="L21" s="15">
        <f t="shared" si="17"/>
        <v>100</v>
      </c>
      <c r="M21" s="15" t="str">
        <f t="shared" si="15"/>
        <v>A</v>
      </c>
      <c r="N21" s="15" t="str">
        <f t="shared" si="16"/>
        <v>100% LTT</v>
      </c>
    </row>
    <row r="22" spans="1:14" ht="19.5" customHeight="1" x14ac:dyDescent="0.3">
      <c r="A22" s="15">
        <f t="shared" si="18"/>
        <v>14</v>
      </c>
      <c r="B22" s="16" t="s">
        <v>98</v>
      </c>
      <c r="C22" s="15" t="s">
        <v>102</v>
      </c>
      <c r="D22" s="15"/>
      <c r="E22" s="15"/>
      <c r="F22" s="15"/>
      <c r="G22" s="15">
        <f t="shared" si="12"/>
        <v>0</v>
      </c>
      <c r="H22" s="15">
        <f t="shared" si="12"/>
        <v>0</v>
      </c>
      <c r="I22" s="15">
        <f t="shared" si="13"/>
        <v>0</v>
      </c>
      <c r="J22" s="15">
        <f t="shared" si="14"/>
        <v>0</v>
      </c>
      <c r="K22" s="15"/>
      <c r="L22" s="15">
        <f t="shared" si="17"/>
        <v>100</v>
      </c>
      <c r="M22" s="15" t="str">
        <f t="shared" si="15"/>
        <v>A</v>
      </c>
      <c r="N22" s="15" t="str">
        <f t="shared" si="16"/>
        <v>100% LTT</v>
      </c>
    </row>
    <row r="23" spans="1:14" ht="19.5" customHeight="1" x14ac:dyDescent="0.3">
      <c r="A23" s="15">
        <f t="shared" si="18"/>
        <v>15</v>
      </c>
      <c r="B23" s="16" t="s">
        <v>99</v>
      </c>
      <c r="C23" s="15" t="s">
        <v>102</v>
      </c>
      <c r="D23" s="15"/>
      <c r="E23" s="15"/>
      <c r="F23" s="15"/>
      <c r="G23" s="15">
        <f t="shared" si="12"/>
        <v>0</v>
      </c>
      <c r="H23" s="15">
        <f t="shared" si="12"/>
        <v>0</v>
      </c>
      <c r="I23" s="15">
        <f t="shared" si="13"/>
        <v>0</v>
      </c>
      <c r="J23" s="15">
        <f t="shared" si="14"/>
        <v>0</v>
      </c>
      <c r="K23" s="15"/>
      <c r="L23" s="15">
        <f t="shared" si="17"/>
        <v>100</v>
      </c>
      <c r="M23" s="15" t="str">
        <f t="shared" si="15"/>
        <v>A</v>
      </c>
      <c r="N23" s="15" t="str">
        <f t="shared" si="16"/>
        <v>100% LTT</v>
      </c>
    </row>
    <row r="24" spans="1:14" ht="19.5" customHeight="1" x14ac:dyDescent="0.3">
      <c r="A24" s="15">
        <f t="shared" si="18"/>
        <v>16</v>
      </c>
      <c r="B24" s="16" t="s">
        <v>100</v>
      </c>
      <c r="C24" s="15" t="s">
        <v>102</v>
      </c>
      <c r="D24" s="15"/>
      <c r="E24" s="15"/>
      <c r="F24" s="15"/>
      <c r="G24" s="15">
        <f t="shared" si="12"/>
        <v>0</v>
      </c>
      <c r="H24" s="15">
        <f t="shared" si="12"/>
        <v>0</v>
      </c>
      <c r="I24" s="15">
        <f t="shared" si="13"/>
        <v>0</v>
      </c>
      <c r="J24" s="15">
        <f t="shared" si="14"/>
        <v>0</v>
      </c>
      <c r="K24" s="15"/>
      <c r="L24" s="15">
        <f t="shared" si="17"/>
        <v>100</v>
      </c>
      <c r="M24" s="15" t="str">
        <f t="shared" si="15"/>
        <v>A</v>
      </c>
      <c r="N24" s="15" t="str">
        <f t="shared" si="16"/>
        <v>100% LTT</v>
      </c>
    </row>
    <row r="25" spans="1:14" ht="19.5" customHeight="1" x14ac:dyDescent="0.3">
      <c r="A25" s="17">
        <v>17</v>
      </c>
      <c r="B25" s="18" t="s">
        <v>104</v>
      </c>
      <c r="C25" s="17" t="s">
        <v>107</v>
      </c>
      <c r="D25" s="17"/>
      <c r="E25" s="17"/>
      <c r="F25" s="17"/>
      <c r="G25" s="15">
        <f t="shared" si="12"/>
        <v>0</v>
      </c>
      <c r="H25" s="15">
        <f t="shared" si="12"/>
        <v>0</v>
      </c>
      <c r="I25" s="15">
        <f t="shared" si="13"/>
        <v>0</v>
      </c>
      <c r="J25" s="15">
        <f t="shared" si="14"/>
        <v>0</v>
      </c>
      <c r="K25" s="17"/>
      <c r="L25" s="17">
        <f t="shared" si="17"/>
        <v>100</v>
      </c>
      <c r="M25" s="17" t="str">
        <f t="shared" si="15"/>
        <v>A</v>
      </c>
      <c r="N25" s="17" t="str">
        <f t="shared" si="16"/>
        <v>100% LTT</v>
      </c>
    </row>
    <row r="26" spans="1:14" ht="22.5" customHeight="1" x14ac:dyDescent="0.3">
      <c r="A26" s="180" t="s">
        <v>60</v>
      </c>
      <c r="B26" s="180"/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0"/>
      <c r="N26" s="180"/>
    </row>
    <row r="27" spans="1:14" ht="22.5" customHeight="1" x14ac:dyDescent="0.3">
      <c r="J27" s="185" t="s">
        <v>111</v>
      </c>
      <c r="K27" s="185"/>
      <c r="L27" s="185"/>
      <c r="M27" s="185"/>
      <c r="N27" s="185"/>
    </row>
    <row r="28" spans="1:14" ht="22.5" customHeight="1" x14ac:dyDescent="0.3">
      <c r="B28" s="178" t="s">
        <v>22</v>
      </c>
      <c r="C28" s="178"/>
      <c r="D28" s="178"/>
      <c r="L28" s="178" t="s">
        <v>25</v>
      </c>
      <c r="M28" s="178"/>
      <c r="N28" s="178"/>
    </row>
    <row r="29" spans="1:14" ht="22.5" customHeight="1" x14ac:dyDescent="0.3">
      <c r="L29" s="68"/>
      <c r="M29" s="68"/>
    </row>
    <row r="30" spans="1:14" ht="22.5" customHeight="1" x14ac:dyDescent="0.3">
      <c r="L30" s="68"/>
      <c r="M30" s="68"/>
    </row>
    <row r="31" spans="1:14" ht="22.5" customHeight="1" x14ac:dyDescent="0.3">
      <c r="L31" s="68"/>
      <c r="M31" s="68"/>
    </row>
    <row r="32" spans="1:14" ht="22.5" customHeight="1" x14ac:dyDescent="0.3">
      <c r="B32" s="178" t="s">
        <v>28</v>
      </c>
      <c r="C32" s="178"/>
      <c r="D32" s="178"/>
      <c r="L32" s="178" t="s">
        <v>27</v>
      </c>
      <c r="M32" s="178"/>
      <c r="N32" s="178"/>
    </row>
    <row r="33" spans="3:4" ht="22.5" customHeight="1" x14ac:dyDescent="0.3">
      <c r="C33" s="1"/>
      <c r="D33" s="1"/>
    </row>
  </sheetData>
  <mergeCells count="25">
    <mergeCell ref="B32:D32"/>
    <mergeCell ref="L32:N32"/>
    <mergeCell ref="A6:C6"/>
    <mergeCell ref="A15:C15"/>
    <mergeCell ref="A17:C17"/>
    <mergeCell ref="A26:N26"/>
    <mergeCell ref="J27:N27"/>
    <mergeCell ref="B28:D28"/>
    <mergeCell ref="L28:N28"/>
    <mergeCell ref="O4:O5"/>
    <mergeCell ref="A1:N1"/>
    <mergeCell ref="A2:N2"/>
    <mergeCell ref="A3:N3"/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L4:L5"/>
    <mergeCell ref="M4:M5"/>
    <mergeCell ref="N4:N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sqref="A1:XFD1048576"/>
    </sheetView>
  </sheetViews>
  <sheetFormatPr defaultColWidth="9.109375" defaultRowHeight="16.8" x14ac:dyDescent="0.3"/>
  <cols>
    <col min="1" max="1" width="6.109375" style="2" customWidth="1"/>
    <col min="2" max="2" width="24.6640625" style="1" customWidth="1"/>
    <col min="3" max="3" width="22" style="2" customWidth="1"/>
    <col min="4" max="6" width="11.33203125" style="2" customWidth="1"/>
    <col min="7" max="9" width="12.33203125" style="2" customWidth="1"/>
    <col min="10" max="10" width="12.44140625" style="2" customWidth="1"/>
    <col min="11" max="11" width="11.33203125" style="2" customWidth="1"/>
    <col min="12" max="12" width="12.109375" style="2" customWidth="1"/>
    <col min="13" max="13" width="9.44140625" style="2" customWidth="1"/>
    <col min="14" max="14" width="15" style="2" customWidth="1"/>
    <col min="15" max="15" width="53.88671875" style="2" customWidth="1"/>
    <col min="16" max="16384" width="9.109375" style="1"/>
  </cols>
  <sheetData>
    <row r="1" spans="1:15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5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</row>
    <row r="3" spans="1:15" ht="22.5" customHeight="1" x14ac:dyDescent="0.3">
      <c r="A3" s="179" t="s">
        <v>113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</row>
    <row r="4" spans="1:15" s="3" customFormat="1" ht="22.5" customHeight="1" x14ac:dyDescent="0.3">
      <c r="A4" s="180" t="s">
        <v>0</v>
      </c>
      <c r="B4" s="180" t="s">
        <v>1</v>
      </c>
      <c r="C4" s="180" t="s">
        <v>2</v>
      </c>
      <c r="D4" s="180" t="s">
        <v>23</v>
      </c>
      <c r="E4" s="180"/>
      <c r="F4" s="180"/>
      <c r="G4" s="181" t="s">
        <v>29</v>
      </c>
      <c r="H4" s="181" t="s">
        <v>30</v>
      </c>
      <c r="I4" s="181" t="s">
        <v>31</v>
      </c>
      <c r="J4" s="181" t="s">
        <v>96</v>
      </c>
      <c r="K4" s="181" t="s">
        <v>97</v>
      </c>
      <c r="L4" s="180" t="s">
        <v>6</v>
      </c>
      <c r="M4" s="180" t="s">
        <v>7</v>
      </c>
      <c r="N4" s="180" t="s">
        <v>8</v>
      </c>
      <c r="O4" s="183"/>
    </row>
    <row r="5" spans="1:15" s="3" customFormat="1" ht="49.8" customHeight="1" x14ac:dyDescent="0.3">
      <c r="A5" s="180"/>
      <c r="B5" s="180"/>
      <c r="C5" s="180"/>
      <c r="D5" s="71" t="s">
        <v>3</v>
      </c>
      <c r="E5" s="71" t="s">
        <v>4</v>
      </c>
      <c r="F5" s="71" t="s">
        <v>5</v>
      </c>
      <c r="G5" s="182"/>
      <c r="H5" s="182"/>
      <c r="I5" s="182"/>
      <c r="J5" s="182"/>
      <c r="K5" s="182"/>
      <c r="L5" s="180"/>
      <c r="M5" s="180"/>
      <c r="N5" s="180"/>
      <c r="O5" s="183"/>
    </row>
    <row r="6" spans="1:15" ht="19.5" customHeight="1" x14ac:dyDescent="0.3">
      <c r="A6" s="184" t="s">
        <v>15</v>
      </c>
      <c r="B6" s="184"/>
      <c r="C6" s="18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5" ht="19.5" customHeight="1" x14ac:dyDescent="0.3">
      <c r="A7" s="15">
        <v>1</v>
      </c>
      <c r="B7" s="16" t="s">
        <v>49</v>
      </c>
      <c r="C7" s="15" t="s">
        <v>19</v>
      </c>
      <c r="D7" s="15"/>
      <c r="E7" s="15"/>
      <c r="F7" s="15"/>
      <c r="G7" s="15">
        <f t="shared" ref="G7:H14" si="0">IF(D7&gt;5,(D7-5)*2,0)</f>
        <v>0</v>
      </c>
      <c r="H7" s="15">
        <f t="shared" si="0"/>
        <v>0</v>
      </c>
      <c r="I7" s="15">
        <f t="shared" ref="I7:I14" si="1">IF(F7&gt;2,(F7-2)*1,0)</f>
        <v>0</v>
      </c>
      <c r="J7" s="15">
        <f>SUM(G7:I7)</f>
        <v>0</v>
      </c>
      <c r="K7" s="15">
        <v>2</v>
      </c>
      <c r="L7" s="15">
        <f>100-J7-K7</f>
        <v>98</v>
      </c>
      <c r="M7" s="15" t="str">
        <f t="shared" ref="M7:M14" si="2">IF(L7&lt;71,"KL",IF(AND(L7&gt;=71,L7&lt;81),"C",IF(AND(L7&gt;=81,L7&lt;91),"B","A")))</f>
        <v>A</v>
      </c>
      <c r="N7" s="15" t="str">
        <f t="shared" ref="N7:N14" si="3">IF(M7="A","100% LTT",IF(M7="B","90% LTT",IF(M7="C","80% LTT","60% LTT")))</f>
        <v>100% LTT</v>
      </c>
      <c r="O7" s="11" t="s">
        <v>33</v>
      </c>
    </row>
    <row r="8" spans="1:15" ht="19.5" customHeight="1" x14ac:dyDescent="0.3">
      <c r="A8" s="15">
        <f t="shared" ref="A8:A14" si="4">A7+1</f>
        <v>2</v>
      </c>
      <c r="B8" s="16" t="s">
        <v>52</v>
      </c>
      <c r="C8" s="15" t="s">
        <v>19</v>
      </c>
      <c r="D8" s="15"/>
      <c r="E8" s="15"/>
      <c r="F8" s="15"/>
      <c r="G8" s="15">
        <f t="shared" si="0"/>
        <v>0</v>
      </c>
      <c r="H8" s="15">
        <f t="shared" si="0"/>
        <v>0</v>
      </c>
      <c r="I8" s="15">
        <f t="shared" si="1"/>
        <v>0</v>
      </c>
      <c r="J8" s="15">
        <f t="shared" ref="J8:J14" si="5">SUM(G8:I8)</f>
        <v>0</v>
      </c>
      <c r="K8" s="15"/>
      <c r="L8" s="15">
        <f t="shared" ref="L8:L14" si="6">100-J8-K8</f>
        <v>100</v>
      </c>
      <c r="M8" s="15" t="str">
        <f t="shared" si="2"/>
        <v>A</v>
      </c>
      <c r="N8" s="15" t="str">
        <f t="shared" si="3"/>
        <v>100% LTT</v>
      </c>
      <c r="O8" s="34"/>
    </row>
    <row r="9" spans="1:15" ht="19.5" customHeight="1" x14ac:dyDescent="0.3">
      <c r="A9" s="15">
        <f>A8+1</f>
        <v>3</v>
      </c>
      <c r="B9" s="16" t="s">
        <v>57</v>
      </c>
      <c r="C9" s="15" t="s">
        <v>19</v>
      </c>
      <c r="D9" s="15"/>
      <c r="E9" s="15"/>
      <c r="F9" s="15"/>
      <c r="G9" s="15">
        <f t="shared" si="0"/>
        <v>0</v>
      </c>
      <c r="H9" s="15">
        <f t="shared" si="0"/>
        <v>0</v>
      </c>
      <c r="I9" s="15">
        <f t="shared" si="1"/>
        <v>0</v>
      </c>
      <c r="J9" s="15">
        <f t="shared" si="5"/>
        <v>0</v>
      </c>
      <c r="K9" s="15"/>
      <c r="L9" s="15">
        <f t="shared" si="6"/>
        <v>100</v>
      </c>
      <c r="M9" s="15" t="str">
        <f t="shared" si="2"/>
        <v>A</v>
      </c>
      <c r="N9" s="15" t="str">
        <f t="shared" si="3"/>
        <v>100% LTT</v>
      </c>
      <c r="O9" s="35"/>
    </row>
    <row r="10" spans="1:15" ht="19.5" customHeight="1" x14ac:dyDescent="0.3">
      <c r="A10" s="15">
        <f t="shared" si="4"/>
        <v>4</v>
      </c>
      <c r="B10" s="16" t="s">
        <v>58</v>
      </c>
      <c r="C10" s="15" t="s">
        <v>19</v>
      </c>
      <c r="D10" s="15"/>
      <c r="E10" s="15"/>
      <c r="F10" s="15"/>
      <c r="G10" s="15">
        <f t="shared" si="0"/>
        <v>0</v>
      </c>
      <c r="H10" s="15">
        <f t="shared" si="0"/>
        <v>0</v>
      </c>
      <c r="I10" s="15">
        <f t="shared" si="1"/>
        <v>0</v>
      </c>
      <c r="J10" s="15">
        <f t="shared" si="5"/>
        <v>0</v>
      </c>
      <c r="K10" s="15"/>
      <c r="L10" s="15">
        <f t="shared" si="6"/>
        <v>100</v>
      </c>
      <c r="M10" s="15" t="str">
        <f t="shared" si="2"/>
        <v>A</v>
      </c>
      <c r="N10" s="15" t="str">
        <f t="shared" si="3"/>
        <v>100% LTT</v>
      </c>
      <c r="O10" s="35"/>
    </row>
    <row r="11" spans="1:15" ht="19.5" customHeight="1" x14ac:dyDescent="0.3">
      <c r="A11" s="15">
        <f t="shared" si="4"/>
        <v>5</v>
      </c>
      <c r="B11" s="16" t="s">
        <v>59</v>
      </c>
      <c r="C11" s="15" t="s">
        <v>19</v>
      </c>
      <c r="D11" s="15"/>
      <c r="E11" s="15"/>
      <c r="F11" s="15"/>
      <c r="G11" s="15">
        <f t="shared" si="0"/>
        <v>0</v>
      </c>
      <c r="H11" s="15">
        <f t="shared" si="0"/>
        <v>0</v>
      </c>
      <c r="I11" s="15">
        <f t="shared" si="1"/>
        <v>0</v>
      </c>
      <c r="J11" s="15">
        <f t="shared" si="5"/>
        <v>0</v>
      </c>
      <c r="K11" s="15"/>
      <c r="L11" s="15">
        <f t="shared" si="6"/>
        <v>100</v>
      </c>
      <c r="M11" s="15" t="str">
        <f t="shared" si="2"/>
        <v>A</v>
      </c>
      <c r="N11" s="15" t="str">
        <f t="shared" si="3"/>
        <v>100% LTT</v>
      </c>
      <c r="O11" s="35"/>
    </row>
    <row r="12" spans="1:15" ht="19.5" customHeight="1" x14ac:dyDescent="0.3">
      <c r="A12" s="15">
        <f t="shared" si="4"/>
        <v>6</v>
      </c>
      <c r="B12" s="16" t="s">
        <v>53</v>
      </c>
      <c r="C12" s="15" t="s">
        <v>19</v>
      </c>
      <c r="D12" s="15"/>
      <c r="E12" s="15"/>
      <c r="F12" s="15"/>
      <c r="G12" s="15">
        <f t="shared" si="0"/>
        <v>0</v>
      </c>
      <c r="H12" s="15">
        <f t="shared" si="0"/>
        <v>0</v>
      </c>
      <c r="I12" s="15">
        <f t="shared" si="1"/>
        <v>0</v>
      </c>
      <c r="J12" s="15">
        <f t="shared" si="5"/>
        <v>0</v>
      </c>
      <c r="K12" s="15"/>
      <c r="L12" s="15">
        <f t="shared" si="6"/>
        <v>100</v>
      </c>
      <c r="M12" s="15" t="str">
        <f t="shared" si="2"/>
        <v>A</v>
      </c>
      <c r="N12" s="15" t="str">
        <f t="shared" si="3"/>
        <v>100% LTT</v>
      </c>
      <c r="O12" s="35"/>
    </row>
    <row r="13" spans="1:15" ht="19.5" customHeight="1" x14ac:dyDescent="0.3">
      <c r="A13" s="15">
        <f t="shared" si="4"/>
        <v>7</v>
      </c>
      <c r="B13" s="16" t="s">
        <v>54</v>
      </c>
      <c r="C13" s="15" t="s">
        <v>19</v>
      </c>
      <c r="D13" s="15"/>
      <c r="E13" s="15"/>
      <c r="F13" s="15"/>
      <c r="G13" s="15">
        <f t="shared" si="0"/>
        <v>0</v>
      </c>
      <c r="H13" s="15">
        <f t="shared" si="0"/>
        <v>0</v>
      </c>
      <c r="I13" s="15">
        <f t="shared" si="1"/>
        <v>0</v>
      </c>
      <c r="J13" s="15">
        <f t="shared" si="5"/>
        <v>0</v>
      </c>
      <c r="K13" s="15"/>
      <c r="L13" s="15">
        <f t="shared" si="6"/>
        <v>100</v>
      </c>
      <c r="M13" s="15" t="str">
        <f t="shared" si="2"/>
        <v>A</v>
      </c>
      <c r="N13" s="15" t="str">
        <f t="shared" si="3"/>
        <v>100% LTT</v>
      </c>
      <c r="O13" s="35"/>
    </row>
    <row r="14" spans="1:15" ht="19.5" customHeight="1" x14ac:dyDescent="0.3">
      <c r="A14" s="17">
        <f t="shared" si="4"/>
        <v>8</v>
      </c>
      <c r="B14" s="18" t="s">
        <v>11</v>
      </c>
      <c r="C14" s="17" t="s">
        <v>51</v>
      </c>
      <c r="D14" s="17">
        <v>5</v>
      </c>
      <c r="E14" s="17"/>
      <c r="F14" s="17">
        <v>1</v>
      </c>
      <c r="G14" s="17">
        <f t="shared" si="0"/>
        <v>0</v>
      </c>
      <c r="H14" s="17">
        <f t="shared" si="0"/>
        <v>0</v>
      </c>
      <c r="I14" s="17">
        <f t="shared" si="1"/>
        <v>0</v>
      </c>
      <c r="J14" s="17">
        <f t="shared" si="5"/>
        <v>0</v>
      </c>
      <c r="K14" s="17">
        <v>1</v>
      </c>
      <c r="L14" s="15">
        <f t="shared" si="6"/>
        <v>99</v>
      </c>
      <c r="M14" s="17" t="str">
        <f t="shared" si="2"/>
        <v>A</v>
      </c>
      <c r="N14" s="17" t="str">
        <f t="shared" si="3"/>
        <v>100% LTT</v>
      </c>
      <c r="O14" s="35"/>
    </row>
    <row r="15" spans="1:15" ht="19.5" customHeight="1" x14ac:dyDescent="0.3">
      <c r="A15" s="184" t="s">
        <v>16</v>
      </c>
      <c r="B15" s="184"/>
      <c r="C15" s="18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5" ht="19.5" customHeight="1" x14ac:dyDescent="0.3">
      <c r="A16" s="17">
        <f>A14+1</f>
        <v>9</v>
      </c>
      <c r="B16" s="18" t="s">
        <v>28</v>
      </c>
      <c r="C16" s="17" t="s">
        <v>19</v>
      </c>
      <c r="D16" s="17">
        <v>1</v>
      </c>
      <c r="E16" s="17"/>
      <c r="F16" s="17"/>
      <c r="G16" s="17">
        <f t="shared" ref="G16:H16" si="7">IF(D16&gt;5,(D16-5)*2,0)</f>
        <v>0</v>
      </c>
      <c r="H16" s="17">
        <f t="shared" si="7"/>
        <v>0</v>
      </c>
      <c r="I16" s="17">
        <f t="shared" ref="I16" si="8">IF(F16&gt;2,(F16-2)*1,0)</f>
        <v>0</v>
      </c>
      <c r="J16" s="17">
        <f t="shared" ref="J16" si="9">SUM(G16:I16)</f>
        <v>0</v>
      </c>
      <c r="K16" s="17">
        <v>0</v>
      </c>
      <c r="L16" s="17">
        <f>100-J16-K16</f>
        <v>100</v>
      </c>
      <c r="M16" s="17" t="str">
        <f t="shared" ref="M16" si="10">IF(L16&lt;71,"KL",IF(AND(L16&gt;=71,L16&lt;81),"C",IF(AND(L16&gt;=81,L16&lt;91),"B","A")))</f>
        <v>A</v>
      </c>
      <c r="N16" s="17" t="str">
        <f t="shared" ref="N16" si="11">IF(M16="A","100% LTT",IF(M16="B","90% LTT",IF(M16="C","80% LTT","60% LTT")))</f>
        <v>100% LTT</v>
      </c>
    </row>
    <row r="17" spans="1:14" ht="19.5" customHeight="1" x14ac:dyDescent="0.3">
      <c r="A17" s="184" t="s">
        <v>17</v>
      </c>
      <c r="B17" s="184"/>
      <c r="C17" s="18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ht="19.5" customHeight="1" x14ac:dyDescent="0.3">
      <c r="A18" s="23">
        <f>A16+1</f>
        <v>10</v>
      </c>
      <c r="B18" s="38" t="s">
        <v>12</v>
      </c>
      <c r="C18" s="23" t="s">
        <v>19</v>
      </c>
      <c r="D18" s="23">
        <v>1</v>
      </c>
      <c r="E18" s="23"/>
      <c r="F18" s="23"/>
      <c r="G18" s="74">
        <f t="shared" ref="G18:H25" si="12">IF(D18&gt;5,(D18-5)*2,0)</f>
        <v>0</v>
      </c>
      <c r="H18" s="23">
        <f t="shared" si="12"/>
        <v>0</v>
      </c>
      <c r="I18" s="23">
        <f t="shared" ref="I18:I25" si="13">IF(F18&gt;2,(F18-2)*1,0)</f>
        <v>0</v>
      </c>
      <c r="J18" s="23">
        <f t="shared" ref="J18:J25" si="14">SUM(G18:I18)</f>
        <v>0</v>
      </c>
      <c r="K18" s="23">
        <v>8</v>
      </c>
      <c r="L18" s="23">
        <f>100-J18-K18</f>
        <v>92</v>
      </c>
      <c r="M18" s="23" t="str">
        <f t="shared" ref="M18:M25" si="15">IF(L18&lt;71,"KL",IF(AND(L18&gt;=71,L18&lt;81),"C",IF(AND(L18&gt;=81,L18&lt;91),"B","A")))</f>
        <v>A</v>
      </c>
      <c r="N18" s="23" t="str">
        <f t="shared" ref="N18:N25" si="16">IF(M18="A","100% LTT",IF(M18="B","90% LTT",IF(M18="C","80% LTT","60% LTT")))</f>
        <v>100% LTT</v>
      </c>
    </row>
    <row r="19" spans="1:14" ht="19.5" customHeight="1" x14ac:dyDescent="0.3">
      <c r="A19" s="15">
        <f>A18+1</f>
        <v>11</v>
      </c>
      <c r="B19" s="16" t="s">
        <v>13</v>
      </c>
      <c r="C19" s="15" t="s">
        <v>101</v>
      </c>
      <c r="D19" s="15">
        <v>8</v>
      </c>
      <c r="E19" s="15"/>
      <c r="F19" s="15">
        <v>2</v>
      </c>
      <c r="G19" s="15">
        <f t="shared" si="12"/>
        <v>6</v>
      </c>
      <c r="H19" s="15">
        <f t="shared" si="12"/>
        <v>0</v>
      </c>
      <c r="I19" s="15">
        <f t="shared" si="13"/>
        <v>0</v>
      </c>
      <c r="J19" s="15">
        <f t="shared" si="14"/>
        <v>6</v>
      </c>
      <c r="K19" s="15"/>
      <c r="L19" s="15">
        <f t="shared" ref="L19:L25" si="17">100-J19-K19</f>
        <v>94</v>
      </c>
      <c r="M19" s="15" t="str">
        <f t="shared" si="15"/>
        <v>A</v>
      </c>
      <c r="N19" s="15" t="str">
        <f>IF(M19="A","100% LTT",IF(M19="B","90% LTT",IF(M19="C","80% LTT","60% LTT")))</f>
        <v>100% LTT</v>
      </c>
    </row>
    <row r="20" spans="1:14" ht="19.5" customHeight="1" x14ac:dyDescent="0.3">
      <c r="A20" s="15">
        <f t="shared" ref="A20:A24" si="18">A19+1</f>
        <v>12</v>
      </c>
      <c r="B20" s="16" t="s">
        <v>14</v>
      </c>
      <c r="C20" s="15" t="s">
        <v>19</v>
      </c>
      <c r="D20" s="15"/>
      <c r="E20" s="15"/>
      <c r="F20" s="15"/>
      <c r="G20" s="15">
        <f t="shared" si="12"/>
        <v>0</v>
      </c>
      <c r="H20" s="15">
        <f t="shared" si="12"/>
        <v>0</v>
      </c>
      <c r="I20" s="15">
        <f t="shared" si="13"/>
        <v>0</v>
      </c>
      <c r="J20" s="15">
        <f t="shared" si="14"/>
        <v>0</v>
      </c>
      <c r="K20" s="15">
        <v>6</v>
      </c>
      <c r="L20" s="15">
        <f t="shared" si="17"/>
        <v>94</v>
      </c>
      <c r="M20" s="15" t="str">
        <f t="shared" si="15"/>
        <v>A</v>
      </c>
      <c r="N20" s="15" t="str">
        <f t="shared" si="16"/>
        <v>100% LTT</v>
      </c>
    </row>
    <row r="21" spans="1:14" ht="19.5" customHeight="1" x14ac:dyDescent="0.3">
      <c r="A21" s="15">
        <f t="shared" si="18"/>
        <v>13</v>
      </c>
      <c r="B21" s="16" t="s">
        <v>40</v>
      </c>
      <c r="C21" s="15" t="s">
        <v>19</v>
      </c>
      <c r="D21" s="15"/>
      <c r="E21" s="15"/>
      <c r="F21" s="15"/>
      <c r="G21" s="15">
        <f t="shared" si="12"/>
        <v>0</v>
      </c>
      <c r="H21" s="15">
        <f t="shared" si="12"/>
        <v>0</v>
      </c>
      <c r="I21" s="15">
        <f t="shared" si="13"/>
        <v>0</v>
      </c>
      <c r="J21" s="15">
        <f t="shared" si="14"/>
        <v>0</v>
      </c>
      <c r="K21" s="15">
        <v>8</v>
      </c>
      <c r="L21" s="15">
        <f t="shared" si="17"/>
        <v>92</v>
      </c>
      <c r="M21" s="15" t="str">
        <f t="shared" si="15"/>
        <v>A</v>
      </c>
      <c r="N21" s="15" t="str">
        <f t="shared" si="16"/>
        <v>100% LTT</v>
      </c>
    </row>
    <row r="22" spans="1:14" ht="19.5" customHeight="1" x14ac:dyDescent="0.3">
      <c r="A22" s="15">
        <f t="shared" si="18"/>
        <v>14</v>
      </c>
      <c r="B22" s="16" t="s">
        <v>98</v>
      </c>
      <c r="C22" s="15" t="s">
        <v>102</v>
      </c>
      <c r="D22" s="15"/>
      <c r="E22" s="15"/>
      <c r="F22" s="15"/>
      <c r="G22" s="15">
        <f t="shared" si="12"/>
        <v>0</v>
      </c>
      <c r="H22" s="15">
        <f t="shared" si="12"/>
        <v>0</v>
      </c>
      <c r="I22" s="15">
        <f t="shared" si="13"/>
        <v>0</v>
      </c>
      <c r="J22" s="15">
        <f t="shared" si="14"/>
        <v>0</v>
      </c>
      <c r="K22" s="15">
        <v>8</v>
      </c>
      <c r="L22" s="15">
        <f t="shared" si="17"/>
        <v>92</v>
      </c>
      <c r="M22" s="15" t="str">
        <f t="shared" si="15"/>
        <v>A</v>
      </c>
      <c r="N22" s="15" t="str">
        <f t="shared" si="16"/>
        <v>100% LTT</v>
      </c>
    </row>
    <row r="23" spans="1:14" ht="19.5" customHeight="1" x14ac:dyDescent="0.3">
      <c r="A23" s="15">
        <f t="shared" si="18"/>
        <v>15</v>
      </c>
      <c r="B23" s="16" t="s">
        <v>99</v>
      </c>
      <c r="C23" s="15" t="s">
        <v>102</v>
      </c>
      <c r="D23" s="15"/>
      <c r="E23" s="15"/>
      <c r="F23" s="15"/>
      <c r="G23" s="15">
        <f t="shared" si="12"/>
        <v>0</v>
      </c>
      <c r="H23" s="15">
        <f t="shared" si="12"/>
        <v>0</v>
      </c>
      <c r="I23" s="15">
        <f t="shared" si="13"/>
        <v>0</v>
      </c>
      <c r="J23" s="15">
        <f t="shared" si="14"/>
        <v>0</v>
      </c>
      <c r="K23" s="15">
        <v>2</v>
      </c>
      <c r="L23" s="15">
        <f t="shared" si="17"/>
        <v>98</v>
      </c>
      <c r="M23" s="15" t="str">
        <f t="shared" si="15"/>
        <v>A</v>
      </c>
      <c r="N23" s="15" t="str">
        <f t="shared" si="16"/>
        <v>100% LTT</v>
      </c>
    </row>
    <row r="24" spans="1:14" ht="19.5" customHeight="1" x14ac:dyDescent="0.3">
      <c r="A24" s="15">
        <f t="shared" si="18"/>
        <v>16</v>
      </c>
      <c r="B24" s="16" t="s">
        <v>100</v>
      </c>
      <c r="C24" s="15" t="s">
        <v>102</v>
      </c>
      <c r="D24" s="15"/>
      <c r="E24" s="15"/>
      <c r="F24" s="15"/>
      <c r="G24" s="15">
        <f t="shared" si="12"/>
        <v>0</v>
      </c>
      <c r="H24" s="15">
        <f t="shared" si="12"/>
        <v>0</v>
      </c>
      <c r="I24" s="15">
        <f t="shared" si="13"/>
        <v>0</v>
      </c>
      <c r="J24" s="15">
        <f t="shared" si="14"/>
        <v>0</v>
      </c>
      <c r="K24" s="15">
        <v>6</v>
      </c>
      <c r="L24" s="15">
        <f t="shared" si="17"/>
        <v>94</v>
      </c>
      <c r="M24" s="15" t="str">
        <f t="shared" si="15"/>
        <v>A</v>
      </c>
      <c r="N24" s="15" t="str">
        <f t="shared" si="16"/>
        <v>100% LTT</v>
      </c>
    </row>
    <row r="25" spans="1:14" ht="19.5" customHeight="1" x14ac:dyDescent="0.3">
      <c r="A25" s="17">
        <v>17</v>
      </c>
      <c r="B25" s="18" t="s">
        <v>104</v>
      </c>
      <c r="C25" s="17" t="s">
        <v>107</v>
      </c>
      <c r="D25" s="17"/>
      <c r="E25" s="17"/>
      <c r="F25" s="17"/>
      <c r="G25" s="15">
        <f t="shared" si="12"/>
        <v>0</v>
      </c>
      <c r="H25" s="15">
        <f t="shared" si="12"/>
        <v>0</v>
      </c>
      <c r="I25" s="15">
        <f t="shared" si="13"/>
        <v>0</v>
      </c>
      <c r="J25" s="15">
        <f t="shared" si="14"/>
        <v>0</v>
      </c>
      <c r="K25" s="17">
        <v>8</v>
      </c>
      <c r="L25" s="17">
        <f t="shared" si="17"/>
        <v>92</v>
      </c>
      <c r="M25" s="17" t="str">
        <f t="shared" si="15"/>
        <v>A</v>
      </c>
      <c r="N25" s="17" t="str">
        <f t="shared" si="16"/>
        <v>100% LTT</v>
      </c>
    </row>
    <row r="26" spans="1:14" ht="22.5" customHeight="1" x14ac:dyDescent="0.3">
      <c r="A26" s="180" t="s">
        <v>60</v>
      </c>
      <c r="B26" s="180"/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0"/>
      <c r="N26" s="180"/>
    </row>
    <row r="27" spans="1:14" ht="22.5" customHeight="1" x14ac:dyDescent="0.3">
      <c r="J27" s="185" t="s">
        <v>111</v>
      </c>
      <c r="K27" s="185"/>
      <c r="L27" s="185"/>
      <c r="M27" s="185"/>
      <c r="N27" s="185"/>
    </row>
    <row r="28" spans="1:14" ht="22.5" customHeight="1" x14ac:dyDescent="0.3">
      <c r="B28" s="178" t="s">
        <v>22</v>
      </c>
      <c r="C28" s="178"/>
      <c r="D28" s="178"/>
      <c r="L28" s="178" t="s">
        <v>25</v>
      </c>
      <c r="M28" s="178"/>
      <c r="N28" s="178"/>
    </row>
    <row r="29" spans="1:14" ht="22.5" customHeight="1" x14ac:dyDescent="0.3">
      <c r="L29" s="70"/>
      <c r="M29" s="70"/>
    </row>
    <row r="30" spans="1:14" ht="22.5" customHeight="1" x14ac:dyDescent="0.3">
      <c r="L30" s="70"/>
      <c r="M30" s="70"/>
    </row>
    <row r="31" spans="1:14" ht="22.5" customHeight="1" x14ac:dyDescent="0.3">
      <c r="L31" s="70"/>
      <c r="M31" s="70"/>
    </row>
    <row r="32" spans="1:14" ht="22.5" customHeight="1" x14ac:dyDescent="0.3">
      <c r="B32" s="178" t="s">
        <v>28</v>
      </c>
      <c r="C32" s="178"/>
      <c r="D32" s="178"/>
      <c r="L32" s="178" t="s">
        <v>27</v>
      </c>
      <c r="M32" s="178"/>
      <c r="N32" s="178"/>
    </row>
    <row r="33" spans="3:4" ht="22.5" customHeight="1" x14ac:dyDescent="0.3">
      <c r="C33" s="1"/>
      <c r="D33" s="1"/>
    </row>
  </sheetData>
  <mergeCells count="25">
    <mergeCell ref="O4:O5"/>
    <mergeCell ref="A1:N1"/>
    <mergeCell ref="A2:N2"/>
    <mergeCell ref="A3:N3"/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L4:L5"/>
    <mergeCell ref="M4:M5"/>
    <mergeCell ref="N4:N5"/>
    <mergeCell ref="B32:D32"/>
    <mergeCell ref="L32:N32"/>
    <mergeCell ref="A6:C6"/>
    <mergeCell ref="A15:C15"/>
    <mergeCell ref="A17:C17"/>
    <mergeCell ref="A26:N26"/>
    <mergeCell ref="J27:N27"/>
    <mergeCell ref="B28:D28"/>
    <mergeCell ref="L28:N28"/>
  </mergeCells>
  <pageMargins left="0.24" right="0.24" top="0.28999999999999998" bottom="0.47" header="0.3" footer="0.3"/>
  <pageSetup paperSize="9" scale="75" orientation="landscape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zoomScale="80" zoomScaleNormal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 sqref="A1:XFD1048576"/>
    </sheetView>
  </sheetViews>
  <sheetFormatPr defaultColWidth="9.109375" defaultRowHeight="16.8" x14ac:dyDescent="0.3"/>
  <cols>
    <col min="1" max="1" width="6.109375" style="2" customWidth="1"/>
    <col min="2" max="2" width="24.6640625" style="1" customWidth="1"/>
    <col min="3" max="3" width="22" style="2" customWidth="1"/>
    <col min="4" max="6" width="11.33203125" style="2" customWidth="1"/>
    <col min="7" max="9" width="12.33203125" style="2" customWidth="1"/>
    <col min="10" max="10" width="12.44140625" style="2" customWidth="1"/>
    <col min="11" max="11" width="11.33203125" style="2" customWidth="1"/>
    <col min="12" max="12" width="12.109375" style="2" customWidth="1"/>
    <col min="13" max="13" width="9.44140625" style="2" customWidth="1"/>
    <col min="14" max="14" width="15" style="2" customWidth="1"/>
    <col min="15" max="15" width="53.88671875" style="2" customWidth="1"/>
    <col min="16" max="16384" width="9.109375" style="1"/>
  </cols>
  <sheetData>
    <row r="1" spans="1:15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5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</row>
    <row r="3" spans="1:15" ht="22.5" customHeight="1" x14ac:dyDescent="0.3">
      <c r="A3" s="179" t="s">
        <v>114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</row>
    <row r="4" spans="1:15" s="3" customFormat="1" ht="22.5" customHeight="1" x14ac:dyDescent="0.3">
      <c r="A4" s="180" t="s">
        <v>0</v>
      </c>
      <c r="B4" s="180" t="s">
        <v>1</v>
      </c>
      <c r="C4" s="180" t="s">
        <v>2</v>
      </c>
      <c r="D4" s="180" t="s">
        <v>23</v>
      </c>
      <c r="E4" s="180"/>
      <c r="F4" s="180"/>
      <c r="G4" s="181" t="s">
        <v>29</v>
      </c>
      <c r="H4" s="181" t="s">
        <v>30</v>
      </c>
      <c r="I4" s="181" t="s">
        <v>31</v>
      </c>
      <c r="J4" s="181" t="s">
        <v>96</v>
      </c>
      <c r="K4" s="181" t="s">
        <v>97</v>
      </c>
      <c r="L4" s="180" t="s">
        <v>6</v>
      </c>
      <c r="M4" s="180" t="s">
        <v>7</v>
      </c>
      <c r="N4" s="180" t="s">
        <v>8</v>
      </c>
      <c r="O4" s="183"/>
    </row>
    <row r="5" spans="1:15" s="3" customFormat="1" ht="49.8" customHeight="1" x14ac:dyDescent="0.3">
      <c r="A5" s="180"/>
      <c r="B5" s="180"/>
      <c r="C5" s="180"/>
      <c r="D5" s="73" t="s">
        <v>3</v>
      </c>
      <c r="E5" s="73" t="s">
        <v>4</v>
      </c>
      <c r="F5" s="73" t="s">
        <v>5</v>
      </c>
      <c r="G5" s="182"/>
      <c r="H5" s="182"/>
      <c r="I5" s="182"/>
      <c r="J5" s="182"/>
      <c r="K5" s="182"/>
      <c r="L5" s="180"/>
      <c r="M5" s="180"/>
      <c r="N5" s="180"/>
      <c r="O5" s="183"/>
    </row>
    <row r="6" spans="1:15" ht="19.5" customHeight="1" x14ac:dyDescent="0.3">
      <c r="A6" s="184" t="s">
        <v>15</v>
      </c>
      <c r="B6" s="184"/>
      <c r="C6" s="18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5" ht="19.5" customHeight="1" x14ac:dyDescent="0.3">
      <c r="A7" s="15">
        <v>1</v>
      </c>
      <c r="B7" s="16" t="s">
        <v>49</v>
      </c>
      <c r="C7" s="15" t="s">
        <v>19</v>
      </c>
      <c r="D7" s="15"/>
      <c r="E7" s="15"/>
      <c r="F7" s="15"/>
      <c r="G7" s="15">
        <f t="shared" ref="G7:H14" si="0">IF(D7&gt;5,(D7-5)*2,0)</f>
        <v>0</v>
      </c>
      <c r="H7" s="15">
        <f t="shared" si="0"/>
        <v>0</v>
      </c>
      <c r="I7" s="15">
        <f t="shared" ref="I7:I14" si="1">IF(F7&gt;2,(F7-2)*1,0)</f>
        <v>0</v>
      </c>
      <c r="J7" s="15">
        <f>SUM(G7:I7)</f>
        <v>0</v>
      </c>
      <c r="K7" s="15"/>
      <c r="L7" s="15">
        <f>100-J7-K7</f>
        <v>100</v>
      </c>
      <c r="M7" s="15" t="str">
        <f t="shared" ref="M7:M14" si="2">IF(L7&lt;71,"KL",IF(AND(L7&gt;=71,L7&lt;81),"C",IF(AND(L7&gt;=81,L7&lt;91),"B","A")))</f>
        <v>A</v>
      </c>
      <c r="N7" s="15" t="str">
        <f t="shared" ref="N7:N14" si="3">IF(M7="A","100% LTT",IF(M7="B","90% LTT",IF(M7="C","80% LTT","60% LTT")))</f>
        <v>100% LTT</v>
      </c>
      <c r="O7" s="11" t="s">
        <v>33</v>
      </c>
    </row>
    <row r="8" spans="1:15" ht="19.5" customHeight="1" x14ac:dyDescent="0.3">
      <c r="A8" s="15">
        <f t="shared" ref="A8:A14" si="4">A7+1</f>
        <v>2</v>
      </c>
      <c r="B8" s="16" t="s">
        <v>52</v>
      </c>
      <c r="C8" s="15" t="s">
        <v>19</v>
      </c>
      <c r="D8" s="15"/>
      <c r="E8" s="15"/>
      <c r="F8" s="15"/>
      <c r="G8" s="15">
        <f t="shared" si="0"/>
        <v>0</v>
      </c>
      <c r="H8" s="15">
        <f t="shared" si="0"/>
        <v>0</v>
      </c>
      <c r="I8" s="15">
        <f t="shared" si="1"/>
        <v>0</v>
      </c>
      <c r="J8" s="15">
        <f t="shared" ref="J8:J14" si="5">SUM(G8:I8)</f>
        <v>0</v>
      </c>
      <c r="K8" s="15"/>
      <c r="L8" s="15">
        <f t="shared" ref="L8:L14" si="6">100-J8-K8</f>
        <v>100</v>
      </c>
      <c r="M8" s="15" t="str">
        <f t="shared" si="2"/>
        <v>A</v>
      </c>
      <c r="N8" s="15" t="str">
        <f t="shared" si="3"/>
        <v>100% LTT</v>
      </c>
      <c r="O8" s="34"/>
    </row>
    <row r="9" spans="1:15" ht="19.5" customHeight="1" x14ac:dyDescent="0.3">
      <c r="A9" s="15">
        <f>A8+1</f>
        <v>3</v>
      </c>
      <c r="B9" s="16" t="s">
        <v>57</v>
      </c>
      <c r="C9" s="15" t="s">
        <v>19</v>
      </c>
      <c r="D9" s="15"/>
      <c r="E9" s="15"/>
      <c r="F9" s="15"/>
      <c r="G9" s="15">
        <f t="shared" si="0"/>
        <v>0</v>
      </c>
      <c r="H9" s="15">
        <f t="shared" si="0"/>
        <v>0</v>
      </c>
      <c r="I9" s="15">
        <f t="shared" si="1"/>
        <v>0</v>
      </c>
      <c r="J9" s="15">
        <f t="shared" si="5"/>
        <v>0</v>
      </c>
      <c r="K9" s="15"/>
      <c r="L9" s="15">
        <f t="shared" si="6"/>
        <v>100</v>
      </c>
      <c r="M9" s="15" t="str">
        <f t="shared" si="2"/>
        <v>A</v>
      </c>
      <c r="N9" s="15" t="str">
        <f t="shared" si="3"/>
        <v>100% LTT</v>
      </c>
      <c r="O9" s="35"/>
    </row>
    <row r="10" spans="1:15" ht="19.5" customHeight="1" x14ac:dyDescent="0.3">
      <c r="A10" s="15">
        <f t="shared" si="4"/>
        <v>4</v>
      </c>
      <c r="B10" s="16" t="s">
        <v>58</v>
      </c>
      <c r="C10" s="15" t="s">
        <v>19</v>
      </c>
      <c r="D10" s="15"/>
      <c r="E10" s="15"/>
      <c r="F10" s="15"/>
      <c r="G10" s="15">
        <f t="shared" si="0"/>
        <v>0</v>
      </c>
      <c r="H10" s="15">
        <f t="shared" si="0"/>
        <v>0</v>
      </c>
      <c r="I10" s="15">
        <f t="shared" si="1"/>
        <v>0</v>
      </c>
      <c r="J10" s="15">
        <f t="shared" si="5"/>
        <v>0</v>
      </c>
      <c r="K10" s="15"/>
      <c r="L10" s="15">
        <f t="shared" si="6"/>
        <v>100</v>
      </c>
      <c r="M10" s="15" t="str">
        <f t="shared" si="2"/>
        <v>A</v>
      </c>
      <c r="N10" s="15" t="str">
        <f t="shared" si="3"/>
        <v>100% LTT</v>
      </c>
      <c r="O10" s="35"/>
    </row>
    <row r="11" spans="1:15" ht="19.5" customHeight="1" x14ac:dyDescent="0.3">
      <c r="A11" s="15">
        <f t="shared" si="4"/>
        <v>5</v>
      </c>
      <c r="B11" s="16" t="s">
        <v>59</v>
      </c>
      <c r="C11" s="15" t="s">
        <v>19</v>
      </c>
      <c r="D11" s="15"/>
      <c r="E11" s="15"/>
      <c r="F11" s="15"/>
      <c r="G11" s="15">
        <f t="shared" si="0"/>
        <v>0</v>
      </c>
      <c r="H11" s="15">
        <f t="shared" si="0"/>
        <v>0</v>
      </c>
      <c r="I11" s="15">
        <f t="shared" si="1"/>
        <v>0</v>
      </c>
      <c r="J11" s="15">
        <f t="shared" si="5"/>
        <v>0</v>
      </c>
      <c r="K11" s="15"/>
      <c r="L11" s="15">
        <f t="shared" si="6"/>
        <v>100</v>
      </c>
      <c r="M11" s="15" t="str">
        <f t="shared" si="2"/>
        <v>A</v>
      </c>
      <c r="N11" s="15" t="str">
        <f t="shared" si="3"/>
        <v>100% LTT</v>
      </c>
      <c r="O11" s="35"/>
    </row>
    <row r="12" spans="1:15" ht="19.5" customHeight="1" x14ac:dyDescent="0.3">
      <c r="A12" s="15">
        <f t="shared" si="4"/>
        <v>6</v>
      </c>
      <c r="B12" s="16" t="s">
        <v>53</v>
      </c>
      <c r="C12" s="15" t="s">
        <v>19</v>
      </c>
      <c r="D12" s="15"/>
      <c r="E12" s="15"/>
      <c r="F12" s="15"/>
      <c r="G12" s="15">
        <f t="shared" si="0"/>
        <v>0</v>
      </c>
      <c r="H12" s="15">
        <f t="shared" si="0"/>
        <v>0</v>
      </c>
      <c r="I12" s="15">
        <f t="shared" si="1"/>
        <v>0</v>
      </c>
      <c r="J12" s="15">
        <f t="shared" si="5"/>
        <v>0</v>
      </c>
      <c r="K12" s="15"/>
      <c r="L12" s="15">
        <f t="shared" si="6"/>
        <v>100</v>
      </c>
      <c r="M12" s="15" t="str">
        <f t="shared" si="2"/>
        <v>A</v>
      </c>
      <c r="N12" s="15" t="str">
        <f t="shared" si="3"/>
        <v>100% LTT</v>
      </c>
      <c r="O12" s="35"/>
    </row>
    <row r="13" spans="1:15" ht="19.5" customHeight="1" x14ac:dyDescent="0.3">
      <c r="A13" s="15">
        <f t="shared" si="4"/>
        <v>7</v>
      </c>
      <c r="B13" s="16" t="s">
        <v>54</v>
      </c>
      <c r="C13" s="15" t="s">
        <v>19</v>
      </c>
      <c r="D13" s="15"/>
      <c r="E13" s="15"/>
      <c r="F13" s="15"/>
      <c r="G13" s="15">
        <f t="shared" si="0"/>
        <v>0</v>
      </c>
      <c r="H13" s="15">
        <f t="shared" si="0"/>
        <v>0</v>
      </c>
      <c r="I13" s="15">
        <f t="shared" si="1"/>
        <v>0</v>
      </c>
      <c r="J13" s="15">
        <f t="shared" si="5"/>
        <v>0</v>
      </c>
      <c r="K13" s="15"/>
      <c r="L13" s="15">
        <f t="shared" si="6"/>
        <v>100</v>
      </c>
      <c r="M13" s="15" t="str">
        <f t="shared" si="2"/>
        <v>A</v>
      </c>
      <c r="N13" s="15" t="str">
        <f t="shared" si="3"/>
        <v>100% LTT</v>
      </c>
      <c r="O13" s="35"/>
    </row>
    <row r="14" spans="1:15" ht="19.5" customHeight="1" x14ac:dyDescent="0.3">
      <c r="A14" s="17">
        <f t="shared" si="4"/>
        <v>8</v>
      </c>
      <c r="B14" s="18" t="s">
        <v>11</v>
      </c>
      <c r="C14" s="17" t="s">
        <v>51</v>
      </c>
      <c r="D14" s="17">
        <v>4</v>
      </c>
      <c r="E14" s="17"/>
      <c r="F14" s="17">
        <v>1</v>
      </c>
      <c r="G14" s="17">
        <f t="shared" si="0"/>
        <v>0</v>
      </c>
      <c r="H14" s="17">
        <f t="shared" si="0"/>
        <v>0</v>
      </c>
      <c r="I14" s="17">
        <f t="shared" si="1"/>
        <v>0</v>
      </c>
      <c r="J14" s="17">
        <f t="shared" si="5"/>
        <v>0</v>
      </c>
      <c r="K14" s="17">
        <v>1</v>
      </c>
      <c r="L14" s="15">
        <f t="shared" si="6"/>
        <v>99</v>
      </c>
      <c r="M14" s="17" t="str">
        <f t="shared" si="2"/>
        <v>A</v>
      </c>
      <c r="N14" s="17" t="str">
        <f t="shared" si="3"/>
        <v>100% LTT</v>
      </c>
      <c r="O14" s="35"/>
    </row>
    <row r="15" spans="1:15" ht="19.5" customHeight="1" x14ac:dyDescent="0.3">
      <c r="A15" s="184" t="s">
        <v>16</v>
      </c>
      <c r="B15" s="184"/>
      <c r="C15" s="18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5" ht="19.5" customHeight="1" x14ac:dyDescent="0.3">
      <c r="A16" s="17">
        <f>A14+1</f>
        <v>9</v>
      </c>
      <c r="B16" s="18" t="s">
        <v>28</v>
      </c>
      <c r="C16" s="17" t="s">
        <v>19</v>
      </c>
      <c r="D16" s="17">
        <v>4</v>
      </c>
      <c r="E16" s="17"/>
      <c r="F16" s="17">
        <v>2</v>
      </c>
      <c r="G16" s="17">
        <f t="shared" ref="G16:H16" si="7">IF(D16&gt;5,(D16-5)*2,0)</f>
        <v>0</v>
      </c>
      <c r="H16" s="17">
        <f t="shared" si="7"/>
        <v>0</v>
      </c>
      <c r="I16" s="17">
        <f t="shared" ref="I16" si="8">IF(F16&gt;2,(F16-2)*1,0)</f>
        <v>0</v>
      </c>
      <c r="J16" s="17">
        <f t="shared" ref="J16" si="9">SUM(G16:I16)</f>
        <v>0</v>
      </c>
      <c r="K16" s="17">
        <v>0</v>
      </c>
      <c r="L16" s="17">
        <f>100-J16-K16</f>
        <v>100</v>
      </c>
      <c r="M16" s="17" t="str">
        <f t="shared" ref="M16" si="10">IF(L16&lt;71,"KL",IF(AND(L16&gt;=71,L16&lt;81),"C",IF(AND(L16&gt;=81,L16&lt;91),"B","A")))</f>
        <v>A</v>
      </c>
      <c r="N16" s="17" t="str">
        <f t="shared" ref="N16" si="11">IF(M16="A","100% LTT",IF(M16="B","90% LTT",IF(M16="C","80% LTT","60% LTT")))</f>
        <v>100% LTT</v>
      </c>
    </row>
    <row r="17" spans="1:14" ht="19.5" customHeight="1" x14ac:dyDescent="0.3">
      <c r="A17" s="184" t="s">
        <v>17</v>
      </c>
      <c r="B17" s="184"/>
      <c r="C17" s="18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ht="19.5" customHeight="1" x14ac:dyDescent="0.3">
      <c r="A18" s="23">
        <f>A16+1</f>
        <v>10</v>
      </c>
      <c r="B18" s="38" t="s">
        <v>12</v>
      </c>
      <c r="C18" s="23" t="s">
        <v>19</v>
      </c>
      <c r="D18" s="23"/>
      <c r="E18" s="23"/>
      <c r="F18" s="23"/>
      <c r="G18" s="74">
        <f t="shared" ref="G18:H25" si="12">IF(D18&gt;5,(D18-5)*2,0)</f>
        <v>0</v>
      </c>
      <c r="H18" s="23">
        <f t="shared" si="12"/>
        <v>0</v>
      </c>
      <c r="I18" s="23">
        <f t="shared" ref="I18:I25" si="13">IF(F18&gt;2,(F18-2)*1,0)</f>
        <v>0</v>
      </c>
      <c r="J18" s="23">
        <f t="shared" ref="J18:J25" si="14">SUM(G18:I18)</f>
        <v>0</v>
      </c>
      <c r="K18" s="23">
        <v>8</v>
      </c>
      <c r="L18" s="23">
        <f>100-J18-K18</f>
        <v>92</v>
      </c>
      <c r="M18" s="23" t="str">
        <f t="shared" ref="M18:M25" si="15">IF(L18&lt;71,"KL",IF(AND(L18&gt;=71,L18&lt;81),"C",IF(AND(L18&gt;=81,L18&lt;91),"B","A")))</f>
        <v>A</v>
      </c>
      <c r="N18" s="23" t="str">
        <f t="shared" ref="N18:N25" si="16">IF(M18="A","100% LTT",IF(M18="B","90% LTT",IF(M18="C","80% LTT","60% LTT")))</f>
        <v>100% LTT</v>
      </c>
    </row>
    <row r="19" spans="1:14" ht="19.5" customHeight="1" x14ac:dyDescent="0.3">
      <c r="A19" s="15">
        <f>A18+1</f>
        <v>11</v>
      </c>
      <c r="B19" s="16" t="s">
        <v>13</v>
      </c>
      <c r="C19" s="15" t="s">
        <v>101</v>
      </c>
      <c r="D19" s="15">
        <v>7</v>
      </c>
      <c r="E19" s="15"/>
      <c r="F19" s="15">
        <v>2</v>
      </c>
      <c r="G19" s="15">
        <f t="shared" si="12"/>
        <v>4</v>
      </c>
      <c r="H19" s="15">
        <f t="shared" si="12"/>
        <v>0</v>
      </c>
      <c r="I19" s="15">
        <f t="shared" si="13"/>
        <v>0</v>
      </c>
      <c r="J19" s="15">
        <f t="shared" si="14"/>
        <v>4</v>
      </c>
      <c r="K19" s="15">
        <v>2</v>
      </c>
      <c r="L19" s="15">
        <f t="shared" ref="L19:L25" si="17">100-J19-K19</f>
        <v>94</v>
      </c>
      <c r="M19" s="15" t="str">
        <f t="shared" si="15"/>
        <v>A</v>
      </c>
      <c r="N19" s="15" t="str">
        <f>IF(M19="A","100% LTT",IF(M19="B","90% LTT",IF(M19="C","80% LTT","60% LTT")))</f>
        <v>100% LTT</v>
      </c>
    </row>
    <row r="20" spans="1:14" ht="19.5" customHeight="1" x14ac:dyDescent="0.3">
      <c r="A20" s="15">
        <f t="shared" ref="A20:A24" si="18">A19+1</f>
        <v>12</v>
      </c>
      <c r="B20" s="16" t="s">
        <v>14</v>
      </c>
      <c r="C20" s="15" t="s">
        <v>19</v>
      </c>
      <c r="D20" s="15"/>
      <c r="E20" s="15"/>
      <c r="F20" s="15"/>
      <c r="G20" s="15">
        <f t="shared" si="12"/>
        <v>0</v>
      </c>
      <c r="H20" s="15">
        <f t="shared" si="12"/>
        <v>0</v>
      </c>
      <c r="I20" s="15">
        <f t="shared" si="13"/>
        <v>0</v>
      </c>
      <c r="J20" s="15">
        <f t="shared" si="14"/>
        <v>0</v>
      </c>
      <c r="K20" s="15">
        <v>6</v>
      </c>
      <c r="L20" s="15">
        <f t="shared" si="17"/>
        <v>94</v>
      </c>
      <c r="M20" s="15" t="str">
        <f t="shared" si="15"/>
        <v>A</v>
      </c>
      <c r="N20" s="15" t="str">
        <f t="shared" si="16"/>
        <v>100% LTT</v>
      </c>
    </row>
    <row r="21" spans="1:14" ht="19.5" customHeight="1" x14ac:dyDescent="0.3">
      <c r="A21" s="15">
        <f t="shared" si="18"/>
        <v>13</v>
      </c>
      <c r="B21" s="16" t="s">
        <v>40</v>
      </c>
      <c r="C21" s="15" t="s">
        <v>19</v>
      </c>
      <c r="D21" s="15"/>
      <c r="E21" s="15"/>
      <c r="F21" s="15"/>
      <c r="G21" s="15">
        <f t="shared" si="12"/>
        <v>0</v>
      </c>
      <c r="H21" s="15">
        <f t="shared" si="12"/>
        <v>0</v>
      </c>
      <c r="I21" s="15">
        <f t="shared" si="13"/>
        <v>0</v>
      </c>
      <c r="J21" s="15">
        <f t="shared" si="14"/>
        <v>0</v>
      </c>
      <c r="K21" s="15">
        <v>8</v>
      </c>
      <c r="L21" s="15">
        <f t="shared" si="17"/>
        <v>92</v>
      </c>
      <c r="M21" s="15" t="str">
        <f t="shared" si="15"/>
        <v>A</v>
      </c>
      <c r="N21" s="15" t="str">
        <f t="shared" si="16"/>
        <v>100% LTT</v>
      </c>
    </row>
    <row r="22" spans="1:14" ht="19.5" customHeight="1" x14ac:dyDescent="0.3">
      <c r="A22" s="15">
        <f t="shared" si="18"/>
        <v>14</v>
      </c>
      <c r="B22" s="16" t="s">
        <v>98</v>
      </c>
      <c r="C22" s="15" t="s">
        <v>102</v>
      </c>
      <c r="D22" s="15"/>
      <c r="E22" s="15"/>
      <c r="F22" s="15"/>
      <c r="G22" s="15">
        <f t="shared" si="12"/>
        <v>0</v>
      </c>
      <c r="H22" s="15">
        <f t="shared" si="12"/>
        <v>0</v>
      </c>
      <c r="I22" s="15">
        <f t="shared" si="13"/>
        <v>0</v>
      </c>
      <c r="J22" s="15">
        <f t="shared" si="14"/>
        <v>0</v>
      </c>
      <c r="K22" s="15">
        <v>8</v>
      </c>
      <c r="L22" s="15">
        <f t="shared" si="17"/>
        <v>92</v>
      </c>
      <c r="M22" s="15" t="str">
        <f t="shared" si="15"/>
        <v>A</v>
      </c>
      <c r="N22" s="15" t="str">
        <f t="shared" si="16"/>
        <v>100% LTT</v>
      </c>
    </row>
    <row r="23" spans="1:14" ht="19.5" customHeight="1" x14ac:dyDescent="0.3">
      <c r="A23" s="15">
        <f t="shared" si="18"/>
        <v>15</v>
      </c>
      <c r="B23" s="16" t="s">
        <v>99</v>
      </c>
      <c r="C23" s="15" t="s">
        <v>102</v>
      </c>
      <c r="D23" s="15"/>
      <c r="E23" s="15"/>
      <c r="F23" s="15"/>
      <c r="G23" s="15">
        <f t="shared" si="12"/>
        <v>0</v>
      </c>
      <c r="H23" s="15">
        <f t="shared" si="12"/>
        <v>0</v>
      </c>
      <c r="I23" s="15">
        <f t="shared" si="13"/>
        <v>0</v>
      </c>
      <c r="J23" s="15">
        <f t="shared" si="14"/>
        <v>0</v>
      </c>
      <c r="K23" s="15">
        <v>3</v>
      </c>
      <c r="L23" s="15">
        <f t="shared" si="17"/>
        <v>97</v>
      </c>
      <c r="M23" s="15" t="str">
        <f t="shared" si="15"/>
        <v>A</v>
      </c>
      <c r="N23" s="15" t="str">
        <f t="shared" si="16"/>
        <v>100% LTT</v>
      </c>
    </row>
    <row r="24" spans="1:14" ht="19.5" customHeight="1" x14ac:dyDescent="0.3">
      <c r="A24" s="15">
        <f t="shared" si="18"/>
        <v>16</v>
      </c>
      <c r="B24" s="16" t="s">
        <v>100</v>
      </c>
      <c r="C24" s="15" t="s">
        <v>102</v>
      </c>
      <c r="D24" s="15"/>
      <c r="E24" s="15"/>
      <c r="F24" s="15"/>
      <c r="G24" s="15">
        <f t="shared" si="12"/>
        <v>0</v>
      </c>
      <c r="H24" s="15">
        <f t="shared" si="12"/>
        <v>0</v>
      </c>
      <c r="I24" s="15">
        <f t="shared" si="13"/>
        <v>0</v>
      </c>
      <c r="J24" s="15">
        <f t="shared" si="14"/>
        <v>0</v>
      </c>
      <c r="K24" s="15">
        <v>5</v>
      </c>
      <c r="L24" s="15">
        <f t="shared" si="17"/>
        <v>95</v>
      </c>
      <c r="M24" s="15" t="str">
        <f t="shared" si="15"/>
        <v>A</v>
      </c>
      <c r="N24" s="15" t="str">
        <f t="shared" si="16"/>
        <v>100% LTT</v>
      </c>
    </row>
    <row r="25" spans="1:14" ht="19.5" customHeight="1" x14ac:dyDescent="0.3">
      <c r="A25" s="17">
        <v>17</v>
      </c>
      <c r="B25" s="18" t="s">
        <v>104</v>
      </c>
      <c r="C25" s="17" t="s">
        <v>107</v>
      </c>
      <c r="D25" s="17"/>
      <c r="E25" s="17"/>
      <c r="F25" s="17"/>
      <c r="G25" s="15">
        <f t="shared" si="12"/>
        <v>0</v>
      </c>
      <c r="H25" s="15">
        <f t="shared" si="12"/>
        <v>0</v>
      </c>
      <c r="I25" s="15">
        <f t="shared" si="13"/>
        <v>0</v>
      </c>
      <c r="J25" s="15">
        <f t="shared" si="14"/>
        <v>0</v>
      </c>
      <c r="K25" s="17">
        <v>8</v>
      </c>
      <c r="L25" s="17">
        <f t="shared" si="17"/>
        <v>92</v>
      </c>
      <c r="M25" s="17" t="str">
        <f t="shared" si="15"/>
        <v>A</v>
      </c>
      <c r="N25" s="17" t="str">
        <f t="shared" si="16"/>
        <v>100% LTT</v>
      </c>
    </row>
    <row r="26" spans="1:14" ht="22.5" customHeight="1" x14ac:dyDescent="0.3">
      <c r="A26" s="180" t="s">
        <v>60</v>
      </c>
      <c r="B26" s="180"/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0"/>
      <c r="N26" s="180"/>
    </row>
    <row r="27" spans="1:14" ht="22.5" customHeight="1" x14ac:dyDescent="0.3">
      <c r="J27" s="185" t="s">
        <v>111</v>
      </c>
      <c r="K27" s="185"/>
      <c r="L27" s="185"/>
      <c r="M27" s="185"/>
      <c r="N27" s="185"/>
    </row>
    <row r="28" spans="1:14" ht="22.5" customHeight="1" x14ac:dyDescent="0.3">
      <c r="B28" s="178" t="s">
        <v>22</v>
      </c>
      <c r="C28" s="178"/>
      <c r="D28" s="178"/>
      <c r="L28" s="178" t="s">
        <v>25</v>
      </c>
      <c r="M28" s="178"/>
      <c r="N28" s="178"/>
    </row>
    <row r="29" spans="1:14" ht="22.5" customHeight="1" x14ac:dyDescent="0.3">
      <c r="L29" s="72"/>
      <c r="M29" s="72"/>
    </row>
    <row r="30" spans="1:14" ht="22.5" customHeight="1" x14ac:dyDescent="0.3">
      <c r="L30" s="72"/>
      <c r="M30" s="72"/>
    </row>
    <row r="31" spans="1:14" ht="22.5" customHeight="1" x14ac:dyDescent="0.3">
      <c r="L31" s="72"/>
      <c r="M31" s="72"/>
    </row>
    <row r="32" spans="1:14" ht="22.5" customHeight="1" x14ac:dyDescent="0.3">
      <c r="B32" s="178" t="s">
        <v>28</v>
      </c>
      <c r="C32" s="178"/>
      <c r="D32" s="178"/>
      <c r="L32" s="178" t="s">
        <v>27</v>
      </c>
      <c r="M32" s="178"/>
      <c r="N32" s="178"/>
    </row>
    <row r="33" spans="3:4" ht="22.5" customHeight="1" x14ac:dyDescent="0.3">
      <c r="C33" s="1"/>
      <c r="D33" s="1"/>
    </row>
  </sheetData>
  <mergeCells count="25">
    <mergeCell ref="B32:D32"/>
    <mergeCell ref="L32:N32"/>
    <mergeCell ref="A6:C6"/>
    <mergeCell ref="A15:C15"/>
    <mergeCell ref="A17:C17"/>
    <mergeCell ref="A26:N26"/>
    <mergeCell ref="J27:N27"/>
    <mergeCell ref="B28:D28"/>
    <mergeCell ref="L28:N28"/>
    <mergeCell ref="O4:O5"/>
    <mergeCell ref="A1:N1"/>
    <mergeCell ref="A2:N2"/>
    <mergeCell ref="A3:N3"/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L4:L5"/>
    <mergeCell ref="M4:M5"/>
    <mergeCell ref="N4:N5"/>
  </mergeCells>
  <pageMargins left="0.2" right="0.33" top="0.4" bottom="0.36" header="0.3" footer="0.3"/>
  <pageSetup paperSize="9" scale="75" orientation="landscape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sqref="A1:XFD1048576"/>
    </sheetView>
  </sheetViews>
  <sheetFormatPr defaultColWidth="9.109375" defaultRowHeight="16.8" x14ac:dyDescent="0.3"/>
  <cols>
    <col min="1" max="1" width="6.109375" style="2" customWidth="1"/>
    <col min="2" max="2" width="24.6640625" style="1" customWidth="1"/>
    <col min="3" max="3" width="22" style="2" customWidth="1"/>
    <col min="4" max="6" width="11.33203125" style="2" customWidth="1"/>
    <col min="7" max="9" width="12.33203125" style="2" customWidth="1"/>
    <col min="10" max="10" width="12.44140625" style="2" customWidth="1"/>
    <col min="11" max="11" width="11.33203125" style="2" customWidth="1"/>
    <col min="12" max="12" width="12.109375" style="2" customWidth="1"/>
    <col min="13" max="13" width="9.44140625" style="2" customWidth="1"/>
    <col min="14" max="14" width="15" style="2" customWidth="1"/>
    <col min="15" max="15" width="53.88671875" style="2" customWidth="1"/>
    <col min="16" max="16384" width="9.109375" style="1"/>
  </cols>
  <sheetData>
    <row r="1" spans="1:15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5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</row>
    <row r="3" spans="1:15" ht="22.5" customHeight="1" x14ac:dyDescent="0.3">
      <c r="A3" s="179" t="s">
        <v>115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</row>
    <row r="4" spans="1:15" s="3" customFormat="1" ht="22.5" customHeight="1" x14ac:dyDescent="0.3">
      <c r="A4" s="180" t="s">
        <v>0</v>
      </c>
      <c r="B4" s="180" t="s">
        <v>1</v>
      </c>
      <c r="C4" s="180" t="s">
        <v>2</v>
      </c>
      <c r="D4" s="180" t="s">
        <v>23</v>
      </c>
      <c r="E4" s="180"/>
      <c r="F4" s="180"/>
      <c r="G4" s="181" t="s">
        <v>29</v>
      </c>
      <c r="H4" s="181" t="s">
        <v>30</v>
      </c>
      <c r="I4" s="181" t="s">
        <v>31</v>
      </c>
      <c r="J4" s="181" t="s">
        <v>96</v>
      </c>
      <c r="K4" s="181" t="s">
        <v>97</v>
      </c>
      <c r="L4" s="180" t="s">
        <v>6</v>
      </c>
      <c r="M4" s="180" t="s">
        <v>7</v>
      </c>
      <c r="N4" s="180" t="s">
        <v>8</v>
      </c>
      <c r="O4" s="183"/>
    </row>
    <row r="5" spans="1:15" s="3" customFormat="1" ht="49.8" customHeight="1" x14ac:dyDescent="0.3">
      <c r="A5" s="180"/>
      <c r="B5" s="180"/>
      <c r="C5" s="180"/>
      <c r="D5" s="76" t="s">
        <v>3</v>
      </c>
      <c r="E5" s="76" t="s">
        <v>4</v>
      </c>
      <c r="F5" s="76" t="s">
        <v>5</v>
      </c>
      <c r="G5" s="182"/>
      <c r="H5" s="182"/>
      <c r="I5" s="182"/>
      <c r="J5" s="182"/>
      <c r="K5" s="182"/>
      <c r="L5" s="180"/>
      <c r="M5" s="180"/>
      <c r="N5" s="180"/>
      <c r="O5" s="183"/>
    </row>
    <row r="6" spans="1:15" ht="19.5" customHeight="1" x14ac:dyDescent="0.3">
      <c r="A6" s="184" t="s">
        <v>15</v>
      </c>
      <c r="B6" s="184"/>
      <c r="C6" s="18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5" ht="19.5" customHeight="1" x14ac:dyDescent="0.3">
      <c r="A7" s="15">
        <v>1</v>
      </c>
      <c r="B7" s="16" t="s">
        <v>49</v>
      </c>
      <c r="C7" s="15" t="s">
        <v>19</v>
      </c>
      <c r="D7" s="15"/>
      <c r="E7" s="15"/>
      <c r="F7" s="15">
        <v>2</v>
      </c>
      <c r="G7" s="15">
        <f t="shared" ref="G7:H14" si="0">IF(D7&gt;5,(D7-5)*2,0)</f>
        <v>0</v>
      </c>
      <c r="H7" s="15">
        <f t="shared" si="0"/>
        <v>0</v>
      </c>
      <c r="I7" s="15">
        <f t="shared" ref="I7:I14" si="1">IF(F7&gt;2,(F7-2)*1,0)</f>
        <v>0</v>
      </c>
      <c r="J7" s="15">
        <f>SUM(G7:I7)</f>
        <v>0</v>
      </c>
      <c r="K7" s="15"/>
      <c r="L7" s="15">
        <f>100-J7-K7</f>
        <v>100</v>
      </c>
      <c r="M7" s="15" t="str">
        <f t="shared" ref="M7:M14" si="2">IF(L7&lt;71,"KL",IF(AND(L7&gt;=71,L7&lt;81),"C",IF(AND(L7&gt;=81,L7&lt;91),"B","A")))</f>
        <v>A</v>
      </c>
      <c r="N7" s="15" t="str">
        <f t="shared" ref="N7:N14" si="3">IF(M7="A","100% LTT",IF(M7="B","90% LTT",IF(M7="C","80% LTT","60% LTT")))</f>
        <v>100% LTT</v>
      </c>
      <c r="O7" s="11" t="s">
        <v>33</v>
      </c>
    </row>
    <row r="8" spans="1:15" ht="19.5" customHeight="1" x14ac:dyDescent="0.3">
      <c r="A8" s="15">
        <f t="shared" ref="A8:A14" si="4">A7+1</f>
        <v>2</v>
      </c>
      <c r="B8" s="16" t="s">
        <v>52</v>
      </c>
      <c r="C8" s="15" t="s">
        <v>19</v>
      </c>
      <c r="D8" s="15"/>
      <c r="E8" s="15"/>
      <c r="F8" s="15"/>
      <c r="G8" s="15">
        <f t="shared" si="0"/>
        <v>0</v>
      </c>
      <c r="H8" s="15">
        <f t="shared" si="0"/>
        <v>0</v>
      </c>
      <c r="I8" s="15">
        <f t="shared" si="1"/>
        <v>0</v>
      </c>
      <c r="J8" s="15">
        <f t="shared" ref="J8:J14" si="5">SUM(G8:I8)</f>
        <v>0</v>
      </c>
      <c r="K8" s="15"/>
      <c r="L8" s="15">
        <f t="shared" ref="L8:L14" si="6">100-J8-K8</f>
        <v>100</v>
      </c>
      <c r="M8" s="15" t="str">
        <f t="shared" si="2"/>
        <v>A</v>
      </c>
      <c r="N8" s="15" t="str">
        <f t="shared" si="3"/>
        <v>100% LTT</v>
      </c>
      <c r="O8" s="34"/>
    </row>
    <row r="9" spans="1:15" ht="19.5" customHeight="1" x14ac:dyDescent="0.3">
      <c r="A9" s="15">
        <f>A8+1</f>
        <v>3</v>
      </c>
      <c r="B9" s="16" t="s">
        <v>57</v>
      </c>
      <c r="C9" s="15" t="s">
        <v>19</v>
      </c>
      <c r="D9" s="15"/>
      <c r="E9" s="15"/>
      <c r="F9" s="15"/>
      <c r="G9" s="15">
        <f t="shared" si="0"/>
        <v>0</v>
      </c>
      <c r="H9" s="15">
        <f t="shared" si="0"/>
        <v>0</v>
      </c>
      <c r="I9" s="15">
        <f t="shared" si="1"/>
        <v>0</v>
      </c>
      <c r="J9" s="15">
        <f t="shared" si="5"/>
        <v>0</v>
      </c>
      <c r="K9" s="15"/>
      <c r="L9" s="15">
        <f t="shared" si="6"/>
        <v>100</v>
      </c>
      <c r="M9" s="15" t="str">
        <f t="shared" si="2"/>
        <v>A</v>
      </c>
      <c r="N9" s="15" t="str">
        <f t="shared" si="3"/>
        <v>100% LTT</v>
      </c>
      <c r="O9" s="35"/>
    </row>
    <row r="10" spans="1:15" ht="19.5" customHeight="1" x14ac:dyDescent="0.3">
      <c r="A10" s="15">
        <f t="shared" si="4"/>
        <v>4</v>
      </c>
      <c r="B10" s="16" t="s">
        <v>58</v>
      </c>
      <c r="C10" s="15" t="s">
        <v>19</v>
      </c>
      <c r="D10" s="15"/>
      <c r="E10" s="15"/>
      <c r="F10" s="15"/>
      <c r="G10" s="15">
        <f t="shared" si="0"/>
        <v>0</v>
      </c>
      <c r="H10" s="15">
        <f t="shared" si="0"/>
        <v>0</v>
      </c>
      <c r="I10" s="15">
        <f t="shared" si="1"/>
        <v>0</v>
      </c>
      <c r="J10" s="15">
        <f t="shared" si="5"/>
        <v>0</v>
      </c>
      <c r="K10" s="15"/>
      <c r="L10" s="15">
        <f t="shared" si="6"/>
        <v>100</v>
      </c>
      <c r="M10" s="15" t="str">
        <f t="shared" si="2"/>
        <v>A</v>
      </c>
      <c r="N10" s="15" t="str">
        <f t="shared" si="3"/>
        <v>100% LTT</v>
      </c>
      <c r="O10" s="35"/>
    </row>
    <row r="11" spans="1:15" ht="19.5" customHeight="1" x14ac:dyDescent="0.3">
      <c r="A11" s="15">
        <f t="shared" si="4"/>
        <v>5</v>
      </c>
      <c r="B11" s="16" t="s">
        <v>59</v>
      </c>
      <c r="C11" s="15" t="s">
        <v>19</v>
      </c>
      <c r="D11" s="15"/>
      <c r="E11" s="15"/>
      <c r="F11" s="15"/>
      <c r="G11" s="15">
        <f t="shared" si="0"/>
        <v>0</v>
      </c>
      <c r="H11" s="15">
        <f t="shared" si="0"/>
        <v>0</v>
      </c>
      <c r="I11" s="15">
        <f t="shared" si="1"/>
        <v>0</v>
      </c>
      <c r="J11" s="15">
        <f t="shared" si="5"/>
        <v>0</v>
      </c>
      <c r="K11" s="15"/>
      <c r="L11" s="15">
        <f t="shared" si="6"/>
        <v>100</v>
      </c>
      <c r="M11" s="15" t="str">
        <f t="shared" si="2"/>
        <v>A</v>
      </c>
      <c r="N11" s="15" t="str">
        <f t="shared" si="3"/>
        <v>100% LTT</v>
      </c>
      <c r="O11" s="35"/>
    </row>
    <row r="12" spans="1:15" ht="19.5" customHeight="1" x14ac:dyDescent="0.3">
      <c r="A12" s="15">
        <f t="shared" si="4"/>
        <v>6</v>
      </c>
      <c r="B12" s="16" t="s">
        <v>53</v>
      </c>
      <c r="C12" s="15" t="s">
        <v>19</v>
      </c>
      <c r="D12" s="15"/>
      <c r="E12" s="15"/>
      <c r="F12" s="15"/>
      <c r="G12" s="15">
        <f t="shared" si="0"/>
        <v>0</v>
      </c>
      <c r="H12" s="15">
        <f t="shared" si="0"/>
        <v>0</v>
      </c>
      <c r="I12" s="15">
        <f t="shared" si="1"/>
        <v>0</v>
      </c>
      <c r="J12" s="15">
        <f t="shared" si="5"/>
        <v>0</v>
      </c>
      <c r="K12" s="15"/>
      <c r="L12" s="15">
        <f t="shared" si="6"/>
        <v>100</v>
      </c>
      <c r="M12" s="15" t="str">
        <f t="shared" si="2"/>
        <v>A</v>
      </c>
      <c r="N12" s="15" t="str">
        <f t="shared" si="3"/>
        <v>100% LTT</v>
      </c>
      <c r="O12" s="35"/>
    </row>
    <row r="13" spans="1:15" ht="19.5" customHeight="1" x14ac:dyDescent="0.3">
      <c r="A13" s="15">
        <f t="shared" si="4"/>
        <v>7</v>
      </c>
      <c r="B13" s="16" t="s">
        <v>54</v>
      </c>
      <c r="C13" s="15" t="s">
        <v>19</v>
      </c>
      <c r="D13" s="15"/>
      <c r="E13" s="15"/>
      <c r="F13" s="15"/>
      <c r="G13" s="15">
        <f t="shared" si="0"/>
        <v>0</v>
      </c>
      <c r="H13" s="15">
        <f t="shared" si="0"/>
        <v>0</v>
      </c>
      <c r="I13" s="15">
        <f t="shared" si="1"/>
        <v>0</v>
      </c>
      <c r="J13" s="15">
        <f t="shared" si="5"/>
        <v>0</v>
      </c>
      <c r="K13" s="15"/>
      <c r="L13" s="15">
        <f t="shared" si="6"/>
        <v>100</v>
      </c>
      <c r="M13" s="15" t="str">
        <f t="shared" si="2"/>
        <v>A</v>
      </c>
      <c r="N13" s="15" t="str">
        <f t="shared" si="3"/>
        <v>100% LTT</v>
      </c>
      <c r="O13" s="35"/>
    </row>
    <row r="14" spans="1:15" ht="19.5" customHeight="1" x14ac:dyDescent="0.3">
      <c r="A14" s="17">
        <f t="shared" si="4"/>
        <v>8</v>
      </c>
      <c r="B14" s="18" t="s">
        <v>11</v>
      </c>
      <c r="C14" s="17" t="s">
        <v>51</v>
      </c>
      <c r="D14" s="17"/>
      <c r="E14" s="17"/>
      <c r="F14" s="17">
        <v>3</v>
      </c>
      <c r="G14" s="17">
        <f t="shared" si="0"/>
        <v>0</v>
      </c>
      <c r="H14" s="17">
        <f t="shared" si="0"/>
        <v>0</v>
      </c>
      <c r="I14" s="17">
        <f t="shared" si="1"/>
        <v>1</v>
      </c>
      <c r="J14" s="17">
        <f t="shared" si="5"/>
        <v>1</v>
      </c>
      <c r="K14" s="17">
        <v>2</v>
      </c>
      <c r="L14" s="15">
        <f t="shared" si="6"/>
        <v>97</v>
      </c>
      <c r="M14" s="17" t="str">
        <f t="shared" si="2"/>
        <v>A</v>
      </c>
      <c r="N14" s="17" t="str">
        <f t="shared" si="3"/>
        <v>100% LTT</v>
      </c>
      <c r="O14" s="35"/>
    </row>
    <row r="15" spans="1:15" ht="19.5" customHeight="1" x14ac:dyDescent="0.3">
      <c r="A15" s="184" t="s">
        <v>16</v>
      </c>
      <c r="B15" s="184"/>
      <c r="C15" s="18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5" ht="19.5" customHeight="1" x14ac:dyDescent="0.3">
      <c r="A16" s="17">
        <f>A14+1</f>
        <v>9</v>
      </c>
      <c r="B16" s="18" t="s">
        <v>28</v>
      </c>
      <c r="C16" s="17" t="s">
        <v>19</v>
      </c>
      <c r="D16" s="17"/>
      <c r="E16" s="17"/>
      <c r="F16" s="17">
        <v>3</v>
      </c>
      <c r="G16" s="17">
        <f t="shared" ref="G16:H16" si="7">IF(D16&gt;5,(D16-5)*2,0)</f>
        <v>0</v>
      </c>
      <c r="H16" s="17">
        <f t="shared" si="7"/>
        <v>0</v>
      </c>
      <c r="I16" s="17">
        <f t="shared" ref="I16" si="8">IF(F16&gt;2,(F16-2)*1,0)</f>
        <v>1</v>
      </c>
      <c r="J16" s="17">
        <f t="shared" ref="J16" si="9">SUM(G16:I16)</f>
        <v>1</v>
      </c>
      <c r="K16" s="17">
        <v>0</v>
      </c>
      <c r="L16" s="17">
        <f>100-J16-K16</f>
        <v>99</v>
      </c>
      <c r="M16" s="17" t="str">
        <f t="shared" ref="M16" si="10">IF(L16&lt;71,"KL",IF(AND(L16&gt;=71,L16&lt;81),"C",IF(AND(L16&gt;=81,L16&lt;91),"B","A")))</f>
        <v>A</v>
      </c>
      <c r="N16" s="17" t="str">
        <f t="shared" ref="N16" si="11">IF(M16="A","100% LTT",IF(M16="B","90% LTT",IF(M16="C","80% LTT","60% LTT")))</f>
        <v>100% LTT</v>
      </c>
    </row>
    <row r="17" spans="1:14" ht="19.5" customHeight="1" x14ac:dyDescent="0.3">
      <c r="A17" s="184" t="s">
        <v>17</v>
      </c>
      <c r="B17" s="184"/>
      <c r="C17" s="18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ht="19.5" customHeight="1" x14ac:dyDescent="0.3">
      <c r="A18" s="23">
        <f>A16+1</f>
        <v>10</v>
      </c>
      <c r="B18" s="38" t="s">
        <v>12</v>
      </c>
      <c r="C18" s="23" t="s">
        <v>19</v>
      </c>
      <c r="D18" s="23"/>
      <c r="E18" s="23"/>
      <c r="F18" s="23">
        <v>1</v>
      </c>
      <c r="G18" s="74">
        <f t="shared" ref="G18:H25" si="12">IF(D18&gt;5,(D18-5)*2,0)</f>
        <v>0</v>
      </c>
      <c r="H18" s="23">
        <f t="shared" si="12"/>
        <v>0</v>
      </c>
      <c r="I18" s="23">
        <f t="shared" ref="I18:I25" si="13">IF(F18&gt;2,(F18-2)*1,0)</f>
        <v>0</v>
      </c>
      <c r="J18" s="23">
        <f t="shared" ref="J18:J25" si="14">SUM(G18:I18)</f>
        <v>0</v>
      </c>
      <c r="K18" s="23">
        <v>7</v>
      </c>
      <c r="L18" s="23">
        <f>100-J18-K18</f>
        <v>93</v>
      </c>
      <c r="M18" s="23" t="str">
        <f t="shared" ref="M18:M25" si="15">IF(L18&lt;71,"KL",IF(AND(L18&gt;=71,L18&lt;81),"C",IF(AND(L18&gt;=81,L18&lt;91),"B","A")))</f>
        <v>A</v>
      </c>
      <c r="N18" s="23" t="str">
        <f t="shared" ref="N18:N25" si="16">IF(M18="A","100% LTT",IF(M18="B","90% LTT",IF(M18="C","80% LTT","60% LTT")))</f>
        <v>100% LTT</v>
      </c>
    </row>
    <row r="19" spans="1:14" ht="19.5" customHeight="1" x14ac:dyDescent="0.3">
      <c r="A19" s="15">
        <f>A18+1</f>
        <v>11</v>
      </c>
      <c r="B19" s="16" t="s">
        <v>13</v>
      </c>
      <c r="C19" s="15" t="s">
        <v>101</v>
      </c>
      <c r="D19" s="15">
        <v>3</v>
      </c>
      <c r="E19" s="15"/>
      <c r="F19" s="15">
        <v>2</v>
      </c>
      <c r="G19" s="15">
        <f t="shared" si="12"/>
        <v>0</v>
      </c>
      <c r="H19" s="15">
        <f t="shared" si="12"/>
        <v>0</v>
      </c>
      <c r="I19" s="15">
        <f t="shared" si="13"/>
        <v>0</v>
      </c>
      <c r="J19" s="15">
        <f t="shared" si="14"/>
        <v>0</v>
      </c>
      <c r="K19" s="15">
        <v>4</v>
      </c>
      <c r="L19" s="15">
        <f t="shared" ref="L19:L25" si="17">100-J19-K19</f>
        <v>96</v>
      </c>
      <c r="M19" s="15" t="str">
        <f t="shared" si="15"/>
        <v>A</v>
      </c>
      <c r="N19" s="15" t="str">
        <f>IF(M19="A","100% LTT",IF(M19="B","90% LTT",IF(M19="C","80% LTT","60% LTT")))</f>
        <v>100% LTT</v>
      </c>
    </row>
    <row r="20" spans="1:14" ht="19.5" customHeight="1" x14ac:dyDescent="0.3">
      <c r="A20" s="15">
        <f t="shared" ref="A20:A24" si="18">A19+1</f>
        <v>12</v>
      </c>
      <c r="B20" s="16" t="s">
        <v>14</v>
      </c>
      <c r="C20" s="15" t="s">
        <v>19</v>
      </c>
      <c r="D20" s="15"/>
      <c r="E20" s="15"/>
      <c r="F20" s="15"/>
      <c r="G20" s="15">
        <f t="shared" si="12"/>
        <v>0</v>
      </c>
      <c r="H20" s="15">
        <f t="shared" si="12"/>
        <v>0</v>
      </c>
      <c r="I20" s="15">
        <f t="shared" si="13"/>
        <v>0</v>
      </c>
      <c r="J20" s="15">
        <f t="shared" si="14"/>
        <v>0</v>
      </c>
      <c r="K20" s="15">
        <v>8</v>
      </c>
      <c r="L20" s="15">
        <f t="shared" si="17"/>
        <v>92</v>
      </c>
      <c r="M20" s="15" t="str">
        <f t="shared" si="15"/>
        <v>A</v>
      </c>
      <c r="N20" s="15" t="str">
        <f t="shared" si="16"/>
        <v>100% LTT</v>
      </c>
    </row>
    <row r="21" spans="1:14" ht="19.5" customHeight="1" x14ac:dyDescent="0.3">
      <c r="A21" s="15">
        <f t="shared" si="18"/>
        <v>13</v>
      </c>
      <c r="B21" s="16" t="s">
        <v>40</v>
      </c>
      <c r="C21" s="15" t="s">
        <v>19</v>
      </c>
      <c r="D21" s="15"/>
      <c r="E21" s="15"/>
      <c r="F21" s="15"/>
      <c r="G21" s="15">
        <f t="shared" si="12"/>
        <v>0</v>
      </c>
      <c r="H21" s="15">
        <f t="shared" si="12"/>
        <v>0</v>
      </c>
      <c r="I21" s="15">
        <f t="shared" si="13"/>
        <v>0</v>
      </c>
      <c r="J21" s="15">
        <f t="shared" si="14"/>
        <v>0</v>
      </c>
      <c r="K21" s="15">
        <v>8</v>
      </c>
      <c r="L21" s="15">
        <f t="shared" si="17"/>
        <v>92</v>
      </c>
      <c r="M21" s="15" t="str">
        <f t="shared" si="15"/>
        <v>A</v>
      </c>
      <c r="N21" s="15" t="str">
        <f t="shared" si="16"/>
        <v>100% LTT</v>
      </c>
    </row>
    <row r="22" spans="1:14" ht="19.5" customHeight="1" x14ac:dyDescent="0.3">
      <c r="A22" s="15">
        <f t="shared" si="18"/>
        <v>14</v>
      </c>
      <c r="B22" s="16" t="s">
        <v>98</v>
      </c>
      <c r="C22" s="15" t="s">
        <v>102</v>
      </c>
      <c r="D22" s="15"/>
      <c r="E22" s="15"/>
      <c r="F22" s="15"/>
      <c r="G22" s="15">
        <f t="shared" si="12"/>
        <v>0</v>
      </c>
      <c r="H22" s="15">
        <f t="shared" si="12"/>
        <v>0</v>
      </c>
      <c r="I22" s="15">
        <f t="shared" si="13"/>
        <v>0</v>
      </c>
      <c r="J22" s="15">
        <f t="shared" si="14"/>
        <v>0</v>
      </c>
      <c r="K22" s="15">
        <v>8</v>
      </c>
      <c r="L22" s="15">
        <f t="shared" si="17"/>
        <v>92</v>
      </c>
      <c r="M22" s="15" t="str">
        <f t="shared" si="15"/>
        <v>A</v>
      </c>
      <c r="N22" s="15" t="str">
        <f t="shared" si="16"/>
        <v>100% LTT</v>
      </c>
    </row>
    <row r="23" spans="1:14" ht="19.5" customHeight="1" x14ac:dyDescent="0.3">
      <c r="A23" s="15">
        <f t="shared" si="18"/>
        <v>15</v>
      </c>
      <c r="B23" s="16" t="s">
        <v>99</v>
      </c>
      <c r="C23" s="15" t="s">
        <v>102</v>
      </c>
      <c r="D23" s="15"/>
      <c r="E23" s="15"/>
      <c r="F23" s="15"/>
      <c r="G23" s="15">
        <f t="shared" si="12"/>
        <v>0</v>
      </c>
      <c r="H23" s="15">
        <f t="shared" si="12"/>
        <v>0</v>
      </c>
      <c r="I23" s="15">
        <f t="shared" si="13"/>
        <v>0</v>
      </c>
      <c r="J23" s="15">
        <f t="shared" si="14"/>
        <v>0</v>
      </c>
      <c r="K23" s="15">
        <v>6</v>
      </c>
      <c r="L23" s="15">
        <f t="shared" si="17"/>
        <v>94</v>
      </c>
      <c r="M23" s="15" t="str">
        <f t="shared" si="15"/>
        <v>A</v>
      </c>
      <c r="N23" s="15" t="str">
        <f t="shared" si="16"/>
        <v>100% LTT</v>
      </c>
    </row>
    <row r="24" spans="1:14" ht="19.5" customHeight="1" x14ac:dyDescent="0.3">
      <c r="A24" s="15">
        <f t="shared" si="18"/>
        <v>16</v>
      </c>
      <c r="B24" s="16" t="s">
        <v>100</v>
      </c>
      <c r="C24" s="15" t="s">
        <v>102</v>
      </c>
      <c r="D24" s="15"/>
      <c r="E24" s="15"/>
      <c r="F24" s="15"/>
      <c r="G24" s="15">
        <f t="shared" si="12"/>
        <v>0</v>
      </c>
      <c r="H24" s="15">
        <f t="shared" si="12"/>
        <v>0</v>
      </c>
      <c r="I24" s="15">
        <f t="shared" si="13"/>
        <v>0</v>
      </c>
      <c r="J24" s="15">
        <f t="shared" si="14"/>
        <v>0</v>
      </c>
      <c r="K24" s="15">
        <v>6</v>
      </c>
      <c r="L24" s="15">
        <f t="shared" si="17"/>
        <v>94</v>
      </c>
      <c r="M24" s="15" t="str">
        <f t="shared" si="15"/>
        <v>A</v>
      </c>
      <c r="N24" s="15" t="str">
        <f t="shared" si="16"/>
        <v>100% LTT</v>
      </c>
    </row>
    <row r="25" spans="1:14" ht="19.5" customHeight="1" x14ac:dyDescent="0.3">
      <c r="A25" s="17">
        <v>17</v>
      </c>
      <c r="B25" s="18" t="s">
        <v>116</v>
      </c>
      <c r="C25" s="17" t="s">
        <v>107</v>
      </c>
      <c r="D25" s="17"/>
      <c r="E25" s="17"/>
      <c r="F25" s="17"/>
      <c r="G25" s="15">
        <f t="shared" si="12"/>
        <v>0</v>
      </c>
      <c r="H25" s="15">
        <f t="shared" si="12"/>
        <v>0</v>
      </c>
      <c r="I25" s="15">
        <f t="shared" si="13"/>
        <v>0</v>
      </c>
      <c r="J25" s="15">
        <f t="shared" si="14"/>
        <v>0</v>
      </c>
      <c r="K25" s="17">
        <v>8</v>
      </c>
      <c r="L25" s="17">
        <f t="shared" si="17"/>
        <v>92</v>
      </c>
      <c r="M25" s="17" t="str">
        <f t="shared" si="15"/>
        <v>A</v>
      </c>
      <c r="N25" s="17" t="str">
        <f t="shared" si="16"/>
        <v>100% LTT</v>
      </c>
    </row>
    <row r="26" spans="1:14" ht="22.5" customHeight="1" x14ac:dyDescent="0.3">
      <c r="A26" s="180" t="s">
        <v>60</v>
      </c>
      <c r="B26" s="180"/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0"/>
      <c r="N26" s="180"/>
    </row>
    <row r="27" spans="1:14" ht="22.5" customHeight="1" x14ac:dyDescent="0.3">
      <c r="J27" s="185" t="s">
        <v>111</v>
      </c>
      <c r="K27" s="185"/>
      <c r="L27" s="185"/>
      <c r="M27" s="185"/>
      <c r="N27" s="185"/>
    </row>
    <row r="28" spans="1:14" ht="22.5" customHeight="1" x14ac:dyDescent="0.3">
      <c r="B28" s="178" t="s">
        <v>22</v>
      </c>
      <c r="C28" s="178"/>
      <c r="D28" s="178"/>
      <c r="L28" s="178" t="s">
        <v>25</v>
      </c>
      <c r="M28" s="178"/>
      <c r="N28" s="178"/>
    </row>
    <row r="29" spans="1:14" ht="22.5" customHeight="1" x14ac:dyDescent="0.3">
      <c r="L29" s="75"/>
      <c r="M29" s="75"/>
    </row>
    <row r="30" spans="1:14" ht="22.5" customHeight="1" x14ac:dyDescent="0.3">
      <c r="L30" s="75"/>
      <c r="M30" s="75"/>
    </row>
    <row r="31" spans="1:14" ht="22.5" customHeight="1" x14ac:dyDescent="0.3">
      <c r="L31" s="75"/>
      <c r="M31" s="75"/>
    </row>
    <row r="32" spans="1:14" ht="22.5" customHeight="1" x14ac:dyDescent="0.3">
      <c r="B32" s="178" t="s">
        <v>28</v>
      </c>
      <c r="C32" s="178"/>
      <c r="D32" s="178"/>
      <c r="L32" s="178" t="s">
        <v>27</v>
      </c>
      <c r="M32" s="178"/>
      <c r="N32" s="178"/>
    </row>
    <row r="33" spans="3:4" ht="22.5" customHeight="1" x14ac:dyDescent="0.3">
      <c r="C33" s="1"/>
      <c r="D33" s="1"/>
    </row>
  </sheetData>
  <mergeCells count="25">
    <mergeCell ref="B32:D32"/>
    <mergeCell ref="L32:N32"/>
    <mergeCell ref="A6:C6"/>
    <mergeCell ref="A15:C15"/>
    <mergeCell ref="A17:C17"/>
    <mergeCell ref="A26:N26"/>
    <mergeCell ref="J27:N27"/>
    <mergeCell ref="B28:D28"/>
    <mergeCell ref="L28:N28"/>
    <mergeCell ref="O4:O5"/>
    <mergeCell ref="A1:N1"/>
    <mergeCell ref="A2:N2"/>
    <mergeCell ref="A3:N3"/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L4:L5"/>
    <mergeCell ref="M4:M5"/>
    <mergeCell ref="N4:N5"/>
  </mergeCells>
  <pageMargins left="0.42" right="0.36" top="0.52" bottom="0.47" header="0.3" footer="0.3"/>
  <pageSetup paperSize="9" scale="75" orientation="landscape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workbookViewId="0">
      <pane xSplit="2" ySplit="6" topLeftCell="D7" activePane="bottomRight" state="frozen"/>
      <selection pane="topRight" activeCell="C1" sqref="C1"/>
      <selection pane="bottomLeft" activeCell="A7" sqref="A7"/>
      <selection pane="bottomRight" sqref="A1:XFD1048576"/>
    </sheetView>
  </sheetViews>
  <sheetFormatPr defaultColWidth="9.109375" defaultRowHeight="16.8" x14ac:dyDescent="0.3"/>
  <cols>
    <col min="1" max="1" width="6.109375" style="2" customWidth="1"/>
    <col min="2" max="2" width="24.6640625" style="1" customWidth="1"/>
    <col min="3" max="3" width="22" style="2" customWidth="1"/>
    <col min="4" max="6" width="11.33203125" style="2" customWidth="1"/>
    <col min="7" max="9" width="12.33203125" style="2" customWidth="1"/>
    <col min="10" max="10" width="12.44140625" style="2" customWidth="1"/>
    <col min="11" max="11" width="11.33203125" style="2" customWidth="1"/>
    <col min="12" max="12" width="12.109375" style="2" customWidth="1"/>
    <col min="13" max="13" width="9.44140625" style="2" customWidth="1"/>
    <col min="14" max="14" width="15" style="2" customWidth="1"/>
    <col min="15" max="15" width="53.88671875" style="2" customWidth="1"/>
    <col min="16" max="16384" width="9.109375" style="1"/>
  </cols>
  <sheetData>
    <row r="1" spans="1:15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5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</row>
    <row r="3" spans="1:15" ht="22.5" customHeight="1" x14ac:dyDescent="0.3">
      <c r="A3" s="179" t="s">
        <v>117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</row>
    <row r="4" spans="1:15" s="3" customFormat="1" ht="22.5" customHeight="1" x14ac:dyDescent="0.3">
      <c r="A4" s="180" t="s">
        <v>0</v>
      </c>
      <c r="B4" s="180" t="s">
        <v>1</v>
      </c>
      <c r="C4" s="180" t="s">
        <v>2</v>
      </c>
      <c r="D4" s="180" t="s">
        <v>23</v>
      </c>
      <c r="E4" s="180"/>
      <c r="F4" s="180"/>
      <c r="G4" s="181" t="s">
        <v>29</v>
      </c>
      <c r="H4" s="181" t="s">
        <v>30</v>
      </c>
      <c r="I4" s="181" t="s">
        <v>31</v>
      </c>
      <c r="J4" s="181" t="s">
        <v>96</v>
      </c>
      <c r="K4" s="181" t="s">
        <v>97</v>
      </c>
      <c r="L4" s="180" t="s">
        <v>6</v>
      </c>
      <c r="M4" s="180" t="s">
        <v>7</v>
      </c>
      <c r="N4" s="180" t="s">
        <v>8</v>
      </c>
      <c r="O4" s="183"/>
    </row>
    <row r="5" spans="1:15" s="3" customFormat="1" ht="49.8" customHeight="1" x14ac:dyDescent="0.3">
      <c r="A5" s="180"/>
      <c r="B5" s="180"/>
      <c r="C5" s="180"/>
      <c r="D5" s="78" t="s">
        <v>3</v>
      </c>
      <c r="E5" s="78" t="s">
        <v>4</v>
      </c>
      <c r="F5" s="78" t="s">
        <v>5</v>
      </c>
      <c r="G5" s="182"/>
      <c r="H5" s="182"/>
      <c r="I5" s="182"/>
      <c r="J5" s="182"/>
      <c r="K5" s="182"/>
      <c r="L5" s="180"/>
      <c r="M5" s="180"/>
      <c r="N5" s="180"/>
      <c r="O5" s="183"/>
    </row>
    <row r="6" spans="1:15" ht="19.5" customHeight="1" x14ac:dyDescent="0.3">
      <c r="A6" s="184" t="s">
        <v>15</v>
      </c>
      <c r="B6" s="184"/>
      <c r="C6" s="18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5" ht="19.5" customHeight="1" x14ac:dyDescent="0.3">
      <c r="A7" s="15">
        <v>1</v>
      </c>
      <c r="B7" s="16" t="s">
        <v>49</v>
      </c>
      <c r="C7" s="15" t="s">
        <v>19</v>
      </c>
      <c r="D7" s="15"/>
      <c r="E7" s="15">
        <v>1</v>
      </c>
      <c r="F7" s="15">
        <v>2</v>
      </c>
      <c r="G7" s="15">
        <f t="shared" ref="G7:H14" si="0">IF(D7&gt;5,(D7-5)*2,0)</f>
        <v>0</v>
      </c>
      <c r="H7" s="15">
        <f t="shared" si="0"/>
        <v>0</v>
      </c>
      <c r="I7" s="15">
        <f t="shared" ref="I7:I14" si="1">IF(F7&gt;2,(F7-2)*1,0)</f>
        <v>0</v>
      </c>
      <c r="J7" s="15">
        <f>SUM(G7:I7)</f>
        <v>0</v>
      </c>
      <c r="K7" s="15">
        <v>3</v>
      </c>
      <c r="L7" s="15">
        <f>100-J7-K7</f>
        <v>97</v>
      </c>
      <c r="M7" s="15" t="str">
        <f t="shared" ref="M7:M14" si="2">IF(L7&lt;71,"KL",IF(AND(L7&gt;=71,L7&lt;81),"C",IF(AND(L7&gt;=81,L7&lt;91),"B","A")))</f>
        <v>A</v>
      </c>
      <c r="N7" s="15" t="str">
        <f t="shared" ref="N7:N14" si="3">IF(M7="A","100% LTT",IF(M7="B","90% LTT",IF(M7="C","80% LTT","60% LTT")))</f>
        <v>100% LTT</v>
      </c>
      <c r="O7" s="11" t="s">
        <v>33</v>
      </c>
    </row>
    <row r="8" spans="1:15" ht="19.5" customHeight="1" x14ac:dyDescent="0.3">
      <c r="A8" s="15">
        <f t="shared" ref="A8:A14" si="4">A7+1</f>
        <v>2</v>
      </c>
      <c r="B8" s="16" t="s">
        <v>52</v>
      </c>
      <c r="C8" s="15" t="s">
        <v>19</v>
      </c>
      <c r="D8" s="15"/>
      <c r="E8" s="15"/>
      <c r="F8" s="15"/>
      <c r="G8" s="15">
        <f t="shared" si="0"/>
        <v>0</v>
      </c>
      <c r="H8" s="15">
        <f t="shared" si="0"/>
        <v>0</v>
      </c>
      <c r="I8" s="15">
        <f t="shared" si="1"/>
        <v>0</v>
      </c>
      <c r="J8" s="15">
        <f t="shared" ref="J8:J14" si="5">SUM(G8:I8)</f>
        <v>0</v>
      </c>
      <c r="K8" s="15"/>
      <c r="L8" s="15">
        <f t="shared" ref="L8:L14" si="6">100-J8-K8</f>
        <v>100</v>
      </c>
      <c r="M8" s="15" t="str">
        <f t="shared" si="2"/>
        <v>A</v>
      </c>
      <c r="N8" s="15" t="str">
        <f t="shared" si="3"/>
        <v>100% LTT</v>
      </c>
      <c r="O8" s="34"/>
    </row>
    <row r="9" spans="1:15" ht="19.5" customHeight="1" x14ac:dyDescent="0.3">
      <c r="A9" s="15">
        <f>A8+1</f>
        <v>3</v>
      </c>
      <c r="B9" s="16" t="s">
        <v>57</v>
      </c>
      <c r="C9" s="15" t="s">
        <v>19</v>
      </c>
      <c r="D9" s="15"/>
      <c r="E9" s="15"/>
      <c r="F9" s="15"/>
      <c r="G9" s="15">
        <f t="shared" si="0"/>
        <v>0</v>
      </c>
      <c r="H9" s="15">
        <f t="shared" si="0"/>
        <v>0</v>
      </c>
      <c r="I9" s="15">
        <f t="shared" si="1"/>
        <v>0</v>
      </c>
      <c r="J9" s="15">
        <f t="shared" si="5"/>
        <v>0</v>
      </c>
      <c r="K9" s="15"/>
      <c r="L9" s="15">
        <f t="shared" si="6"/>
        <v>100</v>
      </c>
      <c r="M9" s="15" t="str">
        <f t="shared" si="2"/>
        <v>A</v>
      </c>
      <c r="N9" s="15" t="str">
        <f t="shared" si="3"/>
        <v>100% LTT</v>
      </c>
      <c r="O9" s="35"/>
    </row>
    <row r="10" spans="1:15" ht="19.5" customHeight="1" x14ac:dyDescent="0.3">
      <c r="A10" s="15">
        <f t="shared" si="4"/>
        <v>4</v>
      </c>
      <c r="B10" s="16" t="s">
        <v>58</v>
      </c>
      <c r="C10" s="15" t="s">
        <v>19</v>
      </c>
      <c r="D10" s="15"/>
      <c r="E10" s="15"/>
      <c r="F10" s="15"/>
      <c r="G10" s="15">
        <f t="shared" si="0"/>
        <v>0</v>
      </c>
      <c r="H10" s="15">
        <f t="shared" si="0"/>
        <v>0</v>
      </c>
      <c r="I10" s="15">
        <f t="shared" si="1"/>
        <v>0</v>
      </c>
      <c r="J10" s="15">
        <f t="shared" si="5"/>
        <v>0</v>
      </c>
      <c r="K10" s="15"/>
      <c r="L10" s="15">
        <f t="shared" si="6"/>
        <v>100</v>
      </c>
      <c r="M10" s="15" t="str">
        <f t="shared" si="2"/>
        <v>A</v>
      </c>
      <c r="N10" s="15" t="str">
        <f t="shared" si="3"/>
        <v>100% LTT</v>
      </c>
      <c r="O10" s="35"/>
    </row>
    <row r="11" spans="1:15" ht="19.5" customHeight="1" x14ac:dyDescent="0.3">
      <c r="A11" s="15">
        <f t="shared" si="4"/>
        <v>5</v>
      </c>
      <c r="B11" s="16" t="s">
        <v>59</v>
      </c>
      <c r="C11" s="15" t="s">
        <v>19</v>
      </c>
      <c r="D11" s="15"/>
      <c r="E11" s="15"/>
      <c r="F11" s="15"/>
      <c r="G11" s="15">
        <f t="shared" si="0"/>
        <v>0</v>
      </c>
      <c r="H11" s="15">
        <f t="shared" si="0"/>
        <v>0</v>
      </c>
      <c r="I11" s="15">
        <f t="shared" si="1"/>
        <v>0</v>
      </c>
      <c r="J11" s="15">
        <f t="shared" si="5"/>
        <v>0</v>
      </c>
      <c r="K11" s="15"/>
      <c r="L11" s="15">
        <f t="shared" si="6"/>
        <v>100</v>
      </c>
      <c r="M11" s="15" t="str">
        <f t="shared" si="2"/>
        <v>A</v>
      </c>
      <c r="N11" s="15" t="str">
        <f t="shared" si="3"/>
        <v>100% LTT</v>
      </c>
      <c r="O11" s="35"/>
    </row>
    <row r="12" spans="1:15" ht="19.5" customHeight="1" x14ac:dyDescent="0.3">
      <c r="A12" s="15">
        <f t="shared" si="4"/>
        <v>6</v>
      </c>
      <c r="B12" s="16" t="s">
        <v>53</v>
      </c>
      <c r="C12" s="15" t="s">
        <v>19</v>
      </c>
      <c r="D12" s="15"/>
      <c r="E12" s="15"/>
      <c r="F12" s="15"/>
      <c r="G12" s="15">
        <f t="shared" si="0"/>
        <v>0</v>
      </c>
      <c r="H12" s="15">
        <f t="shared" si="0"/>
        <v>0</v>
      </c>
      <c r="I12" s="15">
        <f t="shared" si="1"/>
        <v>0</v>
      </c>
      <c r="J12" s="15">
        <f t="shared" si="5"/>
        <v>0</v>
      </c>
      <c r="K12" s="15"/>
      <c r="L12" s="15">
        <f t="shared" si="6"/>
        <v>100</v>
      </c>
      <c r="M12" s="15" t="str">
        <f t="shared" si="2"/>
        <v>A</v>
      </c>
      <c r="N12" s="15" t="str">
        <f t="shared" si="3"/>
        <v>100% LTT</v>
      </c>
      <c r="O12" s="35"/>
    </row>
    <row r="13" spans="1:15" ht="19.5" customHeight="1" x14ac:dyDescent="0.3">
      <c r="A13" s="15">
        <f t="shared" si="4"/>
        <v>7</v>
      </c>
      <c r="B13" s="16" t="s">
        <v>54</v>
      </c>
      <c r="C13" s="15" t="s">
        <v>19</v>
      </c>
      <c r="D13" s="15"/>
      <c r="E13" s="15"/>
      <c r="F13" s="15"/>
      <c r="G13" s="15">
        <f t="shared" si="0"/>
        <v>0</v>
      </c>
      <c r="H13" s="15">
        <f t="shared" si="0"/>
        <v>0</v>
      </c>
      <c r="I13" s="15">
        <f t="shared" si="1"/>
        <v>0</v>
      </c>
      <c r="J13" s="15">
        <f t="shared" si="5"/>
        <v>0</v>
      </c>
      <c r="K13" s="15"/>
      <c r="L13" s="15">
        <f t="shared" si="6"/>
        <v>100</v>
      </c>
      <c r="M13" s="15" t="str">
        <f t="shared" si="2"/>
        <v>A</v>
      </c>
      <c r="N13" s="15" t="str">
        <f t="shared" si="3"/>
        <v>100% LTT</v>
      </c>
      <c r="O13" s="35"/>
    </row>
    <row r="14" spans="1:15" ht="19.5" customHeight="1" x14ac:dyDescent="0.3">
      <c r="A14" s="17">
        <f t="shared" si="4"/>
        <v>8</v>
      </c>
      <c r="B14" s="18" t="s">
        <v>11</v>
      </c>
      <c r="C14" s="17" t="s">
        <v>51</v>
      </c>
      <c r="D14" s="17">
        <v>1</v>
      </c>
      <c r="E14" s="17"/>
      <c r="F14" s="17"/>
      <c r="G14" s="17">
        <f t="shared" si="0"/>
        <v>0</v>
      </c>
      <c r="H14" s="17">
        <f t="shared" si="0"/>
        <v>0</v>
      </c>
      <c r="I14" s="17">
        <f t="shared" si="1"/>
        <v>0</v>
      </c>
      <c r="J14" s="17">
        <f t="shared" si="5"/>
        <v>0</v>
      </c>
      <c r="K14" s="17">
        <v>1</v>
      </c>
      <c r="L14" s="15">
        <f t="shared" si="6"/>
        <v>99</v>
      </c>
      <c r="M14" s="17" t="str">
        <f t="shared" si="2"/>
        <v>A</v>
      </c>
      <c r="N14" s="17" t="str">
        <f t="shared" si="3"/>
        <v>100% LTT</v>
      </c>
      <c r="O14" s="35"/>
    </row>
    <row r="15" spans="1:15" ht="19.5" customHeight="1" x14ac:dyDescent="0.3">
      <c r="A15" s="184" t="s">
        <v>16</v>
      </c>
      <c r="B15" s="184"/>
      <c r="C15" s="18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5" ht="19.5" customHeight="1" x14ac:dyDescent="0.3">
      <c r="A16" s="17">
        <f>A14+1</f>
        <v>9</v>
      </c>
      <c r="B16" s="18" t="s">
        <v>28</v>
      </c>
      <c r="C16" s="17" t="s">
        <v>19</v>
      </c>
      <c r="D16" s="17">
        <v>2</v>
      </c>
      <c r="E16" s="17"/>
      <c r="F16" s="17">
        <v>1</v>
      </c>
      <c r="G16" s="17">
        <f t="shared" ref="G16:H16" si="7">IF(D16&gt;5,(D16-5)*2,0)</f>
        <v>0</v>
      </c>
      <c r="H16" s="17">
        <f t="shared" si="7"/>
        <v>0</v>
      </c>
      <c r="I16" s="17">
        <f t="shared" ref="I16" si="8">IF(F16&gt;2,(F16-2)*1,0)</f>
        <v>0</v>
      </c>
      <c r="J16" s="17">
        <f t="shared" ref="J16" si="9">SUM(G16:I16)</f>
        <v>0</v>
      </c>
      <c r="K16" s="17"/>
      <c r="L16" s="17">
        <f>100-J16-K16</f>
        <v>100</v>
      </c>
      <c r="M16" s="17" t="str">
        <f t="shared" ref="M16" si="10">IF(L16&lt;71,"KL",IF(AND(L16&gt;=71,L16&lt;81),"C",IF(AND(L16&gt;=81,L16&lt;91),"B","A")))</f>
        <v>A</v>
      </c>
      <c r="N16" s="17" t="str">
        <f t="shared" ref="N16" si="11">IF(M16="A","100% LTT",IF(M16="B","90% LTT",IF(M16="C","80% LTT","60% LTT")))</f>
        <v>100% LTT</v>
      </c>
    </row>
    <row r="17" spans="1:14" ht="19.5" customHeight="1" x14ac:dyDescent="0.3">
      <c r="A17" s="184" t="s">
        <v>17</v>
      </c>
      <c r="B17" s="184"/>
      <c r="C17" s="18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ht="19.5" customHeight="1" x14ac:dyDescent="0.3">
      <c r="A18" s="23">
        <f>A16+1</f>
        <v>10</v>
      </c>
      <c r="B18" s="38" t="s">
        <v>12</v>
      </c>
      <c r="C18" s="23" t="s">
        <v>19</v>
      </c>
      <c r="D18" s="23"/>
      <c r="E18" s="23"/>
      <c r="F18" s="23"/>
      <c r="G18" s="74">
        <f t="shared" ref="G18:H25" si="12">IF(D18&gt;5,(D18-5)*2,0)</f>
        <v>0</v>
      </c>
      <c r="H18" s="23">
        <f t="shared" si="12"/>
        <v>0</v>
      </c>
      <c r="I18" s="23">
        <f t="shared" ref="I18:I25" si="13">IF(F18&gt;2,(F18-2)*1,0)</f>
        <v>0</v>
      </c>
      <c r="J18" s="23">
        <f t="shared" ref="J18:J25" si="14">SUM(G18:I18)</f>
        <v>0</v>
      </c>
      <c r="K18" s="23">
        <v>8</v>
      </c>
      <c r="L18" s="23">
        <f>100-J18-K18</f>
        <v>92</v>
      </c>
      <c r="M18" s="23" t="str">
        <f t="shared" ref="M18:M25" si="15">IF(L18&lt;71,"KL",IF(AND(L18&gt;=71,L18&lt;81),"C",IF(AND(L18&gt;=81,L18&lt;91),"B","A")))</f>
        <v>A</v>
      </c>
      <c r="N18" s="23" t="str">
        <f t="shared" ref="N18:N25" si="16">IF(M18="A","100% LTT",IF(M18="B","90% LTT",IF(M18="C","80% LTT","60% LTT")))</f>
        <v>100% LTT</v>
      </c>
    </row>
    <row r="19" spans="1:14" ht="19.5" customHeight="1" x14ac:dyDescent="0.3">
      <c r="A19" s="15">
        <f>A18+1</f>
        <v>11</v>
      </c>
      <c r="B19" s="16" t="s">
        <v>13</v>
      </c>
      <c r="C19" s="15" t="s">
        <v>101</v>
      </c>
      <c r="D19" s="15">
        <v>2</v>
      </c>
      <c r="E19" s="15"/>
      <c r="F19" s="15">
        <v>2</v>
      </c>
      <c r="G19" s="15">
        <f t="shared" si="12"/>
        <v>0</v>
      </c>
      <c r="H19" s="15">
        <f t="shared" si="12"/>
        <v>0</v>
      </c>
      <c r="I19" s="15">
        <f t="shared" si="13"/>
        <v>0</v>
      </c>
      <c r="J19" s="15">
        <f t="shared" si="14"/>
        <v>0</v>
      </c>
      <c r="K19" s="15">
        <v>4</v>
      </c>
      <c r="L19" s="15">
        <f t="shared" ref="L19:L25" si="17">100-J19-K19</f>
        <v>96</v>
      </c>
      <c r="M19" s="15" t="str">
        <f t="shared" si="15"/>
        <v>A</v>
      </c>
      <c r="N19" s="15" t="str">
        <f>IF(M19="A","100% LTT",IF(M19="B","90% LTT",IF(M19="C","80% LTT","60% LTT")))</f>
        <v>100% LTT</v>
      </c>
    </row>
    <row r="20" spans="1:14" ht="19.5" customHeight="1" x14ac:dyDescent="0.3">
      <c r="A20" s="15">
        <f t="shared" ref="A20:A24" si="18">A19+1</f>
        <v>12</v>
      </c>
      <c r="B20" s="16" t="s">
        <v>14</v>
      </c>
      <c r="C20" s="15" t="s">
        <v>19</v>
      </c>
      <c r="D20" s="15"/>
      <c r="E20" s="15"/>
      <c r="F20" s="15">
        <v>2</v>
      </c>
      <c r="G20" s="15">
        <f t="shared" si="12"/>
        <v>0</v>
      </c>
      <c r="H20" s="15">
        <f t="shared" si="12"/>
        <v>0</v>
      </c>
      <c r="I20" s="15">
        <f t="shared" si="13"/>
        <v>0</v>
      </c>
      <c r="J20" s="15">
        <f t="shared" si="14"/>
        <v>0</v>
      </c>
      <c r="K20" s="15">
        <v>7</v>
      </c>
      <c r="L20" s="15">
        <f t="shared" si="17"/>
        <v>93</v>
      </c>
      <c r="M20" s="15" t="str">
        <f t="shared" si="15"/>
        <v>A</v>
      </c>
      <c r="N20" s="15" t="str">
        <f t="shared" si="16"/>
        <v>100% LTT</v>
      </c>
    </row>
    <row r="21" spans="1:14" ht="19.5" customHeight="1" x14ac:dyDescent="0.3">
      <c r="A21" s="15">
        <f t="shared" si="18"/>
        <v>13</v>
      </c>
      <c r="B21" s="16" t="s">
        <v>40</v>
      </c>
      <c r="C21" s="15" t="s">
        <v>19</v>
      </c>
      <c r="D21" s="15"/>
      <c r="E21" s="15"/>
      <c r="F21" s="15"/>
      <c r="G21" s="15">
        <f t="shared" si="12"/>
        <v>0</v>
      </c>
      <c r="H21" s="15">
        <f t="shared" si="12"/>
        <v>0</v>
      </c>
      <c r="I21" s="15">
        <f t="shared" si="13"/>
        <v>0</v>
      </c>
      <c r="J21" s="15">
        <f t="shared" si="14"/>
        <v>0</v>
      </c>
      <c r="K21" s="15">
        <v>8</v>
      </c>
      <c r="L21" s="15">
        <f t="shared" si="17"/>
        <v>92</v>
      </c>
      <c r="M21" s="15" t="str">
        <f t="shared" si="15"/>
        <v>A</v>
      </c>
      <c r="N21" s="15" t="str">
        <f t="shared" si="16"/>
        <v>100% LTT</v>
      </c>
    </row>
    <row r="22" spans="1:14" ht="19.5" customHeight="1" x14ac:dyDescent="0.3">
      <c r="A22" s="15">
        <f t="shared" si="18"/>
        <v>14</v>
      </c>
      <c r="B22" s="16" t="s">
        <v>98</v>
      </c>
      <c r="C22" s="15" t="s">
        <v>102</v>
      </c>
      <c r="D22" s="15"/>
      <c r="E22" s="15"/>
      <c r="F22" s="15"/>
      <c r="G22" s="15">
        <f t="shared" si="12"/>
        <v>0</v>
      </c>
      <c r="H22" s="15">
        <f t="shared" si="12"/>
        <v>0</v>
      </c>
      <c r="I22" s="15">
        <f t="shared" si="13"/>
        <v>0</v>
      </c>
      <c r="J22" s="15">
        <f t="shared" si="14"/>
        <v>0</v>
      </c>
      <c r="K22" s="15">
        <v>8</v>
      </c>
      <c r="L22" s="15">
        <f t="shared" si="17"/>
        <v>92</v>
      </c>
      <c r="M22" s="15" t="str">
        <f t="shared" si="15"/>
        <v>A</v>
      </c>
      <c r="N22" s="15" t="str">
        <f t="shared" si="16"/>
        <v>100% LTT</v>
      </c>
    </row>
    <row r="23" spans="1:14" ht="19.5" customHeight="1" x14ac:dyDescent="0.3">
      <c r="A23" s="15">
        <f t="shared" si="18"/>
        <v>15</v>
      </c>
      <c r="B23" s="16" t="s">
        <v>99</v>
      </c>
      <c r="C23" s="15" t="s">
        <v>102</v>
      </c>
      <c r="D23" s="15"/>
      <c r="E23" s="15"/>
      <c r="F23" s="15"/>
      <c r="G23" s="15">
        <f t="shared" si="12"/>
        <v>0</v>
      </c>
      <c r="H23" s="15">
        <f t="shared" si="12"/>
        <v>0</v>
      </c>
      <c r="I23" s="15">
        <f t="shared" si="13"/>
        <v>0</v>
      </c>
      <c r="J23" s="15">
        <f t="shared" si="14"/>
        <v>0</v>
      </c>
      <c r="K23" s="15">
        <v>3</v>
      </c>
      <c r="L23" s="15">
        <f t="shared" si="17"/>
        <v>97</v>
      </c>
      <c r="M23" s="15" t="str">
        <f t="shared" si="15"/>
        <v>A</v>
      </c>
      <c r="N23" s="15" t="str">
        <f t="shared" si="16"/>
        <v>100% LTT</v>
      </c>
    </row>
    <row r="24" spans="1:14" ht="19.5" customHeight="1" x14ac:dyDescent="0.3">
      <c r="A24" s="15">
        <f t="shared" si="18"/>
        <v>16</v>
      </c>
      <c r="B24" s="16" t="s">
        <v>100</v>
      </c>
      <c r="C24" s="15" t="s">
        <v>102</v>
      </c>
      <c r="D24" s="15"/>
      <c r="E24" s="15"/>
      <c r="F24" s="15"/>
      <c r="G24" s="15">
        <f t="shared" si="12"/>
        <v>0</v>
      </c>
      <c r="H24" s="15">
        <f t="shared" si="12"/>
        <v>0</v>
      </c>
      <c r="I24" s="15">
        <f t="shared" si="13"/>
        <v>0</v>
      </c>
      <c r="J24" s="15">
        <f t="shared" si="14"/>
        <v>0</v>
      </c>
      <c r="K24" s="15">
        <v>5</v>
      </c>
      <c r="L24" s="15">
        <f t="shared" si="17"/>
        <v>95</v>
      </c>
      <c r="M24" s="15" t="str">
        <f t="shared" si="15"/>
        <v>A</v>
      </c>
      <c r="N24" s="15" t="str">
        <f t="shared" si="16"/>
        <v>100% LTT</v>
      </c>
    </row>
    <row r="25" spans="1:14" ht="19.5" customHeight="1" x14ac:dyDescent="0.3">
      <c r="A25" s="17">
        <v>17</v>
      </c>
      <c r="B25" s="18" t="s">
        <v>116</v>
      </c>
      <c r="C25" s="17" t="s">
        <v>107</v>
      </c>
      <c r="D25" s="17"/>
      <c r="E25" s="17"/>
      <c r="F25" s="17"/>
      <c r="G25" s="15">
        <f t="shared" si="12"/>
        <v>0</v>
      </c>
      <c r="H25" s="15">
        <f t="shared" si="12"/>
        <v>0</v>
      </c>
      <c r="I25" s="15">
        <f t="shared" si="13"/>
        <v>0</v>
      </c>
      <c r="J25" s="15">
        <f t="shared" si="14"/>
        <v>0</v>
      </c>
      <c r="K25" s="17">
        <v>8</v>
      </c>
      <c r="L25" s="17">
        <f t="shared" si="17"/>
        <v>92</v>
      </c>
      <c r="M25" s="17" t="str">
        <f t="shared" si="15"/>
        <v>A</v>
      </c>
      <c r="N25" s="17" t="str">
        <f t="shared" si="16"/>
        <v>100% LTT</v>
      </c>
    </row>
    <row r="26" spans="1:14" ht="22.5" customHeight="1" x14ac:dyDescent="0.3">
      <c r="A26" s="180" t="s">
        <v>60</v>
      </c>
      <c r="B26" s="180"/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0"/>
      <c r="N26" s="180"/>
    </row>
    <row r="27" spans="1:14" ht="22.5" customHeight="1" x14ac:dyDescent="0.3">
      <c r="J27" s="185" t="s">
        <v>111</v>
      </c>
      <c r="K27" s="185"/>
      <c r="L27" s="185"/>
      <c r="M27" s="185"/>
      <c r="N27" s="185"/>
    </row>
    <row r="28" spans="1:14" ht="22.5" customHeight="1" x14ac:dyDescent="0.3">
      <c r="B28" s="178" t="s">
        <v>22</v>
      </c>
      <c r="C28" s="178"/>
      <c r="D28" s="178"/>
      <c r="L28" s="178" t="s">
        <v>25</v>
      </c>
      <c r="M28" s="178"/>
      <c r="N28" s="178"/>
    </row>
    <row r="29" spans="1:14" ht="22.5" customHeight="1" x14ac:dyDescent="0.3">
      <c r="L29" s="77"/>
      <c r="M29" s="77"/>
    </row>
    <row r="30" spans="1:14" ht="22.5" customHeight="1" x14ac:dyDescent="0.3">
      <c r="L30" s="77"/>
      <c r="M30" s="77"/>
    </row>
    <row r="31" spans="1:14" ht="22.5" customHeight="1" x14ac:dyDescent="0.3">
      <c r="L31" s="77"/>
      <c r="M31" s="77"/>
    </row>
    <row r="32" spans="1:14" ht="22.5" customHeight="1" x14ac:dyDescent="0.3">
      <c r="B32" s="178" t="s">
        <v>28</v>
      </c>
      <c r="C32" s="178"/>
      <c r="D32" s="178"/>
      <c r="L32" s="178" t="s">
        <v>27</v>
      </c>
      <c r="M32" s="178"/>
      <c r="N32" s="178"/>
    </row>
    <row r="33" spans="3:4" ht="22.5" customHeight="1" x14ac:dyDescent="0.3">
      <c r="C33" s="1"/>
      <c r="D33" s="1"/>
    </row>
  </sheetData>
  <mergeCells count="25">
    <mergeCell ref="B32:D32"/>
    <mergeCell ref="L32:N32"/>
    <mergeCell ref="A6:C6"/>
    <mergeCell ref="A15:C15"/>
    <mergeCell ref="A17:C17"/>
    <mergeCell ref="A26:N26"/>
    <mergeCell ref="J27:N27"/>
    <mergeCell ref="B28:D28"/>
    <mergeCell ref="L28:N28"/>
    <mergeCell ref="O4:O5"/>
    <mergeCell ref="A1:N1"/>
    <mergeCell ref="A2:N2"/>
    <mergeCell ref="A3:N3"/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L4:L5"/>
    <mergeCell ref="M4:M5"/>
    <mergeCell ref="N4:N5"/>
  </mergeCells>
  <pageMargins left="0.31" right="0.36" top="0.45" bottom="0.43" header="0.3" footer="0.3"/>
  <pageSetup paperSize="9" scale="75" orientation="landscape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workbookViewId="0">
      <pane xSplit="2" ySplit="6" topLeftCell="G7" activePane="bottomRight" state="frozen"/>
      <selection pane="topRight" activeCell="C1" sqref="C1"/>
      <selection pane="bottomLeft" activeCell="A7" sqref="A7"/>
      <selection pane="bottomRight" sqref="A1:XFD1048576"/>
    </sheetView>
  </sheetViews>
  <sheetFormatPr defaultColWidth="9.109375" defaultRowHeight="16.8" x14ac:dyDescent="0.3"/>
  <cols>
    <col min="1" max="1" width="6.109375" style="2" customWidth="1"/>
    <col min="2" max="2" width="24.6640625" style="1" customWidth="1"/>
    <col min="3" max="3" width="22" style="2" customWidth="1"/>
    <col min="4" max="6" width="11.33203125" style="2" customWidth="1"/>
    <col min="7" max="9" width="12.33203125" style="2" customWidth="1"/>
    <col min="10" max="10" width="12.44140625" style="2" customWidth="1"/>
    <col min="11" max="11" width="11.33203125" style="2" customWidth="1"/>
    <col min="12" max="12" width="12.109375" style="2" customWidth="1"/>
    <col min="13" max="13" width="9.44140625" style="2" customWidth="1"/>
    <col min="14" max="14" width="15" style="2" customWidth="1"/>
    <col min="15" max="15" width="53.88671875" style="2" customWidth="1"/>
    <col min="16" max="16384" width="9.109375" style="1"/>
  </cols>
  <sheetData>
    <row r="1" spans="1:15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5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</row>
    <row r="3" spans="1:15" ht="22.5" customHeight="1" x14ac:dyDescent="0.3">
      <c r="A3" s="179" t="s">
        <v>118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</row>
    <row r="4" spans="1:15" s="3" customFormat="1" ht="22.5" customHeight="1" x14ac:dyDescent="0.3">
      <c r="A4" s="180" t="s">
        <v>0</v>
      </c>
      <c r="B4" s="180" t="s">
        <v>1</v>
      </c>
      <c r="C4" s="180" t="s">
        <v>2</v>
      </c>
      <c r="D4" s="180" t="s">
        <v>23</v>
      </c>
      <c r="E4" s="180"/>
      <c r="F4" s="180"/>
      <c r="G4" s="181" t="s">
        <v>29</v>
      </c>
      <c r="H4" s="181" t="s">
        <v>30</v>
      </c>
      <c r="I4" s="181" t="s">
        <v>31</v>
      </c>
      <c r="J4" s="181" t="s">
        <v>96</v>
      </c>
      <c r="K4" s="181" t="s">
        <v>97</v>
      </c>
      <c r="L4" s="180" t="s">
        <v>6</v>
      </c>
      <c r="M4" s="180" t="s">
        <v>7</v>
      </c>
      <c r="N4" s="180" t="s">
        <v>8</v>
      </c>
      <c r="O4" s="183"/>
    </row>
    <row r="5" spans="1:15" s="3" customFormat="1" ht="49.8" customHeight="1" x14ac:dyDescent="0.3">
      <c r="A5" s="180"/>
      <c r="B5" s="180"/>
      <c r="C5" s="180"/>
      <c r="D5" s="80" t="s">
        <v>3</v>
      </c>
      <c r="E5" s="80" t="s">
        <v>4</v>
      </c>
      <c r="F5" s="80" t="s">
        <v>5</v>
      </c>
      <c r="G5" s="182"/>
      <c r="H5" s="182"/>
      <c r="I5" s="182"/>
      <c r="J5" s="182"/>
      <c r="K5" s="182"/>
      <c r="L5" s="180"/>
      <c r="M5" s="180"/>
      <c r="N5" s="180"/>
      <c r="O5" s="183"/>
    </row>
    <row r="6" spans="1:15" ht="19.5" customHeight="1" x14ac:dyDescent="0.3">
      <c r="A6" s="184" t="s">
        <v>15</v>
      </c>
      <c r="B6" s="184"/>
      <c r="C6" s="18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5" ht="19.5" customHeight="1" x14ac:dyDescent="0.3">
      <c r="A7" s="15">
        <v>1</v>
      </c>
      <c r="B7" s="16" t="s">
        <v>49</v>
      </c>
      <c r="C7" s="15" t="s">
        <v>19</v>
      </c>
      <c r="D7" s="15">
        <v>1</v>
      </c>
      <c r="E7" s="15">
        <v>1</v>
      </c>
      <c r="F7" s="15">
        <v>2</v>
      </c>
      <c r="G7" s="15">
        <f t="shared" ref="G7:H14" si="0">IF(D7&gt;5,(D7-5)*2,0)</f>
        <v>0</v>
      </c>
      <c r="H7" s="15">
        <f t="shared" si="0"/>
        <v>0</v>
      </c>
      <c r="I7" s="15">
        <f t="shared" ref="I7:I14" si="1">IF(F7&gt;2,(F7-2)*1,0)</f>
        <v>0</v>
      </c>
      <c r="J7" s="15">
        <f>SUM(G7:I7)</f>
        <v>0</v>
      </c>
      <c r="K7" s="15">
        <v>4</v>
      </c>
      <c r="L7" s="15">
        <f>100-J7-K7</f>
        <v>96</v>
      </c>
      <c r="M7" s="15" t="str">
        <f t="shared" ref="M7:M14" si="2">IF(L7&lt;71,"KL",IF(AND(L7&gt;=71,L7&lt;81),"C",IF(AND(L7&gt;=81,L7&lt;91),"B","A")))</f>
        <v>A</v>
      </c>
      <c r="N7" s="15" t="str">
        <f t="shared" ref="N7:N14" si="3">IF(M7="A","100% LTT",IF(M7="B","90% LTT",IF(M7="C","80% LTT","60% LTT")))</f>
        <v>100% LTT</v>
      </c>
      <c r="O7" s="11" t="s">
        <v>33</v>
      </c>
    </row>
    <row r="8" spans="1:15" ht="19.5" customHeight="1" x14ac:dyDescent="0.3">
      <c r="A8" s="15">
        <f t="shared" ref="A8:A14" si="4">A7+1</f>
        <v>2</v>
      </c>
      <c r="B8" s="16" t="s">
        <v>52</v>
      </c>
      <c r="C8" s="15" t="s">
        <v>19</v>
      </c>
      <c r="D8" s="15"/>
      <c r="E8" s="15"/>
      <c r="F8" s="15"/>
      <c r="G8" s="15">
        <f t="shared" si="0"/>
        <v>0</v>
      </c>
      <c r="H8" s="15">
        <f t="shared" si="0"/>
        <v>0</v>
      </c>
      <c r="I8" s="15">
        <f t="shared" si="1"/>
        <v>0</v>
      </c>
      <c r="J8" s="15">
        <f t="shared" ref="J8:J14" si="5">SUM(G8:I8)</f>
        <v>0</v>
      </c>
      <c r="K8" s="15"/>
      <c r="L8" s="15">
        <f t="shared" ref="L8:L14" si="6">100-J8-K8</f>
        <v>100</v>
      </c>
      <c r="M8" s="15" t="str">
        <f t="shared" si="2"/>
        <v>A</v>
      </c>
      <c r="N8" s="15" t="str">
        <f t="shared" si="3"/>
        <v>100% LTT</v>
      </c>
      <c r="O8" s="34"/>
    </row>
    <row r="9" spans="1:15" ht="19.5" customHeight="1" x14ac:dyDescent="0.3">
      <c r="A9" s="15">
        <f>A8+1</f>
        <v>3</v>
      </c>
      <c r="B9" s="16" t="s">
        <v>57</v>
      </c>
      <c r="C9" s="15" t="s">
        <v>19</v>
      </c>
      <c r="D9" s="15"/>
      <c r="E9" s="15"/>
      <c r="F9" s="15"/>
      <c r="G9" s="15">
        <f t="shared" si="0"/>
        <v>0</v>
      </c>
      <c r="H9" s="15">
        <f t="shared" si="0"/>
        <v>0</v>
      </c>
      <c r="I9" s="15">
        <f t="shared" si="1"/>
        <v>0</v>
      </c>
      <c r="J9" s="15">
        <f t="shared" si="5"/>
        <v>0</v>
      </c>
      <c r="K9" s="15"/>
      <c r="L9" s="15">
        <f t="shared" si="6"/>
        <v>100</v>
      </c>
      <c r="M9" s="15" t="str">
        <f t="shared" si="2"/>
        <v>A</v>
      </c>
      <c r="N9" s="15" t="str">
        <f t="shared" si="3"/>
        <v>100% LTT</v>
      </c>
      <c r="O9" s="35"/>
    </row>
    <row r="10" spans="1:15" ht="19.5" customHeight="1" x14ac:dyDescent="0.3">
      <c r="A10" s="15">
        <f t="shared" si="4"/>
        <v>4</v>
      </c>
      <c r="B10" s="16" t="s">
        <v>58</v>
      </c>
      <c r="C10" s="15" t="s">
        <v>19</v>
      </c>
      <c r="D10" s="15"/>
      <c r="E10" s="15"/>
      <c r="F10" s="15"/>
      <c r="G10" s="15">
        <f t="shared" si="0"/>
        <v>0</v>
      </c>
      <c r="H10" s="15">
        <f t="shared" si="0"/>
        <v>0</v>
      </c>
      <c r="I10" s="15">
        <f t="shared" si="1"/>
        <v>0</v>
      </c>
      <c r="J10" s="15">
        <f t="shared" si="5"/>
        <v>0</v>
      </c>
      <c r="K10" s="15"/>
      <c r="L10" s="15">
        <f t="shared" si="6"/>
        <v>100</v>
      </c>
      <c r="M10" s="15" t="str">
        <f t="shared" si="2"/>
        <v>A</v>
      </c>
      <c r="N10" s="15" t="str">
        <f t="shared" si="3"/>
        <v>100% LTT</v>
      </c>
      <c r="O10" s="35"/>
    </row>
    <row r="11" spans="1:15" ht="19.5" customHeight="1" x14ac:dyDescent="0.3">
      <c r="A11" s="15">
        <f t="shared" si="4"/>
        <v>5</v>
      </c>
      <c r="B11" s="16" t="s">
        <v>59</v>
      </c>
      <c r="C11" s="15" t="s">
        <v>19</v>
      </c>
      <c r="D11" s="15"/>
      <c r="E11" s="15"/>
      <c r="F11" s="15"/>
      <c r="G11" s="15">
        <f t="shared" si="0"/>
        <v>0</v>
      </c>
      <c r="H11" s="15">
        <f t="shared" si="0"/>
        <v>0</v>
      </c>
      <c r="I11" s="15">
        <f t="shared" si="1"/>
        <v>0</v>
      </c>
      <c r="J11" s="15">
        <f t="shared" si="5"/>
        <v>0</v>
      </c>
      <c r="K11" s="15"/>
      <c r="L11" s="15">
        <f t="shared" si="6"/>
        <v>100</v>
      </c>
      <c r="M11" s="15" t="str">
        <f t="shared" si="2"/>
        <v>A</v>
      </c>
      <c r="N11" s="15" t="str">
        <f t="shared" si="3"/>
        <v>100% LTT</v>
      </c>
      <c r="O11" s="35"/>
    </row>
    <row r="12" spans="1:15" ht="19.5" customHeight="1" x14ac:dyDescent="0.3">
      <c r="A12" s="15">
        <f t="shared" si="4"/>
        <v>6</v>
      </c>
      <c r="B12" s="16" t="s">
        <v>53</v>
      </c>
      <c r="C12" s="15" t="s">
        <v>19</v>
      </c>
      <c r="D12" s="15"/>
      <c r="E12" s="15"/>
      <c r="F12" s="15"/>
      <c r="G12" s="15">
        <f t="shared" si="0"/>
        <v>0</v>
      </c>
      <c r="H12" s="15">
        <f t="shared" si="0"/>
        <v>0</v>
      </c>
      <c r="I12" s="15">
        <f t="shared" si="1"/>
        <v>0</v>
      </c>
      <c r="J12" s="15">
        <f t="shared" si="5"/>
        <v>0</v>
      </c>
      <c r="K12" s="15"/>
      <c r="L12" s="15">
        <f t="shared" si="6"/>
        <v>100</v>
      </c>
      <c r="M12" s="15" t="str">
        <f t="shared" si="2"/>
        <v>A</v>
      </c>
      <c r="N12" s="15" t="str">
        <f t="shared" si="3"/>
        <v>100% LTT</v>
      </c>
      <c r="O12" s="35"/>
    </row>
    <row r="13" spans="1:15" ht="19.5" customHeight="1" x14ac:dyDescent="0.3">
      <c r="A13" s="15">
        <f t="shared" si="4"/>
        <v>7</v>
      </c>
      <c r="B13" s="16" t="s">
        <v>54</v>
      </c>
      <c r="C13" s="15" t="s">
        <v>19</v>
      </c>
      <c r="D13" s="15"/>
      <c r="E13" s="15"/>
      <c r="F13" s="15"/>
      <c r="G13" s="15">
        <f t="shared" si="0"/>
        <v>0</v>
      </c>
      <c r="H13" s="15">
        <f t="shared" si="0"/>
        <v>0</v>
      </c>
      <c r="I13" s="15">
        <f t="shared" si="1"/>
        <v>0</v>
      </c>
      <c r="J13" s="15">
        <f t="shared" si="5"/>
        <v>0</v>
      </c>
      <c r="K13" s="15"/>
      <c r="L13" s="15">
        <f t="shared" si="6"/>
        <v>100</v>
      </c>
      <c r="M13" s="15" t="str">
        <f t="shared" si="2"/>
        <v>A</v>
      </c>
      <c r="N13" s="15" t="str">
        <f t="shared" si="3"/>
        <v>100% LTT</v>
      </c>
      <c r="O13" s="35"/>
    </row>
    <row r="14" spans="1:15" ht="19.5" customHeight="1" x14ac:dyDescent="0.3">
      <c r="A14" s="17">
        <f t="shared" si="4"/>
        <v>8</v>
      </c>
      <c r="B14" s="18" t="s">
        <v>11</v>
      </c>
      <c r="C14" s="17" t="s">
        <v>51</v>
      </c>
      <c r="D14" s="17">
        <v>4</v>
      </c>
      <c r="E14" s="17"/>
      <c r="F14" s="17">
        <v>2</v>
      </c>
      <c r="G14" s="17">
        <f t="shared" si="0"/>
        <v>0</v>
      </c>
      <c r="H14" s="17">
        <f t="shared" si="0"/>
        <v>0</v>
      </c>
      <c r="I14" s="17">
        <f t="shared" si="1"/>
        <v>0</v>
      </c>
      <c r="J14" s="17">
        <f t="shared" si="5"/>
        <v>0</v>
      </c>
      <c r="K14" s="17">
        <v>2</v>
      </c>
      <c r="L14" s="15">
        <f t="shared" si="6"/>
        <v>98</v>
      </c>
      <c r="M14" s="17" t="str">
        <f t="shared" si="2"/>
        <v>A</v>
      </c>
      <c r="N14" s="17" t="str">
        <f t="shared" si="3"/>
        <v>100% LTT</v>
      </c>
      <c r="O14" s="35"/>
    </row>
    <row r="15" spans="1:15" ht="19.5" customHeight="1" x14ac:dyDescent="0.3">
      <c r="A15" s="184" t="s">
        <v>16</v>
      </c>
      <c r="B15" s="184"/>
      <c r="C15" s="18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5" ht="19.5" customHeight="1" x14ac:dyDescent="0.3">
      <c r="A16" s="17">
        <f>A14+1</f>
        <v>9</v>
      </c>
      <c r="B16" s="18" t="s">
        <v>28</v>
      </c>
      <c r="C16" s="17" t="s">
        <v>19</v>
      </c>
      <c r="D16" s="17">
        <v>4</v>
      </c>
      <c r="E16" s="17"/>
      <c r="F16" s="17">
        <v>1</v>
      </c>
      <c r="G16" s="17">
        <f t="shared" ref="G16:H16" si="7">IF(D16&gt;5,(D16-5)*2,0)</f>
        <v>0</v>
      </c>
      <c r="H16" s="17">
        <f t="shared" si="7"/>
        <v>0</v>
      </c>
      <c r="I16" s="17">
        <f t="shared" ref="I16" si="8">IF(F16&gt;2,(F16-2)*1,0)</f>
        <v>0</v>
      </c>
      <c r="J16" s="17">
        <f t="shared" ref="J16" si="9">SUM(G16:I16)</f>
        <v>0</v>
      </c>
      <c r="K16" s="17"/>
      <c r="L16" s="17">
        <f>100-J16-K16</f>
        <v>100</v>
      </c>
      <c r="M16" s="17" t="str">
        <f t="shared" ref="M16" si="10">IF(L16&lt;71,"KL",IF(AND(L16&gt;=71,L16&lt;81),"C",IF(AND(L16&gt;=81,L16&lt;91),"B","A")))</f>
        <v>A</v>
      </c>
      <c r="N16" s="17" t="str">
        <f t="shared" ref="N16" si="11">IF(M16="A","100% LTT",IF(M16="B","90% LTT",IF(M16="C","80% LTT","60% LTT")))</f>
        <v>100% LTT</v>
      </c>
    </row>
    <row r="17" spans="1:14" ht="19.5" customHeight="1" x14ac:dyDescent="0.3">
      <c r="A17" s="184" t="s">
        <v>17</v>
      </c>
      <c r="B17" s="184"/>
      <c r="C17" s="18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ht="19.5" customHeight="1" x14ac:dyDescent="0.3">
      <c r="A18" s="23">
        <f>A16+1</f>
        <v>10</v>
      </c>
      <c r="B18" s="38" t="s">
        <v>12</v>
      </c>
      <c r="C18" s="23" t="s">
        <v>19</v>
      </c>
      <c r="D18" s="23">
        <v>1</v>
      </c>
      <c r="E18" s="23"/>
      <c r="F18" s="23">
        <v>1</v>
      </c>
      <c r="G18" s="74">
        <f t="shared" ref="G18:H25" si="12">IF(D18&gt;5,(D18-5)*2,0)</f>
        <v>0</v>
      </c>
      <c r="H18" s="23">
        <f t="shared" si="12"/>
        <v>0</v>
      </c>
      <c r="I18" s="23">
        <f t="shared" ref="I18:I25" si="13">IF(F18&gt;2,(F18-2)*1,0)</f>
        <v>0</v>
      </c>
      <c r="J18" s="23">
        <f t="shared" ref="J18:J25" si="14">SUM(G18:I18)</f>
        <v>0</v>
      </c>
      <c r="K18" s="23">
        <v>8</v>
      </c>
      <c r="L18" s="23">
        <f>100-J18-K18</f>
        <v>92</v>
      </c>
      <c r="M18" s="23" t="str">
        <f t="shared" ref="M18:M25" si="15">IF(L18&lt;71,"KL",IF(AND(L18&gt;=71,L18&lt;81),"C",IF(AND(L18&gt;=81,L18&lt;91),"B","A")))</f>
        <v>A</v>
      </c>
      <c r="N18" s="23" t="str">
        <f t="shared" ref="N18:N25" si="16">IF(M18="A","100% LTT",IF(M18="B","90% LTT",IF(M18="C","80% LTT","60% LTT")))</f>
        <v>100% LTT</v>
      </c>
    </row>
    <row r="19" spans="1:14" ht="19.5" customHeight="1" x14ac:dyDescent="0.3">
      <c r="A19" s="15">
        <f>A18+1</f>
        <v>11</v>
      </c>
      <c r="B19" s="16" t="s">
        <v>13</v>
      </c>
      <c r="C19" s="15" t="s">
        <v>101</v>
      </c>
      <c r="D19" s="15">
        <v>7</v>
      </c>
      <c r="E19" s="15"/>
      <c r="F19" s="15">
        <v>2</v>
      </c>
      <c r="G19" s="15">
        <f t="shared" si="12"/>
        <v>4</v>
      </c>
      <c r="H19" s="15">
        <f t="shared" si="12"/>
        <v>0</v>
      </c>
      <c r="I19" s="15">
        <f t="shared" si="13"/>
        <v>0</v>
      </c>
      <c r="J19" s="15">
        <f t="shared" si="14"/>
        <v>4</v>
      </c>
      <c r="K19" s="15">
        <v>5</v>
      </c>
      <c r="L19" s="15">
        <f t="shared" ref="L19:L25" si="17">100-J19-K19</f>
        <v>91</v>
      </c>
      <c r="M19" s="15" t="str">
        <f t="shared" si="15"/>
        <v>A</v>
      </c>
      <c r="N19" s="15" t="str">
        <f>IF(M19="A","100% LTT",IF(M19="B","90% LTT",IF(M19="C","80% LTT","60% LTT")))</f>
        <v>100% LTT</v>
      </c>
    </row>
    <row r="20" spans="1:14" ht="19.5" customHeight="1" x14ac:dyDescent="0.3">
      <c r="A20" s="15">
        <f t="shared" ref="A20:A24" si="18">A19+1</f>
        <v>12</v>
      </c>
      <c r="B20" s="16" t="s">
        <v>14</v>
      </c>
      <c r="C20" s="15" t="s">
        <v>19</v>
      </c>
      <c r="D20" s="15"/>
      <c r="E20" s="15"/>
      <c r="F20" s="15"/>
      <c r="G20" s="15">
        <f t="shared" si="12"/>
        <v>0</v>
      </c>
      <c r="H20" s="15">
        <f t="shared" si="12"/>
        <v>0</v>
      </c>
      <c r="I20" s="15">
        <f t="shared" si="13"/>
        <v>0</v>
      </c>
      <c r="J20" s="15">
        <f t="shared" si="14"/>
        <v>0</v>
      </c>
      <c r="K20" s="15">
        <v>9</v>
      </c>
      <c r="L20" s="15">
        <f t="shared" si="17"/>
        <v>91</v>
      </c>
      <c r="M20" s="15" t="str">
        <f t="shared" si="15"/>
        <v>A</v>
      </c>
      <c r="N20" s="15" t="str">
        <f t="shared" si="16"/>
        <v>100% LTT</v>
      </c>
    </row>
    <row r="21" spans="1:14" ht="19.5" customHeight="1" x14ac:dyDescent="0.3">
      <c r="A21" s="15">
        <f t="shared" si="18"/>
        <v>13</v>
      </c>
      <c r="B21" s="16" t="s">
        <v>40</v>
      </c>
      <c r="C21" s="15" t="s">
        <v>19</v>
      </c>
      <c r="D21" s="15"/>
      <c r="E21" s="15"/>
      <c r="F21" s="15"/>
      <c r="G21" s="15">
        <f t="shared" si="12"/>
        <v>0</v>
      </c>
      <c r="H21" s="15">
        <f t="shared" si="12"/>
        <v>0</v>
      </c>
      <c r="I21" s="15">
        <f t="shared" si="13"/>
        <v>0</v>
      </c>
      <c r="J21" s="15">
        <f t="shared" si="14"/>
        <v>0</v>
      </c>
      <c r="K21" s="15">
        <v>8</v>
      </c>
      <c r="L21" s="15">
        <f t="shared" si="17"/>
        <v>92</v>
      </c>
      <c r="M21" s="15" t="str">
        <f t="shared" si="15"/>
        <v>A</v>
      </c>
      <c r="N21" s="15" t="str">
        <f t="shared" si="16"/>
        <v>100% LTT</v>
      </c>
    </row>
    <row r="22" spans="1:14" ht="19.5" customHeight="1" x14ac:dyDescent="0.3">
      <c r="A22" s="15">
        <f t="shared" si="18"/>
        <v>14</v>
      </c>
      <c r="B22" s="16" t="s">
        <v>98</v>
      </c>
      <c r="C22" s="15" t="s">
        <v>102</v>
      </c>
      <c r="D22" s="15"/>
      <c r="E22" s="15"/>
      <c r="F22" s="15"/>
      <c r="G22" s="15">
        <f t="shared" si="12"/>
        <v>0</v>
      </c>
      <c r="H22" s="15">
        <f t="shared" si="12"/>
        <v>0</v>
      </c>
      <c r="I22" s="15">
        <f t="shared" si="13"/>
        <v>0</v>
      </c>
      <c r="J22" s="15">
        <f t="shared" si="14"/>
        <v>0</v>
      </c>
      <c r="K22" s="15">
        <v>8</v>
      </c>
      <c r="L22" s="15">
        <f t="shared" si="17"/>
        <v>92</v>
      </c>
      <c r="M22" s="15" t="str">
        <f t="shared" si="15"/>
        <v>A</v>
      </c>
      <c r="N22" s="15" t="str">
        <f t="shared" si="16"/>
        <v>100% LTT</v>
      </c>
    </row>
    <row r="23" spans="1:14" ht="19.5" customHeight="1" x14ac:dyDescent="0.3">
      <c r="A23" s="15">
        <f t="shared" si="18"/>
        <v>15</v>
      </c>
      <c r="B23" s="16" t="s">
        <v>99</v>
      </c>
      <c r="C23" s="15" t="s">
        <v>102</v>
      </c>
      <c r="D23" s="15"/>
      <c r="E23" s="15"/>
      <c r="F23" s="15"/>
      <c r="G23" s="15">
        <f t="shared" si="12"/>
        <v>0</v>
      </c>
      <c r="H23" s="15">
        <f t="shared" si="12"/>
        <v>0</v>
      </c>
      <c r="I23" s="15">
        <f t="shared" si="13"/>
        <v>0</v>
      </c>
      <c r="J23" s="15">
        <f t="shared" si="14"/>
        <v>0</v>
      </c>
      <c r="K23" s="15">
        <v>3</v>
      </c>
      <c r="L23" s="15">
        <f t="shared" si="17"/>
        <v>97</v>
      </c>
      <c r="M23" s="15" t="str">
        <f t="shared" si="15"/>
        <v>A</v>
      </c>
      <c r="N23" s="15" t="str">
        <f t="shared" si="16"/>
        <v>100% LTT</v>
      </c>
    </row>
    <row r="24" spans="1:14" ht="19.5" customHeight="1" x14ac:dyDescent="0.3">
      <c r="A24" s="15">
        <f t="shared" si="18"/>
        <v>16</v>
      </c>
      <c r="B24" s="16" t="s">
        <v>100</v>
      </c>
      <c r="C24" s="15" t="s">
        <v>102</v>
      </c>
      <c r="D24" s="15"/>
      <c r="E24" s="15"/>
      <c r="F24" s="15"/>
      <c r="G24" s="15">
        <f t="shared" si="12"/>
        <v>0</v>
      </c>
      <c r="H24" s="15">
        <f t="shared" si="12"/>
        <v>0</v>
      </c>
      <c r="I24" s="15">
        <f t="shared" si="13"/>
        <v>0</v>
      </c>
      <c r="J24" s="15">
        <f t="shared" si="14"/>
        <v>0</v>
      </c>
      <c r="K24" s="15">
        <v>9</v>
      </c>
      <c r="L24" s="15">
        <f t="shared" si="17"/>
        <v>91</v>
      </c>
      <c r="M24" s="15" t="str">
        <f t="shared" si="15"/>
        <v>A</v>
      </c>
      <c r="N24" s="15" t="str">
        <f t="shared" si="16"/>
        <v>100% LTT</v>
      </c>
    </row>
    <row r="25" spans="1:14" ht="19.5" customHeight="1" x14ac:dyDescent="0.3">
      <c r="A25" s="17">
        <v>17</v>
      </c>
      <c r="B25" s="18" t="s">
        <v>116</v>
      </c>
      <c r="C25" s="17" t="s">
        <v>107</v>
      </c>
      <c r="D25" s="17"/>
      <c r="E25" s="17"/>
      <c r="F25" s="17"/>
      <c r="G25" s="15">
        <f t="shared" si="12"/>
        <v>0</v>
      </c>
      <c r="H25" s="15">
        <f t="shared" si="12"/>
        <v>0</v>
      </c>
      <c r="I25" s="15">
        <f t="shared" si="13"/>
        <v>0</v>
      </c>
      <c r="J25" s="15">
        <f t="shared" si="14"/>
        <v>0</v>
      </c>
      <c r="K25" s="17">
        <v>8</v>
      </c>
      <c r="L25" s="17">
        <f t="shared" si="17"/>
        <v>92</v>
      </c>
      <c r="M25" s="17" t="str">
        <f t="shared" si="15"/>
        <v>A</v>
      </c>
      <c r="N25" s="17" t="str">
        <f t="shared" si="16"/>
        <v>100% LTT</v>
      </c>
    </row>
    <row r="26" spans="1:14" ht="22.5" customHeight="1" x14ac:dyDescent="0.3">
      <c r="A26" s="180" t="s">
        <v>60</v>
      </c>
      <c r="B26" s="180"/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0"/>
      <c r="N26" s="180"/>
    </row>
    <row r="27" spans="1:14" ht="22.5" customHeight="1" x14ac:dyDescent="0.3">
      <c r="J27" s="185" t="s">
        <v>111</v>
      </c>
      <c r="K27" s="185"/>
      <c r="L27" s="185"/>
      <c r="M27" s="185"/>
      <c r="N27" s="185"/>
    </row>
    <row r="28" spans="1:14" ht="22.5" customHeight="1" x14ac:dyDescent="0.3">
      <c r="B28" s="178" t="s">
        <v>22</v>
      </c>
      <c r="C28" s="178"/>
      <c r="D28" s="178"/>
      <c r="L28" s="178" t="s">
        <v>25</v>
      </c>
      <c r="M28" s="178"/>
      <c r="N28" s="178"/>
    </row>
    <row r="29" spans="1:14" ht="22.5" customHeight="1" x14ac:dyDescent="0.3">
      <c r="L29" s="79"/>
      <c r="M29" s="79"/>
    </row>
    <row r="30" spans="1:14" ht="22.5" customHeight="1" x14ac:dyDescent="0.3">
      <c r="L30" s="79"/>
      <c r="M30" s="79"/>
    </row>
    <row r="31" spans="1:14" ht="22.5" customHeight="1" x14ac:dyDescent="0.3">
      <c r="L31" s="79"/>
      <c r="M31" s="79"/>
    </row>
    <row r="32" spans="1:14" ht="22.5" customHeight="1" x14ac:dyDescent="0.3">
      <c r="B32" s="178" t="s">
        <v>28</v>
      </c>
      <c r="C32" s="178"/>
      <c r="D32" s="178"/>
      <c r="L32" s="178" t="s">
        <v>27</v>
      </c>
      <c r="M32" s="178"/>
      <c r="N32" s="178"/>
    </row>
    <row r="33" spans="3:4" ht="22.5" customHeight="1" x14ac:dyDescent="0.3">
      <c r="C33" s="1"/>
      <c r="D33" s="1"/>
    </row>
  </sheetData>
  <mergeCells count="25">
    <mergeCell ref="O4:O5"/>
    <mergeCell ref="A1:N1"/>
    <mergeCell ref="A2:N2"/>
    <mergeCell ref="A3:N3"/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L4:L5"/>
    <mergeCell ref="M4:M5"/>
    <mergeCell ref="N4:N5"/>
    <mergeCell ref="B32:D32"/>
    <mergeCell ref="L32:N32"/>
    <mergeCell ref="A6:C6"/>
    <mergeCell ref="A15:C15"/>
    <mergeCell ref="A17:C17"/>
    <mergeCell ref="A26:N26"/>
    <mergeCell ref="J27:N27"/>
    <mergeCell ref="B28:D28"/>
    <mergeCell ref="L28:N28"/>
  </mergeCells>
  <pageMargins left="0.2" right="0.31" top="0.38" bottom="0.24" header="0.3" footer="0.3"/>
  <pageSetup paperSize="9" scale="75" orientation="landscape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workbookViewId="0">
      <pane xSplit="2" ySplit="6" topLeftCell="D7" activePane="bottomRight" state="frozen"/>
      <selection pane="topRight" activeCell="C1" sqref="C1"/>
      <selection pane="bottomLeft" activeCell="A7" sqref="A7"/>
      <selection pane="bottomRight" activeCell="E10" sqref="E10"/>
    </sheetView>
  </sheetViews>
  <sheetFormatPr defaultColWidth="9.109375" defaultRowHeight="16.8" x14ac:dyDescent="0.3"/>
  <cols>
    <col min="1" max="1" width="6.109375" style="2" customWidth="1"/>
    <col min="2" max="2" width="24.6640625" style="1" customWidth="1"/>
    <col min="3" max="3" width="22" style="2" customWidth="1"/>
    <col min="4" max="6" width="11.33203125" style="2" customWidth="1"/>
    <col min="7" max="9" width="12.33203125" style="2" customWidth="1"/>
    <col min="10" max="10" width="12.44140625" style="2" customWidth="1"/>
    <col min="11" max="11" width="11.33203125" style="2" customWidth="1"/>
    <col min="12" max="12" width="12.109375" style="2" customWidth="1"/>
    <col min="13" max="13" width="9.44140625" style="2" customWidth="1"/>
    <col min="14" max="14" width="15" style="2" customWidth="1"/>
    <col min="15" max="15" width="53.88671875" style="2" customWidth="1"/>
    <col min="16" max="16384" width="9.109375" style="1"/>
  </cols>
  <sheetData>
    <row r="1" spans="1:15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5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</row>
    <row r="3" spans="1:15" ht="22.5" customHeight="1" x14ac:dyDescent="0.3">
      <c r="A3" s="179" t="s">
        <v>119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</row>
    <row r="4" spans="1:15" s="3" customFormat="1" ht="22.5" customHeight="1" x14ac:dyDescent="0.3">
      <c r="A4" s="180" t="s">
        <v>0</v>
      </c>
      <c r="B4" s="180" t="s">
        <v>1</v>
      </c>
      <c r="C4" s="180" t="s">
        <v>2</v>
      </c>
      <c r="D4" s="180" t="s">
        <v>23</v>
      </c>
      <c r="E4" s="180"/>
      <c r="F4" s="180"/>
      <c r="G4" s="181" t="s">
        <v>29</v>
      </c>
      <c r="H4" s="181" t="s">
        <v>30</v>
      </c>
      <c r="I4" s="181" t="s">
        <v>31</v>
      </c>
      <c r="J4" s="181" t="s">
        <v>96</v>
      </c>
      <c r="K4" s="181" t="s">
        <v>97</v>
      </c>
      <c r="L4" s="180" t="s">
        <v>6</v>
      </c>
      <c r="M4" s="180" t="s">
        <v>7</v>
      </c>
      <c r="N4" s="180" t="s">
        <v>8</v>
      </c>
      <c r="O4" s="183"/>
    </row>
    <row r="5" spans="1:15" s="3" customFormat="1" ht="49.8" customHeight="1" x14ac:dyDescent="0.3">
      <c r="A5" s="180"/>
      <c r="B5" s="180"/>
      <c r="C5" s="180"/>
      <c r="D5" s="82" t="s">
        <v>3</v>
      </c>
      <c r="E5" s="82" t="s">
        <v>4</v>
      </c>
      <c r="F5" s="82" t="s">
        <v>5</v>
      </c>
      <c r="G5" s="182"/>
      <c r="H5" s="182"/>
      <c r="I5" s="182"/>
      <c r="J5" s="182"/>
      <c r="K5" s="182"/>
      <c r="L5" s="180"/>
      <c r="M5" s="180"/>
      <c r="N5" s="180"/>
      <c r="O5" s="183"/>
    </row>
    <row r="6" spans="1:15" ht="19.5" customHeight="1" x14ac:dyDescent="0.3">
      <c r="A6" s="184" t="s">
        <v>15</v>
      </c>
      <c r="B6" s="184"/>
      <c r="C6" s="18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5" ht="19.5" customHeight="1" x14ac:dyDescent="0.3">
      <c r="A7" s="15">
        <v>1</v>
      </c>
      <c r="B7" s="16" t="s">
        <v>49</v>
      </c>
      <c r="C7" s="15" t="s">
        <v>19</v>
      </c>
      <c r="D7" s="15">
        <v>2</v>
      </c>
      <c r="E7" s="15"/>
      <c r="F7" s="15"/>
      <c r="G7" s="15">
        <f t="shared" ref="G7:H14" si="0">IF(D7&gt;5,(D7-5)*2,0)</f>
        <v>0</v>
      </c>
      <c r="H7" s="15">
        <f t="shared" si="0"/>
        <v>0</v>
      </c>
      <c r="I7" s="15">
        <f t="shared" ref="I7:I14" si="1">IF(F7&gt;2,(F7-2)*1,0)</f>
        <v>0</v>
      </c>
      <c r="J7" s="15">
        <f>SUM(G7:I7)</f>
        <v>0</v>
      </c>
      <c r="K7" s="15">
        <v>3</v>
      </c>
      <c r="L7" s="15">
        <f>100-J7-K7</f>
        <v>97</v>
      </c>
      <c r="M7" s="15" t="str">
        <f t="shared" ref="M7:M14" si="2">IF(L7&lt;71,"KL",IF(AND(L7&gt;=71,L7&lt;81),"C",IF(AND(L7&gt;=81,L7&lt;91),"B","A")))</f>
        <v>A</v>
      </c>
      <c r="N7" s="15" t="str">
        <f t="shared" ref="N7:N14" si="3">IF(M7="A","100% LTT",IF(M7="B","90% LTT",IF(M7="C","80% LTT","60% LTT")))</f>
        <v>100% LTT</v>
      </c>
      <c r="O7" s="11" t="s">
        <v>33</v>
      </c>
    </row>
    <row r="8" spans="1:15" ht="19.5" customHeight="1" x14ac:dyDescent="0.3">
      <c r="A8" s="15">
        <f t="shared" ref="A8:A14" si="4">A7+1</f>
        <v>2</v>
      </c>
      <c r="B8" s="16" t="s">
        <v>52</v>
      </c>
      <c r="C8" s="15" t="s">
        <v>19</v>
      </c>
      <c r="D8" s="15"/>
      <c r="E8" s="15"/>
      <c r="F8" s="15"/>
      <c r="G8" s="15">
        <f t="shared" si="0"/>
        <v>0</v>
      </c>
      <c r="H8" s="15">
        <f t="shared" si="0"/>
        <v>0</v>
      </c>
      <c r="I8" s="15">
        <f t="shared" si="1"/>
        <v>0</v>
      </c>
      <c r="J8" s="15">
        <f t="shared" ref="J8:J14" si="5">SUM(G8:I8)</f>
        <v>0</v>
      </c>
      <c r="K8" s="15"/>
      <c r="L8" s="15">
        <f t="shared" ref="L8:L14" si="6">100-J8-K8</f>
        <v>100</v>
      </c>
      <c r="M8" s="15" t="str">
        <f t="shared" si="2"/>
        <v>A</v>
      </c>
      <c r="N8" s="15" t="str">
        <f t="shared" si="3"/>
        <v>100% LTT</v>
      </c>
      <c r="O8" s="34"/>
    </row>
    <row r="9" spans="1:15" ht="19.5" customHeight="1" x14ac:dyDescent="0.3">
      <c r="A9" s="15">
        <f>A8+1</f>
        <v>3</v>
      </c>
      <c r="B9" s="16" t="s">
        <v>57</v>
      </c>
      <c r="C9" s="15" t="s">
        <v>19</v>
      </c>
      <c r="D9" s="15"/>
      <c r="E9" s="15"/>
      <c r="F9" s="15"/>
      <c r="G9" s="15">
        <f t="shared" si="0"/>
        <v>0</v>
      </c>
      <c r="H9" s="15">
        <f t="shared" si="0"/>
        <v>0</v>
      </c>
      <c r="I9" s="15">
        <f t="shared" si="1"/>
        <v>0</v>
      </c>
      <c r="J9" s="15">
        <f t="shared" si="5"/>
        <v>0</v>
      </c>
      <c r="K9" s="15"/>
      <c r="L9" s="15">
        <f t="shared" si="6"/>
        <v>100</v>
      </c>
      <c r="M9" s="15" t="str">
        <f t="shared" si="2"/>
        <v>A</v>
      </c>
      <c r="N9" s="15" t="str">
        <f t="shared" si="3"/>
        <v>100% LTT</v>
      </c>
      <c r="O9" s="35"/>
    </row>
    <row r="10" spans="1:15" ht="19.5" customHeight="1" x14ac:dyDescent="0.3">
      <c r="A10" s="15">
        <f t="shared" si="4"/>
        <v>4</v>
      </c>
      <c r="B10" s="16" t="s">
        <v>58</v>
      </c>
      <c r="C10" s="15" t="s">
        <v>19</v>
      </c>
      <c r="D10" s="15"/>
      <c r="E10" s="15"/>
      <c r="F10" s="15"/>
      <c r="G10" s="15">
        <f t="shared" si="0"/>
        <v>0</v>
      </c>
      <c r="H10" s="15">
        <f t="shared" si="0"/>
        <v>0</v>
      </c>
      <c r="I10" s="15">
        <f t="shared" si="1"/>
        <v>0</v>
      </c>
      <c r="J10" s="15">
        <f t="shared" si="5"/>
        <v>0</v>
      </c>
      <c r="K10" s="15"/>
      <c r="L10" s="15">
        <f t="shared" si="6"/>
        <v>100</v>
      </c>
      <c r="M10" s="15" t="str">
        <f t="shared" si="2"/>
        <v>A</v>
      </c>
      <c r="N10" s="15" t="str">
        <f t="shared" si="3"/>
        <v>100% LTT</v>
      </c>
      <c r="O10" s="35"/>
    </row>
    <row r="11" spans="1:15" ht="19.5" customHeight="1" x14ac:dyDescent="0.3">
      <c r="A11" s="15">
        <f t="shared" si="4"/>
        <v>5</v>
      </c>
      <c r="B11" s="16" t="s">
        <v>59</v>
      </c>
      <c r="C11" s="15" t="s">
        <v>19</v>
      </c>
      <c r="D11" s="15"/>
      <c r="E11" s="15"/>
      <c r="F11" s="15"/>
      <c r="G11" s="15">
        <f t="shared" si="0"/>
        <v>0</v>
      </c>
      <c r="H11" s="15">
        <f t="shared" si="0"/>
        <v>0</v>
      </c>
      <c r="I11" s="15">
        <f t="shared" si="1"/>
        <v>0</v>
      </c>
      <c r="J11" s="15">
        <f t="shared" si="5"/>
        <v>0</v>
      </c>
      <c r="K11" s="15"/>
      <c r="L11" s="15">
        <f t="shared" si="6"/>
        <v>100</v>
      </c>
      <c r="M11" s="15" t="str">
        <f t="shared" si="2"/>
        <v>A</v>
      </c>
      <c r="N11" s="15" t="str">
        <f t="shared" si="3"/>
        <v>100% LTT</v>
      </c>
      <c r="O11" s="35"/>
    </row>
    <row r="12" spans="1:15" ht="19.5" customHeight="1" x14ac:dyDescent="0.3">
      <c r="A12" s="15">
        <f t="shared" si="4"/>
        <v>6</v>
      </c>
      <c r="B12" s="16" t="s">
        <v>53</v>
      </c>
      <c r="C12" s="15" t="s">
        <v>19</v>
      </c>
      <c r="D12" s="15"/>
      <c r="E12" s="15"/>
      <c r="F12" s="15"/>
      <c r="G12" s="15">
        <f t="shared" si="0"/>
        <v>0</v>
      </c>
      <c r="H12" s="15">
        <f t="shared" si="0"/>
        <v>0</v>
      </c>
      <c r="I12" s="15">
        <f t="shared" si="1"/>
        <v>0</v>
      </c>
      <c r="J12" s="15">
        <f t="shared" si="5"/>
        <v>0</v>
      </c>
      <c r="K12" s="15"/>
      <c r="L12" s="15">
        <f t="shared" si="6"/>
        <v>100</v>
      </c>
      <c r="M12" s="15" t="str">
        <f t="shared" si="2"/>
        <v>A</v>
      </c>
      <c r="N12" s="15" t="str">
        <f t="shared" si="3"/>
        <v>100% LTT</v>
      </c>
      <c r="O12" s="35"/>
    </row>
    <row r="13" spans="1:15" ht="19.5" customHeight="1" x14ac:dyDescent="0.3">
      <c r="A13" s="15">
        <f t="shared" si="4"/>
        <v>7</v>
      </c>
      <c r="B13" s="16" t="s">
        <v>54</v>
      </c>
      <c r="C13" s="15" t="s">
        <v>19</v>
      </c>
      <c r="D13" s="15"/>
      <c r="E13" s="15"/>
      <c r="F13" s="15"/>
      <c r="G13" s="15">
        <f t="shared" si="0"/>
        <v>0</v>
      </c>
      <c r="H13" s="15">
        <f t="shared" si="0"/>
        <v>0</v>
      </c>
      <c r="I13" s="15">
        <f t="shared" si="1"/>
        <v>0</v>
      </c>
      <c r="J13" s="15">
        <f t="shared" si="5"/>
        <v>0</v>
      </c>
      <c r="K13" s="15"/>
      <c r="L13" s="15">
        <f t="shared" si="6"/>
        <v>100</v>
      </c>
      <c r="M13" s="15" t="str">
        <f t="shared" si="2"/>
        <v>A</v>
      </c>
      <c r="N13" s="15" t="str">
        <f t="shared" si="3"/>
        <v>100% LTT</v>
      </c>
      <c r="O13" s="35"/>
    </row>
    <row r="14" spans="1:15" ht="19.5" customHeight="1" x14ac:dyDescent="0.3">
      <c r="A14" s="17">
        <f t="shared" si="4"/>
        <v>8</v>
      </c>
      <c r="B14" s="18" t="s">
        <v>11</v>
      </c>
      <c r="C14" s="17" t="s">
        <v>51</v>
      </c>
      <c r="D14" s="17">
        <v>2</v>
      </c>
      <c r="E14" s="17"/>
      <c r="F14" s="17">
        <v>2</v>
      </c>
      <c r="G14" s="17">
        <f t="shared" si="0"/>
        <v>0</v>
      </c>
      <c r="H14" s="17">
        <f t="shared" si="0"/>
        <v>0</v>
      </c>
      <c r="I14" s="17">
        <f t="shared" si="1"/>
        <v>0</v>
      </c>
      <c r="J14" s="17">
        <f t="shared" si="5"/>
        <v>0</v>
      </c>
      <c r="K14" s="17">
        <v>1</v>
      </c>
      <c r="L14" s="15">
        <f t="shared" si="6"/>
        <v>99</v>
      </c>
      <c r="M14" s="17" t="str">
        <f t="shared" si="2"/>
        <v>A</v>
      </c>
      <c r="N14" s="17" t="str">
        <f t="shared" si="3"/>
        <v>100% LTT</v>
      </c>
      <c r="O14" s="35"/>
    </row>
    <row r="15" spans="1:15" ht="19.5" customHeight="1" x14ac:dyDescent="0.3">
      <c r="A15" s="184" t="s">
        <v>16</v>
      </c>
      <c r="B15" s="184"/>
      <c r="C15" s="18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5" ht="19.5" customHeight="1" x14ac:dyDescent="0.3">
      <c r="A16" s="17">
        <f>A14+1</f>
        <v>9</v>
      </c>
      <c r="B16" s="18" t="s">
        <v>28</v>
      </c>
      <c r="C16" s="17" t="s">
        <v>19</v>
      </c>
      <c r="D16" s="4">
        <v>2</v>
      </c>
      <c r="E16" s="17"/>
      <c r="F16" s="17">
        <v>3</v>
      </c>
      <c r="G16" s="17">
        <f t="shared" ref="G16:H16" si="7">IF(D16&gt;5,(D16-5)*2,0)</f>
        <v>0</v>
      </c>
      <c r="H16" s="17">
        <f t="shared" si="7"/>
        <v>0</v>
      </c>
      <c r="I16" s="17">
        <f t="shared" ref="I16" si="8">IF(F16&gt;2,(F16-2)*1,0)</f>
        <v>1</v>
      </c>
      <c r="J16" s="17">
        <f t="shared" ref="J16" si="9">SUM(G16:I16)</f>
        <v>1</v>
      </c>
      <c r="K16" s="17"/>
      <c r="L16" s="17">
        <f>100-J16-K16</f>
        <v>99</v>
      </c>
      <c r="M16" s="17" t="str">
        <f t="shared" ref="M16" si="10">IF(L16&lt;71,"KL",IF(AND(L16&gt;=71,L16&lt;81),"C",IF(AND(L16&gt;=81,L16&lt;91),"B","A")))</f>
        <v>A</v>
      </c>
      <c r="N16" s="17" t="str">
        <f t="shared" ref="N16" si="11">IF(M16="A","100% LTT",IF(M16="B","90% LTT",IF(M16="C","80% LTT","60% LTT")))</f>
        <v>100% LTT</v>
      </c>
    </row>
    <row r="17" spans="1:14" ht="19.5" customHeight="1" x14ac:dyDescent="0.3">
      <c r="A17" s="184" t="s">
        <v>17</v>
      </c>
      <c r="B17" s="184"/>
      <c r="C17" s="18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ht="19.5" customHeight="1" x14ac:dyDescent="0.3">
      <c r="A18" s="23">
        <f>A16+1</f>
        <v>10</v>
      </c>
      <c r="B18" s="38" t="s">
        <v>12</v>
      </c>
      <c r="C18" s="23" t="s">
        <v>19</v>
      </c>
      <c r="D18" s="23"/>
      <c r="E18" s="23"/>
      <c r="F18" s="23"/>
      <c r="G18" s="74">
        <f t="shared" ref="G18:H25" si="12">IF(D18&gt;5,(D18-5)*2,0)</f>
        <v>0</v>
      </c>
      <c r="H18" s="23">
        <f t="shared" si="12"/>
        <v>0</v>
      </c>
      <c r="I18" s="23">
        <f t="shared" ref="I18:I25" si="13">IF(F18&gt;2,(F18-2)*1,0)</f>
        <v>0</v>
      </c>
      <c r="J18" s="23">
        <f t="shared" ref="J18:J25" si="14">SUM(G18:I18)</f>
        <v>0</v>
      </c>
      <c r="K18" s="23">
        <v>7</v>
      </c>
      <c r="L18" s="23">
        <f>100-J18-K18</f>
        <v>93</v>
      </c>
      <c r="M18" s="23" t="str">
        <f t="shared" ref="M18:M25" si="15">IF(L18&lt;71,"KL",IF(AND(L18&gt;=71,L18&lt;81),"C",IF(AND(L18&gt;=81,L18&lt;91),"B","A")))</f>
        <v>A</v>
      </c>
      <c r="N18" s="23" t="str">
        <f t="shared" ref="N18:N25" si="16">IF(M18="A","100% LTT",IF(M18="B","90% LTT",IF(M18="C","80% LTT","60% LTT")))</f>
        <v>100% LTT</v>
      </c>
    </row>
    <row r="19" spans="1:14" ht="19.5" customHeight="1" x14ac:dyDescent="0.3">
      <c r="A19" s="15">
        <f>A18+1</f>
        <v>11</v>
      </c>
      <c r="B19" s="16" t="s">
        <v>13</v>
      </c>
      <c r="C19" s="15" t="s">
        <v>101</v>
      </c>
      <c r="D19" s="15">
        <v>7</v>
      </c>
      <c r="E19" s="15">
        <v>2</v>
      </c>
      <c r="F19" s="15"/>
      <c r="G19" s="15">
        <f t="shared" si="12"/>
        <v>4</v>
      </c>
      <c r="H19" s="15">
        <f t="shared" si="12"/>
        <v>0</v>
      </c>
      <c r="I19" s="15">
        <f t="shared" si="13"/>
        <v>0</v>
      </c>
      <c r="J19" s="15">
        <f t="shared" si="14"/>
        <v>4</v>
      </c>
      <c r="K19" s="15">
        <v>2</v>
      </c>
      <c r="L19" s="15">
        <f t="shared" ref="L19:L25" si="17">100-J19-K19</f>
        <v>94</v>
      </c>
      <c r="M19" s="15" t="str">
        <f t="shared" si="15"/>
        <v>A</v>
      </c>
      <c r="N19" s="15" t="str">
        <f>IF(M19="A","100% LTT",IF(M19="B","90% LTT",IF(M19="C","80% LTT","60% LTT")))</f>
        <v>100% LTT</v>
      </c>
    </row>
    <row r="20" spans="1:14" ht="19.5" customHeight="1" x14ac:dyDescent="0.3">
      <c r="A20" s="15">
        <f t="shared" ref="A20:A24" si="18">A19+1</f>
        <v>12</v>
      </c>
      <c r="B20" s="16" t="s">
        <v>14</v>
      </c>
      <c r="C20" s="15" t="s">
        <v>19</v>
      </c>
      <c r="D20" s="15"/>
      <c r="E20" s="15"/>
      <c r="F20" s="15">
        <v>2</v>
      </c>
      <c r="G20" s="15">
        <f t="shared" si="12"/>
        <v>0</v>
      </c>
      <c r="H20" s="15">
        <f t="shared" si="12"/>
        <v>0</v>
      </c>
      <c r="I20" s="15">
        <f t="shared" si="13"/>
        <v>0</v>
      </c>
      <c r="J20" s="15">
        <f t="shared" si="14"/>
        <v>0</v>
      </c>
      <c r="K20" s="15">
        <v>8</v>
      </c>
      <c r="L20" s="15">
        <f t="shared" si="17"/>
        <v>92</v>
      </c>
      <c r="M20" s="15" t="str">
        <f t="shared" si="15"/>
        <v>A</v>
      </c>
      <c r="N20" s="15" t="str">
        <f t="shared" si="16"/>
        <v>100% LTT</v>
      </c>
    </row>
    <row r="21" spans="1:14" ht="19.5" customHeight="1" x14ac:dyDescent="0.3">
      <c r="A21" s="15">
        <f t="shared" si="18"/>
        <v>13</v>
      </c>
      <c r="B21" s="16" t="s">
        <v>40</v>
      </c>
      <c r="C21" s="15" t="s">
        <v>19</v>
      </c>
      <c r="D21" s="15"/>
      <c r="E21" s="15"/>
      <c r="F21" s="15"/>
      <c r="G21" s="15">
        <f t="shared" si="12"/>
        <v>0</v>
      </c>
      <c r="H21" s="15">
        <f t="shared" si="12"/>
        <v>0</v>
      </c>
      <c r="I21" s="15">
        <f t="shared" si="13"/>
        <v>0</v>
      </c>
      <c r="J21" s="15">
        <f t="shared" si="14"/>
        <v>0</v>
      </c>
      <c r="K21" s="15">
        <v>8</v>
      </c>
      <c r="L21" s="15">
        <f t="shared" si="17"/>
        <v>92</v>
      </c>
      <c r="M21" s="15" t="str">
        <f t="shared" si="15"/>
        <v>A</v>
      </c>
      <c r="N21" s="15" t="str">
        <f t="shared" si="16"/>
        <v>100% LTT</v>
      </c>
    </row>
    <row r="22" spans="1:14" ht="19.5" customHeight="1" x14ac:dyDescent="0.3">
      <c r="A22" s="15">
        <f t="shared" si="18"/>
        <v>14</v>
      </c>
      <c r="B22" s="16" t="s">
        <v>98</v>
      </c>
      <c r="C22" s="15" t="s">
        <v>102</v>
      </c>
      <c r="D22" s="15"/>
      <c r="E22" s="15"/>
      <c r="F22" s="15"/>
      <c r="G22" s="15">
        <f t="shared" si="12"/>
        <v>0</v>
      </c>
      <c r="H22" s="15">
        <f t="shared" si="12"/>
        <v>0</v>
      </c>
      <c r="I22" s="15">
        <f t="shared" si="13"/>
        <v>0</v>
      </c>
      <c r="J22" s="15">
        <f t="shared" si="14"/>
        <v>0</v>
      </c>
      <c r="K22" s="15">
        <v>8</v>
      </c>
      <c r="L22" s="15">
        <f t="shared" si="17"/>
        <v>92</v>
      </c>
      <c r="M22" s="15" t="str">
        <f t="shared" si="15"/>
        <v>A</v>
      </c>
      <c r="N22" s="15" t="str">
        <f t="shared" si="16"/>
        <v>100% LTT</v>
      </c>
    </row>
    <row r="23" spans="1:14" ht="19.5" customHeight="1" x14ac:dyDescent="0.3">
      <c r="A23" s="15">
        <f t="shared" si="18"/>
        <v>15</v>
      </c>
      <c r="B23" s="16" t="s">
        <v>99</v>
      </c>
      <c r="C23" s="15" t="s">
        <v>102</v>
      </c>
      <c r="D23" s="15"/>
      <c r="E23" s="15"/>
      <c r="F23" s="15"/>
      <c r="G23" s="15">
        <f t="shared" si="12"/>
        <v>0</v>
      </c>
      <c r="H23" s="15">
        <f t="shared" si="12"/>
        <v>0</v>
      </c>
      <c r="I23" s="15">
        <f t="shared" si="13"/>
        <v>0</v>
      </c>
      <c r="J23" s="15">
        <f t="shared" si="14"/>
        <v>0</v>
      </c>
      <c r="K23" s="15">
        <v>2</v>
      </c>
      <c r="L23" s="15">
        <f t="shared" si="17"/>
        <v>98</v>
      </c>
      <c r="M23" s="15" t="str">
        <f t="shared" si="15"/>
        <v>A</v>
      </c>
      <c r="N23" s="15" t="str">
        <f t="shared" si="16"/>
        <v>100% LTT</v>
      </c>
    </row>
    <row r="24" spans="1:14" ht="19.5" customHeight="1" x14ac:dyDescent="0.3">
      <c r="A24" s="15">
        <f t="shared" si="18"/>
        <v>16</v>
      </c>
      <c r="B24" s="16" t="s">
        <v>100</v>
      </c>
      <c r="C24" s="15" t="s">
        <v>102</v>
      </c>
      <c r="D24" s="15"/>
      <c r="E24" s="15"/>
      <c r="F24" s="15"/>
      <c r="G24" s="15">
        <f t="shared" si="12"/>
        <v>0</v>
      </c>
      <c r="H24" s="15">
        <f t="shared" si="12"/>
        <v>0</v>
      </c>
      <c r="I24" s="15">
        <f t="shared" si="13"/>
        <v>0</v>
      </c>
      <c r="J24" s="15">
        <f t="shared" si="14"/>
        <v>0</v>
      </c>
      <c r="K24" s="15">
        <v>6</v>
      </c>
      <c r="L24" s="15">
        <f t="shared" si="17"/>
        <v>94</v>
      </c>
      <c r="M24" s="15" t="str">
        <f t="shared" si="15"/>
        <v>A</v>
      </c>
      <c r="N24" s="15" t="str">
        <f t="shared" si="16"/>
        <v>100% LTT</v>
      </c>
    </row>
    <row r="25" spans="1:14" ht="19.5" customHeight="1" x14ac:dyDescent="0.3">
      <c r="A25" s="17">
        <v>17</v>
      </c>
      <c r="B25" s="18" t="s">
        <v>116</v>
      </c>
      <c r="C25" s="17" t="s">
        <v>107</v>
      </c>
      <c r="D25" s="17"/>
      <c r="E25" s="17"/>
      <c r="F25" s="17"/>
      <c r="G25" s="15">
        <f t="shared" si="12"/>
        <v>0</v>
      </c>
      <c r="H25" s="15">
        <f t="shared" si="12"/>
        <v>0</v>
      </c>
      <c r="I25" s="15">
        <f t="shared" si="13"/>
        <v>0</v>
      </c>
      <c r="J25" s="15">
        <f t="shared" si="14"/>
        <v>0</v>
      </c>
      <c r="K25" s="17">
        <v>8</v>
      </c>
      <c r="L25" s="17">
        <f t="shared" si="17"/>
        <v>92</v>
      </c>
      <c r="M25" s="17" t="str">
        <f t="shared" si="15"/>
        <v>A</v>
      </c>
      <c r="N25" s="17" t="str">
        <f t="shared" si="16"/>
        <v>100% LTT</v>
      </c>
    </row>
    <row r="26" spans="1:14" ht="22.5" customHeight="1" x14ac:dyDescent="0.3">
      <c r="A26" s="180" t="s">
        <v>60</v>
      </c>
      <c r="B26" s="180"/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0"/>
      <c r="N26" s="180"/>
    </row>
    <row r="27" spans="1:14" ht="22.5" customHeight="1" x14ac:dyDescent="0.3">
      <c r="J27" s="185" t="s">
        <v>111</v>
      </c>
      <c r="K27" s="185"/>
      <c r="L27" s="185"/>
      <c r="M27" s="185"/>
      <c r="N27" s="185"/>
    </row>
    <row r="28" spans="1:14" ht="22.5" customHeight="1" x14ac:dyDescent="0.3">
      <c r="B28" s="178" t="s">
        <v>22</v>
      </c>
      <c r="C28" s="178"/>
      <c r="D28" s="178"/>
      <c r="L28" s="178" t="s">
        <v>25</v>
      </c>
      <c r="M28" s="178"/>
      <c r="N28" s="178"/>
    </row>
    <row r="29" spans="1:14" ht="22.5" customHeight="1" x14ac:dyDescent="0.3">
      <c r="L29" s="81"/>
      <c r="M29" s="81"/>
    </row>
    <row r="30" spans="1:14" ht="22.5" customHeight="1" x14ac:dyDescent="0.3">
      <c r="L30" s="81"/>
      <c r="M30" s="81"/>
    </row>
    <row r="31" spans="1:14" ht="22.5" customHeight="1" x14ac:dyDescent="0.3">
      <c r="L31" s="81"/>
      <c r="M31" s="81"/>
    </row>
    <row r="32" spans="1:14" ht="22.5" customHeight="1" x14ac:dyDescent="0.3">
      <c r="B32" s="178" t="s">
        <v>28</v>
      </c>
      <c r="C32" s="178"/>
      <c r="D32" s="178"/>
      <c r="L32" s="178" t="s">
        <v>27</v>
      </c>
      <c r="M32" s="178"/>
      <c r="N32" s="178"/>
    </row>
    <row r="33" spans="3:4" ht="22.5" customHeight="1" x14ac:dyDescent="0.3">
      <c r="C33" s="1"/>
      <c r="D33" s="1"/>
    </row>
  </sheetData>
  <mergeCells count="25">
    <mergeCell ref="B32:D32"/>
    <mergeCell ref="L32:N32"/>
    <mergeCell ref="A6:C6"/>
    <mergeCell ref="A15:C15"/>
    <mergeCell ref="A17:C17"/>
    <mergeCell ref="A26:N26"/>
    <mergeCell ref="J27:N27"/>
    <mergeCell ref="B28:D28"/>
    <mergeCell ref="L28:N28"/>
    <mergeCell ref="O4:O5"/>
    <mergeCell ref="A1:N1"/>
    <mergeCell ref="A2:N2"/>
    <mergeCell ref="A3:N3"/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L4:L5"/>
    <mergeCell ref="M4:M5"/>
    <mergeCell ref="N4:N5"/>
  </mergeCells>
  <pageMargins left="0.2" right="0.2" top="0.41" bottom="0.27" header="0.3" footer="0.3"/>
  <pageSetup paperSize="9" scale="75" orientation="landscape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sqref="A1:XFD1048576"/>
    </sheetView>
  </sheetViews>
  <sheetFormatPr defaultColWidth="9.109375" defaultRowHeight="16.8" x14ac:dyDescent="0.3"/>
  <cols>
    <col min="1" max="1" width="6.109375" style="2" customWidth="1"/>
    <col min="2" max="2" width="24.6640625" style="1" customWidth="1"/>
    <col min="3" max="3" width="22" style="2" customWidth="1"/>
    <col min="4" max="6" width="11.33203125" style="2" customWidth="1"/>
    <col min="7" max="9" width="12.33203125" style="2" customWidth="1"/>
    <col min="10" max="10" width="12.44140625" style="2" customWidth="1"/>
    <col min="11" max="11" width="11.33203125" style="2" customWidth="1"/>
    <col min="12" max="12" width="12.109375" style="2" customWidth="1"/>
    <col min="13" max="13" width="9.44140625" style="2" customWidth="1"/>
    <col min="14" max="14" width="15" style="2" customWidth="1"/>
    <col min="15" max="15" width="53.88671875" style="2" customWidth="1"/>
    <col min="16" max="16384" width="9.109375" style="1"/>
  </cols>
  <sheetData>
    <row r="1" spans="1:15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5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</row>
    <row r="3" spans="1:15" ht="22.5" customHeight="1" x14ac:dyDescent="0.3">
      <c r="A3" s="179" t="s">
        <v>120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</row>
    <row r="4" spans="1:15" s="3" customFormat="1" ht="22.5" customHeight="1" x14ac:dyDescent="0.3">
      <c r="A4" s="180" t="s">
        <v>0</v>
      </c>
      <c r="B4" s="180" t="s">
        <v>1</v>
      </c>
      <c r="C4" s="180" t="s">
        <v>2</v>
      </c>
      <c r="D4" s="180" t="s">
        <v>23</v>
      </c>
      <c r="E4" s="180"/>
      <c r="F4" s="180"/>
      <c r="G4" s="181" t="s">
        <v>29</v>
      </c>
      <c r="H4" s="181" t="s">
        <v>30</v>
      </c>
      <c r="I4" s="181" t="s">
        <v>31</v>
      </c>
      <c r="J4" s="181" t="s">
        <v>96</v>
      </c>
      <c r="K4" s="181" t="s">
        <v>97</v>
      </c>
      <c r="L4" s="180" t="s">
        <v>6</v>
      </c>
      <c r="M4" s="180" t="s">
        <v>7</v>
      </c>
      <c r="N4" s="180" t="s">
        <v>8</v>
      </c>
      <c r="O4" s="183"/>
    </row>
    <row r="5" spans="1:15" s="3" customFormat="1" ht="49.8" customHeight="1" x14ac:dyDescent="0.3">
      <c r="A5" s="180"/>
      <c r="B5" s="180"/>
      <c r="C5" s="180"/>
      <c r="D5" s="84" t="s">
        <v>3</v>
      </c>
      <c r="E5" s="84" t="s">
        <v>4</v>
      </c>
      <c r="F5" s="84" t="s">
        <v>5</v>
      </c>
      <c r="G5" s="182"/>
      <c r="H5" s="182"/>
      <c r="I5" s="182"/>
      <c r="J5" s="182"/>
      <c r="K5" s="182"/>
      <c r="L5" s="180"/>
      <c r="M5" s="180"/>
      <c r="N5" s="180"/>
      <c r="O5" s="183"/>
    </row>
    <row r="6" spans="1:15" ht="19.5" customHeight="1" x14ac:dyDescent="0.3">
      <c r="A6" s="184" t="s">
        <v>15</v>
      </c>
      <c r="B6" s="184"/>
      <c r="C6" s="18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5" ht="19.5" customHeight="1" x14ac:dyDescent="0.3">
      <c r="A7" s="15">
        <v>1</v>
      </c>
      <c r="B7" s="16" t="s">
        <v>49</v>
      </c>
      <c r="C7" s="15" t="s">
        <v>19</v>
      </c>
      <c r="D7" s="15"/>
      <c r="E7" s="15"/>
      <c r="F7" s="15"/>
      <c r="G7" s="15">
        <f t="shared" ref="G7:H14" si="0">IF(D7&gt;5,(D7-5)*2,0)</f>
        <v>0</v>
      </c>
      <c r="H7" s="15">
        <f t="shared" si="0"/>
        <v>0</v>
      </c>
      <c r="I7" s="15">
        <f t="shared" ref="I7:I14" si="1">IF(F7&gt;2,(F7-2)*1,0)</f>
        <v>0</v>
      </c>
      <c r="J7" s="15">
        <f>SUM(G7:I7)</f>
        <v>0</v>
      </c>
      <c r="K7" s="15"/>
      <c r="L7" s="15">
        <f>100-J7-K7</f>
        <v>100</v>
      </c>
      <c r="M7" s="15" t="str">
        <f t="shared" ref="M7:M14" si="2">IF(L7&lt;71,"KL",IF(AND(L7&gt;=71,L7&lt;81),"C",IF(AND(L7&gt;=81,L7&lt;91),"B","A")))</f>
        <v>A</v>
      </c>
      <c r="N7" s="15" t="str">
        <f t="shared" ref="N7:N14" si="3">IF(M7="A","100% LTT",IF(M7="B","90% LTT",IF(M7="C","80% LTT","60% LTT")))</f>
        <v>100% LTT</v>
      </c>
      <c r="O7" s="11" t="s">
        <v>33</v>
      </c>
    </row>
    <row r="8" spans="1:15" ht="19.5" customHeight="1" x14ac:dyDescent="0.3">
      <c r="A8" s="15">
        <f t="shared" ref="A8:A14" si="4">A7+1</f>
        <v>2</v>
      </c>
      <c r="B8" s="16" t="s">
        <v>52</v>
      </c>
      <c r="C8" s="15" t="s">
        <v>19</v>
      </c>
      <c r="D8" s="15"/>
      <c r="E8" s="15"/>
      <c r="F8" s="15"/>
      <c r="G8" s="15">
        <f t="shared" si="0"/>
        <v>0</v>
      </c>
      <c r="H8" s="15">
        <f t="shared" si="0"/>
        <v>0</v>
      </c>
      <c r="I8" s="15">
        <f t="shared" si="1"/>
        <v>0</v>
      </c>
      <c r="J8" s="15">
        <f t="shared" ref="J8:J14" si="5">SUM(G8:I8)</f>
        <v>0</v>
      </c>
      <c r="K8" s="15"/>
      <c r="L8" s="15">
        <f t="shared" ref="L8:L14" si="6">100-J8-K8</f>
        <v>100</v>
      </c>
      <c r="M8" s="15" t="str">
        <f t="shared" si="2"/>
        <v>A</v>
      </c>
      <c r="N8" s="15" t="str">
        <f t="shared" si="3"/>
        <v>100% LTT</v>
      </c>
      <c r="O8" s="34"/>
    </row>
    <row r="9" spans="1:15" ht="19.5" customHeight="1" x14ac:dyDescent="0.3">
      <c r="A9" s="15">
        <f>A8+1</f>
        <v>3</v>
      </c>
      <c r="B9" s="16" t="s">
        <v>57</v>
      </c>
      <c r="C9" s="15" t="s">
        <v>19</v>
      </c>
      <c r="D9" s="15"/>
      <c r="E9" s="15"/>
      <c r="F9" s="15"/>
      <c r="G9" s="15">
        <f t="shared" si="0"/>
        <v>0</v>
      </c>
      <c r="H9" s="15">
        <f t="shared" si="0"/>
        <v>0</v>
      </c>
      <c r="I9" s="15">
        <f t="shared" si="1"/>
        <v>0</v>
      </c>
      <c r="J9" s="15">
        <f t="shared" si="5"/>
        <v>0</v>
      </c>
      <c r="K9" s="15"/>
      <c r="L9" s="15">
        <f t="shared" si="6"/>
        <v>100</v>
      </c>
      <c r="M9" s="15" t="str">
        <f t="shared" si="2"/>
        <v>A</v>
      </c>
      <c r="N9" s="15" t="str">
        <f t="shared" si="3"/>
        <v>100% LTT</v>
      </c>
      <c r="O9" s="35"/>
    </row>
    <row r="10" spans="1:15" ht="19.5" customHeight="1" x14ac:dyDescent="0.3">
      <c r="A10" s="15">
        <f t="shared" si="4"/>
        <v>4</v>
      </c>
      <c r="B10" s="16" t="s">
        <v>58</v>
      </c>
      <c r="C10" s="15" t="s">
        <v>19</v>
      </c>
      <c r="D10" s="15"/>
      <c r="E10" s="15"/>
      <c r="F10" s="15"/>
      <c r="G10" s="15">
        <f t="shared" si="0"/>
        <v>0</v>
      </c>
      <c r="H10" s="15">
        <f t="shared" si="0"/>
        <v>0</v>
      </c>
      <c r="I10" s="15">
        <f t="shared" si="1"/>
        <v>0</v>
      </c>
      <c r="J10" s="15">
        <f t="shared" si="5"/>
        <v>0</v>
      </c>
      <c r="K10" s="15"/>
      <c r="L10" s="15">
        <f t="shared" si="6"/>
        <v>100</v>
      </c>
      <c r="M10" s="15" t="str">
        <f t="shared" si="2"/>
        <v>A</v>
      </c>
      <c r="N10" s="15" t="str">
        <f t="shared" si="3"/>
        <v>100% LTT</v>
      </c>
      <c r="O10" s="35"/>
    </row>
    <row r="11" spans="1:15" ht="19.5" customHeight="1" x14ac:dyDescent="0.3">
      <c r="A11" s="15">
        <f t="shared" si="4"/>
        <v>5</v>
      </c>
      <c r="B11" s="16" t="s">
        <v>59</v>
      </c>
      <c r="C11" s="15" t="s">
        <v>19</v>
      </c>
      <c r="D11" s="15"/>
      <c r="E11" s="15"/>
      <c r="F11" s="15"/>
      <c r="G11" s="15">
        <f t="shared" si="0"/>
        <v>0</v>
      </c>
      <c r="H11" s="15">
        <f t="shared" si="0"/>
        <v>0</v>
      </c>
      <c r="I11" s="15">
        <f t="shared" si="1"/>
        <v>0</v>
      </c>
      <c r="J11" s="15">
        <f t="shared" si="5"/>
        <v>0</v>
      </c>
      <c r="K11" s="15"/>
      <c r="L11" s="15">
        <f t="shared" si="6"/>
        <v>100</v>
      </c>
      <c r="M11" s="15" t="str">
        <f t="shared" si="2"/>
        <v>A</v>
      </c>
      <c r="N11" s="15" t="str">
        <f t="shared" si="3"/>
        <v>100% LTT</v>
      </c>
      <c r="O11" s="35"/>
    </row>
    <row r="12" spans="1:15" ht="19.5" customHeight="1" x14ac:dyDescent="0.3">
      <c r="A12" s="15">
        <f t="shared" si="4"/>
        <v>6</v>
      </c>
      <c r="B12" s="16" t="s">
        <v>53</v>
      </c>
      <c r="C12" s="15" t="s">
        <v>19</v>
      </c>
      <c r="D12" s="15"/>
      <c r="E12" s="15"/>
      <c r="F12" s="15"/>
      <c r="G12" s="15">
        <f t="shared" si="0"/>
        <v>0</v>
      </c>
      <c r="H12" s="15">
        <f t="shared" si="0"/>
        <v>0</v>
      </c>
      <c r="I12" s="15">
        <f t="shared" si="1"/>
        <v>0</v>
      </c>
      <c r="J12" s="15">
        <f t="shared" si="5"/>
        <v>0</v>
      </c>
      <c r="K12" s="15"/>
      <c r="L12" s="15">
        <f t="shared" si="6"/>
        <v>100</v>
      </c>
      <c r="M12" s="15" t="str">
        <f t="shared" si="2"/>
        <v>A</v>
      </c>
      <c r="N12" s="15" t="str">
        <f t="shared" si="3"/>
        <v>100% LTT</v>
      </c>
      <c r="O12" s="35"/>
    </row>
    <row r="13" spans="1:15" ht="19.5" customHeight="1" x14ac:dyDescent="0.3">
      <c r="A13" s="15">
        <f t="shared" si="4"/>
        <v>7</v>
      </c>
      <c r="B13" s="16" t="s">
        <v>54</v>
      </c>
      <c r="C13" s="15" t="s">
        <v>19</v>
      </c>
      <c r="D13" s="15"/>
      <c r="E13" s="15"/>
      <c r="F13" s="15"/>
      <c r="G13" s="15">
        <f t="shared" si="0"/>
        <v>0</v>
      </c>
      <c r="H13" s="15">
        <f t="shared" si="0"/>
        <v>0</v>
      </c>
      <c r="I13" s="15">
        <f t="shared" si="1"/>
        <v>0</v>
      </c>
      <c r="J13" s="15">
        <f t="shared" si="5"/>
        <v>0</v>
      </c>
      <c r="K13" s="15"/>
      <c r="L13" s="15">
        <f t="shared" si="6"/>
        <v>100</v>
      </c>
      <c r="M13" s="15" t="str">
        <f t="shared" si="2"/>
        <v>A</v>
      </c>
      <c r="N13" s="15" t="str">
        <f t="shared" si="3"/>
        <v>100% LTT</v>
      </c>
      <c r="O13" s="35"/>
    </row>
    <row r="14" spans="1:15" ht="19.5" customHeight="1" x14ac:dyDescent="0.3">
      <c r="A14" s="17">
        <f t="shared" si="4"/>
        <v>8</v>
      </c>
      <c r="B14" s="18" t="s">
        <v>11</v>
      </c>
      <c r="C14" s="17" t="s">
        <v>51</v>
      </c>
      <c r="D14" s="17">
        <v>1</v>
      </c>
      <c r="E14" s="17"/>
      <c r="F14" s="17">
        <v>5</v>
      </c>
      <c r="G14" s="17">
        <f t="shared" si="0"/>
        <v>0</v>
      </c>
      <c r="H14" s="17">
        <f t="shared" si="0"/>
        <v>0</v>
      </c>
      <c r="I14" s="17">
        <f t="shared" si="1"/>
        <v>3</v>
      </c>
      <c r="J14" s="17">
        <f t="shared" si="5"/>
        <v>3</v>
      </c>
      <c r="K14" s="17"/>
      <c r="L14" s="15">
        <f t="shared" si="6"/>
        <v>97</v>
      </c>
      <c r="M14" s="17" t="str">
        <f t="shared" si="2"/>
        <v>A</v>
      </c>
      <c r="N14" s="17" t="str">
        <f t="shared" si="3"/>
        <v>100% LTT</v>
      </c>
      <c r="O14" s="35"/>
    </row>
    <row r="15" spans="1:15" ht="19.5" customHeight="1" x14ac:dyDescent="0.3">
      <c r="A15" s="184" t="s">
        <v>16</v>
      </c>
      <c r="B15" s="184"/>
      <c r="C15" s="18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5" ht="19.5" customHeight="1" x14ac:dyDescent="0.3">
      <c r="A16" s="17">
        <f>A14+1</f>
        <v>9</v>
      </c>
      <c r="B16" s="18" t="s">
        <v>28</v>
      </c>
      <c r="C16" s="17" t="s">
        <v>121</v>
      </c>
      <c r="D16" s="4"/>
      <c r="E16" s="17"/>
      <c r="F16" s="17">
        <v>5</v>
      </c>
      <c r="G16" s="17">
        <f t="shared" ref="G16:H16" si="7">IF(D16&gt;5,(D16-5)*2,0)</f>
        <v>0</v>
      </c>
      <c r="H16" s="17">
        <f t="shared" si="7"/>
        <v>0</v>
      </c>
      <c r="I16" s="17">
        <f t="shared" ref="I16" si="8">IF(F16&gt;2,(F16-2)*1,0)</f>
        <v>3</v>
      </c>
      <c r="J16" s="17">
        <f t="shared" ref="J16" si="9">SUM(G16:I16)</f>
        <v>3</v>
      </c>
      <c r="K16" s="17"/>
      <c r="L16" s="17">
        <f>100-J16-K16</f>
        <v>97</v>
      </c>
      <c r="M16" s="17" t="str">
        <f t="shared" ref="M16" si="10">IF(L16&lt;71,"KL",IF(AND(L16&gt;=71,L16&lt;81),"C",IF(AND(L16&gt;=81,L16&lt;91),"B","A")))</f>
        <v>A</v>
      </c>
      <c r="N16" s="17" t="str">
        <f t="shared" ref="N16" si="11">IF(M16="A","100% LTT",IF(M16="B","90% LTT",IF(M16="C","80% LTT","60% LTT")))</f>
        <v>100% LTT</v>
      </c>
    </row>
    <row r="17" spans="1:14" ht="19.5" customHeight="1" x14ac:dyDescent="0.3">
      <c r="A17" s="184" t="s">
        <v>17</v>
      </c>
      <c r="B17" s="184"/>
      <c r="C17" s="18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ht="19.5" customHeight="1" x14ac:dyDescent="0.3">
      <c r="A18" s="23">
        <f>A16+1</f>
        <v>10</v>
      </c>
      <c r="B18" s="38" t="s">
        <v>12</v>
      </c>
      <c r="C18" s="23" t="s">
        <v>19</v>
      </c>
      <c r="D18" s="23"/>
      <c r="E18" s="23"/>
      <c r="F18" s="23">
        <v>3</v>
      </c>
      <c r="G18" s="74">
        <f t="shared" ref="G18:H25" si="12">IF(D18&gt;5,(D18-5)*2,0)</f>
        <v>0</v>
      </c>
      <c r="H18" s="23">
        <f t="shared" si="12"/>
        <v>0</v>
      </c>
      <c r="I18" s="23">
        <f t="shared" ref="I18:I25" si="13">IF(F18&gt;2,(F18-2)*1,0)</f>
        <v>1</v>
      </c>
      <c r="J18" s="23">
        <f t="shared" ref="J18:J25" si="14">SUM(G18:I18)</f>
        <v>1</v>
      </c>
      <c r="K18" s="23">
        <v>7</v>
      </c>
      <c r="L18" s="23">
        <f>100-J18-K18</f>
        <v>92</v>
      </c>
      <c r="M18" s="23" t="str">
        <f t="shared" ref="M18:M25" si="15">IF(L18&lt;71,"KL",IF(AND(L18&gt;=71,L18&lt;81),"C",IF(AND(L18&gt;=81,L18&lt;91),"B","A")))</f>
        <v>A</v>
      </c>
      <c r="N18" s="23" t="str">
        <f t="shared" ref="N18:N25" si="16">IF(M18="A","100% LTT",IF(M18="B","90% LTT",IF(M18="C","80% LTT","60% LTT")))</f>
        <v>100% LTT</v>
      </c>
    </row>
    <row r="19" spans="1:14" ht="19.5" customHeight="1" x14ac:dyDescent="0.3">
      <c r="A19" s="15">
        <f>A18+1</f>
        <v>11</v>
      </c>
      <c r="B19" s="16" t="s">
        <v>13</v>
      </c>
      <c r="C19" s="15" t="s">
        <v>101</v>
      </c>
      <c r="D19" s="15">
        <v>5</v>
      </c>
      <c r="E19" s="15"/>
      <c r="F19" s="15">
        <v>2</v>
      </c>
      <c r="G19" s="15">
        <f t="shared" si="12"/>
        <v>0</v>
      </c>
      <c r="H19" s="15">
        <f t="shared" si="12"/>
        <v>0</v>
      </c>
      <c r="I19" s="15">
        <f t="shared" si="13"/>
        <v>0</v>
      </c>
      <c r="J19" s="15">
        <f t="shared" si="14"/>
        <v>0</v>
      </c>
      <c r="K19" s="15">
        <v>2</v>
      </c>
      <c r="L19" s="15">
        <f t="shared" ref="L19:L25" si="17">100-J19-K19</f>
        <v>98</v>
      </c>
      <c r="M19" s="15" t="str">
        <f t="shared" si="15"/>
        <v>A</v>
      </c>
      <c r="N19" s="15" t="str">
        <f>IF(M19="A","100% LTT",IF(M19="B","90% LTT",IF(M19="C","80% LTT","60% LTT")))</f>
        <v>100% LTT</v>
      </c>
    </row>
    <row r="20" spans="1:14" ht="19.5" customHeight="1" x14ac:dyDescent="0.3">
      <c r="A20" s="15">
        <f t="shared" ref="A20:A24" si="18">A19+1</f>
        <v>12</v>
      </c>
      <c r="B20" s="16" t="s">
        <v>14</v>
      </c>
      <c r="C20" s="15" t="s">
        <v>19</v>
      </c>
      <c r="D20" s="15"/>
      <c r="E20" s="15"/>
      <c r="F20" s="15">
        <v>2</v>
      </c>
      <c r="G20" s="15">
        <f t="shared" si="12"/>
        <v>0</v>
      </c>
      <c r="H20" s="15">
        <f t="shared" si="12"/>
        <v>0</v>
      </c>
      <c r="I20" s="15">
        <f t="shared" si="13"/>
        <v>0</v>
      </c>
      <c r="J20" s="15">
        <f t="shared" si="14"/>
        <v>0</v>
      </c>
      <c r="K20" s="15">
        <v>6</v>
      </c>
      <c r="L20" s="15">
        <f t="shared" si="17"/>
        <v>94</v>
      </c>
      <c r="M20" s="15" t="str">
        <f t="shared" si="15"/>
        <v>A</v>
      </c>
      <c r="N20" s="15" t="str">
        <f t="shared" si="16"/>
        <v>100% LTT</v>
      </c>
    </row>
    <row r="21" spans="1:14" ht="19.5" customHeight="1" x14ac:dyDescent="0.3">
      <c r="A21" s="15">
        <f t="shared" si="18"/>
        <v>13</v>
      </c>
      <c r="B21" s="16" t="s">
        <v>40</v>
      </c>
      <c r="C21" s="15" t="s">
        <v>19</v>
      </c>
      <c r="D21" s="15"/>
      <c r="E21" s="15"/>
      <c r="F21" s="15"/>
      <c r="G21" s="15">
        <f t="shared" si="12"/>
        <v>0</v>
      </c>
      <c r="H21" s="15">
        <f t="shared" si="12"/>
        <v>0</v>
      </c>
      <c r="I21" s="15">
        <f t="shared" si="13"/>
        <v>0</v>
      </c>
      <c r="J21" s="15">
        <f t="shared" si="14"/>
        <v>0</v>
      </c>
      <c r="K21" s="15">
        <v>7</v>
      </c>
      <c r="L21" s="15">
        <f t="shared" si="17"/>
        <v>93</v>
      </c>
      <c r="M21" s="15" t="str">
        <f t="shared" si="15"/>
        <v>A</v>
      </c>
      <c r="N21" s="15" t="str">
        <f t="shared" si="16"/>
        <v>100% LTT</v>
      </c>
    </row>
    <row r="22" spans="1:14" ht="19.5" customHeight="1" x14ac:dyDescent="0.3">
      <c r="A22" s="15">
        <f t="shared" si="18"/>
        <v>14</v>
      </c>
      <c r="B22" s="16" t="s">
        <v>98</v>
      </c>
      <c r="C22" s="15" t="s">
        <v>102</v>
      </c>
      <c r="D22" s="15"/>
      <c r="E22" s="15"/>
      <c r="F22" s="15"/>
      <c r="G22" s="15">
        <f t="shared" si="12"/>
        <v>0</v>
      </c>
      <c r="H22" s="15">
        <f t="shared" si="12"/>
        <v>0</v>
      </c>
      <c r="I22" s="15">
        <f t="shared" si="13"/>
        <v>0</v>
      </c>
      <c r="J22" s="15">
        <f t="shared" si="14"/>
        <v>0</v>
      </c>
      <c r="K22" s="15">
        <v>8</v>
      </c>
      <c r="L22" s="15">
        <f t="shared" si="17"/>
        <v>92</v>
      </c>
      <c r="M22" s="15" t="str">
        <f t="shared" si="15"/>
        <v>A</v>
      </c>
      <c r="N22" s="15" t="str">
        <f t="shared" si="16"/>
        <v>100% LTT</v>
      </c>
    </row>
    <row r="23" spans="1:14" ht="19.5" customHeight="1" x14ac:dyDescent="0.3">
      <c r="A23" s="15">
        <f t="shared" si="18"/>
        <v>15</v>
      </c>
      <c r="B23" s="16" t="s">
        <v>99</v>
      </c>
      <c r="C23" s="15" t="s">
        <v>102</v>
      </c>
      <c r="D23" s="15"/>
      <c r="E23" s="15"/>
      <c r="F23" s="15"/>
      <c r="G23" s="15">
        <f t="shared" si="12"/>
        <v>0</v>
      </c>
      <c r="H23" s="15">
        <f t="shared" si="12"/>
        <v>0</v>
      </c>
      <c r="I23" s="15">
        <f t="shared" si="13"/>
        <v>0</v>
      </c>
      <c r="J23" s="15">
        <f t="shared" si="14"/>
        <v>0</v>
      </c>
      <c r="K23" s="15">
        <v>5</v>
      </c>
      <c r="L23" s="15">
        <f t="shared" si="17"/>
        <v>95</v>
      </c>
      <c r="M23" s="15" t="str">
        <f t="shared" si="15"/>
        <v>A</v>
      </c>
      <c r="N23" s="15" t="str">
        <f t="shared" si="16"/>
        <v>100% LTT</v>
      </c>
    </row>
    <row r="24" spans="1:14" ht="19.5" customHeight="1" x14ac:dyDescent="0.3">
      <c r="A24" s="15">
        <f t="shared" si="18"/>
        <v>16</v>
      </c>
      <c r="B24" s="16" t="s">
        <v>100</v>
      </c>
      <c r="C24" s="15" t="s">
        <v>102</v>
      </c>
      <c r="D24" s="15"/>
      <c r="E24" s="15"/>
      <c r="F24" s="15"/>
      <c r="G24" s="15">
        <f t="shared" si="12"/>
        <v>0</v>
      </c>
      <c r="H24" s="15">
        <f t="shared" si="12"/>
        <v>0</v>
      </c>
      <c r="I24" s="15">
        <f t="shared" si="13"/>
        <v>0</v>
      </c>
      <c r="J24" s="15">
        <f t="shared" si="14"/>
        <v>0</v>
      </c>
      <c r="K24" s="15">
        <v>6</v>
      </c>
      <c r="L24" s="15">
        <f t="shared" si="17"/>
        <v>94</v>
      </c>
      <c r="M24" s="15" t="str">
        <f t="shared" si="15"/>
        <v>A</v>
      </c>
      <c r="N24" s="15" t="str">
        <f t="shared" si="16"/>
        <v>100% LTT</v>
      </c>
    </row>
    <row r="25" spans="1:14" ht="19.5" customHeight="1" x14ac:dyDescent="0.3">
      <c r="A25" s="17">
        <v>17</v>
      </c>
      <c r="B25" s="18" t="s">
        <v>116</v>
      </c>
      <c r="C25" s="17" t="s">
        <v>107</v>
      </c>
      <c r="D25" s="17"/>
      <c r="E25" s="17"/>
      <c r="F25" s="17"/>
      <c r="G25" s="15">
        <f t="shared" si="12"/>
        <v>0</v>
      </c>
      <c r="H25" s="15">
        <f t="shared" si="12"/>
        <v>0</v>
      </c>
      <c r="I25" s="15">
        <f t="shared" si="13"/>
        <v>0</v>
      </c>
      <c r="J25" s="15">
        <f t="shared" si="14"/>
        <v>0</v>
      </c>
      <c r="K25" s="17">
        <v>8</v>
      </c>
      <c r="L25" s="17">
        <f t="shared" si="17"/>
        <v>92</v>
      </c>
      <c r="M25" s="17" t="str">
        <f t="shared" si="15"/>
        <v>A</v>
      </c>
      <c r="N25" s="17" t="str">
        <f t="shared" si="16"/>
        <v>100% LTT</v>
      </c>
    </row>
    <row r="26" spans="1:14" ht="22.5" customHeight="1" x14ac:dyDescent="0.3">
      <c r="A26" s="180" t="s">
        <v>60</v>
      </c>
      <c r="B26" s="180"/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0"/>
      <c r="N26" s="180"/>
    </row>
    <row r="27" spans="1:14" ht="22.5" customHeight="1" x14ac:dyDescent="0.3">
      <c r="J27" s="185" t="s">
        <v>111</v>
      </c>
      <c r="K27" s="185"/>
      <c r="L27" s="185"/>
      <c r="M27" s="185"/>
      <c r="N27" s="185"/>
    </row>
    <row r="28" spans="1:14" ht="22.5" customHeight="1" x14ac:dyDescent="0.3">
      <c r="B28" s="178" t="s">
        <v>22</v>
      </c>
      <c r="C28" s="178"/>
      <c r="D28" s="178"/>
      <c r="L28" s="178" t="s">
        <v>25</v>
      </c>
      <c r="M28" s="178"/>
      <c r="N28" s="178"/>
    </row>
    <row r="29" spans="1:14" ht="22.5" customHeight="1" x14ac:dyDescent="0.3">
      <c r="L29" s="83"/>
      <c r="M29" s="83"/>
    </row>
    <row r="30" spans="1:14" ht="22.5" customHeight="1" x14ac:dyDescent="0.3">
      <c r="L30" s="83"/>
      <c r="M30" s="83"/>
    </row>
    <row r="31" spans="1:14" ht="22.5" customHeight="1" x14ac:dyDescent="0.3">
      <c r="L31" s="83"/>
      <c r="M31" s="83"/>
    </row>
    <row r="32" spans="1:14" ht="22.5" customHeight="1" x14ac:dyDescent="0.3">
      <c r="B32" s="178" t="s">
        <v>28</v>
      </c>
      <c r="C32" s="178"/>
      <c r="D32" s="178"/>
      <c r="L32" s="178" t="s">
        <v>27</v>
      </c>
      <c r="M32" s="178"/>
      <c r="N32" s="178"/>
    </row>
    <row r="33" spans="3:4" ht="22.5" customHeight="1" x14ac:dyDescent="0.3">
      <c r="C33" s="1"/>
      <c r="D33" s="1"/>
    </row>
  </sheetData>
  <mergeCells count="25">
    <mergeCell ref="O4:O5"/>
    <mergeCell ref="A1:N1"/>
    <mergeCell ref="A2:N2"/>
    <mergeCell ref="A3:N3"/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L4:L5"/>
    <mergeCell ref="M4:M5"/>
    <mergeCell ref="N4:N5"/>
    <mergeCell ref="B32:D32"/>
    <mergeCell ref="L32:N32"/>
    <mergeCell ref="A6:C6"/>
    <mergeCell ref="A15:C15"/>
    <mergeCell ref="A17:C17"/>
    <mergeCell ref="A26:N26"/>
    <mergeCell ref="J27:N27"/>
    <mergeCell ref="B28:D28"/>
    <mergeCell ref="L28:N28"/>
  </mergeCells>
  <pageMargins left="0.2" right="0.35" top="0.33" bottom="0.31" header="0.3" footer="0.3"/>
  <pageSetup paperSize="9" scale="75" orientation="landscape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workbookViewId="0">
      <pane xSplit="2" ySplit="6" topLeftCell="E7" activePane="bottomRight" state="frozen"/>
      <selection pane="topRight" activeCell="C1" sqref="C1"/>
      <selection pane="bottomLeft" activeCell="A7" sqref="A7"/>
      <selection pane="bottomRight" sqref="A1:XFD1048576"/>
    </sheetView>
  </sheetViews>
  <sheetFormatPr defaultColWidth="9.109375" defaultRowHeight="16.8" x14ac:dyDescent="0.3"/>
  <cols>
    <col min="1" max="1" width="6.109375" style="2" customWidth="1"/>
    <col min="2" max="2" width="24.6640625" style="1" customWidth="1"/>
    <col min="3" max="3" width="22" style="2" customWidth="1"/>
    <col min="4" max="6" width="11.33203125" style="2" customWidth="1"/>
    <col min="7" max="9" width="12.33203125" style="2" customWidth="1"/>
    <col min="10" max="10" width="12.44140625" style="2" customWidth="1"/>
    <col min="11" max="11" width="11.33203125" style="2" customWidth="1"/>
    <col min="12" max="12" width="12.109375" style="2" customWidth="1"/>
    <col min="13" max="13" width="9.44140625" style="2" customWidth="1"/>
    <col min="14" max="14" width="15" style="2" customWidth="1"/>
    <col min="15" max="15" width="53.88671875" style="2" customWidth="1"/>
    <col min="16" max="16384" width="9.109375" style="1"/>
  </cols>
  <sheetData>
    <row r="1" spans="1:15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5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</row>
    <row r="3" spans="1:15" ht="22.5" customHeight="1" x14ac:dyDescent="0.3">
      <c r="A3" s="179" t="s">
        <v>122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</row>
    <row r="4" spans="1:15" s="3" customFormat="1" ht="22.5" customHeight="1" x14ac:dyDescent="0.3">
      <c r="A4" s="180" t="s">
        <v>0</v>
      </c>
      <c r="B4" s="180" t="s">
        <v>1</v>
      </c>
      <c r="C4" s="180" t="s">
        <v>2</v>
      </c>
      <c r="D4" s="180" t="s">
        <v>23</v>
      </c>
      <c r="E4" s="180"/>
      <c r="F4" s="180"/>
      <c r="G4" s="181" t="s">
        <v>29</v>
      </c>
      <c r="H4" s="181" t="s">
        <v>30</v>
      </c>
      <c r="I4" s="181" t="s">
        <v>31</v>
      </c>
      <c r="J4" s="181" t="s">
        <v>96</v>
      </c>
      <c r="K4" s="181" t="s">
        <v>97</v>
      </c>
      <c r="L4" s="180" t="s">
        <v>6</v>
      </c>
      <c r="M4" s="180" t="s">
        <v>7</v>
      </c>
      <c r="N4" s="180" t="s">
        <v>8</v>
      </c>
      <c r="O4" s="183"/>
    </row>
    <row r="5" spans="1:15" s="3" customFormat="1" ht="49.8" customHeight="1" x14ac:dyDescent="0.3">
      <c r="A5" s="180"/>
      <c r="B5" s="180"/>
      <c r="C5" s="180"/>
      <c r="D5" s="86" t="s">
        <v>3</v>
      </c>
      <c r="E5" s="86" t="s">
        <v>4</v>
      </c>
      <c r="F5" s="86" t="s">
        <v>5</v>
      </c>
      <c r="G5" s="182"/>
      <c r="H5" s="182"/>
      <c r="I5" s="182"/>
      <c r="J5" s="182"/>
      <c r="K5" s="182"/>
      <c r="L5" s="180"/>
      <c r="M5" s="180"/>
      <c r="N5" s="180"/>
      <c r="O5" s="183"/>
    </row>
    <row r="6" spans="1:15" ht="19.5" customHeight="1" x14ac:dyDescent="0.3">
      <c r="A6" s="184" t="s">
        <v>15</v>
      </c>
      <c r="B6" s="184"/>
      <c r="C6" s="18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5" ht="19.5" customHeight="1" x14ac:dyDescent="0.3">
      <c r="A7" s="15">
        <v>1</v>
      </c>
      <c r="B7" s="16" t="s">
        <v>49</v>
      </c>
      <c r="C7" s="15" t="s">
        <v>19</v>
      </c>
      <c r="D7" s="15"/>
      <c r="E7" s="15"/>
      <c r="F7" s="15"/>
      <c r="G7" s="15">
        <f t="shared" ref="G7:H14" si="0">IF(D7&gt;5,(D7-5)*2,0)</f>
        <v>0</v>
      </c>
      <c r="H7" s="15">
        <f t="shared" si="0"/>
        <v>0</v>
      </c>
      <c r="I7" s="15">
        <f t="shared" ref="I7:I14" si="1">IF(F7&gt;2,(F7-2)*1,0)</f>
        <v>0</v>
      </c>
      <c r="J7" s="15">
        <f>SUM(G7:I7)</f>
        <v>0</v>
      </c>
      <c r="K7" s="15">
        <v>3</v>
      </c>
      <c r="L7" s="15">
        <f>100-J7-K7</f>
        <v>97</v>
      </c>
      <c r="M7" s="15" t="str">
        <f t="shared" ref="M7:M14" si="2">IF(L7&lt;71,"KL",IF(AND(L7&gt;=71,L7&lt;81),"C",IF(AND(L7&gt;=81,L7&lt;91),"B","A")))</f>
        <v>A</v>
      </c>
      <c r="N7" s="15" t="str">
        <f t="shared" ref="N7:N14" si="3">IF(M7="A","100% LTT",IF(M7="B","90% LTT",IF(M7="C","80% LTT","60% LTT")))</f>
        <v>100% LTT</v>
      </c>
      <c r="O7" s="11" t="s">
        <v>33</v>
      </c>
    </row>
    <row r="8" spans="1:15" ht="19.5" customHeight="1" x14ac:dyDescent="0.3">
      <c r="A8" s="15">
        <f t="shared" ref="A8:A14" si="4">A7+1</f>
        <v>2</v>
      </c>
      <c r="B8" s="16" t="s">
        <v>52</v>
      </c>
      <c r="C8" s="15" t="s">
        <v>19</v>
      </c>
      <c r="D8" s="15"/>
      <c r="E8" s="15"/>
      <c r="F8" s="15"/>
      <c r="G8" s="15">
        <f t="shared" si="0"/>
        <v>0</v>
      </c>
      <c r="H8" s="15">
        <f t="shared" si="0"/>
        <v>0</v>
      </c>
      <c r="I8" s="15">
        <f t="shared" si="1"/>
        <v>0</v>
      </c>
      <c r="J8" s="15">
        <f t="shared" ref="J8:J14" si="5">SUM(G8:I8)</f>
        <v>0</v>
      </c>
      <c r="K8" s="15"/>
      <c r="L8" s="15">
        <f t="shared" ref="L8:L14" si="6">100-J8-K8</f>
        <v>100</v>
      </c>
      <c r="M8" s="15" t="str">
        <f t="shared" si="2"/>
        <v>A</v>
      </c>
      <c r="N8" s="15" t="str">
        <f t="shared" si="3"/>
        <v>100% LTT</v>
      </c>
      <c r="O8" s="34"/>
    </row>
    <row r="9" spans="1:15" ht="19.5" customHeight="1" x14ac:dyDescent="0.3">
      <c r="A9" s="15">
        <f>A8+1</f>
        <v>3</v>
      </c>
      <c r="B9" s="16" t="s">
        <v>57</v>
      </c>
      <c r="C9" s="15" t="s">
        <v>19</v>
      </c>
      <c r="D9" s="15"/>
      <c r="E9" s="15"/>
      <c r="F9" s="15"/>
      <c r="G9" s="15">
        <f t="shared" si="0"/>
        <v>0</v>
      </c>
      <c r="H9" s="15">
        <f t="shared" si="0"/>
        <v>0</v>
      </c>
      <c r="I9" s="15">
        <f t="shared" si="1"/>
        <v>0</v>
      </c>
      <c r="J9" s="15">
        <f t="shared" si="5"/>
        <v>0</v>
      </c>
      <c r="K9" s="15"/>
      <c r="L9" s="15">
        <f t="shared" si="6"/>
        <v>100</v>
      </c>
      <c r="M9" s="15" t="str">
        <f t="shared" si="2"/>
        <v>A</v>
      </c>
      <c r="N9" s="15" t="str">
        <f t="shared" si="3"/>
        <v>100% LTT</v>
      </c>
      <c r="O9" s="35"/>
    </row>
    <row r="10" spans="1:15" ht="19.5" customHeight="1" x14ac:dyDescent="0.3">
      <c r="A10" s="15">
        <f t="shared" si="4"/>
        <v>4</v>
      </c>
      <c r="B10" s="16" t="s">
        <v>58</v>
      </c>
      <c r="C10" s="15" t="s">
        <v>19</v>
      </c>
      <c r="D10" s="15"/>
      <c r="E10" s="15"/>
      <c r="F10" s="15"/>
      <c r="G10" s="15">
        <f t="shared" si="0"/>
        <v>0</v>
      </c>
      <c r="H10" s="15">
        <f t="shared" si="0"/>
        <v>0</v>
      </c>
      <c r="I10" s="15">
        <f t="shared" si="1"/>
        <v>0</v>
      </c>
      <c r="J10" s="15">
        <f t="shared" si="5"/>
        <v>0</v>
      </c>
      <c r="K10" s="15"/>
      <c r="L10" s="15">
        <f t="shared" si="6"/>
        <v>100</v>
      </c>
      <c r="M10" s="15" t="str">
        <f t="shared" si="2"/>
        <v>A</v>
      </c>
      <c r="N10" s="15" t="str">
        <f t="shared" si="3"/>
        <v>100% LTT</v>
      </c>
      <c r="O10" s="35"/>
    </row>
    <row r="11" spans="1:15" ht="19.5" customHeight="1" x14ac:dyDescent="0.3">
      <c r="A11" s="15">
        <f t="shared" si="4"/>
        <v>5</v>
      </c>
      <c r="B11" s="16" t="s">
        <v>59</v>
      </c>
      <c r="C11" s="15" t="s">
        <v>19</v>
      </c>
      <c r="D11" s="15"/>
      <c r="E11" s="15"/>
      <c r="F11" s="15"/>
      <c r="G11" s="15">
        <f t="shared" si="0"/>
        <v>0</v>
      </c>
      <c r="H11" s="15">
        <f t="shared" si="0"/>
        <v>0</v>
      </c>
      <c r="I11" s="15">
        <f t="shared" si="1"/>
        <v>0</v>
      </c>
      <c r="J11" s="15">
        <f t="shared" si="5"/>
        <v>0</v>
      </c>
      <c r="K11" s="15"/>
      <c r="L11" s="15">
        <f t="shared" si="6"/>
        <v>100</v>
      </c>
      <c r="M11" s="15" t="str">
        <f t="shared" si="2"/>
        <v>A</v>
      </c>
      <c r="N11" s="15" t="str">
        <f t="shared" si="3"/>
        <v>100% LTT</v>
      </c>
      <c r="O11" s="35"/>
    </row>
    <row r="12" spans="1:15" ht="19.5" customHeight="1" x14ac:dyDescent="0.3">
      <c r="A12" s="15">
        <f t="shared" si="4"/>
        <v>6</v>
      </c>
      <c r="B12" s="16" t="s">
        <v>53</v>
      </c>
      <c r="C12" s="15" t="s">
        <v>19</v>
      </c>
      <c r="D12" s="15"/>
      <c r="E12" s="15"/>
      <c r="F12" s="15"/>
      <c r="G12" s="15">
        <f t="shared" si="0"/>
        <v>0</v>
      </c>
      <c r="H12" s="15">
        <f t="shared" si="0"/>
        <v>0</v>
      </c>
      <c r="I12" s="15">
        <f t="shared" si="1"/>
        <v>0</v>
      </c>
      <c r="J12" s="15">
        <f t="shared" si="5"/>
        <v>0</v>
      </c>
      <c r="K12" s="15"/>
      <c r="L12" s="15">
        <f t="shared" si="6"/>
        <v>100</v>
      </c>
      <c r="M12" s="15" t="str">
        <f t="shared" si="2"/>
        <v>A</v>
      </c>
      <c r="N12" s="15" t="str">
        <f t="shared" si="3"/>
        <v>100% LTT</v>
      </c>
      <c r="O12" s="35"/>
    </row>
    <row r="13" spans="1:15" ht="19.5" customHeight="1" x14ac:dyDescent="0.3">
      <c r="A13" s="15">
        <f t="shared" si="4"/>
        <v>7</v>
      </c>
      <c r="B13" s="16" t="s">
        <v>54</v>
      </c>
      <c r="C13" s="15" t="s">
        <v>19</v>
      </c>
      <c r="D13" s="15"/>
      <c r="E13" s="15"/>
      <c r="F13" s="15"/>
      <c r="G13" s="15">
        <f t="shared" si="0"/>
        <v>0</v>
      </c>
      <c r="H13" s="15">
        <f t="shared" si="0"/>
        <v>0</v>
      </c>
      <c r="I13" s="15">
        <f t="shared" si="1"/>
        <v>0</v>
      </c>
      <c r="J13" s="15">
        <f t="shared" si="5"/>
        <v>0</v>
      </c>
      <c r="K13" s="15"/>
      <c r="L13" s="15">
        <f t="shared" si="6"/>
        <v>100</v>
      </c>
      <c r="M13" s="15" t="str">
        <f t="shared" si="2"/>
        <v>A</v>
      </c>
      <c r="N13" s="15" t="str">
        <f t="shared" si="3"/>
        <v>100% LTT</v>
      </c>
      <c r="O13" s="35"/>
    </row>
    <row r="14" spans="1:15" ht="19.5" customHeight="1" x14ac:dyDescent="0.3">
      <c r="A14" s="17">
        <f t="shared" si="4"/>
        <v>8</v>
      </c>
      <c r="B14" s="18" t="s">
        <v>11</v>
      </c>
      <c r="C14" s="17" t="s">
        <v>51</v>
      </c>
      <c r="D14" s="17">
        <v>4</v>
      </c>
      <c r="E14" s="17">
        <v>1</v>
      </c>
      <c r="F14" s="17"/>
      <c r="G14" s="17">
        <f t="shared" si="0"/>
        <v>0</v>
      </c>
      <c r="H14" s="17">
        <f t="shared" si="0"/>
        <v>0</v>
      </c>
      <c r="I14" s="17">
        <f t="shared" si="1"/>
        <v>0</v>
      </c>
      <c r="J14" s="17">
        <f t="shared" si="5"/>
        <v>0</v>
      </c>
      <c r="K14" s="17">
        <v>3</v>
      </c>
      <c r="L14" s="15">
        <f t="shared" si="6"/>
        <v>97</v>
      </c>
      <c r="M14" s="17" t="str">
        <f t="shared" si="2"/>
        <v>A</v>
      </c>
      <c r="N14" s="17" t="str">
        <f t="shared" si="3"/>
        <v>100% LTT</v>
      </c>
      <c r="O14" s="35"/>
    </row>
    <row r="15" spans="1:15" ht="19.5" customHeight="1" x14ac:dyDescent="0.3">
      <c r="A15" s="184" t="s">
        <v>16</v>
      </c>
      <c r="B15" s="184"/>
      <c r="C15" s="18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5" ht="19.5" customHeight="1" x14ac:dyDescent="0.3">
      <c r="A16" s="17">
        <f>A14+1</f>
        <v>9</v>
      </c>
      <c r="B16" s="18" t="s">
        <v>28</v>
      </c>
      <c r="C16" s="17" t="s">
        <v>121</v>
      </c>
      <c r="D16" s="4">
        <v>1</v>
      </c>
      <c r="E16" s="17">
        <v>1</v>
      </c>
      <c r="F16" s="17">
        <v>1</v>
      </c>
      <c r="G16" s="17">
        <f t="shared" ref="G16:H16" si="7">IF(D16&gt;5,(D16-5)*2,0)</f>
        <v>0</v>
      </c>
      <c r="H16" s="17">
        <f t="shared" si="7"/>
        <v>0</v>
      </c>
      <c r="I16" s="17">
        <f t="shared" ref="I16" si="8">IF(F16&gt;2,(F16-2)*1,0)</f>
        <v>0</v>
      </c>
      <c r="J16" s="17">
        <f t="shared" ref="J16" si="9">SUM(G16:I16)</f>
        <v>0</v>
      </c>
      <c r="K16" s="17"/>
      <c r="L16" s="17">
        <f>100-J16-K16</f>
        <v>100</v>
      </c>
      <c r="M16" s="17" t="str">
        <f t="shared" ref="M16" si="10">IF(L16&lt;71,"KL",IF(AND(L16&gt;=71,L16&lt;81),"C",IF(AND(L16&gt;=81,L16&lt;91),"B","A")))</f>
        <v>A</v>
      </c>
      <c r="N16" s="17" t="str">
        <f t="shared" ref="N16" si="11">IF(M16="A","100% LTT",IF(M16="B","90% LTT",IF(M16="C","80% LTT","60% LTT")))</f>
        <v>100% LTT</v>
      </c>
    </row>
    <row r="17" spans="1:14" ht="19.5" customHeight="1" x14ac:dyDescent="0.3">
      <c r="A17" s="184" t="s">
        <v>17</v>
      </c>
      <c r="B17" s="184"/>
      <c r="C17" s="18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ht="19.5" customHeight="1" x14ac:dyDescent="0.3">
      <c r="A18" s="23">
        <f>A16+1</f>
        <v>10</v>
      </c>
      <c r="B18" s="38" t="s">
        <v>12</v>
      </c>
      <c r="C18" s="23" t="s">
        <v>19</v>
      </c>
      <c r="D18" s="23"/>
      <c r="E18" s="23"/>
      <c r="F18" s="23"/>
      <c r="G18" s="74">
        <f t="shared" ref="G18:H25" si="12">IF(D18&gt;5,(D18-5)*2,0)</f>
        <v>0</v>
      </c>
      <c r="H18" s="23">
        <f t="shared" si="12"/>
        <v>0</v>
      </c>
      <c r="I18" s="23">
        <f t="shared" ref="I18:I25" si="13">IF(F18&gt;2,(F18-2)*1,0)</f>
        <v>0</v>
      </c>
      <c r="J18" s="23">
        <f t="shared" ref="J18:J25" si="14">SUM(G18:I18)</f>
        <v>0</v>
      </c>
      <c r="K18" s="23">
        <v>8</v>
      </c>
      <c r="L18" s="23">
        <f>100-J18-K18</f>
        <v>92</v>
      </c>
      <c r="M18" s="23" t="str">
        <f t="shared" ref="M18:M25" si="15">IF(L18&lt;71,"KL",IF(AND(L18&gt;=71,L18&lt;81),"C",IF(AND(L18&gt;=81,L18&lt;91),"B","A")))</f>
        <v>A</v>
      </c>
      <c r="N18" s="23" t="str">
        <f t="shared" ref="N18:N25" si="16">IF(M18="A","100% LTT",IF(M18="B","90% LTT",IF(M18="C","80% LTT","60% LTT")))</f>
        <v>100% LTT</v>
      </c>
    </row>
    <row r="19" spans="1:14" ht="19.5" customHeight="1" x14ac:dyDescent="0.3">
      <c r="A19" s="15">
        <f>A18+1</f>
        <v>11</v>
      </c>
      <c r="B19" s="16" t="s">
        <v>13</v>
      </c>
      <c r="C19" s="15" t="s">
        <v>101</v>
      </c>
      <c r="D19" s="15">
        <v>1</v>
      </c>
      <c r="E19" s="15"/>
      <c r="F19" s="15">
        <v>1</v>
      </c>
      <c r="G19" s="15">
        <f t="shared" si="12"/>
        <v>0</v>
      </c>
      <c r="H19" s="15">
        <f t="shared" si="12"/>
        <v>0</v>
      </c>
      <c r="I19" s="15">
        <f t="shared" si="13"/>
        <v>0</v>
      </c>
      <c r="J19" s="15">
        <f t="shared" si="14"/>
        <v>0</v>
      </c>
      <c r="K19" s="15">
        <v>2</v>
      </c>
      <c r="L19" s="15">
        <f t="shared" ref="L19:L25" si="17">100-J19-K19</f>
        <v>98</v>
      </c>
      <c r="M19" s="15" t="str">
        <f t="shared" si="15"/>
        <v>A</v>
      </c>
      <c r="N19" s="15" t="str">
        <f>IF(M19="A","100% LTT",IF(M19="B","90% LTT",IF(M19="C","80% LTT","60% LTT")))</f>
        <v>100% LTT</v>
      </c>
    </row>
    <row r="20" spans="1:14" ht="19.5" customHeight="1" x14ac:dyDescent="0.3">
      <c r="A20" s="15">
        <f t="shared" ref="A20:A24" si="18">A19+1</f>
        <v>12</v>
      </c>
      <c r="B20" s="16" t="s">
        <v>14</v>
      </c>
      <c r="C20" s="15" t="s">
        <v>19</v>
      </c>
      <c r="D20" s="15"/>
      <c r="E20" s="15"/>
      <c r="F20" s="15"/>
      <c r="G20" s="15">
        <f t="shared" si="12"/>
        <v>0</v>
      </c>
      <c r="H20" s="15">
        <f t="shared" si="12"/>
        <v>0</v>
      </c>
      <c r="I20" s="15">
        <f t="shared" si="13"/>
        <v>0</v>
      </c>
      <c r="J20" s="15">
        <f t="shared" si="14"/>
        <v>0</v>
      </c>
      <c r="K20" s="15">
        <v>6</v>
      </c>
      <c r="L20" s="15">
        <f t="shared" si="17"/>
        <v>94</v>
      </c>
      <c r="M20" s="15" t="str">
        <f t="shared" si="15"/>
        <v>A</v>
      </c>
      <c r="N20" s="15" t="str">
        <f t="shared" si="16"/>
        <v>100% LTT</v>
      </c>
    </row>
    <row r="21" spans="1:14" ht="19.5" customHeight="1" x14ac:dyDescent="0.3">
      <c r="A21" s="15">
        <f t="shared" si="18"/>
        <v>13</v>
      </c>
      <c r="B21" s="16" t="s">
        <v>40</v>
      </c>
      <c r="C21" s="15" t="s">
        <v>19</v>
      </c>
      <c r="D21" s="15"/>
      <c r="E21" s="15"/>
      <c r="F21" s="15"/>
      <c r="G21" s="15">
        <f t="shared" si="12"/>
        <v>0</v>
      </c>
      <c r="H21" s="15">
        <f t="shared" si="12"/>
        <v>0</v>
      </c>
      <c r="I21" s="15">
        <f t="shared" si="13"/>
        <v>0</v>
      </c>
      <c r="J21" s="15">
        <f t="shared" si="14"/>
        <v>0</v>
      </c>
      <c r="K21" s="15">
        <v>4</v>
      </c>
      <c r="L21" s="15">
        <f t="shared" si="17"/>
        <v>96</v>
      </c>
      <c r="M21" s="15" t="str">
        <f t="shared" si="15"/>
        <v>A</v>
      </c>
      <c r="N21" s="15" t="str">
        <f t="shared" si="16"/>
        <v>100% LTT</v>
      </c>
    </row>
    <row r="22" spans="1:14" ht="19.5" customHeight="1" x14ac:dyDescent="0.3">
      <c r="A22" s="15">
        <f t="shared" si="18"/>
        <v>14</v>
      </c>
      <c r="B22" s="16" t="s">
        <v>98</v>
      </c>
      <c r="C22" s="15" t="s">
        <v>102</v>
      </c>
      <c r="D22" s="15"/>
      <c r="E22" s="15"/>
      <c r="F22" s="15"/>
      <c r="G22" s="15">
        <f t="shared" si="12"/>
        <v>0</v>
      </c>
      <c r="H22" s="15">
        <f t="shared" si="12"/>
        <v>0</v>
      </c>
      <c r="I22" s="15">
        <f t="shared" si="13"/>
        <v>0</v>
      </c>
      <c r="J22" s="15">
        <f t="shared" si="14"/>
        <v>0</v>
      </c>
      <c r="K22" s="15">
        <v>8</v>
      </c>
      <c r="L22" s="15">
        <f t="shared" si="17"/>
        <v>92</v>
      </c>
      <c r="M22" s="15" t="str">
        <f t="shared" si="15"/>
        <v>A</v>
      </c>
      <c r="N22" s="15" t="str">
        <f t="shared" si="16"/>
        <v>100% LTT</v>
      </c>
    </row>
    <row r="23" spans="1:14" ht="19.5" customHeight="1" x14ac:dyDescent="0.3">
      <c r="A23" s="15">
        <f t="shared" si="18"/>
        <v>15</v>
      </c>
      <c r="B23" s="16" t="s">
        <v>99</v>
      </c>
      <c r="C23" s="15" t="s">
        <v>102</v>
      </c>
      <c r="D23" s="15"/>
      <c r="E23" s="15"/>
      <c r="F23" s="15"/>
      <c r="G23" s="15">
        <f t="shared" si="12"/>
        <v>0</v>
      </c>
      <c r="H23" s="15">
        <f t="shared" si="12"/>
        <v>0</v>
      </c>
      <c r="I23" s="15">
        <f t="shared" si="13"/>
        <v>0</v>
      </c>
      <c r="J23" s="15">
        <f t="shared" si="14"/>
        <v>0</v>
      </c>
      <c r="K23" s="15">
        <v>4</v>
      </c>
      <c r="L23" s="15">
        <f t="shared" si="17"/>
        <v>96</v>
      </c>
      <c r="M23" s="15" t="str">
        <f t="shared" si="15"/>
        <v>A</v>
      </c>
      <c r="N23" s="15" t="str">
        <f t="shared" si="16"/>
        <v>100% LTT</v>
      </c>
    </row>
    <row r="24" spans="1:14" ht="19.5" customHeight="1" x14ac:dyDescent="0.3">
      <c r="A24" s="15">
        <f t="shared" si="18"/>
        <v>16</v>
      </c>
      <c r="B24" s="16" t="s">
        <v>100</v>
      </c>
      <c r="C24" s="15" t="s">
        <v>102</v>
      </c>
      <c r="D24" s="15"/>
      <c r="E24" s="15"/>
      <c r="F24" s="15"/>
      <c r="G24" s="15">
        <f t="shared" si="12"/>
        <v>0</v>
      </c>
      <c r="H24" s="15">
        <f t="shared" si="12"/>
        <v>0</v>
      </c>
      <c r="I24" s="15">
        <f t="shared" si="13"/>
        <v>0</v>
      </c>
      <c r="J24" s="15">
        <f t="shared" si="14"/>
        <v>0</v>
      </c>
      <c r="K24" s="15">
        <v>5</v>
      </c>
      <c r="L24" s="15">
        <f t="shared" si="17"/>
        <v>95</v>
      </c>
      <c r="M24" s="15" t="str">
        <f t="shared" si="15"/>
        <v>A</v>
      </c>
      <c r="N24" s="15" t="str">
        <f t="shared" si="16"/>
        <v>100% LTT</v>
      </c>
    </row>
    <row r="25" spans="1:14" ht="19.5" customHeight="1" x14ac:dyDescent="0.3">
      <c r="A25" s="17">
        <v>17</v>
      </c>
      <c r="B25" s="18" t="s">
        <v>116</v>
      </c>
      <c r="C25" s="17" t="s">
        <v>107</v>
      </c>
      <c r="D25" s="17"/>
      <c r="E25" s="17"/>
      <c r="F25" s="17"/>
      <c r="G25" s="15">
        <f t="shared" si="12"/>
        <v>0</v>
      </c>
      <c r="H25" s="15">
        <f t="shared" si="12"/>
        <v>0</v>
      </c>
      <c r="I25" s="15">
        <f t="shared" si="13"/>
        <v>0</v>
      </c>
      <c r="J25" s="15">
        <f t="shared" si="14"/>
        <v>0</v>
      </c>
      <c r="K25" s="17">
        <v>8</v>
      </c>
      <c r="L25" s="17">
        <f t="shared" si="17"/>
        <v>92</v>
      </c>
      <c r="M25" s="17" t="str">
        <f t="shared" si="15"/>
        <v>A</v>
      </c>
      <c r="N25" s="17" t="str">
        <f t="shared" si="16"/>
        <v>100% LTT</v>
      </c>
    </row>
    <row r="26" spans="1:14" ht="22.5" customHeight="1" x14ac:dyDescent="0.3">
      <c r="A26" s="180" t="s">
        <v>60</v>
      </c>
      <c r="B26" s="180"/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0"/>
      <c r="N26" s="180"/>
    </row>
    <row r="27" spans="1:14" ht="22.5" customHeight="1" x14ac:dyDescent="0.3">
      <c r="J27" s="185" t="s">
        <v>111</v>
      </c>
      <c r="K27" s="185"/>
      <c r="L27" s="185"/>
      <c r="M27" s="185"/>
      <c r="N27" s="185"/>
    </row>
    <row r="28" spans="1:14" ht="22.5" customHeight="1" x14ac:dyDescent="0.3">
      <c r="B28" s="178" t="s">
        <v>22</v>
      </c>
      <c r="C28" s="178"/>
      <c r="D28" s="178"/>
      <c r="L28" s="178" t="s">
        <v>25</v>
      </c>
      <c r="M28" s="178"/>
      <c r="N28" s="178"/>
    </row>
    <row r="29" spans="1:14" ht="22.5" customHeight="1" x14ac:dyDescent="0.3">
      <c r="L29" s="85"/>
      <c r="M29" s="85"/>
    </row>
    <row r="30" spans="1:14" ht="22.5" customHeight="1" x14ac:dyDescent="0.3">
      <c r="L30" s="85"/>
      <c r="M30" s="85"/>
    </row>
    <row r="31" spans="1:14" ht="22.5" customHeight="1" x14ac:dyDescent="0.3">
      <c r="L31" s="85"/>
      <c r="M31" s="85"/>
    </row>
    <row r="32" spans="1:14" ht="22.5" customHeight="1" x14ac:dyDescent="0.3">
      <c r="B32" s="178" t="s">
        <v>28</v>
      </c>
      <c r="C32" s="178"/>
      <c r="D32" s="178"/>
      <c r="L32" s="178" t="s">
        <v>27</v>
      </c>
      <c r="M32" s="178"/>
      <c r="N32" s="178"/>
    </row>
    <row r="33" spans="3:4" ht="22.5" customHeight="1" x14ac:dyDescent="0.3">
      <c r="C33" s="1"/>
      <c r="D33" s="1"/>
    </row>
  </sheetData>
  <mergeCells count="25">
    <mergeCell ref="O4:O5"/>
    <mergeCell ref="A1:N1"/>
    <mergeCell ref="A2:N2"/>
    <mergeCell ref="A3:N3"/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L4:L5"/>
    <mergeCell ref="M4:M5"/>
    <mergeCell ref="N4:N5"/>
    <mergeCell ref="B32:D32"/>
    <mergeCell ref="L32:N32"/>
    <mergeCell ref="A6:C6"/>
    <mergeCell ref="A15:C15"/>
    <mergeCell ref="A17:C17"/>
    <mergeCell ref="A26:N26"/>
    <mergeCell ref="J27:N27"/>
    <mergeCell ref="B28:D28"/>
    <mergeCell ref="L28:N28"/>
  </mergeCells>
  <pageMargins left="0.26" right="0.27" top="0.4" bottom="0.41" header="0.3" footer="0.3"/>
  <pageSetup paperSize="9" scale="75" orientation="landscape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workbookViewId="0">
      <pane xSplit="2" ySplit="6" topLeftCell="D7" activePane="bottomRight" state="frozen"/>
      <selection pane="topRight" activeCell="C1" sqref="C1"/>
      <selection pane="bottomLeft" activeCell="A7" sqref="A7"/>
      <selection pane="bottomRight" sqref="A1:XFD1048576"/>
    </sheetView>
  </sheetViews>
  <sheetFormatPr defaultColWidth="9.109375" defaultRowHeight="16.8" x14ac:dyDescent="0.3"/>
  <cols>
    <col min="1" max="1" width="6.109375" style="2" customWidth="1"/>
    <col min="2" max="2" width="24.6640625" style="1" customWidth="1"/>
    <col min="3" max="3" width="22" style="2" customWidth="1"/>
    <col min="4" max="6" width="11.33203125" style="2" customWidth="1"/>
    <col min="7" max="9" width="12.33203125" style="2" customWidth="1"/>
    <col min="10" max="10" width="12.44140625" style="2" customWidth="1"/>
    <col min="11" max="11" width="11.33203125" style="2" customWidth="1"/>
    <col min="12" max="12" width="12.109375" style="2" customWidth="1"/>
    <col min="13" max="13" width="9.44140625" style="2" customWidth="1"/>
    <col min="14" max="14" width="15" style="2" customWidth="1"/>
    <col min="15" max="15" width="53.88671875" style="2" customWidth="1"/>
    <col min="16" max="16384" width="9.109375" style="1"/>
  </cols>
  <sheetData>
    <row r="1" spans="1:15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5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</row>
    <row r="3" spans="1:15" ht="22.5" customHeight="1" x14ac:dyDescent="0.3">
      <c r="A3" s="179" t="s">
        <v>123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</row>
    <row r="4" spans="1:15" s="3" customFormat="1" ht="22.5" customHeight="1" x14ac:dyDescent="0.3">
      <c r="A4" s="180" t="s">
        <v>0</v>
      </c>
      <c r="B4" s="180" t="s">
        <v>1</v>
      </c>
      <c r="C4" s="180" t="s">
        <v>2</v>
      </c>
      <c r="D4" s="180" t="s">
        <v>23</v>
      </c>
      <c r="E4" s="180"/>
      <c r="F4" s="180"/>
      <c r="G4" s="181" t="s">
        <v>29</v>
      </c>
      <c r="H4" s="181" t="s">
        <v>30</v>
      </c>
      <c r="I4" s="181" t="s">
        <v>31</v>
      </c>
      <c r="J4" s="181" t="s">
        <v>96</v>
      </c>
      <c r="K4" s="181" t="s">
        <v>97</v>
      </c>
      <c r="L4" s="180" t="s">
        <v>6</v>
      </c>
      <c r="M4" s="180" t="s">
        <v>7</v>
      </c>
      <c r="N4" s="180" t="s">
        <v>8</v>
      </c>
      <c r="O4" s="183"/>
    </row>
    <row r="5" spans="1:15" s="3" customFormat="1" ht="49.8" customHeight="1" x14ac:dyDescent="0.3">
      <c r="A5" s="180"/>
      <c r="B5" s="180"/>
      <c r="C5" s="180"/>
      <c r="D5" s="88" t="s">
        <v>3</v>
      </c>
      <c r="E5" s="88" t="s">
        <v>4</v>
      </c>
      <c r="F5" s="88" t="s">
        <v>5</v>
      </c>
      <c r="G5" s="182"/>
      <c r="H5" s="182"/>
      <c r="I5" s="182"/>
      <c r="J5" s="182"/>
      <c r="K5" s="182"/>
      <c r="L5" s="180"/>
      <c r="M5" s="180"/>
      <c r="N5" s="180"/>
      <c r="O5" s="183"/>
    </row>
    <row r="6" spans="1:15" ht="19.5" customHeight="1" x14ac:dyDescent="0.3">
      <c r="A6" s="184" t="s">
        <v>15</v>
      </c>
      <c r="B6" s="184"/>
      <c r="C6" s="18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5" ht="19.5" customHeight="1" x14ac:dyDescent="0.3">
      <c r="A7" s="15">
        <v>1</v>
      </c>
      <c r="B7" s="16" t="s">
        <v>49</v>
      </c>
      <c r="C7" s="15" t="s">
        <v>19</v>
      </c>
      <c r="D7" s="15">
        <v>2</v>
      </c>
      <c r="E7" s="15">
        <v>2</v>
      </c>
      <c r="F7" s="15"/>
      <c r="G7" s="15">
        <f t="shared" ref="G7:H14" si="0">IF(D7&gt;5,(D7-5)*2,0)</f>
        <v>0</v>
      </c>
      <c r="H7" s="15">
        <f t="shared" si="0"/>
        <v>0</v>
      </c>
      <c r="I7" s="15">
        <f t="shared" ref="I7:I14" si="1">IF(F7&gt;2,(F7-2)*1,0)</f>
        <v>0</v>
      </c>
      <c r="J7" s="15">
        <f>SUM(G7:I7)</f>
        <v>0</v>
      </c>
      <c r="K7" s="15">
        <v>3</v>
      </c>
      <c r="L7" s="15">
        <f>100-J7-K7</f>
        <v>97</v>
      </c>
      <c r="M7" s="15" t="str">
        <f>IF(L7&lt;71,"KL",IF(AND(L7&gt;=71,L7&lt;81),"C",IF(AND(L7&gt;=81,L7&lt;91),"B","A")))</f>
        <v>A</v>
      </c>
      <c r="N7" s="15" t="str">
        <f>IF(M7="A","100% LTT",IF(M7="B","90% LTT",IF(M7="C","80% LTT","60% LTT")))</f>
        <v>100% LTT</v>
      </c>
      <c r="O7" s="11" t="s">
        <v>33</v>
      </c>
    </row>
    <row r="8" spans="1:15" ht="19.5" customHeight="1" x14ac:dyDescent="0.3">
      <c r="A8" s="15">
        <f t="shared" ref="A8:A14" si="2">A7+1</f>
        <v>2</v>
      </c>
      <c r="B8" s="16" t="s">
        <v>52</v>
      </c>
      <c r="C8" s="15" t="s">
        <v>19</v>
      </c>
      <c r="D8" s="15"/>
      <c r="E8" s="15"/>
      <c r="F8" s="15"/>
      <c r="G8" s="15">
        <f t="shared" si="0"/>
        <v>0</v>
      </c>
      <c r="H8" s="15">
        <f t="shared" si="0"/>
        <v>0</v>
      </c>
      <c r="I8" s="15">
        <f t="shared" si="1"/>
        <v>0</v>
      </c>
      <c r="J8" s="15">
        <f t="shared" ref="J8:J14" si="3">SUM(G8:I8)</f>
        <v>0</v>
      </c>
      <c r="K8" s="15"/>
      <c r="L8" s="15">
        <f t="shared" ref="L8:L14" si="4">100-J8-K8</f>
        <v>100</v>
      </c>
      <c r="M8" s="15" t="str">
        <f t="shared" ref="M8:M14" si="5">IF(L8&lt;71,"KL",IF(AND(L8&gt;=71,L8&lt;81),"C",IF(AND(L8&gt;=81,L8&lt;91),"B","A")))</f>
        <v>A</v>
      </c>
      <c r="N8" s="15" t="str">
        <f t="shared" ref="N8:N14" si="6">IF(M8="A","100% LTT",IF(M8="B","90% LTT",IF(M8="C","80% LTT","60% LTT")))</f>
        <v>100% LTT</v>
      </c>
      <c r="O8" s="34"/>
    </row>
    <row r="9" spans="1:15" ht="19.5" customHeight="1" x14ac:dyDescent="0.3">
      <c r="A9" s="15">
        <f>A8+1</f>
        <v>3</v>
      </c>
      <c r="B9" s="16" t="s">
        <v>57</v>
      </c>
      <c r="C9" s="15" t="s">
        <v>19</v>
      </c>
      <c r="D9" s="15"/>
      <c r="E9" s="15"/>
      <c r="F9" s="15"/>
      <c r="G9" s="15">
        <f t="shared" si="0"/>
        <v>0</v>
      </c>
      <c r="H9" s="15">
        <f t="shared" si="0"/>
        <v>0</v>
      </c>
      <c r="I9" s="15">
        <f t="shared" si="1"/>
        <v>0</v>
      </c>
      <c r="J9" s="15">
        <f t="shared" si="3"/>
        <v>0</v>
      </c>
      <c r="K9" s="15"/>
      <c r="L9" s="15">
        <f t="shared" si="4"/>
        <v>100</v>
      </c>
      <c r="M9" s="15" t="str">
        <f t="shared" si="5"/>
        <v>A</v>
      </c>
      <c r="N9" s="15" t="str">
        <f t="shared" si="6"/>
        <v>100% LTT</v>
      </c>
      <c r="O9" s="35"/>
    </row>
    <row r="10" spans="1:15" ht="19.5" customHeight="1" x14ac:dyDescent="0.3">
      <c r="A10" s="15">
        <f t="shared" si="2"/>
        <v>4</v>
      </c>
      <c r="B10" s="16" t="s">
        <v>58</v>
      </c>
      <c r="C10" s="15" t="s">
        <v>19</v>
      </c>
      <c r="D10" s="15"/>
      <c r="E10" s="15"/>
      <c r="F10" s="15"/>
      <c r="G10" s="15">
        <f t="shared" si="0"/>
        <v>0</v>
      </c>
      <c r="H10" s="15">
        <f t="shared" si="0"/>
        <v>0</v>
      </c>
      <c r="I10" s="15">
        <f t="shared" si="1"/>
        <v>0</v>
      </c>
      <c r="J10" s="15">
        <f t="shared" si="3"/>
        <v>0</v>
      </c>
      <c r="K10" s="15"/>
      <c r="L10" s="15">
        <f t="shared" si="4"/>
        <v>100</v>
      </c>
      <c r="M10" s="15" t="str">
        <f t="shared" si="5"/>
        <v>A</v>
      </c>
      <c r="N10" s="15" t="str">
        <f t="shared" si="6"/>
        <v>100% LTT</v>
      </c>
      <c r="O10" s="35"/>
    </row>
    <row r="11" spans="1:15" ht="19.5" customHeight="1" x14ac:dyDescent="0.3">
      <c r="A11" s="15">
        <f t="shared" si="2"/>
        <v>5</v>
      </c>
      <c r="B11" s="16" t="s">
        <v>59</v>
      </c>
      <c r="C11" s="15" t="s">
        <v>19</v>
      </c>
      <c r="D11" s="15"/>
      <c r="E11" s="15"/>
      <c r="F11" s="15"/>
      <c r="G11" s="15">
        <f t="shared" si="0"/>
        <v>0</v>
      </c>
      <c r="H11" s="15">
        <f t="shared" si="0"/>
        <v>0</v>
      </c>
      <c r="I11" s="15">
        <f t="shared" si="1"/>
        <v>0</v>
      </c>
      <c r="J11" s="15">
        <f t="shared" si="3"/>
        <v>0</v>
      </c>
      <c r="K11" s="15"/>
      <c r="L11" s="15">
        <f t="shared" si="4"/>
        <v>100</v>
      </c>
      <c r="M11" s="15" t="str">
        <f t="shared" si="5"/>
        <v>A</v>
      </c>
      <c r="N11" s="15" t="str">
        <f t="shared" si="6"/>
        <v>100% LTT</v>
      </c>
      <c r="O11" s="35"/>
    </row>
    <row r="12" spans="1:15" ht="19.5" customHeight="1" x14ac:dyDescent="0.3">
      <c r="A12" s="15">
        <f t="shared" si="2"/>
        <v>6</v>
      </c>
      <c r="B12" s="16" t="s">
        <v>53</v>
      </c>
      <c r="C12" s="15" t="s">
        <v>19</v>
      </c>
      <c r="D12" s="15"/>
      <c r="E12" s="15"/>
      <c r="F12" s="15"/>
      <c r="G12" s="15">
        <f t="shared" si="0"/>
        <v>0</v>
      </c>
      <c r="H12" s="15">
        <f t="shared" si="0"/>
        <v>0</v>
      </c>
      <c r="I12" s="15">
        <f t="shared" si="1"/>
        <v>0</v>
      </c>
      <c r="J12" s="15">
        <f t="shared" si="3"/>
        <v>0</v>
      </c>
      <c r="K12" s="15"/>
      <c r="L12" s="15">
        <f t="shared" si="4"/>
        <v>100</v>
      </c>
      <c r="M12" s="15" t="str">
        <f t="shared" si="5"/>
        <v>A</v>
      </c>
      <c r="N12" s="15" t="str">
        <f t="shared" si="6"/>
        <v>100% LTT</v>
      </c>
      <c r="O12" s="35"/>
    </row>
    <row r="13" spans="1:15" ht="19.5" customHeight="1" x14ac:dyDescent="0.3">
      <c r="A13" s="15">
        <f t="shared" si="2"/>
        <v>7</v>
      </c>
      <c r="B13" s="16" t="s">
        <v>54</v>
      </c>
      <c r="C13" s="15" t="s">
        <v>19</v>
      </c>
      <c r="D13" s="15"/>
      <c r="E13" s="15"/>
      <c r="F13" s="15"/>
      <c r="G13" s="15">
        <f t="shared" si="0"/>
        <v>0</v>
      </c>
      <c r="H13" s="15">
        <f t="shared" si="0"/>
        <v>0</v>
      </c>
      <c r="I13" s="15">
        <f t="shared" si="1"/>
        <v>0</v>
      </c>
      <c r="J13" s="15">
        <f t="shared" si="3"/>
        <v>0</v>
      </c>
      <c r="K13" s="15"/>
      <c r="L13" s="15">
        <f t="shared" si="4"/>
        <v>100</v>
      </c>
      <c r="M13" s="15" t="str">
        <f t="shared" si="5"/>
        <v>A</v>
      </c>
      <c r="N13" s="15" t="str">
        <f t="shared" si="6"/>
        <v>100% LTT</v>
      </c>
      <c r="O13" s="35"/>
    </row>
    <row r="14" spans="1:15" ht="19.5" customHeight="1" x14ac:dyDescent="0.3">
      <c r="A14" s="17">
        <f t="shared" si="2"/>
        <v>8</v>
      </c>
      <c r="B14" s="18" t="s">
        <v>11</v>
      </c>
      <c r="C14" s="17" t="s">
        <v>51</v>
      </c>
      <c r="D14" s="17">
        <v>2</v>
      </c>
      <c r="E14" s="17">
        <v>1</v>
      </c>
      <c r="F14" s="17">
        <v>4</v>
      </c>
      <c r="G14" s="17">
        <f t="shared" si="0"/>
        <v>0</v>
      </c>
      <c r="H14" s="17">
        <f t="shared" si="0"/>
        <v>0</v>
      </c>
      <c r="I14" s="17">
        <f t="shared" si="1"/>
        <v>2</v>
      </c>
      <c r="J14" s="17">
        <f t="shared" si="3"/>
        <v>2</v>
      </c>
      <c r="K14" s="17">
        <v>2</v>
      </c>
      <c r="L14" s="15">
        <f t="shared" si="4"/>
        <v>96</v>
      </c>
      <c r="M14" s="17" t="str">
        <f t="shared" si="5"/>
        <v>A</v>
      </c>
      <c r="N14" s="17" t="str">
        <f t="shared" si="6"/>
        <v>100% LTT</v>
      </c>
      <c r="O14" s="35"/>
    </row>
    <row r="15" spans="1:15" ht="19.5" customHeight="1" x14ac:dyDescent="0.3">
      <c r="A15" s="184" t="s">
        <v>16</v>
      </c>
      <c r="B15" s="184"/>
      <c r="C15" s="18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5" ht="19.5" customHeight="1" x14ac:dyDescent="0.3">
      <c r="A16" s="17">
        <f>A14+1</f>
        <v>9</v>
      </c>
      <c r="B16" s="18" t="s">
        <v>28</v>
      </c>
      <c r="C16" s="17" t="s">
        <v>121</v>
      </c>
      <c r="D16" s="4">
        <v>2</v>
      </c>
      <c r="E16" s="17"/>
      <c r="F16" s="17">
        <v>3</v>
      </c>
      <c r="G16" s="17">
        <f t="shared" ref="G16:H16" si="7">IF(D16&gt;5,(D16-5)*2,0)</f>
        <v>0</v>
      </c>
      <c r="H16" s="17">
        <f t="shared" si="7"/>
        <v>0</v>
      </c>
      <c r="I16" s="17">
        <f t="shared" ref="I16" si="8">IF(F16&gt;2,(F16-2)*1,0)</f>
        <v>1</v>
      </c>
      <c r="J16" s="17">
        <f t="shared" ref="J16" si="9">SUM(G16:I16)</f>
        <v>1</v>
      </c>
      <c r="K16" s="17"/>
      <c r="L16" s="17">
        <f>100-J16-K16</f>
        <v>99</v>
      </c>
      <c r="M16" s="17" t="str">
        <f t="shared" ref="M16" si="10">IF(L16&lt;71,"KL",IF(AND(L16&gt;=71,L16&lt;81),"C",IF(AND(L16&gt;=81,L16&lt;91),"B","A")))</f>
        <v>A</v>
      </c>
      <c r="N16" s="17" t="str">
        <f t="shared" ref="N16" si="11">IF(M16="A","100% LTT",IF(M16="B","90% LTT",IF(M16="C","80% LTT","60% LTT")))</f>
        <v>100% LTT</v>
      </c>
    </row>
    <row r="17" spans="1:14" ht="19.5" customHeight="1" x14ac:dyDescent="0.3">
      <c r="A17" s="184" t="s">
        <v>17</v>
      </c>
      <c r="B17" s="184"/>
      <c r="C17" s="18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ht="19.5" customHeight="1" x14ac:dyDescent="0.3">
      <c r="A18" s="23">
        <f>A16+1</f>
        <v>10</v>
      </c>
      <c r="B18" s="38" t="s">
        <v>12</v>
      </c>
      <c r="C18" s="23" t="s">
        <v>19</v>
      </c>
      <c r="D18" s="23">
        <v>1</v>
      </c>
      <c r="E18" s="23">
        <v>1</v>
      </c>
      <c r="F18" s="23">
        <v>1</v>
      </c>
      <c r="G18" s="74">
        <f t="shared" ref="G18:H25" si="12">IF(D18&gt;5,(D18-5)*2,0)</f>
        <v>0</v>
      </c>
      <c r="H18" s="23">
        <f t="shared" si="12"/>
        <v>0</v>
      </c>
      <c r="I18" s="23">
        <f t="shared" ref="I18:I25" si="13">IF(F18&gt;2,(F18-2)*1,0)</f>
        <v>0</v>
      </c>
      <c r="J18" s="23">
        <f t="shared" ref="J18:J25" si="14">SUM(G18:I18)</f>
        <v>0</v>
      </c>
      <c r="K18" s="23">
        <v>7</v>
      </c>
      <c r="L18" s="23">
        <f>100-J18-K18</f>
        <v>93</v>
      </c>
      <c r="M18" s="23" t="str">
        <f t="shared" ref="M18:M25" si="15">IF(L18&lt;71,"KL",IF(AND(L18&gt;=71,L18&lt;81),"C",IF(AND(L18&gt;=81,L18&lt;91),"B","A")))</f>
        <v>A</v>
      </c>
      <c r="N18" s="23" t="str">
        <f t="shared" ref="N18:N25" si="16">IF(M18="A","100% LTT",IF(M18="B","90% LTT",IF(M18="C","80% LTT","60% LTT")))</f>
        <v>100% LTT</v>
      </c>
    </row>
    <row r="19" spans="1:14" ht="19.5" customHeight="1" x14ac:dyDescent="0.3">
      <c r="A19" s="15">
        <f>A18+1</f>
        <v>11</v>
      </c>
      <c r="B19" s="16" t="s">
        <v>13</v>
      </c>
      <c r="C19" s="15" t="s">
        <v>101</v>
      </c>
      <c r="D19" s="15">
        <v>6</v>
      </c>
      <c r="E19" s="15"/>
      <c r="F19" s="15">
        <v>3</v>
      </c>
      <c r="G19" s="15">
        <f t="shared" si="12"/>
        <v>2</v>
      </c>
      <c r="H19" s="15">
        <f t="shared" si="12"/>
        <v>0</v>
      </c>
      <c r="I19" s="15">
        <f t="shared" si="13"/>
        <v>1</v>
      </c>
      <c r="J19" s="15">
        <f t="shared" si="14"/>
        <v>3</v>
      </c>
      <c r="K19" s="15">
        <v>1</v>
      </c>
      <c r="L19" s="15">
        <f t="shared" ref="L19:L25" si="17">100-J19-K19</f>
        <v>96</v>
      </c>
      <c r="M19" s="15" t="str">
        <f t="shared" si="15"/>
        <v>A</v>
      </c>
      <c r="N19" s="15" t="str">
        <f>IF(M19="A","100% LTT",IF(M19="B","90% LTT",IF(M19="C","80% LTT","60% LTT")))</f>
        <v>100% LTT</v>
      </c>
    </row>
    <row r="20" spans="1:14" ht="19.5" customHeight="1" x14ac:dyDescent="0.3">
      <c r="A20" s="15">
        <f t="shared" ref="A20:A24" si="18">A19+1</f>
        <v>12</v>
      </c>
      <c r="B20" s="16" t="s">
        <v>14</v>
      </c>
      <c r="C20" s="15" t="s">
        <v>19</v>
      </c>
      <c r="D20" s="15"/>
      <c r="E20" s="15"/>
      <c r="F20" s="15">
        <v>1</v>
      </c>
      <c r="G20" s="15">
        <f t="shared" si="12"/>
        <v>0</v>
      </c>
      <c r="H20" s="15">
        <f t="shared" si="12"/>
        <v>0</v>
      </c>
      <c r="I20" s="15">
        <f t="shared" si="13"/>
        <v>0</v>
      </c>
      <c r="J20" s="15">
        <f t="shared" si="14"/>
        <v>0</v>
      </c>
      <c r="K20" s="15">
        <v>7</v>
      </c>
      <c r="L20" s="15">
        <f t="shared" si="17"/>
        <v>93</v>
      </c>
      <c r="M20" s="15" t="str">
        <f t="shared" si="15"/>
        <v>A</v>
      </c>
      <c r="N20" s="15" t="str">
        <f t="shared" si="16"/>
        <v>100% LTT</v>
      </c>
    </row>
    <row r="21" spans="1:14" ht="19.5" customHeight="1" x14ac:dyDescent="0.3">
      <c r="A21" s="15">
        <f t="shared" si="18"/>
        <v>13</v>
      </c>
      <c r="B21" s="16" t="s">
        <v>40</v>
      </c>
      <c r="C21" s="15" t="s">
        <v>19</v>
      </c>
      <c r="D21" s="15"/>
      <c r="E21" s="15"/>
      <c r="F21" s="15"/>
      <c r="G21" s="15">
        <f t="shared" si="12"/>
        <v>0</v>
      </c>
      <c r="H21" s="15">
        <f t="shared" si="12"/>
        <v>0</v>
      </c>
      <c r="I21" s="15">
        <f t="shared" si="13"/>
        <v>0</v>
      </c>
      <c r="J21" s="15">
        <f t="shared" si="14"/>
        <v>0</v>
      </c>
      <c r="K21" s="15">
        <v>4</v>
      </c>
      <c r="L21" s="15">
        <f t="shared" si="17"/>
        <v>96</v>
      </c>
      <c r="M21" s="15" t="str">
        <f t="shared" si="15"/>
        <v>A</v>
      </c>
      <c r="N21" s="15" t="str">
        <f t="shared" si="16"/>
        <v>100% LTT</v>
      </c>
    </row>
    <row r="22" spans="1:14" ht="19.5" customHeight="1" x14ac:dyDescent="0.3">
      <c r="A22" s="15">
        <f t="shared" si="18"/>
        <v>14</v>
      </c>
      <c r="B22" s="16" t="s">
        <v>98</v>
      </c>
      <c r="C22" s="15" t="s">
        <v>102</v>
      </c>
      <c r="D22" s="15"/>
      <c r="E22" s="15"/>
      <c r="F22" s="15"/>
      <c r="G22" s="15">
        <f t="shared" si="12"/>
        <v>0</v>
      </c>
      <c r="H22" s="15">
        <f t="shared" si="12"/>
        <v>0</v>
      </c>
      <c r="I22" s="15">
        <f t="shared" si="13"/>
        <v>0</v>
      </c>
      <c r="J22" s="15">
        <f t="shared" si="14"/>
        <v>0</v>
      </c>
      <c r="K22" s="15">
        <v>9</v>
      </c>
      <c r="L22" s="15">
        <v>91</v>
      </c>
      <c r="M22" s="15" t="str">
        <f t="shared" si="15"/>
        <v>A</v>
      </c>
      <c r="N22" s="15" t="str">
        <f t="shared" si="16"/>
        <v>100% LTT</v>
      </c>
    </row>
    <row r="23" spans="1:14" ht="19.5" customHeight="1" x14ac:dyDescent="0.3">
      <c r="A23" s="15">
        <f t="shared" si="18"/>
        <v>15</v>
      </c>
      <c r="B23" s="16" t="s">
        <v>99</v>
      </c>
      <c r="C23" s="15" t="s">
        <v>102</v>
      </c>
      <c r="D23" s="15"/>
      <c r="E23" s="15"/>
      <c r="F23" s="15"/>
      <c r="G23" s="15">
        <f t="shared" si="12"/>
        <v>0</v>
      </c>
      <c r="H23" s="15">
        <f t="shared" si="12"/>
        <v>0</v>
      </c>
      <c r="I23" s="15">
        <f t="shared" si="13"/>
        <v>0</v>
      </c>
      <c r="J23" s="15">
        <f t="shared" si="14"/>
        <v>0</v>
      </c>
      <c r="K23" s="15">
        <v>4</v>
      </c>
      <c r="L23" s="15">
        <f t="shared" si="17"/>
        <v>96</v>
      </c>
      <c r="M23" s="15" t="str">
        <f t="shared" si="15"/>
        <v>A</v>
      </c>
      <c r="N23" s="15" t="str">
        <f t="shared" si="16"/>
        <v>100% LTT</v>
      </c>
    </row>
    <row r="24" spans="1:14" ht="19.5" customHeight="1" x14ac:dyDescent="0.3">
      <c r="A24" s="15">
        <f t="shared" si="18"/>
        <v>16</v>
      </c>
      <c r="B24" s="16" t="s">
        <v>100</v>
      </c>
      <c r="C24" s="15" t="s">
        <v>102</v>
      </c>
      <c r="D24" s="15"/>
      <c r="E24" s="15"/>
      <c r="F24" s="15"/>
      <c r="G24" s="15">
        <f t="shared" si="12"/>
        <v>0</v>
      </c>
      <c r="H24" s="15">
        <f t="shared" si="12"/>
        <v>0</v>
      </c>
      <c r="I24" s="15">
        <f t="shared" si="13"/>
        <v>0</v>
      </c>
      <c r="J24" s="15">
        <f t="shared" si="14"/>
        <v>0</v>
      </c>
      <c r="K24" s="15">
        <v>6</v>
      </c>
      <c r="L24" s="15">
        <f t="shared" si="17"/>
        <v>94</v>
      </c>
      <c r="M24" s="15" t="str">
        <f t="shared" si="15"/>
        <v>A</v>
      </c>
      <c r="N24" s="15" t="str">
        <f t="shared" si="16"/>
        <v>100% LTT</v>
      </c>
    </row>
    <row r="25" spans="1:14" ht="19.5" customHeight="1" x14ac:dyDescent="0.3">
      <c r="A25" s="17">
        <v>17</v>
      </c>
      <c r="B25" s="18" t="s">
        <v>116</v>
      </c>
      <c r="C25" s="17" t="s">
        <v>107</v>
      </c>
      <c r="D25" s="17"/>
      <c r="E25" s="17"/>
      <c r="F25" s="17"/>
      <c r="G25" s="15">
        <f t="shared" si="12"/>
        <v>0</v>
      </c>
      <c r="H25" s="15">
        <f t="shared" si="12"/>
        <v>0</v>
      </c>
      <c r="I25" s="15">
        <f t="shared" si="13"/>
        <v>0</v>
      </c>
      <c r="J25" s="15">
        <f t="shared" si="14"/>
        <v>0</v>
      </c>
      <c r="K25" s="17">
        <v>8</v>
      </c>
      <c r="L25" s="17">
        <f t="shared" si="17"/>
        <v>92</v>
      </c>
      <c r="M25" s="17" t="str">
        <f t="shared" si="15"/>
        <v>A</v>
      </c>
      <c r="N25" s="17" t="str">
        <f t="shared" si="16"/>
        <v>100% LTT</v>
      </c>
    </row>
    <row r="26" spans="1:14" ht="22.5" customHeight="1" x14ac:dyDescent="0.3">
      <c r="A26" s="180" t="s">
        <v>60</v>
      </c>
      <c r="B26" s="180"/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0"/>
      <c r="N26" s="180"/>
    </row>
    <row r="27" spans="1:14" ht="22.5" customHeight="1" x14ac:dyDescent="0.3">
      <c r="J27" s="185" t="s">
        <v>111</v>
      </c>
      <c r="K27" s="185"/>
      <c r="L27" s="185"/>
      <c r="M27" s="185"/>
      <c r="N27" s="185"/>
    </row>
    <row r="28" spans="1:14" ht="22.5" customHeight="1" x14ac:dyDescent="0.3">
      <c r="B28" s="178" t="s">
        <v>22</v>
      </c>
      <c r="C28" s="178"/>
      <c r="D28" s="178"/>
      <c r="L28" s="178" t="s">
        <v>25</v>
      </c>
      <c r="M28" s="178"/>
      <c r="N28" s="178"/>
    </row>
    <row r="29" spans="1:14" ht="22.5" customHeight="1" x14ac:dyDescent="0.3">
      <c r="L29" s="87"/>
      <c r="M29" s="87"/>
    </row>
    <row r="30" spans="1:14" ht="22.5" customHeight="1" x14ac:dyDescent="0.3">
      <c r="L30" s="87"/>
      <c r="M30" s="87"/>
    </row>
    <row r="31" spans="1:14" ht="22.5" customHeight="1" x14ac:dyDescent="0.3">
      <c r="L31" s="87"/>
      <c r="M31" s="87"/>
    </row>
    <row r="32" spans="1:14" ht="22.5" customHeight="1" x14ac:dyDescent="0.3">
      <c r="B32" s="178" t="s">
        <v>28</v>
      </c>
      <c r="C32" s="178"/>
      <c r="D32" s="178"/>
      <c r="L32" s="178" t="s">
        <v>27</v>
      </c>
      <c r="M32" s="178"/>
      <c r="N32" s="178"/>
    </row>
    <row r="33" spans="3:4" ht="22.5" customHeight="1" x14ac:dyDescent="0.3">
      <c r="C33" s="1"/>
      <c r="D33" s="1"/>
    </row>
  </sheetData>
  <mergeCells count="25">
    <mergeCell ref="B32:D32"/>
    <mergeCell ref="L32:N32"/>
    <mergeCell ref="A6:C6"/>
    <mergeCell ref="A15:C15"/>
    <mergeCell ref="A17:C17"/>
    <mergeCell ref="A26:N26"/>
    <mergeCell ref="J27:N27"/>
    <mergeCell ref="B28:D28"/>
    <mergeCell ref="L28:N28"/>
    <mergeCell ref="O4:O5"/>
    <mergeCell ref="A1:N1"/>
    <mergeCell ref="A2:N2"/>
    <mergeCell ref="A3:N3"/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L4:L5"/>
    <mergeCell ref="M4:M5"/>
    <mergeCell ref="N4:N5"/>
  </mergeCells>
  <pageMargins left="0.26" right="0.28000000000000003" top="0.36" bottom="0.31" header="0.3" footer="0.3"/>
  <pageSetup paperSize="9" scale="75" orientation="landscape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workbookViewId="0">
      <pane xSplit="2" ySplit="6" topLeftCell="E13" activePane="bottomRight" state="frozen"/>
      <selection pane="topRight" activeCell="C1" sqref="C1"/>
      <selection pane="bottomLeft" activeCell="A7" sqref="A7"/>
      <selection pane="bottomRight" activeCell="L21" sqref="L21"/>
    </sheetView>
  </sheetViews>
  <sheetFormatPr defaultColWidth="9.109375" defaultRowHeight="16.8" x14ac:dyDescent="0.3"/>
  <cols>
    <col min="1" max="1" width="6.109375" style="2" customWidth="1"/>
    <col min="2" max="2" width="24.6640625" style="1" customWidth="1"/>
    <col min="3" max="3" width="22" style="2" customWidth="1"/>
    <col min="4" max="6" width="11.33203125" style="2" customWidth="1"/>
    <col min="7" max="9" width="12.33203125" style="2" customWidth="1"/>
    <col min="10" max="10" width="12.44140625" style="2" customWidth="1"/>
    <col min="11" max="11" width="11.33203125" style="2" customWidth="1"/>
    <col min="12" max="12" width="12.109375" style="2" customWidth="1"/>
    <col min="13" max="13" width="9.44140625" style="2" customWidth="1"/>
    <col min="14" max="14" width="15" style="2" customWidth="1"/>
    <col min="15" max="15" width="53.88671875" style="2" customWidth="1"/>
    <col min="16" max="16384" width="9.109375" style="1"/>
  </cols>
  <sheetData>
    <row r="1" spans="1:15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5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</row>
    <row r="3" spans="1:15" ht="22.5" customHeight="1" x14ac:dyDescent="0.3">
      <c r="A3" s="179" t="s">
        <v>124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</row>
    <row r="4" spans="1:15" s="3" customFormat="1" ht="22.5" customHeight="1" x14ac:dyDescent="0.3">
      <c r="A4" s="180" t="s">
        <v>0</v>
      </c>
      <c r="B4" s="180" t="s">
        <v>1</v>
      </c>
      <c r="C4" s="180" t="s">
        <v>2</v>
      </c>
      <c r="D4" s="180" t="s">
        <v>23</v>
      </c>
      <c r="E4" s="180"/>
      <c r="F4" s="180"/>
      <c r="G4" s="181" t="s">
        <v>29</v>
      </c>
      <c r="H4" s="181" t="s">
        <v>30</v>
      </c>
      <c r="I4" s="181" t="s">
        <v>31</v>
      </c>
      <c r="J4" s="181" t="s">
        <v>96</v>
      </c>
      <c r="K4" s="181" t="s">
        <v>97</v>
      </c>
      <c r="L4" s="180" t="s">
        <v>6</v>
      </c>
      <c r="M4" s="180" t="s">
        <v>7</v>
      </c>
      <c r="N4" s="180" t="s">
        <v>8</v>
      </c>
      <c r="O4" s="183"/>
    </row>
    <row r="5" spans="1:15" s="3" customFormat="1" ht="49.8" customHeight="1" x14ac:dyDescent="0.3">
      <c r="A5" s="180"/>
      <c r="B5" s="180"/>
      <c r="C5" s="180"/>
      <c r="D5" s="90" t="s">
        <v>3</v>
      </c>
      <c r="E5" s="90" t="s">
        <v>4</v>
      </c>
      <c r="F5" s="90" t="s">
        <v>5</v>
      </c>
      <c r="G5" s="182"/>
      <c r="H5" s="182"/>
      <c r="I5" s="182"/>
      <c r="J5" s="182"/>
      <c r="K5" s="182"/>
      <c r="L5" s="180"/>
      <c r="M5" s="180"/>
      <c r="N5" s="180"/>
      <c r="O5" s="183"/>
    </row>
    <row r="6" spans="1:15" ht="19.5" customHeight="1" x14ac:dyDescent="0.3">
      <c r="A6" s="184" t="s">
        <v>15</v>
      </c>
      <c r="B6" s="184"/>
      <c r="C6" s="18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5" ht="19.5" customHeight="1" x14ac:dyDescent="0.3">
      <c r="A7" s="15">
        <v>1</v>
      </c>
      <c r="B7" s="16" t="s">
        <v>49</v>
      </c>
      <c r="C7" s="15" t="s">
        <v>19</v>
      </c>
      <c r="D7" s="15">
        <v>1</v>
      </c>
      <c r="E7" s="15"/>
      <c r="F7" s="15">
        <v>2</v>
      </c>
      <c r="G7" s="15">
        <f t="shared" ref="G7:H14" si="0">IF(D7&gt;5,(D7-5)*2,0)</f>
        <v>0</v>
      </c>
      <c r="H7" s="15">
        <f t="shared" si="0"/>
        <v>0</v>
      </c>
      <c r="I7" s="15">
        <f t="shared" ref="I7:I14" si="1">IF(F7&gt;2,(F7-2)*1,0)</f>
        <v>0</v>
      </c>
      <c r="J7" s="15">
        <f>SUM(G7:I7)</f>
        <v>0</v>
      </c>
      <c r="K7" s="15">
        <v>3</v>
      </c>
      <c r="L7" s="15">
        <f t="shared" ref="L7:L13" si="2">100-J7-K7</f>
        <v>97</v>
      </c>
      <c r="M7" s="15" t="str">
        <f>IF(L7&lt;71,"KL",IF(AND(L7&gt;=71,L7&lt;81),"C",IF(AND(L7&gt;=81,L7&lt;91),"B","A")))</f>
        <v>A</v>
      </c>
      <c r="N7" s="15" t="str">
        <f>IF(M7="A","100% LTT",IF(M7="B","90% LTT",IF(M7="C","80% LTT","60% LTT")))</f>
        <v>100% LTT</v>
      </c>
      <c r="O7" s="11" t="s">
        <v>33</v>
      </c>
    </row>
    <row r="8" spans="1:15" ht="19.5" customHeight="1" x14ac:dyDescent="0.3">
      <c r="A8" s="15">
        <f t="shared" ref="A8:A14" si="3">A7+1</f>
        <v>2</v>
      </c>
      <c r="B8" s="16" t="s">
        <v>52</v>
      </c>
      <c r="C8" s="15" t="s">
        <v>19</v>
      </c>
      <c r="D8" s="15"/>
      <c r="E8" s="15"/>
      <c r="F8" s="15"/>
      <c r="G8" s="15">
        <f t="shared" si="0"/>
        <v>0</v>
      </c>
      <c r="H8" s="15">
        <f t="shared" si="0"/>
        <v>0</v>
      </c>
      <c r="I8" s="15">
        <f t="shared" si="1"/>
        <v>0</v>
      </c>
      <c r="J8" s="15">
        <f t="shared" ref="J8:J14" si="4">SUM(G8:I8)</f>
        <v>0</v>
      </c>
      <c r="K8" s="15"/>
      <c r="L8" s="15">
        <f t="shared" si="2"/>
        <v>100</v>
      </c>
      <c r="M8" s="15" t="str">
        <f t="shared" ref="M8:M14" si="5">IF(L8&lt;71,"KL",IF(AND(L8&gt;=71,L8&lt;81),"C",IF(AND(L8&gt;=81,L8&lt;91),"B","A")))</f>
        <v>A</v>
      </c>
      <c r="N8" s="15" t="str">
        <f t="shared" ref="N8:N14" si="6">IF(M8="A","100% LTT",IF(M8="B","90% LTT",IF(M8="C","80% LTT","60% LTT")))</f>
        <v>100% LTT</v>
      </c>
      <c r="O8" s="34"/>
    </row>
    <row r="9" spans="1:15" ht="19.5" customHeight="1" x14ac:dyDescent="0.3">
      <c r="A9" s="15">
        <f>A8+1</f>
        <v>3</v>
      </c>
      <c r="B9" s="16" t="s">
        <v>57</v>
      </c>
      <c r="C9" s="15" t="s">
        <v>19</v>
      </c>
      <c r="D9" s="15"/>
      <c r="E9" s="15"/>
      <c r="F9" s="15"/>
      <c r="G9" s="15">
        <f t="shared" si="0"/>
        <v>0</v>
      </c>
      <c r="H9" s="15">
        <f t="shared" si="0"/>
        <v>0</v>
      </c>
      <c r="I9" s="15">
        <f t="shared" si="1"/>
        <v>0</v>
      </c>
      <c r="J9" s="15">
        <f t="shared" si="4"/>
        <v>0</v>
      </c>
      <c r="K9" s="15"/>
      <c r="L9" s="15">
        <f t="shared" si="2"/>
        <v>100</v>
      </c>
      <c r="M9" s="15" t="str">
        <f t="shared" si="5"/>
        <v>A</v>
      </c>
      <c r="N9" s="15" t="str">
        <f t="shared" si="6"/>
        <v>100% LTT</v>
      </c>
      <c r="O9" s="35"/>
    </row>
    <row r="10" spans="1:15" ht="19.5" customHeight="1" x14ac:dyDescent="0.3">
      <c r="A10" s="15">
        <f t="shared" si="3"/>
        <v>4</v>
      </c>
      <c r="B10" s="16" t="s">
        <v>58</v>
      </c>
      <c r="C10" s="15" t="s">
        <v>19</v>
      </c>
      <c r="D10" s="15"/>
      <c r="E10" s="15"/>
      <c r="F10" s="15"/>
      <c r="G10" s="15">
        <f t="shared" si="0"/>
        <v>0</v>
      </c>
      <c r="H10" s="15">
        <f t="shared" si="0"/>
        <v>0</v>
      </c>
      <c r="I10" s="15">
        <f t="shared" si="1"/>
        <v>0</v>
      </c>
      <c r="J10" s="15">
        <f t="shared" si="4"/>
        <v>0</v>
      </c>
      <c r="K10" s="15"/>
      <c r="L10" s="15">
        <f t="shared" si="2"/>
        <v>100</v>
      </c>
      <c r="M10" s="15" t="str">
        <f t="shared" si="5"/>
        <v>A</v>
      </c>
      <c r="N10" s="15" t="str">
        <f t="shared" si="6"/>
        <v>100% LTT</v>
      </c>
      <c r="O10" s="35"/>
    </row>
    <row r="11" spans="1:15" ht="19.5" customHeight="1" x14ac:dyDescent="0.3">
      <c r="A11" s="15">
        <f t="shared" si="3"/>
        <v>5</v>
      </c>
      <c r="B11" s="16" t="s">
        <v>59</v>
      </c>
      <c r="C11" s="15" t="s">
        <v>19</v>
      </c>
      <c r="D11" s="15"/>
      <c r="E11" s="15"/>
      <c r="F11" s="15"/>
      <c r="G11" s="15">
        <f t="shared" si="0"/>
        <v>0</v>
      </c>
      <c r="H11" s="15">
        <f t="shared" si="0"/>
        <v>0</v>
      </c>
      <c r="I11" s="15">
        <f t="shared" si="1"/>
        <v>0</v>
      </c>
      <c r="J11" s="15">
        <f t="shared" si="4"/>
        <v>0</v>
      </c>
      <c r="K11" s="15"/>
      <c r="L11" s="15">
        <f t="shared" si="2"/>
        <v>100</v>
      </c>
      <c r="M11" s="15" t="str">
        <f t="shared" si="5"/>
        <v>A</v>
      </c>
      <c r="N11" s="15" t="str">
        <f t="shared" si="6"/>
        <v>100% LTT</v>
      </c>
      <c r="O11" s="35"/>
    </row>
    <row r="12" spans="1:15" ht="19.5" customHeight="1" x14ac:dyDescent="0.3">
      <c r="A12" s="15">
        <f t="shared" si="3"/>
        <v>6</v>
      </c>
      <c r="B12" s="16" t="s">
        <v>53</v>
      </c>
      <c r="C12" s="15" t="s">
        <v>19</v>
      </c>
      <c r="D12" s="15"/>
      <c r="E12" s="15"/>
      <c r="F12" s="15"/>
      <c r="G12" s="15">
        <f t="shared" si="0"/>
        <v>0</v>
      </c>
      <c r="H12" s="15">
        <f t="shared" si="0"/>
        <v>0</v>
      </c>
      <c r="I12" s="15">
        <f t="shared" si="1"/>
        <v>0</v>
      </c>
      <c r="J12" s="15">
        <f t="shared" si="4"/>
        <v>0</v>
      </c>
      <c r="K12" s="15"/>
      <c r="L12" s="15">
        <f t="shared" si="2"/>
        <v>100</v>
      </c>
      <c r="M12" s="15" t="str">
        <f t="shared" si="5"/>
        <v>A</v>
      </c>
      <c r="N12" s="15" t="str">
        <f t="shared" si="6"/>
        <v>100% LTT</v>
      </c>
      <c r="O12" s="35"/>
    </row>
    <row r="13" spans="1:15" ht="19.5" customHeight="1" x14ac:dyDescent="0.3">
      <c r="A13" s="15">
        <f t="shared" si="3"/>
        <v>7</v>
      </c>
      <c r="B13" s="16" t="s">
        <v>54</v>
      </c>
      <c r="C13" s="15" t="s">
        <v>19</v>
      </c>
      <c r="D13" s="15"/>
      <c r="E13" s="15"/>
      <c r="F13" s="15"/>
      <c r="G13" s="15">
        <f t="shared" si="0"/>
        <v>0</v>
      </c>
      <c r="H13" s="15">
        <f t="shared" si="0"/>
        <v>0</v>
      </c>
      <c r="I13" s="15">
        <f t="shared" si="1"/>
        <v>0</v>
      </c>
      <c r="J13" s="15">
        <f t="shared" si="4"/>
        <v>0</v>
      </c>
      <c r="K13" s="15"/>
      <c r="L13" s="15">
        <f t="shared" si="2"/>
        <v>100</v>
      </c>
      <c r="M13" s="15" t="str">
        <f t="shared" si="5"/>
        <v>A</v>
      </c>
      <c r="N13" s="15" t="str">
        <f t="shared" si="6"/>
        <v>100% LTT</v>
      </c>
      <c r="O13" s="35"/>
    </row>
    <row r="14" spans="1:15" ht="19.5" customHeight="1" x14ac:dyDescent="0.3">
      <c r="A14" s="17">
        <f t="shared" si="3"/>
        <v>8</v>
      </c>
      <c r="B14" s="18" t="s">
        <v>11</v>
      </c>
      <c r="C14" s="17" t="s">
        <v>51</v>
      </c>
      <c r="D14" s="17">
        <v>4</v>
      </c>
      <c r="E14" s="17">
        <v>1</v>
      </c>
      <c r="F14" s="17">
        <v>1</v>
      </c>
      <c r="G14" s="17">
        <f t="shared" si="0"/>
        <v>0</v>
      </c>
      <c r="H14" s="17">
        <f t="shared" si="0"/>
        <v>0</v>
      </c>
      <c r="I14" s="17">
        <f t="shared" si="1"/>
        <v>0</v>
      </c>
      <c r="J14" s="17">
        <f t="shared" si="4"/>
        <v>0</v>
      </c>
      <c r="K14" s="17">
        <v>3</v>
      </c>
      <c r="L14" s="15">
        <f t="shared" ref="L14" si="7">100-J14-K14</f>
        <v>97</v>
      </c>
      <c r="M14" s="17" t="str">
        <f t="shared" si="5"/>
        <v>A</v>
      </c>
      <c r="N14" s="17" t="str">
        <f t="shared" si="6"/>
        <v>100% LTT</v>
      </c>
      <c r="O14" s="35"/>
    </row>
    <row r="15" spans="1:15" ht="19.5" customHeight="1" x14ac:dyDescent="0.3">
      <c r="A15" s="184" t="s">
        <v>16</v>
      </c>
      <c r="B15" s="184"/>
      <c r="C15" s="18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5" ht="19.5" customHeight="1" x14ac:dyDescent="0.3">
      <c r="A16" s="17">
        <f>A14+1</f>
        <v>9</v>
      </c>
      <c r="B16" s="18" t="s">
        <v>28</v>
      </c>
      <c r="C16" s="17" t="s">
        <v>121</v>
      </c>
      <c r="D16" s="4">
        <v>2</v>
      </c>
      <c r="E16" s="17"/>
      <c r="F16" s="17">
        <v>3</v>
      </c>
      <c r="G16" s="17">
        <f t="shared" ref="G16:H16" si="8">IF(D16&gt;5,(D16-5)*2,0)</f>
        <v>0</v>
      </c>
      <c r="H16" s="17">
        <f t="shared" si="8"/>
        <v>0</v>
      </c>
      <c r="I16" s="17">
        <f t="shared" ref="I16" si="9">IF(F16&gt;2,(F16-2)*1,0)</f>
        <v>1</v>
      </c>
      <c r="J16" s="17">
        <f t="shared" ref="J16" si="10">SUM(G16:I16)</f>
        <v>1</v>
      </c>
      <c r="K16" s="17"/>
      <c r="L16" s="17">
        <f>100-J16-K16</f>
        <v>99</v>
      </c>
      <c r="M16" s="17" t="str">
        <f t="shared" ref="M16" si="11">IF(L16&lt;71,"KL",IF(AND(L16&gt;=71,L16&lt;81),"C",IF(AND(L16&gt;=81,L16&lt;91),"B","A")))</f>
        <v>A</v>
      </c>
      <c r="N16" s="17" t="str">
        <f t="shared" ref="N16" si="12">IF(M16="A","100% LTT",IF(M16="B","90% LTT",IF(M16="C","80% LTT","60% LTT")))</f>
        <v>100% LTT</v>
      </c>
    </row>
    <row r="17" spans="1:14" ht="19.5" customHeight="1" x14ac:dyDescent="0.3">
      <c r="A17" s="184" t="s">
        <v>17</v>
      </c>
      <c r="B17" s="184"/>
      <c r="C17" s="18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ht="19.5" customHeight="1" x14ac:dyDescent="0.3">
      <c r="A18" s="23">
        <f>A16+1</f>
        <v>10</v>
      </c>
      <c r="B18" s="38" t="s">
        <v>12</v>
      </c>
      <c r="C18" s="23" t="s">
        <v>19</v>
      </c>
      <c r="D18" s="23"/>
      <c r="E18" s="23"/>
      <c r="F18" s="23">
        <v>1</v>
      </c>
      <c r="G18" s="74">
        <f t="shared" ref="G18:H25" si="13">IF(D18&gt;5,(D18-5)*2,0)</f>
        <v>0</v>
      </c>
      <c r="H18" s="23">
        <f t="shared" si="13"/>
        <v>0</v>
      </c>
      <c r="I18" s="23">
        <f t="shared" ref="I18:I25" si="14">IF(F18&gt;2,(F18-2)*1,0)</f>
        <v>0</v>
      </c>
      <c r="J18" s="23">
        <f t="shared" ref="J18:J25" si="15">SUM(G18:I18)</f>
        <v>0</v>
      </c>
      <c r="K18" s="23">
        <v>7</v>
      </c>
      <c r="L18" s="23">
        <f>100-J18-K18</f>
        <v>93</v>
      </c>
      <c r="M18" s="23" t="str">
        <f t="shared" ref="M18:M25" si="16">IF(L18&lt;71,"KL",IF(AND(L18&gt;=71,L18&lt;81),"C",IF(AND(L18&gt;=81,L18&lt;91),"B","A")))</f>
        <v>A</v>
      </c>
      <c r="N18" s="23" t="str">
        <f t="shared" ref="N18:N25" si="17">IF(M18="A","100% LTT",IF(M18="B","90% LTT",IF(M18="C","80% LTT","60% LTT")))</f>
        <v>100% LTT</v>
      </c>
    </row>
    <row r="19" spans="1:14" ht="19.5" customHeight="1" x14ac:dyDescent="0.3">
      <c r="A19" s="15">
        <f>A18+1</f>
        <v>11</v>
      </c>
      <c r="B19" s="16" t="s">
        <v>13</v>
      </c>
      <c r="C19" s="15" t="s">
        <v>101</v>
      </c>
      <c r="D19" s="15"/>
      <c r="E19" s="15"/>
      <c r="F19" s="15">
        <v>3</v>
      </c>
      <c r="G19" s="15">
        <f t="shared" si="13"/>
        <v>0</v>
      </c>
      <c r="H19" s="15">
        <f t="shared" si="13"/>
        <v>0</v>
      </c>
      <c r="I19" s="15">
        <f t="shared" si="14"/>
        <v>1</v>
      </c>
      <c r="J19" s="15">
        <f t="shared" si="15"/>
        <v>1</v>
      </c>
      <c r="K19" s="15">
        <v>4</v>
      </c>
      <c r="L19" s="15">
        <f>100-J19-K19</f>
        <v>95</v>
      </c>
      <c r="M19" s="15" t="str">
        <f t="shared" si="16"/>
        <v>A</v>
      </c>
      <c r="N19" s="15" t="str">
        <f>IF(M19="A","100% LTT",IF(M19="B","90% LTT",IF(M19="C","80% LTT","60% LTT")))</f>
        <v>100% LTT</v>
      </c>
    </row>
    <row r="20" spans="1:14" ht="19.5" customHeight="1" x14ac:dyDescent="0.3">
      <c r="A20" s="15">
        <f t="shared" ref="A20:A24" si="18">A19+1</f>
        <v>12</v>
      </c>
      <c r="B20" s="16" t="s">
        <v>14</v>
      </c>
      <c r="C20" s="15" t="s">
        <v>19</v>
      </c>
      <c r="D20" s="15">
        <v>1</v>
      </c>
      <c r="E20" s="15"/>
      <c r="F20" s="15"/>
      <c r="G20" s="15">
        <f t="shared" si="13"/>
        <v>0</v>
      </c>
      <c r="H20" s="15">
        <f t="shared" si="13"/>
        <v>0</v>
      </c>
      <c r="I20" s="15">
        <f t="shared" si="14"/>
        <v>0</v>
      </c>
      <c r="J20" s="15">
        <f t="shared" si="15"/>
        <v>0</v>
      </c>
      <c r="K20" s="15">
        <v>6</v>
      </c>
      <c r="L20" s="15">
        <f t="shared" ref="L20:L25" si="19">100-J20-K20</f>
        <v>94</v>
      </c>
      <c r="M20" s="15" t="str">
        <f t="shared" si="16"/>
        <v>A</v>
      </c>
      <c r="N20" s="15" t="str">
        <f t="shared" si="17"/>
        <v>100% LTT</v>
      </c>
    </row>
    <row r="21" spans="1:14" ht="19.5" customHeight="1" x14ac:dyDescent="0.3">
      <c r="A21" s="15">
        <f t="shared" si="18"/>
        <v>13</v>
      </c>
      <c r="B21" s="16" t="s">
        <v>40</v>
      </c>
      <c r="C21" s="15" t="s">
        <v>19</v>
      </c>
      <c r="D21" s="15"/>
      <c r="E21" s="15"/>
      <c r="F21" s="15"/>
      <c r="G21" s="15">
        <f t="shared" si="13"/>
        <v>0</v>
      </c>
      <c r="H21" s="15">
        <f t="shared" si="13"/>
        <v>0</v>
      </c>
      <c r="I21" s="15">
        <f t="shared" si="14"/>
        <v>0</v>
      </c>
      <c r="J21" s="15">
        <f t="shared" si="15"/>
        <v>0</v>
      </c>
      <c r="K21" s="15">
        <v>4</v>
      </c>
      <c r="L21" s="15">
        <f>100-J21-K21</f>
        <v>96</v>
      </c>
      <c r="M21" s="15" t="str">
        <f t="shared" si="16"/>
        <v>A</v>
      </c>
      <c r="N21" s="15" t="str">
        <f t="shared" si="17"/>
        <v>100% LTT</v>
      </c>
    </row>
    <row r="22" spans="1:14" ht="19.5" customHeight="1" x14ac:dyDescent="0.3">
      <c r="A22" s="15">
        <f t="shared" si="18"/>
        <v>14</v>
      </c>
      <c r="B22" s="16" t="s">
        <v>98</v>
      </c>
      <c r="C22" s="15" t="s">
        <v>102</v>
      </c>
      <c r="D22" s="15"/>
      <c r="E22" s="15"/>
      <c r="F22" s="15"/>
      <c r="G22" s="15">
        <f t="shared" si="13"/>
        <v>0</v>
      </c>
      <c r="H22" s="15">
        <f t="shared" si="13"/>
        <v>0</v>
      </c>
      <c r="I22" s="15">
        <f t="shared" si="14"/>
        <v>0</v>
      </c>
      <c r="J22" s="15">
        <f t="shared" si="15"/>
        <v>0</v>
      </c>
      <c r="K22" s="15">
        <v>8</v>
      </c>
      <c r="L22" s="15">
        <f>100-J22-K22</f>
        <v>92</v>
      </c>
      <c r="M22" s="15" t="str">
        <f t="shared" si="16"/>
        <v>A</v>
      </c>
      <c r="N22" s="15" t="str">
        <f t="shared" si="17"/>
        <v>100% LTT</v>
      </c>
    </row>
    <row r="23" spans="1:14" ht="19.5" customHeight="1" x14ac:dyDescent="0.3">
      <c r="A23" s="15">
        <f t="shared" si="18"/>
        <v>15</v>
      </c>
      <c r="B23" s="16" t="s">
        <v>99</v>
      </c>
      <c r="C23" s="15" t="s">
        <v>102</v>
      </c>
      <c r="D23" s="15"/>
      <c r="E23" s="15"/>
      <c r="F23" s="15"/>
      <c r="G23" s="15">
        <f t="shared" si="13"/>
        <v>0</v>
      </c>
      <c r="H23" s="15">
        <f t="shared" si="13"/>
        <v>0</v>
      </c>
      <c r="I23" s="15">
        <f t="shared" si="14"/>
        <v>0</v>
      </c>
      <c r="J23" s="15">
        <f t="shared" si="15"/>
        <v>0</v>
      </c>
      <c r="K23" s="15">
        <v>4</v>
      </c>
      <c r="L23" s="15">
        <f t="shared" si="19"/>
        <v>96</v>
      </c>
      <c r="M23" s="15" t="str">
        <f t="shared" si="16"/>
        <v>A</v>
      </c>
      <c r="N23" s="15" t="str">
        <f t="shared" si="17"/>
        <v>100% LTT</v>
      </c>
    </row>
    <row r="24" spans="1:14" ht="19.5" customHeight="1" x14ac:dyDescent="0.3">
      <c r="A24" s="15">
        <f t="shared" si="18"/>
        <v>16</v>
      </c>
      <c r="B24" s="16" t="s">
        <v>100</v>
      </c>
      <c r="C24" s="15" t="s">
        <v>102</v>
      </c>
      <c r="D24" s="15"/>
      <c r="E24" s="15"/>
      <c r="F24" s="15"/>
      <c r="G24" s="15">
        <f t="shared" si="13"/>
        <v>0</v>
      </c>
      <c r="H24" s="15">
        <f t="shared" si="13"/>
        <v>0</v>
      </c>
      <c r="I24" s="15">
        <f t="shared" si="14"/>
        <v>0</v>
      </c>
      <c r="J24" s="15">
        <f t="shared" si="15"/>
        <v>0</v>
      </c>
      <c r="K24" s="15">
        <v>6</v>
      </c>
      <c r="L24" s="15">
        <f t="shared" si="19"/>
        <v>94</v>
      </c>
      <c r="M24" s="15" t="str">
        <f t="shared" si="16"/>
        <v>A</v>
      </c>
      <c r="N24" s="15" t="str">
        <f t="shared" si="17"/>
        <v>100% LTT</v>
      </c>
    </row>
    <row r="25" spans="1:14" ht="19.5" customHeight="1" x14ac:dyDescent="0.3">
      <c r="A25" s="17">
        <v>17</v>
      </c>
      <c r="B25" s="18" t="s">
        <v>116</v>
      </c>
      <c r="C25" s="17" t="s">
        <v>107</v>
      </c>
      <c r="D25" s="17"/>
      <c r="E25" s="17"/>
      <c r="F25" s="17"/>
      <c r="G25" s="15">
        <f t="shared" si="13"/>
        <v>0</v>
      </c>
      <c r="H25" s="15">
        <f t="shared" si="13"/>
        <v>0</v>
      </c>
      <c r="I25" s="15">
        <f t="shared" si="14"/>
        <v>0</v>
      </c>
      <c r="J25" s="15">
        <f t="shared" si="15"/>
        <v>0</v>
      </c>
      <c r="K25" s="17">
        <v>8</v>
      </c>
      <c r="L25" s="15">
        <f t="shared" si="19"/>
        <v>92</v>
      </c>
      <c r="M25" s="15" t="str">
        <f t="shared" si="16"/>
        <v>A</v>
      </c>
      <c r="N25" s="17" t="str">
        <f t="shared" si="17"/>
        <v>100% LTT</v>
      </c>
    </row>
    <row r="26" spans="1:14" ht="22.5" customHeight="1" x14ac:dyDescent="0.3">
      <c r="A26" s="180" t="s">
        <v>60</v>
      </c>
      <c r="B26" s="180"/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0"/>
      <c r="N26" s="180"/>
    </row>
    <row r="27" spans="1:14" ht="22.5" customHeight="1" x14ac:dyDescent="0.3">
      <c r="J27" s="185" t="s">
        <v>111</v>
      </c>
      <c r="K27" s="185"/>
      <c r="L27" s="185"/>
      <c r="M27" s="185"/>
      <c r="N27" s="185"/>
    </row>
    <row r="28" spans="1:14" ht="22.5" customHeight="1" x14ac:dyDescent="0.3">
      <c r="B28" s="178" t="s">
        <v>22</v>
      </c>
      <c r="C28" s="178"/>
      <c r="D28" s="178"/>
      <c r="L28" s="178" t="s">
        <v>25</v>
      </c>
      <c r="M28" s="178"/>
      <c r="N28" s="178"/>
    </row>
    <row r="29" spans="1:14" ht="22.5" customHeight="1" x14ac:dyDescent="0.3">
      <c r="L29" s="89"/>
      <c r="M29" s="89"/>
    </row>
    <row r="30" spans="1:14" ht="22.5" customHeight="1" x14ac:dyDescent="0.3">
      <c r="L30" s="89"/>
      <c r="M30" s="89"/>
    </row>
    <row r="31" spans="1:14" ht="22.5" customHeight="1" x14ac:dyDescent="0.3">
      <c r="L31" s="89"/>
      <c r="M31" s="89"/>
    </row>
    <row r="32" spans="1:14" ht="22.5" customHeight="1" x14ac:dyDescent="0.3">
      <c r="B32" s="178" t="s">
        <v>28</v>
      </c>
      <c r="C32" s="178"/>
      <c r="D32" s="178"/>
      <c r="L32" s="178" t="s">
        <v>27</v>
      </c>
      <c r="M32" s="178"/>
      <c r="N32" s="178"/>
    </row>
    <row r="33" spans="3:4" ht="22.5" customHeight="1" x14ac:dyDescent="0.3">
      <c r="C33" s="1"/>
      <c r="D33" s="1"/>
    </row>
  </sheetData>
  <mergeCells count="25">
    <mergeCell ref="B32:D32"/>
    <mergeCell ref="L32:N32"/>
    <mergeCell ref="A6:C6"/>
    <mergeCell ref="A15:C15"/>
    <mergeCell ref="A17:C17"/>
    <mergeCell ref="A26:N26"/>
    <mergeCell ref="J27:N27"/>
    <mergeCell ref="B28:D28"/>
    <mergeCell ref="L28:N28"/>
    <mergeCell ref="O4:O5"/>
    <mergeCell ref="A1:N1"/>
    <mergeCell ref="A2:N2"/>
    <mergeCell ref="A3:N3"/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L4:L5"/>
    <mergeCell ref="M4:M5"/>
    <mergeCell ref="N4:N5"/>
  </mergeCells>
  <pageMargins left="0.2" right="0.2" top="0.34" bottom="0.34" header="0.3" footer="0.3"/>
  <pageSetup paperSize="9" scale="75" orientation="landscape" horizontalDpi="1200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workbookViewId="0">
      <pane xSplit="2" ySplit="6" topLeftCell="H7" activePane="bottomRight" state="frozen"/>
      <selection pane="topRight" activeCell="C1" sqref="C1"/>
      <selection pane="bottomLeft" activeCell="A7" sqref="A7"/>
      <selection pane="bottomRight" sqref="A1:XFD1048576"/>
    </sheetView>
  </sheetViews>
  <sheetFormatPr defaultColWidth="9.109375" defaultRowHeight="16.8" x14ac:dyDescent="0.3"/>
  <cols>
    <col min="1" max="1" width="6.109375" style="2" customWidth="1"/>
    <col min="2" max="2" width="24.6640625" style="1" customWidth="1"/>
    <col min="3" max="3" width="22" style="2" customWidth="1"/>
    <col min="4" max="6" width="11.33203125" style="2" customWidth="1"/>
    <col min="7" max="9" width="12.33203125" style="2" customWidth="1"/>
    <col min="10" max="10" width="12.44140625" style="2" customWidth="1"/>
    <col min="11" max="11" width="11.33203125" style="2" customWidth="1"/>
    <col min="12" max="12" width="12.109375" style="2" customWidth="1"/>
    <col min="13" max="13" width="9.44140625" style="2" customWidth="1"/>
    <col min="14" max="14" width="15" style="2" customWidth="1"/>
    <col min="15" max="15" width="53.88671875" style="2" customWidth="1"/>
    <col min="16" max="16384" width="9.109375" style="1"/>
  </cols>
  <sheetData>
    <row r="1" spans="1:15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5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</row>
    <row r="3" spans="1:15" ht="22.5" customHeight="1" x14ac:dyDescent="0.3">
      <c r="A3" s="179" t="s">
        <v>125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</row>
    <row r="4" spans="1:15" s="3" customFormat="1" ht="22.5" customHeight="1" x14ac:dyDescent="0.3">
      <c r="A4" s="180" t="s">
        <v>0</v>
      </c>
      <c r="B4" s="180" t="s">
        <v>1</v>
      </c>
      <c r="C4" s="180" t="s">
        <v>2</v>
      </c>
      <c r="D4" s="180" t="s">
        <v>23</v>
      </c>
      <c r="E4" s="180"/>
      <c r="F4" s="180"/>
      <c r="G4" s="181" t="s">
        <v>29</v>
      </c>
      <c r="H4" s="181" t="s">
        <v>30</v>
      </c>
      <c r="I4" s="181" t="s">
        <v>31</v>
      </c>
      <c r="J4" s="181" t="s">
        <v>96</v>
      </c>
      <c r="K4" s="181" t="s">
        <v>97</v>
      </c>
      <c r="L4" s="180" t="s">
        <v>6</v>
      </c>
      <c r="M4" s="180" t="s">
        <v>7</v>
      </c>
      <c r="N4" s="180" t="s">
        <v>8</v>
      </c>
      <c r="O4" s="183"/>
    </row>
    <row r="5" spans="1:15" s="3" customFormat="1" ht="49.8" customHeight="1" x14ac:dyDescent="0.3">
      <c r="A5" s="180"/>
      <c r="B5" s="180"/>
      <c r="C5" s="180"/>
      <c r="D5" s="92" t="s">
        <v>3</v>
      </c>
      <c r="E5" s="92" t="s">
        <v>4</v>
      </c>
      <c r="F5" s="92" t="s">
        <v>5</v>
      </c>
      <c r="G5" s="182"/>
      <c r="H5" s="182"/>
      <c r="I5" s="182"/>
      <c r="J5" s="182"/>
      <c r="K5" s="182"/>
      <c r="L5" s="180"/>
      <c r="M5" s="180"/>
      <c r="N5" s="180"/>
      <c r="O5" s="183"/>
    </row>
    <row r="6" spans="1:15" ht="19.5" customHeight="1" x14ac:dyDescent="0.3">
      <c r="A6" s="184" t="s">
        <v>15</v>
      </c>
      <c r="B6" s="184"/>
      <c r="C6" s="18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5" ht="19.5" customHeight="1" x14ac:dyDescent="0.3">
      <c r="A7" s="15">
        <v>1</v>
      </c>
      <c r="B7" s="16" t="s">
        <v>49</v>
      </c>
      <c r="C7" s="15" t="s">
        <v>19</v>
      </c>
      <c r="D7" s="15"/>
      <c r="E7" s="15">
        <v>1</v>
      </c>
      <c r="F7" s="15">
        <v>1</v>
      </c>
      <c r="G7" s="15">
        <f t="shared" ref="G7:H14" si="0">IF(D7&gt;5,(D7-5)*2,0)</f>
        <v>0</v>
      </c>
      <c r="H7" s="15">
        <f t="shared" si="0"/>
        <v>0</v>
      </c>
      <c r="I7" s="15">
        <f t="shared" ref="I7:I14" si="1">IF(F7&gt;2,(F7-2)*1,0)</f>
        <v>0</v>
      </c>
      <c r="J7" s="15">
        <f>SUM(G7:I7)</f>
        <v>0</v>
      </c>
      <c r="K7" s="15">
        <v>3</v>
      </c>
      <c r="L7" s="15">
        <f t="shared" ref="L7:L14" si="2">100-J7-K7</f>
        <v>97</v>
      </c>
      <c r="M7" s="15" t="str">
        <f>IF(L7&lt;71,"KL",IF(AND(L7&gt;=71,L7&lt;81),"C",IF(AND(L7&gt;=81,L7&lt;91),"B","A")))</f>
        <v>A</v>
      </c>
      <c r="N7" s="15" t="str">
        <f>IF(M7="A","100% LTT",IF(M7="B","90% LTT",IF(M7="C","80% LTT","60% LTT")))</f>
        <v>100% LTT</v>
      </c>
      <c r="O7" s="11" t="s">
        <v>33</v>
      </c>
    </row>
    <row r="8" spans="1:15" ht="19.5" customHeight="1" x14ac:dyDescent="0.3">
      <c r="A8" s="15">
        <f t="shared" ref="A8:A14" si="3">A7+1</f>
        <v>2</v>
      </c>
      <c r="B8" s="16" t="s">
        <v>52</v>
      </c>
      <c r="C8" s="15" t="s">
        <v>19</v>
      </c>
      <c r="D8" s="15"/>
      <c r="E8" s="15"/>
      <c r="F8" s="15"/>
      <c r="G8" s="15">
        <f t="shared" si="0"/>
        <v>0</v>
      </c>
      <c r="H8" s="15">
        <f t="shared" si="0"/>
        <v>0</v>
      </c>
      <c r="I8" s="15">
        <f t="shared" si="1"/>
        <v>0</v>
      </c>
      <c r="J8" s="15">
        <f t="shared" ref="J8:J14" si="4">SUM(G8:I8)</f>
        <v>0</v>
      </c>
      <c r="K8" s="15"/>
      <c r="L8" s="15">
        <f t="shared" si="2"/>
        <v>100</v>
      </c>
      <c r="M8" s="15" t="str">
        <f t="shared" ref="M8:M14" si="5">IF(L8&lt;71,"KL",IF(AND(L8&gt;=71,L8&lt;81),"C",IF(AND(L8&gt;=81,L8&lt;91),"B","A")))</f>
        <v>A</v>
      </c>
      <c r="N8" s="15" t="str">
        <f t="shared" ref="N8:N14" si="6">IF(M8="A","100% LTT",IF(M8="B","90% LTT",IF(M8="C","80% LTT","60% LTT")))</f>
        <v>100% LTT</v>
      </c>
      <c r="O8" s="34"/>
    </row>
    <row r="9" spans="1:15" ht="19.5" customHeight="1" x14ac:dyDescent="0.3">
      <c r="A9" s="15">
        <f>A8+1</f>
        <v>3</v>
      </c>
      <c r="B9" s="16" t="s">
        <v>57</v>
      </c>
      <c r="C9" s="15" t="s">
        <v>19</v>
      </c>
      <c r="D9" s="15"/>
      <c r="E9" s="15"/>
      <c r="F9" s="15"/>
      <c r="G9" s="15">
        <f t="shared" si="0"/>
        <v>0</v>
      </c>
      <c r="H9" s="15">
        <f t="shared" si="0"/>
        <v>0</v>
      </c>
      <c r="I9" s="15">
        <f t="shared" si="1"/>
        <v>0</v>
      </c>
      <c r="J9" s="15">
        <f t="shared" si="4"/>
        <v>0</v>
      </c>
      <c r="K9" s="15"/>
      <c r="L9" s="15">
        <f t="shared" si="2"/>
        <v>100</v>
      </c>
      <c r="M9" s="15" t="str">
        <f t="shared" si="5"/>
        <v>A</v>
      </c>
      <c r="N9" s="15" t="str">
        <f t="shared" si="6"/>
        <v>100% LTT</v>
      </c>
      <c r="O9" s="35"/>
    </row>
    <row r="10" spans="1:15" ht="19.5" customHeight="1" x14ac:dyDescent="0.3">
      <c r="A10" s="15">
        <f t="shared" si="3"/>
        <v>4</v>
      </c>
      <c r="B10" s="16" t="s">
        <v>58</v>
      </c>
      <c r="C10" s="15" t="s">
        <v>19</v>
      </c>
      <c r="D10" s="15"/>
      <c r="E10" s="15"/>
      <c r="F10" s="15"/>
      <c r="G10" s="15">
        <f t="shared" si="0"/>
        <v>0</v>
      </c>
      <c r="H10" s="15">
        <f t="shared" si="0"/>
        <v>0</v>
      </c>
      <c r="I10" s="15">
        <f t="shared" si="1"/>
        <v>0</v>
      </c>
      <c r="J10" s="15">
        <f t="shared" si="4"/>
        <v>0</v>
      </c>
      <c r="K10" s="15"/>
      <c r="L10" s="15">
        <f t="shared" si="2"/>
        <v>100</v>
      </c>
      <c r="M10" s="15" t="str">
        <f t="shared" si="5"/>
        <v>A</v>
      </c>
      <c r="N10" s="15" t="str">
        <f t="shared" si="6"/>
        <v>100% LTT</v>
      </c>
      <c r="O10" s="35"/>
    </row>
    <row r="11" spans="1:15" ht="19.5" customHeight="1" x14ac:dyDescent="0.3">
      <c r="A11" s="15">
        <f t="shared" si="3"/>
        <v>5</v>
      </c>
      <c r="B11" s="16" t="s">
        <v>59</v>
      </c>
      <c r="C11" s="15" t="s">
        <v>19</v>
      </c>
      <c r="D11" s="15"/>
      <c r="E11" s="15"/>
      <c r="F11" s="15"/>
      <c r="G11" s="15">
        <f t="shared" si="0"/>
        <v>0</v>
      </c>
      <c r="H11" s="15">
        <f t="shared" si="0"/>
        <v>0</v>
      </c>
      <c r="I11" s="15">
        <f t="shared" si="1"/>
        <v>0</v>
      </c>
      <c r="J11" s="15">
        <f t="shared" si="4"/>
        <v>0</v>
      </c>
      <c r="K11" s="15"/>
      <c r="L11" s="15">
        <f t="shared" si="2"/>
        <v>100</v>
      </c>
      <c r="M11" s="15" t="str">
        <f t="shared" si="5"/>
        <v>A</v>
      </c>
      <c r="N11" s="15" t="str">
        <f t="shared" si="6"/>
        <v>100% LTT</v>
      </c>
      <c r="O11" s="35"/>
    </row>
    <row r="12" spans="1:15" ht="19.5" customHeight="1" x14ac:dyDescent="0.3">
      <c r="A12" s="15">
        <f t="shared" si="3"/>
        <v>6</v>
      </c>
      <c r="B12" s="16" t="s">
        <v>53</v>
      </c>
      <c r="C12" s="15" t="s">
        <v>19</v>
      </c>
      <c r="D12" s="15"/>
      <c r="E12" s="15"/>
      <c r="F12" s="15"/>
      <c r="G12" s="15">
        <f t="shared" si="0"/>
        <v>0</v>
      </c>
      <c r="H12" s="15">
        <f t="shared" si="0"/>
        <v>0</v>
      </c>
      <c r="I12" s="15">
        <f t="shared" si="1"/>
        <v>0</v>
      </c>
      <c r="J12" s="15">
        <f t="shared" si="4"/>
        <v>0</v>
      </c>
      <c r="K12" s="15"/>
      <c r="L12" s="15">
        <f t="shared" si="2"/>
        <v>100</v>
      </c>
      <c r="M12" s="15" t="str">
        <f t="shared" si="5"/>
        <v>A</v>
      </c>
      <c r="N12" s="15" t="str">
        <f t="shared" si="6"/>
        <v>100% LTT</v>
      </c>
      <c r="O12" s="35"/>
    </row>
    <row r="13" spans="1:15" ht="19.5" customHeight="1" x14ac:dyDescent="0.3">
      <c r="A13" s="15">
        <f t="shared" si="3"/>
        <v>7</v>
      </c>
      <c r="B13" s="16" t="s">
        <v>54</v>
      </c>
      <c r="C13" s="15" t="s">
        <v>19</v>
      </c>
      <c r="D13" s="15"/>
      <c r="E13" s="15"/>
      <c r="F13" s="15"/>
      <c r="G13" s="15">
        <f t="shared" si="0"/>
        <v>0</v>
      </c>
      <c r="H13" s="15">
        <f t="shared" si="0"/>
        <v>0</v>
      </c>
      <c r="I13" s="15">
        <f t="shared" si="1"/>
        <v>0</v>
      </c>
      <c r="J13" s="15">
        <f t="shared" si="4"/>
        <v>0</v>
      </c>
      <c r="K13" s="15"/>
      <c r="L13" s="15">
        <f t="shared" si="2"/>
        <v>100</v>
      </c>
      <c r="M13" s="15" t="str">
        <f t="shared" si="5"/>
        <v>A</v>
      </c>
      <c r="N13" s="15" t="str">
        <f t="shared" si="6"/>
        <v>100% LTT</v>
      </c>
      <c r="O13" s="35"/>
    </row>
    <row r="14" spans="1:15" ht="19.5" customHeight="1" x14ac:dyDescent="0.3">
      <c r="A14" s="17">
        <f t="shared" si="3"/>
        <v>8</v>
      </c>
      <c r="B14" s="18" t="s">
        <v>11</v>
      </c>
      <c r="C14" s="17" t="s">
        <v>51</v>
      </c>
      <c r="D14" s="17"/>
      <c r="E14" s="17"/>
      <c r="F14" s="17"/>
      <c r="G14" s="17">
        <f t="shared" si="0"/>
        <v>0</v>
      </c>
      <c r="H14" s="17">
        <f t="shared" si="0"/>
        <v>0</v>
      </c>
      <c r="I14" s="17">
        <f t="shared" si="1"/>
        <v>0</v>
      </c>
      <c r="J14" s="17">
        <f t="shared" si="4"/>
        <v>0</v>
      </c>
      <c r="K14" s="17"/>
      <c r="L14" s="15">
        <f t="shared" si="2"/>
        <v>100</v>
      </c>
      <c r="M14" s="17" t="str">
        <f t="shared" si="5"/>
        <v>A</v>
      </c>
      <c r="N14" s="17" t="str">
        <f t="shared" si="6"/>
        <v>100% LTT</v>
      </c>
      <c r="O14" s="35"/>
    </row>
    <row r="15" spans="1:15" ht="19.5" customHeight="1" x14ac:dyDescent="0.3">
      <c r="A15" s="184" t="s">
        <v>16</v>
      </c>
      <c r="B15" s="184"/>
      <c r="C15" s="18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5" ht="19.5" customHeight="1" x14ac:dyDescent="0.3">
      <c r="A16" s="17">
        <f>A14+1</f>
        <v>9</v>
      </c>
      <c r="B16" s="18" t="s">
        <v>28</v>
      </c>
      <c r="C16" s="17" t="s">
        <v>121</v>
      </c>
      <c r="D16" s="4"/>
      <c r="E16" s="17"/>
      <c r="F16" s="17">
        <v>2</v>
      </c>
      <c r="G16" s="17">
        <f t="shared" ref="G16:H16" si="7">IF(D16&gt;5,(D16-5)*2,0)</f>
        <v>0</v>
      </c>
      <c r="H16" s="17">
        <f t="shared" si="7"/>
        <v>0</v>
      </c>
      <c r="I16" s="17">
        <f t="shared" ref="I16" si="8">IF(F16&gt;2,(F16-2)*1,0)</f>
        <v>0</v>
      </c>
      <c r="J16" s="17">
        <f t="shared" ref="J16" si="9">SUM(G16:I16)</f>
        <v>0</v>
      </c>
      <c r="K16" s="17"/>
      <c r="L16" s="17">
        <f>100-J16-K16</f>
        <v>100</v>
      </c>
      <c r="M16" s="17" t="str">
        <f t="shared" ref="M16" si="10">IF(L16&lt;71,"KL",IF(AND(L16&gt;=71,L16&lt;81),"C",IF(AND(L16&gt;=81,L16&lt;91),"B","A")))</f>
        <v>A</v>
      </c>
      <c r="N16" s="17" t="str">
        <f t="shared" ref="N16" si="11">IF(M16="A","100% LTT",IF(M16="B","90% LTT",IF(M16="C","80% LTT","60% LTT")))</f>
        <v>100% LTT</v>
      </c>
    </row>
    <row r="17" spans="1:14" ht="19.5" customHeight="1" x14ac:dyDescent="0.3">
      <c r="A17" s="184" t="s">
        <v>17</v>
      </c>
      <c r="B17" s="184"/>
      <c r="C17" s="18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ht="19.5" customHeight="1" x14ac:dyDescent="0.3">
      <c r="A18" s="23">
        <f>A16+1</f>
        <v>10</v>
      </c>
      <c r="B18" s="38" t="s">
        <v>12</v>
      </c>
      <c r="C18" s="23" t="s">
        <v>19</v>
      </c>
      <c r="D18" s="23"/>
      <c r="E18" s="23"/>
      <c r="F18" s="23">
        <v>3</v>
      </c>
      <c r="G18" s="74">
        <f t="shared" ref="G18:H25" si="12">IF(D18&gt;5,(D18-5)*2,0)</f>
        <v>0</v>
      </c>
      <c r="H18" s="23">
        <f t="shared" si="12"/>
        <v>0</v>
      </c>
      <c r="I18" s="23">
        <f t="shared" ref="I18:I25" si="13">IF(F18&gt;2,(F18-2)*1,0)</f>
        <v>1</v>
      </c>
      <c r="J18" s="23">
        <f t="shared" ref="J18:J25" si="14">SUM(G18:I18)</f>
        <v>1</v>
      </c>
      <c r="K18" s="23">
        <v>7</v>
      </c>
      <c r="L18" s="23">
        <f>100-J18-K18</f>
        <v>92</v>
      </c>
      <c r="M18" s="23" t="str">
        <f t="shared" ref="M18:M25" si="15">IF(L18&lt;71,"KL",IF(AND(L18&gt;=71,L18&lt;81),"C",IF(AND(L18&gt;=81,L18&lt;91),"B","A")))</f>
        <v>A</v>
      </c>
      <c r="N18" s="23" t="str">
        <f t="shared" ref="N18:N25" si="16">IF(M18="A","100% LTT",IF(M18="B","90% LTT",IF(M18="C","80% LTT","60% LTT")))</f>
        <v>100% LTT</v>
      </c>
    </row>
    <row r="19" spans="1:14" ht="19.5" customHeight="1" x14ac:dyDescent="0.3">
      <c r="A19" s="15">
        <f>A18+1</f>
        <v>11</v>
      </c>
      <c r="B19" s="16" t="s">
        <v>13</v>
      </c>
      <c r="C19" s="15" t="s">
        <v>101</v>
      </c>
      <c r="D19" s="15">
        <v>1</v>
      </c>
      <c r="E19" s="15"/>
      <c r="F19" s="15">
        <v>2</v>
      </c>
      <c r="G19" s="15">
        <f t="shared" si="12"/>
        <v>0</v>
      </c>
      <c r="H19" s="15">
        <f t="shared" si="12"/>
        <v>0</v>
      </c>
      <c r="I19" s="15">
        <f t="shared" si="13"/>
        <v>0</v>
      </c>
      <c r="J19" s="15">
        <f t="shared" si="14"/>
        <v>0</v>
      </c>
      <c r="K19" s="15">
        <v>2</v>
      </c>
      <c r="L19" s="15">
        <f>100-J19-K19</f>
        <v>98</v>
      </c>
      <c r="M19" s="15" t="str">
        <f t="shared" si="15"/>
        <v>A</v>
      </c>
      <c r="N19" s="15" t="str">
        <f>IF(M19="A","100% LTT",IF(M19="B","90% LTT",IF(M19="C","80% LTT","60% LTT")))</f>
        <v>100% LTT</v>
      </c>
    </row>
    <row r="20" spans="1:14" ht="19.5" customHeight="1" x14ac:dyDescent="0.3">
      <c r="A20" s="15">
        <f t="shared" ref="A20:A24" si="17">A19+1</f>
        <v>12</v>
      </c>
      <c r="B20" s="16" t="s">
        <v>14</v>
      </c>
      <c r="C20" s="15" t="s">
        <v>19</v>
      </c>
      <c r="D20" s="15"/>
      <c r="E20" s="15"/>
      <c r="F20" s="15"/>
      <c r="G20" s="15">
        <f t="shared" si="12"/>
        <v>0</v>
      </c>
      <c r="H20" s="15">
        <f t="shared" si="12"/>
        <v>0</v>
      </c>
      <c r="I20" s="15">
        <f t="shared" si="13"/>
        <v>0</v>
      </c>
      <c r="J20" s="15">
        <f t="shared" si="14"/>
        <v>0</v>
      </c>
      <c r="K20" s="15">
        <v>5</v>
      </c>
      <c r="L20" s="15">
        <f t="shared" ref="L20:L25" si="18">100-J20-K20</f>
        <v>95</v>
      </c>
      <c r="M20" s="15" t="str">
        <f t="shared" si="15"/>
        <v>A</v>
      </c>
      <c r="N20" s="15" t="str">
        <f t="shared" si="16"/>
        <v>100% LTT</v>
      </c>
    </row>
    <row r="21" spans="1:14" ht="19.5" customHeight="1" x14ac:dyDescent="0.3">
      <c r="A21" s="15">
        <f t="shared" si="17"/>
        <v>13</v>
      </c>
      <c r="B21" s="16" t="s">
        <v>40</v>
      </c>
      <c r="C21" s="15" t="s">
        <v>19</v>
      </c>
      <c r="D21" s="15"/>
      <c r="E21" s="15"/>
      <c r="F21" s="15"/>
      <c r="G21" s="15">
        <f t="shared" si="12"/>
        <v>0</v>
      </c>
      <c r="H21" s="15">
        <f t="shared" si="12"/>
        <v>0</v>
      </c>
      <c r="I21" s="15">
        <f t="shared" si="13"/>
        <v>0</v>
      </c>
      <c r="J21" s="15">
        <f t="shared" si="14"/>
        <v>0</v>
      </c>
      <c r="K21" s="15">
        <v>4</v>
      </c>
      <c r="L21" s="15">
        <f>100-J21-K21</f>
        <v>96</v>
      </c>
      <c r="M21" s="15" t="str">
        <f t="shared" si="15"/>
        <v>A</v>
      </c>
      <c r="N21" s="15" t="str">
        <f t="shared" si="16"/>
        <v>100% LTT</v>
      </c>
    </row>
    <row r="22" spans="1:14" ht="19.5" customHeight="1" x14ac:dyDescent="0.3">
      <c r="A22" s="15">
        <f t="shared" si="17"/>
        <v>14</v>
      </c>
      <c r="B22" s="16" t="s">
        <v>98</v>
      </c>
      <c r="C22" s="15" t="s">
        <v>102</v>
      </c>
      <c r="D22" s="15"/>
      <c r="E22" s="15"/>
      <c r="F22" s="15"/>
      <c r="G22" s="15">
        <f t="shared" si="12"/>
        <v>0</v>
      </c>
      <c r="H22" s="15">
        <f t="shared" si="12"/>
        <v>0</v>
      </c>
      <c r="I22" s="15">
        <f t="shared" si="13"/>
        <v>0</v>
      </c>
      <c r="J22" s="15">
        <f t="shared" si="14"/>
        <v>0</v>
      </c>
      <c r="K22" s="15">
        <v>8</v>
      </c>
      <c r="L22" s="15">
        <f>100-J22-K22</f>
        <v>92</v>
      </c>
      <c r="M22" s="15" t="str">
        <f t="shared" si="15"/>
        <v>A</v>
      </c>
      <c r="N22" s="15" t="str">
        <f t="shared" si="16"/>
        <v>100% LTT</v>
      </c>
    </row>
    <row r="23" spans="1:14" ht="19.5" customHeight="1" x14ac:dyDescent="0.3">
      <c r="A23" s="15">
        <f t="shared" si="17"/>
        <v>15</v>
      </c>
      <c r="B23" s="16" t="s">
        <v>99</v>
      </c>
      <c r="C23" s="15" t="s">
        <v>102</v>
      </c>
      <c r="D23" s="15"/>
      <c r="E23" s="15"/>
      <c r="F23" s="15"/>
      <c r="G23" s="15">
        <f t="shared" si="12"/>
        <v>0</v>
      </c>
      <c r="H23" s="15">
        <f t="shared" si="12"/>
        <v>0</v>
      </c>
      <c r="I23" s="15">
        <f t="shared" si="13"/>
        <v>0</v>
      </c>
      <c r="J23" s="15">
        <f t="shared" si="14"/>
        <v>0</v>
      </c>
      <c r="K23" s="15">
        <v>8</v>
      </c>
      <c r="L23" s="15">
        <f t="shared" si="18"/>
        <v>92</v>
      </c>
      <c r="M23" s="15" t="str">
        <f t="shared" si="15"/>
        <v>A</v>
      </c>
      <c r="N23" s="15" t="str">
        <f t="shared" si="16"/>
        <v>100% LTT</v>
      </c>
    </row>
    <row r="24" spans="1:14" ht="19.5" customHeight="1" x14ac:dyDescent="0.3">
      <c r="A24" s="15">
        <f t="shared" si="17"/>
        <v>16</v>
      </c>
      <c r="B24" s="16" t="s">
        <v>100</v>
      </c>
      <c r="C24" s="15" t="s">
        <v>102</v>
      </c>
      <c r="D24" s="15"/>
      <c r="E24" s="15"/>
      <c r="F24" s="15"/>
      <c r="G24" s="15">
        <f t="shared" si="12"/>
        <v>0</v>
      </c>
      <c r="H24" s="15">
        <f t="shared" si="12"/>
        <v>0</v>
      </c>
      <c r="I24" s="15">
        <f t="shared" si="13"/>
        <v>0</v>
      </c>
      <c r="J24" s="15">
        <f t="shared" si="14"/>
        <v>0</v>
      </c>
      <c r="K24" s="15">
        <v>6</v>
      </c>
      <c r="L24" s="15">
        <f t="shared" si="18"/>
        <v>94</v>
      </c>
      <c r="M24" s="15" t="str">
        <f t="shared" si="15"/>
        <v>A</v>
      </c>
      <c r="N24" s="15" t="str">
        <f t="shared" si="16"/>
        <v>100% LTT</v>
      </c>
    </row>
    <row r="25" spans="1:14" ht="19.5" customHeight="1" x14ac:dyDescent="0.3">
      <c r="A25" s="17">
        <v>17</v>
      </c>
      <c r="B25" s="18" t="s">
        <v>116</v>
      </c>
      <c r="C25" s="17" t="s">
        <v>107</v>
      </c>
      <c r="D25" s="17"/>
      <c r="E25" s="17"/>
      <c r="F25" s="17"/>
      <c r="G25" s="15">
        <f t="shared" si="12"/>
        <v>0</v>
      </c>
      <c r="H25" s="15">
        <f t="shared" si="12"/>
        <v>0</v>
      </c>
      <c r="I25" s="15">
        <f t="shared" si="13"/>
        <v>0</v>
      </c>
      <c r="J25" s="15">
        <f t="shared" si="14"/>
        <v>0</v>
      </c>
      <c r="K25" s="17">
        <v>8</v>
      </c>
      <c r="L25" s="15">
        <f t="shared" si="18"/>
        <v>92</v>
      </c>
      <c r="M25" s="15" t="str">
        <f t="shared" si="15"/>
        <v>A</v>
      </c>
      <c r="N25" s="17" t="str">
        <f t="shared" si="16"/>
        <v>100% LTT</v>
      </c>
    </row>
    <row r="26" spans="1:14" ht="22.5" customHeight="1" x14ac:dyDescent="0.3">
      <c r="A26" s="180" t="s">
        <v>60</v>
      </c>
      <c r="B26" s="180"/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0"/>
      <c r="N26" s="180"/>
    </row>
    <row r="27" spans="1:14" ht="22.5" customHeight="1" x14ac:dyDescent="0.3">
      <c r="J27" s="185" t="s">
        <v>111</v>
      </c>
      <c r="K27" s="185"/>
      <c r="L27" s="185"/>
      <c r="M27" s="185"/>
      <c r="N27" s="185"/>
    </row>
    <row r="28" spans="1:14" ht="22.5" customHeight="1" x14ac:dyDescent="0.3">
      <c r="B28" s="178" t="s">
        <v>22</v>
      </c>
      <c r="C28" s="178"/>
      <c r="D28" s="178"/>
      <c r="L28" s="178" t="s">
        <v>25</v>
      </c>
      <c r="M28" s="178"/>
      <c r="N28" s="178"/>
    </row>
    <row r="29" spans="1:14" ht="22.5" customHeight="1" x14ac:dyDescent="0.3">
      <c r="L29" s="91"/>
      <c r="M29" s="91"/>
    </row>
    <row r="30" spans="1:14" ht="22.5" customHeight="1" x14ac:dyDescent="0.3">
      <c r="L30" s="91"/>
      <c r="M30" s="91"/>
    </row>
    <row r="31" spans="1:14" ht="22.5" customHeight="1" x14ac:dyDescent="0.3">
      <c r="L31" s="91"/>
      <c r="M31" s="91"/>
    </row>
    <row r="32" spans="1:14" ht="22.5" customHeight="1" x14ac:dyDescent="0.3">
      <c r="B32" s="178" t="s">
        <v>28</v>
      </c>
      <c r="C32" s="178"/>
      <c r="D32" s="178"/>
      <c r="L32" s="178" t="s">
        <v>27</v>
      </c>
      <c r="M32" s="178"/>
      <c r="N32" s="178"/>
    </row>
    <row r="33" spans="3:4" ht="22.5" customHeight="1" x14ac:dyDescent="0.3">
      <c r="C33" s="1"/>
      <c r="D33" s="1"/>
    </row>
  </sheetData>
  <mergeCells count="25">
    <mergeCell ref="O4:O5"/>
    <mergeCell ref="A1:N1"/>
    <mergeCell ref="A2:N2"/>
    <mergeCell ref="A3:N3"/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L4:L5"/>
    <mergeCell ref="M4:M5"/>
    <mergeCell ref="N4:N5"/>
    <mergeCell ref="B32:D32"/>
    <mergeCell ref="L32:N32"/>
    <mergeCell ref="A6:C6"/>
    <mergeCell ref="A15:C15"/>
    <mergeCell ref="A17:C17"/>
    <mergeCell ref="A26:N26"/>
    <mergeCell ref="J27:N27"/>
    <mergeCell ref="B28:D28"/>
    <mergeCell ref="L28:N28"/>
  </mergeCells>
  <pageMargins left="0.2" right="0.26" top="0.41" bottom="0.4" header="0.3" footer="0.3"/>
  <pageSetup paperSize="9" scale="75" orientation="landscape" horizontalDpi="1200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sqref="A1:XFD1048576"/>
    </sheetView>
  </sheetViews>
  <sheetFormatPr defaultColWidth="9.109375" defaultRowHeight="16.8" x14ac:dyDescent="0.3"/>
  <cols>
    <col min="1" max="1" width="6.109375" style="2" customWidth="1"/>
    <col min="2" max="2" width="24.6640625" style="1" customWidth="1"/>
    <col min="3" max="3" width="22" style="2" customWidth="1"/>
    <col min="4" max="6" width="11.33203125" style="2" customWidth="1"/>
    <col min="7" max="9" width="12.33203125" style="2" customWidth="1"/>
    <col min="10" max="10" width="12.44140625" style="2" customWidth="1"/>
    <col min="11" max="11" width="11.33203125" style="2" customWidth="1"/>
    <col min="12" max="12" width="12.109375" style="2" customWidth="1"/>
    <col min="13" max="13" width="9.44140625" style="2" customWidth="1"/>
    <col min="14" max="14" width="15" style="2" customWidth="1"/>
    <col min="15" max="15" width="53.88671875" style="2" customWidth="1"/>
    <col min="16" max="16384" width="9.109375" style="1"/>
  </cols>
  <sheetData>
    <row r="1" spans="1:15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5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</row>
    <row r="3" spans="1:15" ht="22.5" customHeight="1" x14ac:dyDescent="0.3">
      <c r="A3" s="179" t="s">
        <v>126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</row>
    <row r="4" spans="1:15" s="3" customFormat="1" ht="22.5" customHeight="1" x14ac:dyDescent="0.3">
      <c r="A4" s="180" t="s">
        <v>0</v>
      </c>
      <c r="B4" s="180" t="s">
        <v>1</v>
      </c>
      <c r="C4" s="180" t="s">
        <v>2</v>
      </c>
      <c r="D4" s="180" t="s">
        <v>23</v>
      </c>
      <c r="E4" s="180"/>
      <c r="F4" s="180"/>
      <c r="G4" s="181" t="s">
        <v>29</v>
      </c>
      <c r="H4" s="181" t="s">
        <v>30</v>
      </c>
      <c r="I4" s="181" t="s">
        <v>31</v>
      </c>
      <c r="J4" s="181" t="s">
        <v>96</v>
      </c>
      <c r="K4" s="181" t="s">
        <v>97</v>
      </c>
      <c r="L4" s="180" t="s">
        <v>6</v>
      </c>
      <c r="M4" s="180" t="s">
        <v>7</v>
      </c>
      <c r="N4" s="180" t="s">
        <v>8</v>
      </c>
      <c r="O4" s="183"/>
    </row>
    <row r="5" spans="1:15" s="3" customFormat="1" ht="49.8" customHeight="1" x14ac:dyDescent="0.3">
      <c r="A5" s="180"/>
      <c r="B5" s="180"/>
      <c r="C5" s="180"/>
      <c r="D5" s="94" t="s">
        <v>3</v>
      </c>
      <c r="E5" s="94" t="s">
        <v>4</v>
      </c>
      <c r="F5" s="94" t="s">
        <v>5</v>
      </c>
      <c r="G5" s="182"/>
      <c r="H5" s="182"/>
      <c r="I5" s="182"/>
      <c r="J5" s="182"/>
      <c r="K5" s="182"/>
      <c r="L5" s="180"/>
      <c r="M5" s="180"/>
      <c r="N5" s="180"/>
      <c r="O5" s="183"/>
    </row>
    <row r="6" spans="1:15" ht="19.5" customHeight="1" x14ac:dyDescent="0.3">
      <c r="A6" s="184" t="s">
        <v>15</v>
      </c>
      <c r="B6" s="184"/>
      <c r="C6" s="18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5" ht="19.5" customHeight="1" x14ac:dyDescent="0.3">
      <c r="A7" s="15">
        <v>1</v>
      </c>
      <c r="B7" s="16" t="s">
        <v>49</v>
      </c>
      <c r="C7" s="15" t="s">
        <v>19</v>
      </c>
      <c r="D7" s="15">
        <v>1</v>
      </c>
      <c r="E7" s="15"/>
      <c r="F7" s="15">
        <v>1</v>
      </c>
      <c r="G7" s="15">
        <f t="shared" ref="G7:H14" si="0">IF(D7&gt;5,(D7-5)*2,0)</f>
        <v>0</v>
      </c>
      <c r="H7" s="15">
        <f t="shared" si="0"/>
        <v>0</v>
      </c>
      <c r="I7" s="15">
        <f t="shared" ref="I7:I14" si="1">IF(F7&gt;2,(F7-2)*1,0)</f>
        <v>0</v>
      </c>
      <c r="J7" s="15">
        <f>SUM(G7:I7)</f>
        <v>0</v>
      </c>
      <c r="K7" s="15">
        <v>3</v>
      </c>
      <c r="L7" s="15">
        <f t="shared" ref="L7:L14" si="2">100-J7-K7</f>
        <v>97</v>
      </c>
      <c r="M7" s="15" t="str">
        <f>IF(L7&lt;71,"KL",IF(AND(L7&gt;=71,L7&lt;81),"C",IF(AND(L7&gt;=81,L7&lt;91),"B","A")))</f>
        <v>A</v>
      </c>
      <c r="N7" s="15" t="str">
        <f>IF(M7="A","100% LTT",IF(M7="B","90% LTT",IF(M7="C","80% LTT","60% LTT")))</f>
        <v>100% LTT</v>
      </c>
      <c r="O7" s="11" t="s">
        <v>33</v>
      </c>
    </row>
    <row r="8" spans="1:15" ht="19.5" customHeight="1" x14ac:dyDescent="0.3">
      <c r="A8" s="15">
        <f t="shared" ref="A8:A14" si="3">A7+1</f>
        <v>2</v>
      </c>
      <c r="B8" s="16" t="s">
        <v>52</v>
      </c>
      <c r="C8" s="15" t="s">
        <v>19</v>
      </c>
      <c r="D8" s="15"/>
      <c r="E8" s="15"/>
      <c r="F8" s="15"/>
      <c r="G8" s="15">
        <f t="shared" si="0"/>
        <v>0</v>
      </c>
      <c r="H8" s="15">
        <f t="shared" si="0"/>
        <v>0</v>
      </c>
      <c r="I8" s="15">
        <f t="shared" si="1"/>
        <v>0</v>
      </c>
      <c r="J8" s="15">
        <f t="shared" ref="J8:J14" si="4">SUM(G8:I8)</f>
        <v>0</v>
      </c>
      <c r="K8" s="15"/>
      <c r="L8" s="15">
        <f t="shared" si="2"/>
        <v>100</v>
      </c>
      <c r="M8" s="15" t="str">
        <f t="shared" ref="M8:M14" si="5">IF(L8&lt;71,"KL",IF(AND(L8&gt;=71,L8&lt;81),"C",IF(AND(L8&gt;=81,L8&lt;91),"B","A")))</f>
        <v>A</v>
      </c>
      <c r="N8" s="15" t="str">
        <f t="shared" ref="N8:N14" si="6">IF(M8="A","100% LTT",IF(M8="B","90% LTT",IF(M8="C","80% LTT","60% LTT")))</f>
        <v>100% LTT</v>
      </c>
      <c r="O8" s="34"/>
    </row>
    <row r="9" spans="1:15" ht="19.5" customHeight="1" x14ac:dyDescent="0.3">
      <c r="A9" s="15">
        <f>A8+1</f>
        <v>3</v>
      </c>
      <c r="B9" s="16" t="s">
        <v>57</v>
      </c>
      <c r="C9" s="15" t="s">
        <v>19</v>
      </c>
      <c r="D9" s="15"/>
      <c r="E9" s="15"/>
      <c r="F9" s="15"/>
      <c r="G9" s="15">
        <f t="shared" si="0"/>
        <v>0</v>
      </c>
      <c r="H9" s="15">
        <f t="shared" si="0"/>
        <v>0</v>
      </c>
      <c r="I9" s="15">
        <f t="shared" si="1"/>
        <v>0</v>
      </c>
      <c r="J9" s="15">
        <f t="shared" si="4"/>
        <v>0</v>
      </c>
      <c r="K9" s="15"/>
      <c r="L9" s="15">
        <f t="shared" si="2"/>
        <v>100</v>
      </c>
      <c r="M9" s="15" t="str">
        <f t="shared" si="5"/>
        <v>A</v>
      </c>
      <c r="N9" s="15" t="str">
        <f t="shared" si="6"/>
        <v>100% LTT</v>
      </c>
      <c r="O9" s="35"/>
    </row>
    <row r="10" spans="1:15" ht="19.5" customHeight="1" x14ac:dyDescent="0.3">
      <c r="A10" s="15">
        <f t="shared" si="3"/>
        <v>4</v>
      </c>
      <c r="B10" s="16" t="s">
        <v>58</v>
      </c>
      <c r="C10" s="15" t="s">
        <v>19</v>
      </c>
      <c r="D10" s="15"/>
      <c r="E10" s="15"/>
      <c r="F10" s="15"/>
      <c r="G10" s="15">
        <f t="shared" si="0"/>
        <v>0</v>
      </c>
      <c r="H10" s="15">
        <f t="shared" si="0"/>
        <v>0</v>
      </c>
      <c r="I10" s="15">
        <f t="shared" si="1"/>
        <v>0</v>
      </c>
      <c r="J10" s="15">
        <f t="shared" si="4"/>
        <v>0</v>
      </c>
      <c r="K10" s="15"/>
      <c r="L10" s="15">
        <f t="shared" si="2"/>
        <v>100</v>
      </c>
      <c r="M10" s="15" t="str">
        <f t="shared" si="5"/>
        <v>A</v>
      </c>
      <c r="N10" s="15" t="str">
        <f t="shared" si="6"/>
        <v>100% LTT</v>
      </c>
      <c r="O10" s="35"/>
    </row>
    <row r="11" spans="1:15" ht="19.5" customHeight="1" x14ac:dyDescent="0.3">
      <c r="A11" s="15">
        <f t="shared" si="3"/>
        <v>5</v>
      </c>
      <c r="B11" s="16" t="s">
        <v>59</v>
      </c>
      <c r="C11" s="15" t="s">
        <v>19</v>
      </c>
      <c r="D11" s="15"/>
      <c r="E11" s="15"/>
      <c r="F11" s="15"/>
      <c r="G11" s="15">
        <f t="shared" si="0"/>
        <v>0</v>
      </c>
      <c r="H11" s="15">
        <f t="shared" si="0"/>
        <v>0</v>
      </c>
      <c r="I11" s="15">
        <f t="shared" si="1"/>
        <v>0</v>
      </c>
      <c r="J11" s="15">
        <f t="shared" si="4"/>
        <v>0</v>
      </c>
      <c r="K11" s="15"/>
      <c r="L11" s="15">
        <f t="shared" si="2"/>
        <v>100</v>
      </c>
      <c r="M11" s="15" t="str">
        <f t="shared" si="5"/>
        <v>A</v>
      </c>
      <c r="N11" s="15" t="str">
        <f t="shared" si="6"/>
        <v>100% LTT</v>
      </c>
      <c r="O11" s="35"/>
    </row>
    <row r="12" spans="1:15" ht="19.5" customHeight="1" x14ac:dyDescent="0.3">
      <c r="A12" s="15">
        <f t="shared" si="3"/>
        <v>6</v>
      </c>
      <c r="B12" s="16" t="s">
        <v>53</v>
      </c>
      <c r="C12" s="15" t="s">
        <v>19</v>
      </c>
      <c r="D12" s="15"/>
      <c r="E12" s="15"/>
      <c r="F12" s="15"/>
      <c r="G12" s="15">
        <f t="shared" si="0"/>
        <v>0</v>
      </c>
      <c r="H12" s="15">
        <f t="shared" si="0"/>
        <v>0</v>
      </c>
      <c r="I12" s="15">
        <f t="shared" si="1"/>
        <v>0</v>
      </c>
      <c r="J12" s="15">
        <f t="shared" si="4"/>
        <v>0</v>
      </c>
      <c r="K12" s="15"/>
      <c r="L12" s="15">
        <f t="shared" si="2"/>
        <v>100</v>
      </c>
      <c r="M12" s="15" t="str">
        <f t="shared" si="5"/>
        <v>A</v>
      </c>
      <c r="N12" s="15" t="str">
        <f t="shared" si="6"/>
        <v>100% LTT</v>
      </c>
      <c r="O12" s="35"/>
    </row>
    <row r="13" spans="1:15" ht="19.5" customHeight="1" x14ac:dyDescent="0.3">
      <c r="A13" s="15">
        <f t="shared" si="3"/>
        <v>7</v>
      </c>
      <c r="B13" s="16" t="s">
        <v>54</v>
      </c>
      <c r="C13" s="15" t="s">
        <v>19</v>
      </c>
      <c r="D13" s="15"/>
      <c r="E13" s="15"/>
      <c r="F13" s="15"/>
      <c r="G13" s="15">
        <f t="shared" si="0"/>
        <v>0</v>
      </c>
      <c r="H13" s="15">
        <f t="shared" si="0"/>
        <v>0</v>
      </c>
      <c r="I13" s="15">
        <f t="shared" si="1"/>
        <v>0</v>
      </c>
      <c r="J13" s="15">
        <f t="shared" si="4"/>
        <v>0</v>
      </c>
      <c r="K13" s="15"/>
      <c r="L13" s="15">
        <f t="shared" si="2"/>
        <v>100</v>
      </c>
      <c r="M13" s="15" t="str">
        <f t="shared" si="5"/>
        <v>A</v>
      </c>
      <c r="N13" s="15" t="str">
        <f t="shared" si="6"/>
        <v>100% LTT</v>
      </c>
      <c r="O13" s="35"/>
    </row>
    <row r="14" spans="1:15" ht="19.5" customHeight="1" x14ac:dyDescent="0.3">
      <c r="A14" s="17">
        <f t="shared" si="3"/>
        <v>8</v>
      </c>
      <c r="B14" s="18" t="s">
        <v>11</v>
      </c>
      <c r="C14" s="17" t="s">
        <v>51</v>
      </c>
      <c r="D14" s="17">
        <v>2</v>
      </c>
      <c r="E14" s="17"/>
      <c r="F14" s="17"/>
      <c r="G14" s="17">
        <f t="shared" si="0"/>
        <v>0</v>
      </c>
      <c r="H14" s="17">
        <f t="shared" si="0"/>
        <v>0</v>
      </c>
      <c r="I14" s="17">
        <f t="shared" si="1"/>
        <v>0</v>
      </c>
      <c r="J14" s="17">
        <f t="shared" si="4"/>
        <v>0</v>
      </c>
      <c r="K14" s="17">
        <v>2</v>
      </c>
      <c r="L14" s="15">
        <f t="shared" si="2"/>
        <v>98</v>
      </c>
      <c r="M14" s="17" t="str">
        <f t="shared" si="5"/>
        <v>A</v>
      </c>
      <c r="N14" s="17" t="str">
        <f t="shared" si="6"/>
        <v>100% LTT</v>
      </c>
      <c r="O14" s="35"/>
    </row>
    <row r="15" spans="1:15" ht="19.5" customHeight="1" x14ac:dyDescent="0.3">
      <c r="A15" s="184" t="s">
        <v>16</v>
      </c>
      <c r="B15" s="184"/>
      <c r="C15" s="18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5" ht="19.5" customHeight="1" x14ac:dyDescent="0.3">
      <c r="A16" s="17">
        <f>A14+1</f>
        <v>9</v>
      </c>
      <c r="B16" s="18" t="s">
        <v>28</v>
      </c>
      <c r="C16" s="17" t="s">
        <v>121</v>
      </c>
      <c r="D16" s="4"/>
      <c r="E16" s="17"/>
      <c r="F16" s="17"/>
      <c r="G16" s="17">
        <f t="shared" ref="G16:H16" si="7">IF(D16&gt;5,(D16-5)*2,0)</f>
        <v>0</v>
      </c>
      <c r="H16" s="17">
        <f t="shared" si="7"/>
        <v>0</v>
      </c>
      <c r="I16" s="17">
        <f t="shared" ref="I16" si="8">IF(F16&gt;2,(F16-2)*1,0)</f>
        <v>0</v>
      </c>
      <c r="J16" s="17">
        <f t="shared" ref="J16" si="9">SUM(G16:I16)</f>
        <v>0</v>
      </c>
      <c r="K16" s="17"/>
      <c r="L16" s="17">
        <f>100-J16-K16</f>
        <v>100</v>
      </c>
      <c r="M16" s="17" t="str">
        <f t="shared" ref="M16" si="10">IF(L16&lt;71,"KL",IF(AND(L16&gt;=71,L16&lt;81),"C",IF(AND(L16&gt;=81,L16&lt;91),"B","A")))</f>
        <v>A</v>
      </c>
      <c r="N16" s="17" t="str">
        <f t="shared" ref="N16" si="11">IF(M16="A","100% LTT",IF(M16="B","90% LTT",IF(M16="C","80% LTT","60% LTT")))</f>
        <v>100% LTT</v>
      </c>
    </row>
    <row r="17" spans="1:14" ht="19.5" customHeight="1" x14ac:dyDescent="0.3">
      <c r="A17" s="184" t="s">
        <v>17</v>
      </c>
      <c r="B17" s="184"/>
      <c r="C17" s="18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ht="19.5" customHeight="1" x14ac:dyDescent="0.3">
      <c r="A18" s="23">
        <f>A16+1</f>
        <v>10</v>
      </c>
      <c r="B18" s="38" t="s">
        <v>12</v>
      </c>
      <c r="C18" s="23" t="s">
        <v>19</v>
      </c>
      <c r="D18" s="23"/>
      <c r="E18" s="23"/>
      <c r="F18" s="23">
        <v>3</v>
      </c>
      <c r="G18" s="74">
        <f t="shared" ref="G18:H25" si="12">IF(D18&gt;5,(D18-5)*2,0)</f>
        <v>0</v>
      </c>
      <c r="H18" s="23">
        <f t="shared" si="12"/>
        <v>0</v>
      </c>
      <c r="I18" s="23">
        <f t="shared" ref="I18:I25" si="13">IF(F18&gt;2,(F18-2)*1,0)</f>
        <v>1</v>
      </c>
      <c r="J18" s="23">
        <f t="shared" ref="J18:J25" si="14">SUM(G18:I18)</f>
        <v>1</v>
      </c>
      <c r="K18" s="23">
        <v>5</v>
      </c>
      <c r="L18" s="23">
        <f>100-J18-K18</f>
        <v>94</v>
      </c>
      <c r="M18" s="23" t="str">
        <f t="shared" ref="M18:M25" si="15">IF(L18&lt;71,"KL",IF(AND(L18&gt;=71,L18&lt;81),"C",IF(AND(L18&gt;=81,L18&lt;91),"B","A")))</f>
        <v>A</v>
      </c>
      <c r="N18" s="23" t="str">
        <f t="shared" ref="N18:N25" si="16">IF(M18="A","100% LTT",IF(M18="B","90% LTT",IF(M18="C","80% LTT","60% LTT")))</f>
        <v>100% LTT</v>
      </c>
    </row>
    <row r="19" spans="1:14" ht="19.5" customHeight="1" x14ac:dyDescent="0.3">
      <c r="A19" s="15">
        <f>A18+1</f>
        <v>11</v>
      </c>
      <c r="B19" s="16" t="s">
        <v>13</v>
      </c>
      <c r="C19" s="15" t="s">
        <v>101</v>
      </c>
      <c r="D19" s="15"/>
      <c r="E19" s="15"/>
      <c r="F19" s="15">
        <v>2</v>
      </c>
      <c r="G19" s="15">
        <f t="shared" si="12"/>
        <v>0</v>
      </c>
      <c r="H19" s="15">
        <f t="shared" si="12"/>
        <v>0</v>
      </c>
      <c r="I19" s="15">
        <f t="shared" si="13"/>
        <v>0</v>
      </c>
      <c r="J19" s="15">
        <f t="shared" si="14"/>
        <v>0</v>
      </c>
      <c r="K19" s="15">
        <v>3</v>
      </c>
      <c r="L19" s="15">
        <f>100-J19-K19</f>
        <v>97</v>
      </c>
      <c r="M19" s="15" t="str">
        <f t="shared" si="15"/>
        <v>A</v>
      </c>
      <c r="N19" s="15" t="str">
        <f>IF(M19="A","100% LTT",IF(M19="B","90% LTT",IF(M19="C","80% LTT","60% LTT")))</f>
        <v>100% LTT</v>
      </c>
    </row>
    <row r="20" spans="1:14" ht="19.5" customHeight="1" x14ac:dyDescent="0.3">
      <c r="A20" s="15">
        <f t="shared" ref="A20:A24" si="17">A19+1</f>
        <v>12</v>
      </c>
      <c r="B20" s="16" t="s">
        <v>14</v>
      </c>
      <c r="C20" s="15" t="s">
        <v>19</v>
      </c>
      <c r="D20" s="15"/>
      <c r="E20" s="15"/>
      <c r="F20" s="15">
        <v>2</v>
      </c>
      <c r="G20" s="15">
        <f t="shared" si="12"/>
        <v>0</v>
      </c>
      <c r="H20" s="15">
        <f t="shared" si="12"/>
        <v>0</v>
      </c>
      <c r="I20" s="15">
        <f t="shared" si="13"/>
        <v>0</v>
      </c>
      <c r="J20" s="15">
        <f t="shared" si="14"/>
        <v>0</v>
      </c>
      <c r="K20" s="15">
        <v>5</v>
      </c>
      <c r="L20" s="15">
        <f t="shared" ref="L20:L25" si="18">100-J20-K20</f>
        <v>95</v>
      </c>
      <c r="M20" s="15" t="str">
        <f t="shared" si="15"/>
        <v>A</v>
      </c>
      <c r="N20" s="15" t="str">
        <f t="shared" si="16"/>
        <v>100% LTT</v>
      </c>
    </row>
    <row r="21" spans="1:14" ht="19.5" customHeight="1" x14ac:dyDescent="0.3">
      <c r="A21" s="15">
        <f t="shared" si="17"/>
        <v>13</v>
      </c>
      <c r="B21" s="16" t="s">
        <v>40</v>
      </c>
      <c r="C21" s="15" t="s">
        <v>19</v>
      </c>
      <c r="D21" s="15"/>
      <c r="E21" s="15"/>
      <c r="F21" s="15"/>
      <c r="G21" s="15">
        <f t="shared" si="12"/>
        <v>0</v>
      </c>
      <c r="H21" s="15">
        <f t="shared" si="12"/>
        <v>0</v>
      </c>
      <c r="I21" s="15">
        <f t="shared" si="13"/>
        <v>0</v>
      </c>
      <c r="J21" s="15">
        <f t="shared" si="14"/>
        <v>0</v>
      </c>
      <c r="K21" s="15">
        <v>4</v>
      </c>
      <c r="L21" s="15">
        <f>100-J21-K21</f>
        <v>96</v>
      </c>
      <c r="M21" s="15" t="str">
        <f t="shared" si="15"/>
        <v>A</v>
      </c>
      <c r="N21" s="15" t="str">
        <f t="shared" si="16"/>
        <v>100% LTT</v>
      </c>
    </row>
    <row r="22" spans="1:14" ht="19.5" customHeight="1" x14ac:dyDescent="0.3">
      <c r="A22" s="15">
        <f t="shared" si="17"/>
        <v>14</v>
      </c>
      <c r="B22" s="16" t="s">
        <v>98</v>
      </c>
      <c r="C22" s="15" t="s">
        <v>102</v>
      </c>
      <c r="D22" s="15"/>
      <c r="E22" s="15"/>
      <c r="F22" s="15"/>
      <c r="G22" s="15">
        <f t="shared" si="12"/>
        <v>0</v>
      </c>
      <c r="H22" s="15">
        <f t="shared" si="12"/>
        <v>0</v>
      </c>
      <c r="I22" s="15">
        <f t="shared" si="13"/>
        <v>0</v>
      </c>
      <c r="J22" s="15">
        <f t="shared" si="14"/>
        <v>0</v>
      </c>
      <c r="K22" s="15">
        <v>8</v>
      </c>
      <c r="L22" s="15">
        <f>100-J22-K22</f>
        <v>92</v>
      </c>
      <c r="M22" s="15" t="str">
        <f t="shared" si="15"/>
        <v>A</v>
      </c>
      <c r="N22" s="15" t="str">
        <f t="shared" si="16"/>
        <v>100% LTT</v>
      </c>
    </row>
    <row r="23" spans="1:14" ht="19.5" customHeight="1" x14ac:dyDescent="0.3">
      <c r="A23" s="15">
        <f t="shared" si="17"/>
        <v>15</v>
      </c>
      <c r="B23" s="16" t="s">
        <v>99</v>
      </c>
      <c r="C23" s="15" t="s">
        <v>102</v>
      </c>
      <c r="D23" s="15"/>
      <c r="E23" s="15"/>
      <c r="F23" s="15"/>
      <c r="G23" s="15">
        <f t="shared" si="12"/>
        <v>0</v>
      </c>
      <c r="H23" s="15">
        <f t="shared" si="12"/>
        <v>0</v>
      </c>
      <c r="I23" s="15">
        <f t="shared" si="13"/>
        <v>0</v>
      </c>
      <c r="J23" s="15">
        <f t="shared" si="14"/>
        <v>0</v>
      </c>
      <c r="K23" s="15">
        <v>5</v>
      </c>
      <c r="L23" s="15">
        <f t="shared" si="18"/>
        <v>95</v>
      </c>
      <c r="M23" s="15" t="str">
        <f t="shared" si="15"/>
        <v>A</v>
      </c>
      <c r="N23" s="15" t="str">
        <f t="shared" si="16"/>
        <v>100% LTT</v>
      </c>
    </row>
    <row r="24" spans="1:14" ht="19.5" customHeight="1" x14ac:dyDescent="0.3">
      <c r="A24" s="15">
        <f t="shared" si="17"/>
        <v>16</v>
      </c>
      <c r="B24" s="16" t="s">
        <v>100</v>
      </c>
      <c r="C24" s="15" t="s">
        <v>102</v>
      </c>
      <c r="D24" s="15"/>
      <c r="E24" s="15"/>
      <c r="F24" s="15"/>
      <c r="G24" s="15">
        <f t="shared" si="12"/>
        <v>0</v>
      </c>
      <c r="H24" s="15">
        <f t="shared" si="12"/>
        <v>0</v>
      </c>
      <c r="I24" s="15">
        <f t="shared" si="13"/>
        <v>0</v>
      </c>
      <c r="J24" s="15">
        <f t="shared" si="14"/>
        <v>0</v>
      </c>
      <c r="K24" s="15">
        <v>5</v>
      </c>
      <c r="L24" s="15">
        <f t="shared" si="18"/>
        <v>95</v>
      </c>
      <c r="M24" s="15" t="str">
        <f t="shared" si="15"/>
        <v>A</v>
      </c>
      <c r="N24" s="15" t="str">
        <f t="shared" si="16"/>
        <v>100% LTT</v>
      </c>
    </row>
    <row r="25" spans="1:14" ht="19.5" customHeight="1" x14ac:dyDescent="0.3">
      <c r="A25" s="17">
        <v>17</v>
      </c>
      <c r="B25" s="18" t="s">
        <v>116</v>
      </c>
      <c r="C25" s="17" t="s">
        <v>107</v>
      </c>
      <c r="D25" s="17"/>
      <c r="E25" s="17"/>
      <c r="F25" s="17"/>
      <c r="G25" s="15">
        <f t="shared" si="12"/>
        <v>0</v>
      </c>
      <c r="H25" s="15">
        <f t="shared" si="12"/>
        <v>0</v>
      </c>
      <c r="I25" s="15">
        <f t="shared" si="13"/>
        <v>0</v>
      </c>
      <c r="J25" s="15">
        <f t="shared" si="14"/>
        <v>0</v>
      </c>
      <c r="K25" s="17">
        <v>8</v>
      </c>
      <c r="L25" s="15">
        <f t="shared" si="18"/>
        <v>92</v>
      </c>
      <c r="M25" s="15" t="str">
        <f t="shared" si="15"/>
        <v>A</v>
      </c>
      <c r="N25" s="17" t="str">
        <f t="shared" si="16"/>
        <v>100% LTT</v>
      </c>
    </row>
    <row r="26" spans="1:14" ht="22.5" customHeight="1" x14ac:dyDescent="0.3">
      <c r="A26" s="180" t="s">
        <v>60</v>
      </c>
      <c r="B26" s="180"/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0"/>
      <c r="N26" s="180"/>
    </row>
    <row r="27" spans="1:14" ht="22.5" customHeight="1" x14ac:dyDescent="0.3">
      <c r="J27" s="185" t="s">
        <v>127</v>
      </c>
      <c r="K27" s="185"/>
      <c r="L27" s="185"/>
      <c r="M27" s="185"/>
      <c r="N27" s="185"/>
    </row>
    <row r="28" spans="1:14" ht="22.5" customHeight="1" x14ac:dyDescent="0.3">
      <c r="B28" s="178" t="s">
        <v>22</v>
      </c>
      <c r="C28" s="178"/>
      <c r="D28" s="178"/>
      <c r="L28" s="178" t="s">
        <v>25</v>
      </c>
      <c r="M28" s="178"/>
      <c r="N28" s="178"/>
    </row>
    <row r="29" spans="1:14" ht="22.5" customHeight="1" x14ac:dyDescent="0.3">
      <c r="L29" s="93"/>
      <c r="M29" s="93"/>
    </row>
    <row r="30" spans="1:14" ht="22.5" customHeight="1" x14ac:dyDescent="0.3">
      <c r="L30" s="93"/>
      <c r="M30" s="93"/>
    </row>
    <row r="31" spans="1:14" ht="22.5" customHeight="1" x14ac:dyDescent="0.3">
      <c r="L31" s="93"/>
      <c r="M31" s="93"/>
    </row>
    <row r="32" spans="1:14" ht="22.5" customHeight="1" x14ac:dyDescent="0.3">
      <c r="B32" s="178" t="s">
        <v>28</v>
      </c>
      <c r="C32" s="178"/>
      <c r="D32" s="178"/>
      <c r="L32" s="178" t="s">
        <v>27</v>
      </c>
      <c r="M32" s="178"/>
      <c r="N32" s="178"/>
    </row>
    <row r="33" spans="3:4" ht="22.5" customHeight="1" x14ac:dyDescent="0.3">
      <c r="C33" s="1"/>
      <c r="D33" s="1"/>
    </row>
  </sheetData>
  <mergeCells count="25">
    <mergeCell ref="B32:D32"/>
    <mergeCell ref="L32:N32"/>
    <mergeCell ref="A6:C6"/>
    <mergeCell ref="A15:C15"/>
    <mergeCell ref="A17:C17"/>
    <mergeCell ref="A26:N26"/>
    <mergeCell ref="J27:N27"/>
    <mergeCell ref="B28:D28"/>
    <mergeCell ref="L28:N28"/>
    <mergeCell ref="O4:O5"/>
    <mergeCell ref="A1:N1"/>
    <mergeCell ref="A2:N2"/>
    <mergeCell ref="A3:N3"/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L4:L5"/>
    <mergeCell ref="M4:M5"/>
    <mergeCell ref="N4:N5"/>
  </mergeCells>
  <pageMargins left="0.22" right="0.22" top="0.38" bottom="0.32" header="0.3" footer="0.3"/>
  <pageSetup scale="73" orientation="landscape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sqref="A1:XFD1048576"/>
    </sheetView>
  </sheetViews>
  <sheetFormatPr defaultColWidth="9.109375" defaultRowHeight="16.8" x14ac:dyDescent="0.3"/>
  <cols>
    <col min="1" max="1" width="6.109375" style="2" customWidth="1"/>
    <col min="2" max="2" width="24.6640625" style="1" customWidth="1"/>
    <col min="3" max="3" width="22" style="2" customWidth="1"/>
    <col min="4" max="6" width="11.33203125" style="2" customWidth="1"/>
    <col min="7" max="9" width="12.33203125" style="2" customWidth="1"/>
    <col min="10" max="10" width="12.44140625" style="2" customWidth="1"/>
    <col min="11" max="11" width="11.33203125" style="2" customWidth="1"/>
    <col min="12" max="12" width="12.109375" style="2" customWidth="1"/>
    <col min="13" max="13" width="9.44140625" style="2" customWidth="1"/>
    <col min="14" max="14" width="15" style="2" customWidth="1"/>
    <col min="15" max="15" width="53.88671875" style="2" customWidth="1"/>
    <col min="16" max="16384" width="9.109375" style="1"/>
  </cols>
  <sheetData>
    <row r="1" spans="1:15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5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</row>
    <row r="3" spans="1:15" ht="22.5" customHeight="1" x14ac:dyDescent="0.3">
      <c r="A3" s="179" t="s">
        <v>128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</row>
    <row r="4" spans="1:15" s="3" customFormat="1" ht="22.5" customHeight="1" x14ac:dyDescent="0.3">
      <c r="A4" s="180" t="s">
        <v>0</v>
      </c>
      <c r="B4" s="180" t="s">
        <v>1</v>
      </c>
      <c r="C4" s="180" t="s">
        <v>2</v>
      </c>
      <c r="D4" s="180" t="s">
        <v>23</v>
      </c>
      <c r="E4" s="180"/>
      <c r="F4" s="180"/>
      <c r="G4" s="181" t="s">
        <v>29</v>
      </c>
      <c r="H4" s="181" t="s">
        <v>30</v>
      </c>
      <c r="I4" s="181" t="s">
        <v>31</v>
      </c>
      <c r="J4" s="181" t="s">
        <v>96</v>
      </c>
      <c r="K4" s="181" t="s">
        <v>97</v>
      </c>
      <c r="L4" s="180" t="s">
        <v>6</v>
      </c>
      <c r="M4" s="180" t="s">
        <v>7</v>
      </c>
      <c r="N4" s="180" t="s">
        <v>8</v>
      </c>
      <c r="O4" s="183"/>
    </row>
    <row r="5" spans="1:15" s="3" customFormat="1" ht="49.8" customHeight="1" x14ac:dyDescent="0.3">
      <c r="A5" s="180"/>
      <c r="B5" s="180"/>
      <c r="C5" s="180"/>
      <c r="D5" s="96" t="s">
        <v>3</v>
      </c>
      <c r="E5" s="96" t="s">
        <v>4</v>
      </c>
      <c r="F5" s="96" t="s">
        <v>5</v>
      </c>
      <c r="G5" s="182"/>
      <c r="H5" s="182"/>
      <c r="I5" s="182"/>
      <c r="J5" s="182"/>
      <c r="K5" s="182"/>
      <c r="L5" s="180"/>
      <c r="M5" s="180"/>
      <c r="N5" s="180"/>
      <c r="O5" s="183"/>
    </row>
    <row r="6" spans="1:15" ht="19.5" customHeight="1" x14ac:dyDescent="0.3">
      <c r="A6" s="184" t="s">
        <v>15</v>
      </c>
      <c r="B6" s="184"/>
      <c r="C6" s="18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5" ht="19.5" customHeight="1" x14ac:dyDescent="0.3">
      <c r="A7" s="15">
        <v>1</v>
      </c>
      <c r="B7" s="16" t="s">
        <v>49</v>
      </c>
      <c r="C7" s="15" t="s">
        <v>19</v>
      </c>
      <c r="D7" s="15"/>
      <c r="E7" s="15">
        <v>1</v>
      </c>
      <c r="F7" s="15"/>
      <c r="G7" s="15">
        <f t="shared" ref="G7:H14" si="0">IF(D7&gt;5,(D7-5)*2,0)</f>
        <v>0</v>
      </c>
      <c r="H7" s="15">
        <f t="shared" si="0"/>
        <v>0</v>
      </c>
      <c r="I7" s="15">
        <f t="shared" ref="I7:I14" si="1">IF(F7&gt;2,(F7-2)*1,0)</f>
        <v>0</v>
      </c>
      <c r="J7" s="15">
        <f>SUM(G7:I7)</f>
        <v>0</v>
      </c>
      <c r="K7" s="15">
        <v>3</v>
      </c>
      <c r="L7" s="15">
        <f t="shared" ref="L7:L14" si="2">100-J7-K7</f>
        <v>97</v>
      </c>
      <c r="M7" s="15" t="str">
        <f>IF(L7&lt;71,"KL",IF(AND(L7&gt;=71,L7&lt;81),"C",IF(AND(L7&gt;=81,L7&lt;91),"B","A")))</f>
        <v>A</v>
      </c>
      <c r="N7" s="15" t="str">
        <f>IF(M7="A","100% LTT",IF(M7="B","90% LTT",IF(M7="C","80% LTT","60% LTT")))</f>
        <v>100% LTT</v>
      </c>
      <c r="O7" s="11" t="s">
        <v>33</v>
      </c>
    </row>
    <row r="8" spans="1:15" ht="19.5" customHeight="1" x14ac:dyDescent="0.3">
      <c r="A8" s="15">
        <f t="shared" ref="A8:A14" si="3">A7+1</f>
        <v>2</v>
      </c>
      <c r="B8" s="16" t="s">
        <v>52</v>
      </c>
      <c r="C8" s="15" t="s">
        <v>19</v>
      </c>
      <c r="D8" s="15"/>
      <c r="E8" s="15"/>
      <c r="F8" s="15"/>
      <c r="G8" s="15">
        <f t="shared" si="0"/>
        <v>0</v>
      </c>
      <c r="H8" s="15">
        <f t="shared" si="0"/>
        <v>0</v>
      </c>
      <c r="I8" s="15">
        <f t="shared" si="1"/>
        <v>0</v>
      </c>
      <c r="J8" s="15">
        <f t="shared" ref="J8:J14" si="4">SUM(G8:I8)</f>
        <v>0</v>
      </c>
      <c r="K8" s="15"/>
      <c r="L8" s="15">
        <f t="shared" si="2"/>
        <v>100</v>
      </c>
      <c r="M8" s="15" t="str">
        <f t="shared" ref="M8:M14" si="5">IF(L8&lt;71,"KL",IF(AND(L8&gt;=71,L8&lt;81),"C",IF(AND(L8&gt;=81,L8&lt;91),"B","A")))</f>
        <v>A</v>
      </c>
      <c r="N8" s="15" t="str">
        <f t="shared" ref="N8:N14" si="6">IF(M8="A","100% LTT",IF(M8="B","90% LTT",IF(M8="C","80% LTT","60% LTT")))</f>
        <v>100% LTT</v>
      </c>
      <c r="O8" s="34"/>
    </row>
    <row r="9" spans="1:15" ht="19.5" customHeight="1" x14ac:dyDescent="0.3">
      <c r="A9" s="15">
        <f>A8+1</f>
        <v>3</v>
      </c>
      <c r="B9" s="16" t="s">
        <v>57</v>
      </c>
      <c r="C9" s="15" t="s">
        <v>19</v>
      </c>
      <c r="D9" s="15"/>
      <c r="E9" s="15"/>
      <c r="F9" s="15"/>
      <c r="G9" s="15">
        <f t="shared" si="0"/>
        <v>0</v>
      </c>
      <c r="H9" s="15">
        <f t="shared" si="0"/>
        <v>0</v>
      </c>
      <c r="I9" s="15">
        <f t="shared" si="1"/>
        <v>0</v>
      </c>
      <c r="J9" s="15">
        <f t="shared" si="4"/>
        <v>0</v>
      </c>
      <c r="K9" s="15"/>
      <c r="L9" s="15">
        <f t="shared" si="2"/>
        <v>100</v>
      </c>
      <c r="M9" s="15" t="str">
        <f t="shared" si="5"/>
        <v>A</v>
      </c>
      <c r="N9" s="15" t="str">
        <f t="shared" si="6"/>
        <v>100% LTT</v>
      </c>
      <c r="O9" s="35"/>
    </row>
    <row r="10" spans="1:15" ht="19.5" customHeight="1" x14ac:dyDescent="0.3">
      <c r="A10" s="15">
        <f t="shared" si="3"/>
        <v>4</v>
      </c>
      <c r="B10" s="16" t="s">
        <v>58</v>
      </c>
      <c r="C10" s="15" t="s">
        <v>19</v>
      </c>
      <c r="D10" s="15"/>
      <c r="E10" s="15"/>
      <c r="F10" s="15"/>
      <c r="G10" s="15">
        <f t="shared" si="0"/>
        <v>0</v>
      </c>
      <c r="H10" s="15">
        <f t="shared" si="0"/>
        <v>0</v>
      </c>
      <c r="I10" s="15">
        <f t="shared" si="1"/>
        <v>0</v>
      </c>
      <c r="J10" s="15">
        <f t="shared" si="4"/>
        <v>0</v>
      </c>
      <c r="K10" s="15"/>
      <c r="L10" s="15">
        <f t="shared" si="2"/>
        <v>100</v>
      </c>
      <c r="M10" s="15" t="str">
        <f t="shared" si="5"/>
        <v>A</v>
      </c>
      <c r="N10" s="15" t="str">
        <f t="shared" si="6"/>
        <v>100% LTT</v>
      </c>
      <c r="O10" s="35"/>
    </row>
    <row r="11" spans="1:15" ht="19.5" customHeight="1" x14ac:dyDescent="0.3">
      <c r="A11" s="15">
        <f t="shared" si="3"/>
        <v>5</v>
      </c>
      <c r="B11" s="16" t="s">
        <v>59</v>
      </c>
      <c r="C11" s="15" t="s">
        <v>19</v>
      </c>
      <c r="D11" s="15"/>
      <c r="E11" s="15"/>
      <c r="F11" s="15"/>
      <c r="G11" s="15">
        <f t="shared" si="0"/>
        <v>0</v>
      </c>
      <c r="H11" s="15">
        <f t="shared" si="0"/>
        <v>0</v>
      </c>
      <c r="I11" s="15">
        <f t="shared" si="1"/>
        <v>0</v>
      </c>
      <c r="J11" s="15">
        <f t="shared" si="4"/>
        <v>0</v>
      </c>
      <c r="K11" s="15"/>
      <c r="L11" s="15">
        <f t="shared" si="2"/>
        <v>100</v>
      </c>
      <c r="M11" s="15" t="str">
        <f t="shared" si="5"/>
        <v>A</v>
      </c>
      <c r="N11" s="15" t="str">
        <f t="shared" si="6"/>
        <v>100% LTT</v>
      </c>
      <c r="O11" s="35"/>
    </row>
    <row r="12" spans="1:15" ht="19.5" customHeight="1" x14ac:dyDescent="0.3">
      <c r="A12" s="15">
        <f t="shared" si="3"/>
        <v>6</v>
      </c>
      <c r="B12" s="16" t="s">
        <v>53</v>
      </c>
      <c r="C12" s="15" t="s">
        <v>19</v>
      </c>
      <c r="D12" s="15"/>
      <c r="E12" s="15"/>
      <c r="F12" s="15"/>
      <c r="G12" s="15">
        <f t="shared" si="0"/>
        <v>0</v>
      </c>
      <c r="H12" s="15">
        <f t="shared" si="0"/>
        <v>0</v>
      </c>
      <c r="I12" s="15">
        <f t="shared" si="1"/>
        <v>0</v>
      </c>
      <c r="J12" s="15">
        <f t="shared" si="4"/>
        <v>0</v>
      </c>
      <c r="K12" s="15"/>
      <c r="L12" s="15">
        <f t="shared" si="2"/>
        <v>100</v>
      </c>
      <c r="M12" s="15" t="str">
        <f t="shared" si="5"/>
        <v>A</v>
      </c>
      <c r="N12" s="15" t="str">
        <f t="shared" si="6"/>
        <v>100% LTT</v>
      </c>
      <c r="O12" s="35"/>
    </row>
    <row r="13" spans="1:15" ht="19.5" customHeight="1" x14ac:dyDescent="0.3">
      <c r="A13" s="15">
        <f t="shared" si="3"/>
        <v>7</v>
      </c>
      <c r="B13" s="16" t="s">
        <v>54</v>
      </c>
      <c r="C13" s="15" t="s">
        <v>19</v>
      </c>
      <c r="D13" s="15"/>
      <c r="E13" s="15"/>
      <c r="F13" s="15"/>
      <c r="G13" s="15">
        <f t="shared" si="0"/>
        <v>0</v>
      </c>
      <c r="H13" s="15">
        <f t="shared" si="0"/>
        <v>0</v>
      </c>
      <c r="I13" s="15">
        <f t="shared" si="1"/>
        <v>0</v>
      </c>
      <c r="J13" s="15">
        <f t="shared" si="4"/>
        <v>0</v>
      </c>
      <c r="K13" s="15"/>
      <c r="L13" s="15">
        <f t="shared" si="2"/>
        <v>100</v>
      </c>
      <c r="M13" s="15" t="str">
        <f t="shared" si="5"/>
        <v>A</v>
      </c>
      <c r="N13" s="15" t="str">
        <f t="shared" si="6"/>
        <v>100% LTT</v>
      </c>
      <c r="O13" s="35"/>
    </row>
    <row r="14" spans="1:15" ht="19.5" customHeight="1" x14ac:dyDescent="0.3">
      <c r="A14" s="17">
        <f t="shared" si="3"/>
        <v>8</v>
      </c>
      <c r="B14" s="18" t="s">
        <v>11</v>
      </c>
      <c r="C14" s="17" t="s">
        <v>51</v>
      </c>
      <c r="D14" s="17"/>
      <c r="E14" s="17"/>
      <c r="F14" s="17">
        <v>1</v>
      </c>
      <c r="G14" s="17">
        <f t="shared" si="0"/>
        <v>0</v>
      </c>
      <c r="H14" s="17">
        <f t="shared" si="0"/>
        <v>0</v>
      </c>
      <c r="I14" s="17">
        <f t="shared" si="1"/>
        <v>0</v>
      </c>
      <c r="J14" s="17">
        <f t="shared" si="4"/>
        <v>0</v>
      </c>
      <c r="K14" s="17">
        <v>2</v>
      </c>
      <c r="L14" s="15">
        <f t="shared" si="2"/>
        <v>98</v>
      </c>
      <c r="M14" s="17" t="str">
        <f t="shared" si="5"/>
        <v>A</v>
      </c>
      <c r="N14" s="17" t="str">
        <f t="shared" si="6"/>
        <v>100% LTT</v>
      </c>
      <c r="O14" s="35"/>
    </row>
    <row r="15" spans="1:15" ht="19.5" customHeight="1" x14ac:dyDescent="0.3">
      <c r="A15" s="184" t="s">
        <v>16</v>
      </c>
      <c r="B15" s="184"/>
      <c r="C15" s="18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5" ht="19.5" customHeight="1" x14ac:dyDescent="0.3">
      <c r="A16" s="17">
        <f>A14+1</f>
        <v>9</v>
      </c>
      <c r="B16" s="18" t="s">
        <v>28</v>
      </c>
      <c r="C16" s="17" t="s">
        <v>121</v>
      </c>
      <c r="D16" s="4"/>
      <c r="E16" s="17"/>
      <c r="F16" s="17">
        <v>2</v>
      </c>
      <c r="G16" s="17">
        <f t="shared" ref="G16:H16" si="7">IF(D16&gt;5,(D16-5)*2,0)</f>
        <v>0</v>
      </c>
      <c r="H16" s="17">
        <f t="shared" si="7"/>
        <v>0</v>
      </c>
      <c r="I16" s="17">
        <f t="shared" ref="I16" si="8">IF(F16&gt;2,(F16-2)*1,0)</f>
        <v>0</v>
      </c>
      <c r="J16" s="17">
        <f t="shared" ref="J16" si="9">SUM(G16:I16)</f>
        <v>0</v>
      </c>
      <c r="K16" s="17">
        <v>3</v>
      </c>
      <c r="L16" s="17">
        <f>100-J16-K16</f>
        <v>97</v>
      </c>
      <c r="M16" s="17" t="str">
        <f t="shared" ref="M16" si="10">IF(L16&lt;71,"KL",IF(AND(L16&gt;=71,L16&lt;81),"C",IF(AND(L16&gt;=81,L16&lt;91),"B","A")))</f>
        <v>A</v>
      </c>
      <c r="N16" s="17" t="str">
        <f t="shared" ref="N16" si="11">IF(M16="A","100% LTT",IF(M16="B","90% LTT",IF(M16="C","80% LTT","60% LTT")))</f>
        <v>100% LTT</v>
      </c>
    </row>
    <row r="17" spans="1:14" ht="19.5" customHeight="1" x14ac:dyDescent="0.3">
      <c r="A17" s="184" t="s">
        <v>17</v>
      </c>
      <c r="B17" s="184"/>
      <c r="C17" s="18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ht="19.5" customHeight="1" x14ac:dyDescent="0.3">
      <c r="A18" s="23">
        <f>A16+1</f>
        <v>10</v>
      </c>
      <c r="B18" s="38" t="s">
        <v>12</v>
      </c>
      <c r="C18" s="23" t="s">
        <v>19</v>
      </c>
      <c r="D18" s="23"/>
      <c r="E18" s="23"/>
      <c r="F18" s="23"/>
      <c r="G18" s="74">
        <f t="shared" ref="G18:H25" si="12">IF(D18&gt;5,(D18-5)*2,0)</f>
        <v>0</v>
      </c>
      <c r="H18" s="23">
        <f t="shared" si="12"/>
        <v>0</v>
      </c>
      <c r="I18" s="23">
        <f t="shared" ref="I18:I25" si="13">IF(F18&gt;2,(F18-2)*1,0)</f>
        <v>0</v>
      </c>
      <c r="J18" s="23">
        <f t="shared" ref="J18:J25" si="14">SUM(G18:I18)</f>
        <v>0</v>
      </c>
      <c r="K18" s="23">
        <v>5</v>
      </c>
      <c r="L18" s="23">
        <f>100-J18-K18</f>
        <v>95</v>
      </c>
      <c r="M18" s="23" t="str">
        <f t="shared" ref="M18:M25" si="15">IF(L18&lt;71,"KL",IF(AND(L18&gt;=71,L18&lt;81),"C",IF(AND(L18&gt;=81,L18&lt;91),"B","A")))</f>
        <v>A</v>
      </c>
      <c r="N18" s="23" t="str">
        <f t="shared" ref="N18:N25" si="16">IF(M18="A","100% LTT",IF(M18="B","90% LTT",IF(M18="C","80% LTT","60% LTT")))</f>
        <v>100% LTT</v>
      </c>
    </row>
    <row r="19" spans="1:14" ht="19.5" customHeight="1" x14ac:dyDescent="0.3">
      <c r="A19" s="15">
        <f>A18+1</f>
        <v>11</v>
      </c>
      <c r="B19" s="16" t="s">
        <v>13</v>
      </c>
      <c r="C19" s="15" t="s">
        <v>101</v>
      </c>
      <c r="D19" s="15"/>
      <c r="E19" s="15"/>
      <c r="F19" s="15">
        <v>3</v>
      </c>
      <c r="G19" s="15">
        <f t="shared" si="12"/>
        <v>0</v>
      </c>
      <c r="H19" s="15">
        <f t="shared" si="12"/>
        <v>0</v>
      </c>
      <c r="I19" s="15">
        <f t="shared" si="13"/>
        <v>1</v>
      </c>
      <c r="J19" s="15">
        <f t="shared" si="14"/>
        <v>1</v>
      </c>
      <c r="K19" s="15">
        <v>4</v>
      </c>
      <c r="L19" s="15">
        <f>100-J19-K19</f>
        <v>95</v>
      </c>
      <c r="M19" s="15" t="str">
        <f t="shared" si="15"/>
        <v>A</v>
      </c>
      <c r="N19" s="15" t="str">
        <f>IF(M19="A","100% LTT",IF(M19="B","90% LTT",IF(M19="C","80% LTT","60% LTT")))</f>
        <v>100% LTT</v>
      </c>
    </row>
    <row r="20" spans="1:14" ht="19.5" customHeight="1" x14ac:dyDescent="0.3">
      <c r="A20" s="15">
        <f t="shared" ref="A20:A24" si="17">A19+1</f>
        <v>12</v>
      </c>
      <c r="B20" s="16" t="s">
        <v>14</v>
      </c>
      <c r="C20" s="15" t="s">
        <v>19</v>
      </c>
      <c r="D20" s="15"/>
      <c r="E20" s="15"/>
      <c r="F20" s="15">
        <v>2</v>
      </c>
      <c r="G20" s="15">
        <f t="shared" si="12"/>
        <v>0</v>
      </c>
      <c r="H20" s="15">
        <f t="shared" si="12"/>
        <v>0</v>
      </c>
      <c r="I20" s="15">
        <f t="shared" si="13"/>
        <v>0</v>
      </c>
      <c r="J20" s="15">
        <f t="shared" si="14"/>
        <v>0</v>
      </c>
      <c r="K20" s="15">
        <v>4</v>
      </c>
      <c r="L20" s="15">
        <f t="shared" ref="L20:L25" si="18">100-J20-K20</f>
        <v>96</v>
      </c>
      <c r="M20" s="15" t="str">
        <f t="shared" si="15"/>
        <v>A</v>
      </c>
      <c r="N20" s="15" t="str">
        <f t="shared" si="16"/>
        <v>100% LTT</v>
      </c>
    </row>
    <row r="21" spans="1:14" ht="19.5" customHeight="1" x14ac:dyDescent="0.3">
      <c r="A21" s="15">
        <f t="shared" si="17"/>
        <v>13</v>
      </c>
      <c r="B21" s="16" t="s">
        <v>40</v>
      </c>
      <c r="C21" s="15" t="s">
        <v>19</v>
      </c>
      <c r="D21" s="15"/>
      <c r="E21" s="15"/>
      <c r="F21" s="15"/>
      <c r="G21" s="15">
        <f t="shared" si="12"/>
        <v>0</v>
      </c>
      <c r="H21" s="15">
        <f t="shared" si="12"/>
        <v>0</v>
      </c>
      <c r="I21" s="15">
        <f t="shared" si="13"/>
        <v>0</v>
      </c>
      <c r="J21" s="15">
        <f t="shared" si="14"/>
        <v>0</v>
      </c>
      <c r="K21" s="15">
        <v>4</v>
      </c>
      <c r="L21" s="15">
        <f>100-J21-K21</f>
        <v>96</v>
      </c>
      <c r="M21" s="15" t="str">
        <f t="shared" si="15"/>
        <v>A</v>
      </c>
      <c r="N21" s="15" t="str">
        <f t="shared" si="16"/>
        <v>100% LTT</v>
      </c>
    </row>
    <row r="22" spans="1:14" ht="19.5" customHeight="1" x14ac:dyDescent="0.3">
      <c r="A22" s="15">
        <f t="shared" si="17"/>
        <v>14</v>
      </c>
      <c r="B22" s="16" t="s">
        <v>98</v>
      </c>
      <c r="C22" s="15" t="s">
        <v>102</v>
      </c>
      <c r="D22" s="15"/>
      <c r="E22" s="15"/>
      <c r="F22" s="15"/>
      <c r="G22" s="15">
        <f t="shared" si="12"/>
        <v>0</v>
      </c>
      <c r="H22" s="15">
        <f t="shared" si="12"/>
        <v>0</v>
      </c>
      <c r="I22" s="15">
        <f t="shared" si="13"/>
        <v>0</v>
      </c>
      <c r="J22" s="15">
        <f t="shared" si="14"/>
        <v>0</v>
      </c>
      <c r="K22" s="15">
        <v>8</v>
      </c>
      <c r="L22" s="15">
        <f>100-J22-K22</f>
        <v>92</v>
      </c>
      <c r="M22" s="15" t="str">
        <f t="shared" si="15"/>
        <v>A</v>
      </c>
      <c r="N22" s="15" t="str">
        <f t="shared" si="16"/>
        <v>100% LTT</v>
      </c>
    </row>
    <row r="23" spans="1:14" ht="19.5" customHeight="1" x14ac:dyDescent="0.3">
      <c r="A23" s="15">
        <f t="shared" si="17"/>
        <v>15</v>
      </c>
      <c r="B23" s="16" t="s">
        <v>99</v>
      </c>
      <c r="C23" s="15" t="s">
        <v>102</v>
      </c>
      <c r="D23" s="15"/>
      <c r="E23" s="15"/>
      <c r="F23" s="15"/>
      <c r="G23" s="15">
        <f t="shared" si="12"/>
        <v>0</v>
      </c>
      <c r="H23" s="15">
        <f t="shared" si="12"/>
        <v>0</v>
      </c>
      <c r="I23" s="15">
        <f t="shared" si="13"/>
        <v>0</v>
      </c>
      <c r="J23" s="15">
        <f t="shared" si="14"/>
        <v>0</v>
      </c>
      <c r="K23" s="15">
        <v>3</v>
      </c>
      <c r="L23" s="15">
        <f t="shared" si="18"/>
        <v>97</v>
      </c>
      <c r="M23" s="15" t="str">
        <f t="shared" si="15"/>
        <v>A</v>
      </c>
      <c r="N23" s="15" t="str">
        <f t="shared" si="16"/>
        <v>100% LTT</v>
      </c>
    </row>
    <row r="24" spans="1:14" ht="19.5" customHeight="1" x14ac:dyDescent="0.3">
      <c r="A24" s="15">
        <f t="shared" si="17"/>
        <v>16</v>
      </c>
      <c r="B24" s="16" t="s">
        <v>100</v>
      </c>
      <c r="C24" s="15" t="s">
        <v>102</v>
      </c>
      <c r="D24" s="15"/>
      <c r="E24" s="15"/>
      <c r="F24" s="15"/>
      <c r="G24" s="15">
        <f t="shared" si="12"/>
        <v>0</v>
      </c>
      <c r="H24" s="15">
        <f t="shared" si="12"/>
        <v>0</v>
      </c>
      <c r="I24" s="15">
        <f t="shared" si="13"/>
        <v>0</v>
      </c>
      <c r="J24" s="15">
        <f t="shared" si="14"/>
        <v>0</v>
      </c>
      <c r="K24" s="15">
        <v>5</v>
      </c>
      <c r="L24" s="15">
        <f t="shared" si="18"/>
        <v>95</v>
      </c>
      <c r="M24" s="15" t="str">
        <f t="shared" si="15"/>
        <v>A</v>
      </c>
      <c r="N24" s="15" t="str">
        <f t="shared" si="16"/>
        <v>100% LTT</v>
      </c>
    </row>
    <row r="25" spans="1:14" ht="19.5" customHeight="1" x14ac:dyDescent="0.3">
      <c r="A25" s="17">
        <v>17</v>
      </c>
      <c r="B25" s="18" t="s">
        <v>116</v>
      </c>
      <c r="C25" s="17" t="s">
        <v>107</v>
      </c>
      <c r="D25" s="17"/>
      <c r="E25" s="17"/>
      <c r="F25" s="17"/>
      <c r="G25" s="15">
        <f t="shared" si="12"/>
        <v>0</v>
      </c>
      <c r="H25" s="15">
        <f t="shared" si="12"/>
        <v>0</v>
      </c>
      <c r="I25" s="15">
        <f t="shared" si="13"/>
        <v>0</v>
      </c>
      <c r="J25" s="15">
        <f t="shared" si="14"/>
        <v>0</v>
      </c>
      <c r="K25" s="17">
        <v>8</v>
      </c>
      <c r="L25" s="15">
        <f t="shared" si="18"/>
        <v>92</v>
      </c>
      <c r="M25" s="15" t="str">
        <f t="shared" si="15"/>
        <v>A</v>
      </c>
      <c r="N25" s="17" t="str">
        <f t="shared" si="16"/>
        <v>100% LTT</v>
      </c>
    </row>
    <row r="26" spans="1:14" ht="22.5" customHeight="1" x14ac:dyDescent="0.3">
      <c r="A26" s="180" t="s">
        <v>60</v>
      </c>
      <c r="B26" s="180"/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0"/>
      <c r="N26" s="180"/>
    </row>
    <row r="27" spans="1:14" ht="22.5" customHeight="1" x14ac:dyDescent="0.3">
      <c r="J27" s="185" t="s">
        <v>127</v>
      </c>
      <c r="K27" s="185"/>
      <c r="L27" s="185"/>
      <c r="M27" s="185"/>
      <c r="N27" s="185"/>
    </row>
    <row r="28" spans="1:14" ht="22.5" customHeight="1" x14ac:dyDescent="0.3">
      <c r="B28" s="178" t="s">
        <v>22</v>
      </c>
      <c r="C28" s="178"/>
      <c r="D28" s="178"/>
      <c r="L28" s="178" t="s">
        <v>25</v>
      </c>
      <c r="M28" s="178"/>
      <c r="N28" s="178"/>
    </row>
    <row r="29" spans="1:14" ht="22.5" customHeight="1" x14ac:dyDescent="0.3">
      <c r="L29" s="95"/>
      <c r="M29" s="95"/>
    </row>
    <row r="30" spans="1:14" ht="22.5" customHeight="1" x14ac:dyDescent="0.3">
      <c r="L30" s="95"/>
      <c r="M30" s="95"/>
    </row>
    <row r="31" spans="1:14" ht="22.5" customHeight="1" x14ac:dyDescent="0.3">
      <c r="L31" s="95"/>
      <c r="M31" s="95"/>
    </row>
    <row r="32" spans="1:14" ht="22.5" customHeight="1" x14ac:dyDescent="0.3">
      <c r="B32" s="178" t="s">
        <v>28</v>
      </c>
      <c r="C32" s="178"/>
      <c r="D32" s="178"/>
      <c r="L32" s="178" t="s">
        <v>27</v>
      </c>
      <c r="M32" s="178"/>
      <c r="N32" s="178"/>
    </row>
    <row r="33" spans="3:4" ht="22.5" customHeight="1" x14ac:dyDescent="0.3">
      <c r="C33" s="1"/>
      <c r="D33" s="1"/>
    </row>
  </sheetData>
  <mergeCells count="25">
    <mergeCell ref="O4:O5"/>
    <mergeCell ref="A1:N1"/>
    <mergeCell ref="A2:N2"/>
    <mergeCell ref="A3:N3"/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L4:L5"/>
    <mergeCell ref="M4:M5"/>
    <mergeCell ref="N4:N5"/>
    <mergeCell ref="B32:D32"/>
    <mergeCell ref="L32:N32"/>
    <mergeCell ref="A6:C6"/>
    <mergeCell ref="A15:C15"/>
    <mergeCell ref="A17:C17"/>
    <mergeCell ref="A26:N26"/>
    <mergeCell ref="J27:N27"/>
    <mergeCell ref="B28:D28"/>
    <mergeCell ref="L28:N28"/>
  </mergeCells>
  <pageMargins left="0.32" right="0.31" top="0.37" bottom="0.42" header="0.3" footer="0.3"/>
  <pageSetup scale="70" orientation="landscape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workbookViewId="0">
      <pane xSplit="2" ySplit="6" topLeftCell="D7" activePane="bottomRight" state="frozen"/>
      <selection pane="topRight" activeCell="C1" sqref="C1"/>
      <selection pane="bottomLeft" activeCell="A7" sqref="A7"/>
      <selection pane="bottomRight" sqref="A1:XFD1048576"/>
    </sheetView>
  </sheetViews>
  <sheetFormatPr defaultColWidth="9.109375" defaultRowHeight="16.8" x14ac:dyDescent="0.3"/>
  <cols>
    <col min="1" max="1" width="6.109375" style="2" customWidth="1"/>
    <col min="2" max="2" width="24.6640625" style="1" customWidth="1"/>
    <col min="3" max="3" width="22" style="2" customWidth="1"/>
    <col min="4" max="6" width="11.33203125" style="2" customWidth="1"/>
    <col min="7" max="9" width="12.33203125" style="2" customWidth="1"/>
    <col min="10" max="10" width="12.44140625" style="2" customWidth="1"/>
    <col min="11" max="11" width="11.33203125" style="2" customWidth="1"/>
    <col min="12" max="12" width="12.109375" style="2" customWidth="1"/>
    <col min="13" max="13" width="9.44140625" style="2" customWidth="1"/>
    <col min="14" max="14" width="15" style="2" customWidth="1"/>
    <col min="15" max="15" width="53.88671875" style="2" customWidth="1"/>
    <col min="16" max="16384" width="9.109375" style="1"/>
  </cols>
  <sheetData>
    <row r="1" spans="1:15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5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</row>
    <row r="3" spans="1:15" ht="22.5" customHeight="1" x14ac:dyDescent="0.3">
      <c r="A3" s="179" t="s">
        <v>129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</row>
    <row r="4" spans="1:15" s="3" customFormat="1" ht="22.5" customHeight="1" x14ac:dyDescent="0.3">
      <c r="A4" s="180" t="s">
        <v>0</v>
      </c>
      <c r="B4" s="180" t="s">
        <v>1</v>
      </c>
      <c r="C4" s="180" t="s">
        <v>2</v>
      </c>
      <c r="D4" s="180" t="s">
        <v>23</v>
      </c>
      <c r="E4" s="180"/>
      <c r="F4" s="180"/>
      <c r="G4" s="181" t="s">
        <v>29</v>
      </c>
      <c r="H4" s="181" t="s">
        <v>30</v>
      </c>
      <c r="I4" s="181" t="s">
        <v>31</v>
      </c>
      <c r="J4" s="181" t="s">
        <v>96</v>
      </c>
      <c r="K4" s="181" t="s">
        <v>97</v>
      </c>
      <c r="L4" s="180" t="s">
        <v>6</v>
      </c>
      <c r="M4" s="180" t="s">
        <v>7</v>
      </c>
      <c r="N4" s="180" t="s">
        <v>8</v>
      </c>
      <c r="O4" s="183"/>
    </row>
    <row r="5" spans="1:15" s="3" customFormat="1" ht="49.8" customHeight="1" x14ac:dyDescent="0.3">
      <c r="A5" s="180"/>
      <c r="B5" s="180"/>
      <c r="C5" s="180"/>
      <c r="D5" s="98" t="s">
        <v>3</v>
      </c>
      <c r="E5" s="98" t="s">
        <v>4</v>
      </c>
      <c r="F5" s="98" t="s">
        <v>5</v>
      </c>
      <c r="G5" s="182"/>
      <c r="H5" s="182"/>
      <c r="I5" s="182"/>
      <c r="J5" s="182"/>
      <c r="K5" s="182"/>
      <c r="L5" s="180"/>
      <c r="M5" s="180"/>
      <c r="N5" s="180"/>
      <c r="O5" s="183"/>
    </row>
    <row r="6" spans="1:15" ht="19.5" customHeight="1" x14ac:dyDescent="0.3">
      <c r="A6" s="184" t="s">
        <v>15</v>
      </c>
      <c r="B6" s="184"/>
      <c r="C6" s="18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5" ht="19.5" customHeight="1" x14ac:dyDescent="0.3">
      <c r="A7" s="15">
        <v>1</v>
      </c>
      <c r="B7" s="16" t="s">
        <v>49</v>
      </c>
      <c r="C7" s="15" t="s">
        <v>19</v>
      </c>
      <c r="D7" s="15">
        <v>2</v>
      </c>
      <c r="E7" s="15"/>
      <c r="F7" s="15"/>
      <c r="G7" s="15">
        <f t="shared" ref="G7:H14" si="0">IF(D7&gt;5,(D7-5)*2,0)</f>
        <v>0</v>
      </c>
      <c r="H7" s="15">
        <f t="shared" si="0"/>
        <v>0</v>
      </c>
      <c r="I7" s="15">
        <f t="shared" ref="I7:I14" si="1">IF(F7&gt;2,(F7-2)*1,0)</f>
        <v>0</v>
      </c>
      <c r="J7" s="15">
        <f>SUM(G7:I7)</f>
        <v>0</v>
      </c>
      <c r="K7" s="15">
        <v>3</v>
      </c>
      <c r="L7" s="15">
        <f t="shared" ref="L7:L14" si="2">100-J7-K7</f>
        <v>97</v>
      </c>
      <c r="M7" s="15" t="str">
        <f>IF(L7&lt;71,"KL",IF(AND(L7&gt;=71,L7&lt;81),"C",IF(AND(L7&gt;=81,L7&lt;91),"B","A")))</f>
        <v>A</v>
      </c>
      <c r="N7" s="15" t="str">
        <f>IF(M7="A","100% LTT",IF(M7="B","90% LTT",IF(M7="C","80% LTT","60% LTT")))</f>
        <v>100% LTT</v>
      </c>
      <c r="O7" s="11" t="s">
        <v>33</v>
      </c>
    </row>
    <row r="8" spans="1:15" ht="19.5" customHeight="1" x14ac:dyDescent="0.3">
      <c r="A8" s="15">
        <f t="shared" ref="A8:A14" si="3">A7+1</f>
        <v>2</v>
      </c>
      <c r="B8" s="16" t="s">
        <v>52</v>
      </c>
      <c r="C8" s="15" t="s">
        <v>19</v>
      </c>
      <c r="D8" s="15"/>
      <c r="E8" s="15"/>
      <c r="F8" s="15"/>
      <c r="G8" s="15">
        <f t="shared" si="0"/>
        <v>0</v>
      </c>
      <c r="H8" s="15">
        <f t="shared" si="0"/>
        <v>0</v>
      </c>
      <c r="I8" s="15">
        <f t="shared" si="1"/>
        <v>0</v>
      </c>
      <c r="J8" s="15">
        <f t="shared" ref="J8:J14" si="4">SUM(G8:I8)</f>
        <v>0</v>
      </c>
      <c r="K8" s="15"/>
      <c r="L8" s="15">
        <f t="shared" si="2"/>
        <v>100</v>
      </c>
      <c r="M8" s="15" t="str">
        <f t="shared" ref="M8:M14" si="5">IF(L8&lt;71,"KL",IF(AND(L8&gt;=71,L8&lt;81),"C",IF(AND(L8&gt;=81,L8&lt;91),"B","A")))</f>
        <v>A</v>
      </c>
      <c r="N8" s="15" t="str">
        <f t="shared" ref="N8:N14" si="6">IF(M8="A","100% LTT",IF(M8="B","90% LTT",IF(M8="C","80% LTT","60% LTT")))</f>
        <v>100% LTT</v>
      </c>
      <c r="O8" s="34"/>
    </row>
    <row r="9" spans="1:15" ht="19.5" customHeight="1" x14ac:dyDescent="0.3">
      <c r="A9" s="15">
        <f>A8+1</f>
        <v>3</v>
      </c>
      <c r="B9" s="16" t="s">
        <v>57</v>
      </c>
      <c r="C9" s="15" t="s">
        <v>19</v>
      </c>
      <c r="D9" s="15"/>
      <c r="E9" s="15"/>
      <c r="F9" s="15"/>
      <c r="G9" s="15">
        <f t="shared" si="0"/>
        <v>0</v>
      </c>
      <c r="H9" s="15">
        <f t="shared" si="0"/>
        <v>0</v>
      </c>
      <c r="I9" s="15">
        <f t="shared" si="1"/>
        <v>0</v>
      </c>
      <c r="J9" s="15">
        <f t="shared" si="4"/>
        <v>0</v>
      </c>
      <c r="K9" s="15"/>
      <c r="L9" s="15">
        <f t="shared" si="2"/>
        <v>100</v>
      </c>
      <c r="M9" s="15" t="str">
        <f t="shared" si="5"/>
        <v>A</v>
      </c>
      <c r="N9" s="15" t="str">
        <f t="shared" si="6"/>
        <v>100% LTT</v>
      </c>
      <c r="O9" s="35"/>
    </row>
    <row r="10" spans="1:15" ht="19.5" customHeight="1" x14ac:dyDescent="0.3">
      <c r="A10" s="15">
        <f t="shared" si="3"/>
        <v>4</v>
      </c>
      <c r="B10" s="16" t="s">
        <v>58</v>
      </c>
      <c r="C10" s="15" t="s">
        <v>19</v>
      </c>
      <c r="D10" s="15"/>
      <c r="E10" s="15"/>
      <c r="F10" s="15"/>
      <c r="G10" s="15">
        <f t="shared" si="0"/>
        <v>0</v>
      </c>
      <c r="H10" s="15">
        <f t="shared" si="0"/>
        <v>0</v>
      </c>
      <c r="I10" s="15">
        <f t="shared" si="1"/>
        <v>0</v>
      </c>
      <c r="J10" s="15">
        <f t="shared" si="4"/>
        <v>0</v>
      </c>
      <c r="K10" s="15"/>
      <c r="L10" s="15">
        <f t="shared" si="2"/>
        <v>100</v>
      </c>
      <c r="M10" s="15" t="str">
        <f t="shared" si="5"/>
        <v>A</v>
      </c>
      <c r="N10" s="15" t="str">
        <f t="shared" si="6"/>
        <v>100% LTT</v>
      </c>
      <c r="O10" s="35"/>
    </row>
    <row r="11" spans="1:15" ht="19.5" customHeight="1" x14ac:dyDescent="0.3">
      <c r="A11" s="15">
        <f t="shared" si="3"/>
        <v>5</v>
      </c>
      <c r="B11" s="16" t="s">
        <v>59</v>
      </c>
      <c r="C11" s="15" t="s">
        <v>19</v>
      </c>
      <c r="D11" s="15"/>
      <c r="E11" s="15"/>
      <c r="F11" s="15"/>
      <c r="G11" s="15">
        <f t="shared" si="0"/>
        <v>0</v>
      </c>
      <c r="H11" s="15">
        <f t="shared" si="0"/>
        <v>0</v>
      </c>
      <c r="I11" s="15">
        <f t="shared" si="1"/>
        <v>0</v>
      </c>
      <c r="J11" s="15">
        <f t="shared" si="4"/>
        <v>0</v>
      </c>
      <c r="K11" s="15"/>
      <c r="L11" s="15">
        <f t="shared" si="2"/>
        <v>100</v>
      </c>
      <c r="M11" s="15" t="str">
        <f t="shared" si="5"/>
        <v>A</v>
      </c>
      <c r="N11" s="15" t="str">
        <f t="shared" si="6"/>
        <v>100% LTT</v>
      </c>
      <c r="O11" s="35"/>
    </row>
    <row r="12" spans="1:15" ht="19.5" customHeight="1" x14ac:dyDescent="0.3">
      <c r="A12" s="15">
        <f t="shared" si="3"/>
        <v>6</v>
      </c>
      <c r="B12" s="16" t="s">
        <v>53</v>
      </c>
      <c r="C12" s="15" t="s">
        <v>19</v>
      </c>
      <c r="D12" s="15"/>
      <c r="E12" s="15"/>
      <c r="F12" s="15"/>
      <c r="G12" s="15">
        <f t="shared" si="0"/>
        <v>0</v>
      </c>
      <c r="H12" s="15">
        <f t="shared" si="0"/>
        <v>0</v>
      </c>
      <c r="I12" s="15">
        <f t="shared" si="1"/>
        <v>0</v>
      </c>
      <c r="J12" s="15">
        <f t="shared" si="4"/>
        <v>0</v>
      </c>
      <c r="K12" s="15"/>
      <c r="L12" s="15">
        <f t="shared" si="2"/>
        <v>100</v>
      </c>
      <c r="M12" s="15" t="str">
        <f t="shared" si="5"/>
        <v>A</v>
      </c>
      <c r="N12" s="15" t="str">
        <f t="shared" si="6"/>
        <v>100% LTT</v>
      </c>
      <c r="O12" s="35"/>
    </row>
    <row r="13" spans="1:15" ht="19.5" customHeight="1" x14ac:dyDescent="0.3">
      <c r="A13" s="15">
        <f t="shared" si="3"/>
        <v>7</v>
      </c>
      <c r="B13" s="16" t="s">
        <v>54</v>
      </c>
      <c r="C13" s="15" t="s">
        <v>19</v>
      </c>
      <c r="D13" s="15"/>
      <c r="E13" s="15"/>
      <c r="F13" s="15"/>
      <c r="G13" s="15">
        <f t="shared" si="0"/>
        <v>0</v>
      </c>
      <c r="H13" s="15">
        <f t="shared" si="0"/>
        <v>0</v>
      </c>
      <c r="I13" s="15">
        <f t="shared" si="1"/>
        <v>0</v>
      </c>
      <c r="J13" s="15">
        <f t="shared" si="4"/>
        <v>0</v>
      </c>
      <c r="K13" s="15"/>
      <c r="L13" s="15">
        <f t="shared" si="2"/>
        <v>100</v>
      </c>
      <c r="M13" s="15" t="str">
        <f t="shared" si="5"/>
        <v>A</v>
      </c>
      <c r="N13" s="15" t="str">
        <f t="shared" si="6"/>
        <v>100% LTT</v>
      </c>
      <c r="O13" s="35"/>
    </row>
    <row r="14" spans="1:15" ht="19.5" customHeight="1" x14ac:dyDescent="0.3">
      <c r="A14" s="17">
        <f t="shared" si="3"/>
        <v>8</v>
      </c>
      <c r="B14" s="18" t="s">
        <v>11</v>
      </c>
      <c r="C14" s="17" t="s">
        <v>51</v>
      </c>
      <c r="D14" s="17"/>
      <c r="E14" s="17"/>
      <c r="F14" s="17">
        <v>1</v>
      </c>
      <c r="G14" s="17">
        <f t="shared" si="0"/>
        <v>0</v>
      </c>
      <c r="H14" s="17">
        <f t="shared" si="0"/>
        <v>0</v>
      </c>
      <c r="I14" s="17">
        <f t="shared" si="1"/>
        <v>0</v>
      </c>
      <c r="J14" s="17">
        <f t="shared" si="4"/>
        <v>0</v>
      </c>
      <c r="K14" s="17">
        <v>5</v>
      </c>
      <c r="L14" s="15">
        <f t="shared" si="2"/>
        <v>95</v>
      </c>
      <c r="M14" s="17" t="str">
        <f t="shared" si="5"/>
        <v>A</v>
      </c>
      <c r="N14" s="17" t="str">
        <f t="shared" si="6"/>
        <v>100% LTT</v>
      </c>
      <c r="O14" s="35"/>
    </row>
    <row r="15" spans="1:15" ht="19.5" customHeight="1" x14ac:dyDescent="0.3">
      <c r="A15" s="184" t="s">
        <v>16</v>
      </c>
      <c r="B15" s="184"/>
      <c r="C15" s="18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5" ht="19.5" customHeight="1" x14ac:dyDescent="0.3">
      <c r="A16" s="17">
        <f>A14+1</f>
        <v>9</v>
      </c>
      <c r="B16" s="18" t="s">
        <v>28</v>
      </c>
      <c r="C16" s="17" t="s">
        <v>121</v>
      </c>
      <c r="D16" s="4"/>
      <c r="E16" s="17"/>
      <c r="F16" s="17">
        <v>1</v>
      </c>
      <c r="G16" s="17">
        <f t="shared" ref="G16:H16" si="7">IF(D16&gt;5,(D16-5)*2,0)</f>
        <v>0</v>
      </c>
      <c r="H16" s="17">
        <f t="shared" si="7"/>
        <v>0</v>
      </c>
      <c r="I16" s="17">
        <f t="shared" ref="I16" si="8">IF(F16&gt;2,(F16-2)*1,0)</f>
        <v>0</v>
      </c>
      <c r="J16" s="17">
        <f t="shared" ref="J16" si="9">SUM(G16:I16)</f>
        <v>0</v>
      </c>
      <c r="K16" s="17"/>
      <c r="L16" s="17">
        <f>100-J16-K16</f>
        <v>100</v>
      </c>
      <c r="M16" s="17" t="str">
        <f t="shared" ref="M16" si="10">IF(L16&lt;71,"KL",IF(AND(L16&gt;=71,L16&lt;81),"C",IF(AND(L16&gt;=81,L16&lt;91),"B","A")))</f>
        <v>A</v>
      </c>
      <c r="N16" s="17" t="str">
        <f t="shared" ref="N16" si="11">IF(M16="A","100% LTT",IF(M16="B","90% LTT",IF(M16="C","80% LTT","60% LTT")))</f>
        <v>100% LTT</v>
      </c>
    </row>
    <row r="17" spans="1:14" ht="19.5" customHeight="1" x14ac:dyDescent="0.3">
      <c r="A17" s="184" t="s">
        <v>17</v>
      </c>
      <c r="B17" s="184"/>
      <c r="C17" s="18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ht="19.5" customHeight="1" x14ac:dyDescent="0.3">
      <c r="A18" s="23">
        <f>A16+1</f>
        <v>10</v>
      </c>
      <c r="B18" s="38" t="s">
        <v>12</v>
      </c>
      <c r="C18" s="23" t="s">
        <v>19</v>
      </c>
      <c r="D18" s="23"/>
      <c r="E18" s="23"/>
      <c r="F18" s="23">
        <v>1</v>
      </c>
      <c r="G18" s="74">
        <f t="shared" ref="G18:H25" si="12">IF(D18&gt;5,(D18-5)*2,0)</f>
        <v>0</v>
      </c>
      <c r="H18" s="23">
        <f t="shared" si="12"/>
        <v>0</v>
      </c>
      <c r="I18" s="23">
        <f t="shared" ref="I18:I25" si="13">IF(F18&gt;2,(F18-2)*1,0)</f>
        <v>0</v>
      </c>
      <c r="J18" s="23">
        <f t="shared" ref="J18:J25" si="14">SUM(G18:I18)</f>
        <v>0</v>
      </c>
      <c r="K18" s="23">
        <v>8</v>
      </c>
      <c r="L18" s="23">
        <f>100-J18-K18</f>
        <v>92</v>
      </c>
      <c r="M18" s="23" t="str">
        <f t="shared" ref="M18:M25" si="15">IF(L18&lt;71,"KL",IF(AND(L18&gt;=71,L18&lt;81),"C",IF(AND(L18&gt;=81,L18&lt;91),"B","A")))</f>
        <v>A</v>
      </c>
      <c r="N18" s="23" t="str">
        <f t="shared" ref="N18:N25" si="16">IF(M18="A","100% LTT",IF(M18="B","90% LTT",IF(M18="C","80% LTT","60% LTT")))</f>
        <v>100% LTT</v>
      </c>
    </row>
    <row r="19" spans="1:14" ht="19.5" customHeight="1" x14ac:dyDescent="0.3">
      <c r="A19" s="15">
        <f>A18+1</f>
        <v>11</v>
      </c>
      <c r="B19" s="16" t="s">
        <v>13</v>
      </c>
      <c r="C19" s="15" t="s">
        <v>101</v>
      </c>
      <c r="D19" s="15"/>
      <c r="E19" s="15"/>
      <c r="F19" s="15">
        <v>1</v>
      </c>
      <c r="G19" s="15">
        <f t="shared" si="12"/>
        <v>0</v>
      </c>
      <c r="H19" s="15">
        <f t="shared" si="12"/>
        <v>0</v>
      </c>
      <c r="I19" s="15">
        <f t="shared" si="13"/>
        <v>0</v>
      </c>
      <c r="J19" s="15">
        <f t="shared" si="14"/>
        <v>0</v>
      </c>
      <c r="K19" s="15">
        <v>5</v>
      </c>
      <c r="L19" s="15">
        <f>100-J19-K19</f>
        <v>95</v>
      </c>
      <c r="M19" s="15" t="str">
        <f t="shared" si="15"/>
        <v>A</v>
      </c>
      <c r="N19" s="15" t="str">
        <f>IF(M19="A","100% LTT",IF(M19="B","90% LTT",IF(M19="C","80% LTT","60% LTT")))</f>
        <v>100% LTT</v>
      </c>
    </row>
    <row r="20" spans="1:14" ht="19.5" customHeight="1" x14ac:dyDescent="0.3">
      <c r="A20" s="15">
        <f t="shared" ref="A20:A24" si="17">A19+1</f>
        <v>12</v>
      </c>
      <c r="B20" s="16" t="s">
        <v>14</v>
      </c>
      <c r="C20" s="15" t="s">
        <v>19</v>
      </c>
      <c r="D20" s="15"/>
      <c r="E20" s="15"/>
      <c r="F20" s="15">
        <v>1</v>
      </c>
      <c r="G20" s="15">
        <f t="shared" si="12"/>
        <v>0</v>
      </c>
      <c r="H20" s="15">
        <f t="shared" si="12"/>
        <v>0</v>
      </c>
      <c r="I20" s="15">
        <f t="shared" si="13"/>
        <v>0</v>
      </c>
      <c r="J20" s="15">
        <f t="shared" si="14"/>
        <v>0</v>
      </c>
      <c r="K20" s="15">
        <v>5</v>
      </c>
      <c r="L20" s="15">
        <f t="shared" ref="L20:L25" si="18">100-J20-K20</f>
        <v>95</v>
      </c>
      <c r="M20" s="15" t="str">
        <f t="shared" si="15"/>
        <v>A</v>
      </c>
      <c r="N20" s="15" t="str">
        <f t="shared" si="16"/>
        <v>100% LTT</v>
      </c>
    </row>
    <row r="21" spans="1:14" ht="19.5" customHeight="1" x14ac:dyDescent="0.3">
      <c r="A21" s="15">
        <f t="shared" si="17"/>
        <v>13</v>
      </c>
      <c r="B21" s="16" t="s">
        <v>40</v>
      </c>
      <c r="C21" s="15" t="s">
        <v>19</v>
      </c>
      <c r="D21" s="15"/>
      <c r="E21" s="15"/>
      <c r="F21" s="15"/>
      <c r="G21" s="15">
        <f t="shared" si="12"/>
        <v>0</v>
      </c>
      <c r="H21" s="15">
        <f t="shared" si="12"/>
        <v>0</v>
      </c>
      <c r="I21" s="15">
        <f t="shared" si="13"/>
        <v>0</v>
      </c>
      <c r="J21" s="15">
        <f t="shared" si="14"/>
        <v>0</v>
      </c>
      <c r="K21" s="15">
        <v>4</v>
      </c>
      <c r="L21" s="15">
        <f>100-J21-K21</f>
        <v>96</v>
      </c>
      <c r="M21" s="15" t="str">
        <f t="shared" si="15"/>
        <v>A</v>
      </c>
      <c r="N21" s="15" t="str">
        <f t="shared" si="16"/>
        <v>100% LTT</v>
      </c>
    </row>
    <row r="22" spans="1:14" ht="19.5" customHeight="1" x14ac:dyDescent="0.3">
      <c r="A22" s="15">
        <f t="shared" si="17"/>
        <v>14</v>
      </c>
      <c r="B22" s="16" t="s">
        <v>98</v>
      </c>
      <c r="C22" s="15" t="s">
        <v>102</v>
      </c>
      <c r="D22" s="15"/>
      <c r="E22" s="15"/>
      <c r="F22" s="15"/>
      <c r="G22" s="15">
        <f t="shared" si="12"/>
        <v>0</v>
      </c>
      <c r="H22" s="15">
        <f t="shared" si="12"/>
        <v>0</v>
      </c>
      <c r="I22" s="15">
        <f t="shared" si="13"/>
        <v>0</v>
      </c>
      <c r="J22" s="15">
        <f t="shared" si="14"/>
        <v>0</v>
      </c>
      <c r="K22" s="15">
        <v>8</v>
      </c>
      <c r="L22" s="15">
        <f>100-J22-K22</f>
        <v>92</v>
      </c>
      <c r="M22" s="15" t="str">
        <f t="shared" si="15"/>
        <v>A</v>
      </c>
      <c r="N22" s="15" t="str">
        <f t="shared" si="16"/>
        <v>100% LTT</v>
      </c>
    </row>
    <row r="23" spans="1:14" ht="19.5" customHeight="1" x14ac:dyDescent="0.3">
      <c r="A23" s="15">
        <f t="shared" si="17"/>
        <v>15</v>
      </c>
      <c r="B23" s="16" t="s">
        <v>99</v>
      </c>
      <c r="C23" s="15" t="s">
        <v>102</v>
      </c>
      <c r="D23" s="15"/>
      <c r="E23" s="15"/>
      <c r="F23" s="15"/>
      <c r="G23" s="15">
        <f t="shared" si="12"/>
        <v>0</v>
      </c>
      <c r="H23" s="15">
        <f t="shared" si="12"/>
        <v>0</v>
      </c>
      <c r="I23" s="15">
        <f t="shared" si="13"/>
        <v>0</v>
      </c>
      <c r="J23" s="15">
        <f t="shared" si="14"/>
        <v>0</v>
      </c>
      <c r="K23" s="15">
        <v>5</v>
      </c>
      <c r="L23" s="15">
        <f t="shared" si="18"/>
        <v>95</v>
      </c>
      <c r="M23" s="15" t="str">
        <f t="shared" si="15"/>
        <v>A</v>
      </c>
      <c r="N23" s="15" t="str">
        <f t="shared" si="16"/>
        <v>100% LTT</v>
      </c>
    </row>
    <row r="24" spans="1:14" ht="19.5" customHeight="1" x14ac:dyDescent="0.3">
      <c r="A24" s="15">
        <f t="shared" si="17"/>
        <v>16</v>
      </c>
      <c r="B24" s="16" t="s">
        <v>100</v>
      </c>
      <c r="C24" s="15" t="s">
        <v>102</v>
      </c>
      <c r="D24" s="15"/>
      <c r="E24" s="15"/>
      <c r="F24" s="15"/>
      <c r="G24" s="15">
        <f t="shared" si="12"/>
        <v>0</v>
      </c>
      <c r="H24" s="15">
        <f t="shared" si="12"/>
        <v>0</v>
      </c>
      <c r="I24" s="15">
        <f t="shared" si="13"/>
        <v>0</v>
      </c>
      <c r="J24" s="15">
        <f t="shared" si="14"/>
        <v>0</v>
      </c>
      <c r="K24" s="15">
        <v>5</v>
      </c>
      <c r="L24" s="15">
        <f t="shared" si="18"/>
        <v>95</v>
      </c>
      <c r="M24" s="15" t="str">
        <f t="shared" si="15"/>
        <v>A</v>
      </c>
      <c r="N24" s="15" t="str">
        <f t="shared" si="16"/>
        <v>100% LTT</v>
      </c>
    </row>
    <row r="25" spans="1:14" ht="19.5" customHeight="1" x14ac:dyDescent="0.3">
      <c r="A25" s="17">
        <v>17</v>
      </c>
      <c r="B25" s="18" t="s">
        <v>116</v>
      </c>
      <c r="C25" s="17" t="s">
        <v>107</v>
      </c>
      <c r="D25" s="17"/>
      <c r="E25" s="17"/>
      <c r="F25" s="17"/>
      <c r="G25" s="15">
        <f t="shared" si="12"/>
        <v>0</v>
      </c>
      <c r="H25" s="15">
        <f t="shared" si="12"/>
        <v>0</v>
      </c>
      <c r="I25" s="15">
        <f t="shared" si="13"/>
        <v>0</v>
      </c>
      <c r="J25" s="15">
        <f t="shared" si="14"/>
        <v>0</v>
      </c>
      <c r="K25" s="17">
        <v>8</v>
      </c>
      <c r="L25" s="15">
        <f t="shared" si="18"/>
        <v>92</v>
      </c>
      <c r="M25" s="15" t="str">
        <f t="shared" si="15"/>
        <v>A</v>
      </c>
      <c r="N25" s="17" t="str">
        <f t="shared" si="16"/>
        <v>100% LTT</v>
      </c>
    </row>
    <row r="26" spans="1:14" ht="22.5" customHeight="1" x14ac:dyDescent="0.3">
      <c r="A26" s="180" t="s">
        <v>60</v>
      </c>
      <c r="B26" s="180"/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0"/>
      <c r="N26" s="180"/>
    </row>
    <row r="27" spans="1:14" ht="22.5" customHeight="1" x14ac:dyDescent="0.3">
      <c r="J27" s="185" t="s">
        <v>127</v>
      </c>
      <c r="K27" s="185"/>
      <c r="L27" s="185"/>
      <c r="M27" s="185"/>
      <c r="N27" s="185"/>
    </row>
    <row r="28" spans="1:14" ht="22.5" customHeight="1" x14ac:dyDescent="0.3">
      <c r="B28" s="178" t="s">
        <v>22</v>
      </c>
      <c r="C28" s="178"/>
      <c r="D28" s="178"/>
      <c r="L28" s="178" t="s">
        <v>25</v>
      </c>
      <c r="M28" s="178"/>
      <c r="N28" s="178"/>
    </row>
    <row r="29" spans="1:14" ht="22.5" customHeight="1" x14ac:dyDescent="0.3">
      <c r="L29" s="97"/>
      <c r="M29" s="97"/>
    </row>
    <row r="30" spans="1:14" ht="22.5" customHeight="1" x14ac:dyDescent="0.3">
      <c r="L30" s="97"/>
      <c r="M30" s="97"/>
    </row>
    <row r="31" spans="1:14" ht="22.5" customHeight="1" x14ac:dyDescent="0.3">
      <c r="L31" s="97"/>
      <c r="M31" s="97"/>
    </row>
    <row r="32" spans="1:14" ht="22.5" customHeight="1" x14ac:dyDescent="0.3">
      <c r="B32" s="178" t="s">
        <v>28</v>
      </c>
      <c r="C32" s="178"/>
      <c r="D32" s="178"/>
      <c r="L32" s="178" t="s">
        <v>27</v>
      </c>
      <c r="M32" s="178"/>
      <c r="N32" s="178"/>
    </row>
    <row r="33" spans="3:4" ht="22.5" customHeight="1" x14ac:dyDescent="0.3">
      <c r="C33" s="1"/>
      <c r="D33" s="1"/>
    </row>
  </sheetData>
  <mergeCells count="25">
    <mergeCell ref="B32:D32"/>
    <mergeCell ref="L32:N32"/>
    <mergeCell ref="A6:C6"/>
    <mergeCell ref="A15:C15"/>
    <mergeCell ref="A17:C17"/>
    <mergeCell ref="A26:N26"/>
    <mergeCell ref="J27:N27"/>
    <mergeCell ref="B28:D28"/>
    <mergeCell ref="L28:N28"/>
    <mergeCell ref="O4:O5"/>
    <mergeCell ref="A1:N1"/>
    <mergeCell ref="A2:N2"/>
    <mergeCell ref="A3:N3"/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L4:L5"/>
    <mergeCell ref="M4:M5"/>
    <mergeCell ref="N4:N5"/>
  </mergeCells>
  <pageMargins left="0.28000000000000003" right="0.27" top="0.3" bottom="0.37" header="0.3" footer="0.3"/>
  <pageSetup scale="70" orientation="landscape" verticalDpi="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workbookViewId="0">
      <pane xSplit="2" ySplit="6" topLeftCell="C25" activePane="bottomRight" state="frozen"/>
      <selection pane="topRight" activeCell="C1" sqref="C1"/>
      <selection pane="bottomLeft" activeCell="A7" sqref="A7"/>
      <selection pane="bottomRight" sqref="A1:XFD1048576"/>
    </sheetView>
  </sheetViews>
  <sheetFormatPr defaultColWidth="9.109375" defaultRowHeight="16.8" x14ac:dyDescent="0.3"/>
  <cols>
    <col min="1" max="1" width="6.109375" style="2" customWidth="1"/>
    <col min="2" max="2" width="24.6640625" style="1" customWidth="1"/>
    <col min="3" max="3" width="22" style="2" customWidth="1"/>
    <col min="4" max="6" width="11.33203125" style="2" customWidth="1"/>
    <col min="7" max="9" width="12.33203125" style="2" customWidth="1"/>
    <col min="10" max="10" width="12.44140625" style="2" customWidth="1"/>
    <col min="11" max="11" width="11.33203125" style="2" customWidth="1"/>
    <col min="12" max="12" width="12.109375" style="2" customWidth="1"/>
    <col min="13" max="13" width="9.44140625" style="2" customWidth="1"/>
    <col min="14" max="14" width="15" style="2" customWidth="1"/>
    <col min="15" max="15" width="53.88671875" style="2" customWidth="1"/>
    <col min="16" max="16384" width="9.109375" style="1"/>
  </cols>
  <sheetData>
    <row r="1" spans="1:15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5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</row>
    <row r="3" spans="1:15" ht="22.5" customHeight="1" x14ac:dyDescent="0.3">
      <c r="A3" s="179" t="s">
        <v>133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</row>
    <row r="4" spans="1:15" s="3" customFormat="1" ht="22.5" customHeight="1" x14ac:dyDescent="0.3">
      <c r="A4" s="180" t="s">
        <v>0</v>
      </c>
      <c r="B4" s="180" t="s">
        <v>1</v>
      </c>
      <c r="C4" s="180" t="s">
        <v>2</v>
      </c>
      <c r="D4" s="180" t="s">
        <v>23</v>
      </c>
      <c r="E4" s="180"/>
      <c r="F4" s="180"/>
      <c r="G4" s="181" t="s">
        <v>29</v>
      </c>
      <c r="H4" s="181" t="s">
        <v>30</v>
      </c>
      <c r="I4" s="181" t="s">
        <v>31</v>
      </c>
      <c r="J4" s="181" t="s">
        <v>96</v>
      </c>
      <c r="K4" s="181" t="s">
        <v>97</v>
      </c>
      <c r="L4" s="180" t="s">
        <v>6</v>
      </c>
      <c r="M4" s="180" t="s">
        <v>7</v>
      </c>
      <c r="N4" s="180" t="s">
        <v>8</v>
      </c>
      <c r="O4" s="183"/>
    </row>
    <row r="5" spans="1:15" s="3" customFormat="1" ht="49.8" customHeight="1" x14ac:dyDescent="0.3">
      <c r="A5" s="180"/>
      <c r="B5" s="180"/>
      <c r="C5" s="180"/>
      <c r="D5" s="100" t="s">
        <v>3</v>
      </c>
      <c r="E5" s="100" t="s">
        <v>4</v>
      </c>
      <c r="F5" s="100" t="s">
        <v>5</v>
      </c>
      <c r="G5" s="182"/>
      <c r="H5" s="182"/>
      <c r="I5" s="182"/>
      <c r="J5" s="182"/>
      <c r="K5" s="182"/>
      <c r="L5" s="180"/>
      <c r="M5" s="180"/>
      <c r="N5" s="180"/>
      <c r="O5" s="183"/>
    </row>
    <row r="6" spans="1:15" ht="19.5" customHeight="1" x14ac:dyDescent="0.3">
      <c r="A6" s="184" t="s">
        <v>15</v>
      </c>
      <c r="B6" s="184"/>
      <c r="C6" s="18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5" ht="19.5" customHeight="1" x14ac:dyDescent="0.3">
      <c r="A7" s="15">
        <v>1</v>
      </c>
      <c r="B7" s="16" t="s">
        <v>49</v>
      </c>
      <c r="C7" s="15" t="s">
        <v>19</v>
      </c>
      <c r="D7" s="15"/>
      <c r="E7" s="15">
        <v>1</v>
      </c>
      <c r="F7" s="15">
        <v>3</v>
      </c>
      <c r="G7" s="15">
        <f t="shared" ref="G7:H14" si="0">IF(D7&gt;5,(D7-5)*2,0)</f>
        <v>0</v>
      </c>
      <c r="H7" s="15">
        <f t="shared" si="0"/>
        <v>0</v>
      </c>
      <c r="I7" s="15">
        <f t="shared" ref="I7:I14" si="1">IF(F7&gt;2,(F7-2)*1,0)</f>
        <v>1</v>
      </c>
      <c r="J7" s="15">
        <f>SUM(G7:I7)</f>
        <v>1</v>
      </c>
      <c r="K7" s="15">
        <v>3</v>
      </c>
      <c r="L7" s="15">
        <f t="shared" ref="L7:L14" si="2">100-J7-K7</f>
        <v>96</v>
      </c>
      <c r="M7" s="15" t="str">
        <f>IF(L7&lt;71,"KL",IF(AND(L7&gt;=71,L7&lt;81),"C",IF(AND(L7&gt;=81,L7&lt;91),"B","A")))</f>
        <v>A</v>
      </c>
      <c r="N7" s="15" t="str">
        <f>IF(M7="A","100% LTT",IF(M7="B","90% LTT",IF(M7="C","80% LTT","60% LTT")))</f>
        <v>100% LTT</v>
      </c>
      <c r="O7" s="11" t="s">
        <v>33</v>
      </c>
    </row>
    <row r="8" spans="1:15" ht="19.5" customHeight="1" x14ac:dyDescent="0.3">
      <c r="A8" s="15">
        <f t="shared" ref="A8:A14" si="3">A7+1</f>
        <v>2</v>
      </c>
      <c r="B8" s="16" t="s">
        <v>52</v>
      </c>
      <c r="C8" s="15" t="s">
        <v>19</v>
      </c>
      <c r="D8" s="15"/>
      <c r="E8" s="15"/>
      <c r="F8" s="15"/>
      <c r="G8" s="15">
        <f t="shared" si="0"/>
        <v>0</v>
      </c>
      <c r="H8" s="15">
        <f t="shared" si="0"/>
        <v>0</v>
      </c>
      <c r="I8" s="15">
        <f t="shared" si="1"/>
        <v>0</v>
      </c>
      <c r="J8" s="15">
        <f t="shared" ref="J8:J14" si="4">SUM(G8:I8)</f>
        <v>0</v>
      </c>
      <c r="K8" s="15"/>
      <c r="L8" s="15">
        <f t="shared" si="2"/>
        <v>100</v>
      </c>
      <c r="M8" s="15" t="str">
        <f t="shared" ref="M8:M14" si="5">IF(L8&lt;71,"KL",IF(AND(L8&gt;=71,L8&lt;81),"C",IF(AND(L8&gt;=81,L8&lt;91),"B","A")))</f>
        <v>A</v>
      </c>
      <c r="N8" s="15" t="str">
        <f t="shared" ref="N8:N14" si="6">IF(M8="A","100% LTT",IF(M8="B","90% LTT",IF(M8="C","80% LTT","60% LTT")))</f>
        <v>100% LTT</v>
      </c>
      <c r="O8" s="34"/>
    </row>
    <row r="9" spans="1:15" ht="19.5" customHeight="1" x14ac:dyDescent="0.3">
      <c r="A9" s="15">
        <f t="shared" si="3"/>
        <v>3</v>
      </c>
      <c r="B9" s="16" t="s">
        <v>57</v>
      </c>
      <c r="C9" s="15" t="s">
        <v>19</v>
      </c>
      <c r="D9" s="15"/>
      <c r="E9" s="15"/>
      <c r="F9" s="15"/>
      <c r="G9" s="15">
        <f t="shared" si="0"/>
        <v>0</v>
      </c>
      <c r="H9" s="15">
        <f t="shared" si="0"/>
        <v>0</v>
      </c>
      <c r="I9" s="15">
        <f t="shared" si="1"/>
        <v>0</v>
      </c>
      <c r="J9" s="15">
        <f t="shared" si="4"/>
        <v>0</v>
      </c>
      <c r="K9" s="15"/>
      <c r="L9" s="15">
        <f t="shared" si="2"/>
        <v>100</v>
      </c>
      <c r="M9" s="15" t="str">
        <f t="shared" si="5"/>
        <v>A</v>
      </c>
      <c r="N9" s="15" t="str">
        <f t="shared" si="6"/>
        <v>100% LTT</v>
      </c>
      <c r="O9" s="35"/>
    </row>
    <row r="10" spans="1:15" ht="19.5" customHeight="1" x14ac:dyDescent="0.3">
      <c r="A10" s="15">
        <f t="shared" si="3"/>
        <v>4</v>
      </c>
      <c r="B10" s="16" t="s">
        <v>58</v>
      </c>
      <c r="C10" s="15" t="s">
        <v>19</v>
      </c>
      <c r="D10" s="15"/>
      <c r="E10" s="15"/>
      <c r="F10" s="15"/>
      <c r="G10" s="15">
        <f t="shared" si="0"/>
        <v>0</v>
      </c>
      <c r="H10" s="15">
        <f t="shared" si="0"/>
        <v>0</v>
      </c>
      <c r="I10" s="15">
        <f t="shared" si="1"/>
        <v>0</v>
      </c>
      <c r="J10" s="15">
        <f t="shared" si="4"/>
        <v>0</v>
      </c>
      <c r="K10" s="15"/>
      <c r="L10" s="15">
        <f t="shared" si="2"/>
        <v>100</v>
      </c>
      <c r="M10" s="15" t="str">
        <f t="shared" si="5"/>
        <v>A</v>
      </c>
      <c r="N10" s="15" t="str">
        <f t="shared" si="6"/>
        <v>100% LTT</v>
      </c>
      <c r="O10" s="35"/>
    </row>
    <row r="11" spans="1:15" ht="19.5" customHeight="1" x14ac:dyDescent="0.3">
      <c r="A11" s="15">
        <f t="shared" si="3"/>
        <v>5</v>
      </c>
      <c r="B11" s="16" t="s">
        <v>59</v>
      </c>
      <c r="C11" s="15" t="s">
        <v>19</v>
      </c>
      <c r="D11" s="15"/>
      <c r="E11" s="15"/>
      <c r="F11" s="15"/>
      <c r="G11" s="15">
        <f t="shared" si="0"/>
        <v>0</v>
      </c>
      <c r="H11" s="15">
        <f t="shared" si="0"/>
        <v>0</v>
      </c>
      <c r="I11" s="15">
        <f t="shared" si="1"/>
        <v>0</v>
      </c>
      <c r="J11" s="15">
        <f t="shared" si="4"/>
        <v>0</v>
      </c>
      <c r="K11" s="15"/>
      <c r="L11" s="15">
        <f t="shared" si="2"/>
        <v>100</v>
      </c>
      <c r="M11" s="15" t="str">
        <f t="shared" si="5"/>
        <v>A</v>
      </c>
      <c r="N11" s="15" t="str">
        <f t="shared" si="6"/>
        <v>100% LTT</v>
      </c>
      <c r="O11" s="35"/>
    </row>
    <row r="12" spans="1:15" ht="19.5" customHeight="1" x14ac:dyDescent="0.3">
      <c r="A12" s="15">
        <f t="shared" si="3"/>
        <v>6</v>
      </c>
      <c r="B12" s="16" t="s">
        <v>53</v>
      </c>
      <c r="C12" s="15" t="s">
        <v>19</v>
      </c>
      <c r="D12" s="15"/>
      <c r="E12" s="15"/>
      <c r="F12" s="15"/>
      <c r="G12" s="15">
        <f t="shared" si="0"/>
        <v>0</v>
      </c>
      <c r="H12" s="15">
        <f t="shared" si="0"/>
        <v>0</v>
      </c>
      <c r="I12" s="15">
        <f t="shared" si="1"/>
        <v>0</v>
      </c>
      <c r="J12" s="15">
        <f t="shared" si="4"/>
        <v>0</v>
      </c>
      <c r="K12" s="15"/>
      <c r="L12" s="15">
        <f t="shared" si="2"/>
        <v>100</v>
      </c>
      <c r="M12" s="15" t="str">
        <f t="shared" si="5"/>
        <v>A</v>
      </c>
      <c r="N12" s="15" t="str">
        <f t="shared" si="6"/>
        <v>100% LTT</v>
      </c>
      <c r="O12" s="35"/>
    </row>
    <row r="13" spans="1:15" ht="19.5" customHeight="1" x14ac:dyDescent="0.3">
      <c r="A13" s="15">
        <f t="shared" si="3"/>
        <v>7</v>
      </c>
      <c r="B13" s="16" t="s">
        <v>54</v>
      </c>
      <c r="C13" s="15" t="s">
        <v>19</v>
      </c>
      <c r="D13" s="15"/>
      <c r="E13" s="15"/>
      <c r="F13" s="15"/>
      <c r="G13" s="15">
        <f t="shared" si="0"/>
        <v>0</v>
      </c>
      <c r="H13" s="15">
        <f t="shared" si="0"/>
        <v>0</v>
      </c>
      <c r="I13" s="15">
        <f t="shared" si="1"/>
        <v>0</v>
      </c>
      <c r="J13" s="15">
        <f t="shared" si="4"/>
        <v>0</v>
      </c>
      <c r="K13" s="15"/>
      <c r="L13" s="15">
        <f t="shared" si="2"/>
        <v>100</v>
      </c>
      <c r="M13" s="15" t="str">
        <f t="shared" si="5"/>
        <v>A</v>
      </c>
      <c r="N13" s="15" t="str">
        <f t="shared" si="6"/>
        <v>100% LTT</v>
      </c>
      <c r="O13" s="35"/>
    </row>
    <row r="14" spans="1:15" ht="19.5" customHeight="1" x14ac:dyDescent="0.3">
      <c r="A14" s="15">
        <f t="shared" si="3"/>
        <v>8</v>
      </c>
      <c r="B14" s="18" t="s">
        <v>11</v>
      </c>
      <c r="C14" s="17" t="s">
        <v>51</v>
      </c>
      <c r="D14" s="17"/>
      <c r="E14" s="17"/>
      <c r="F14" s="17">
        <v>2</v>
      </c>
      <c r="G14" s="17">
        <f t="shared" si="0"/>
        <v>0</v>
      </c>
      <c r="H14" s="17">
        <f t="shared" si="0"/>
        <v>0</v>
      </c>
      <c r="I14" s="17">
        <f t="shared" si="1"/>
        <v>0</v>
      </c>
      <c r="J14" s="17">
        <f t="shared" si="4"/>
        <v>0</v>
      </c>
      <c r="K14" s="17">
        <v>4</v>
      </c>
      <c r="L14" s="15">
        <f t="shared" si="2"/>
        <v>96</v>
      </c>
      <c r="M14" s="17" t="str">
        <f t="shared" si="5"/>
        <v>A</v>
      </c>
      <c r="N14" s="17" t="str">
        <f t="shared" si="6"/>
        <v>100% LTT</v>
      </c>
      <c r="O14" s="35"/>
    </row>
    <row r="15" spans="1:15" ht="19.5" customHeight="1" x14ac:dyDescent="0.3">
      <c r="A15" s="184" t="s">
        <v>16</v>
      </c>
      <c r="B15" s="184"/>
      <c r="C15" s="18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5" ht="19.5" customHeight="1" x14ac:dyDescent="0.3">
      <c r="A16" s="17">
        <f>A14+1</f>
        <v>9</v>
      </c>
      <c r="B16" s="18" t="s">
        <v>28</v>
      </c>
      <c r="C16" s="17" t="s">
        <v>121</v>
      </c>
      <c r="D16" s="4"/>
      <c r="E16" s="17"/>
      <c r="F16" s="17">
        <v>2</v>
      </c>
      <c r="G16" s="17">
        <f t="shared" ref="G16:H16" si="7">IF(D16&gt;5,(D16-5)*2,0)</f>
        <v>0</v>
      </c>
      <c r="H16" s="17">
        <f t="shared" si="7"/>
        <v>0</v>
      </c>
      <c r="I16" s="17">
        <f t="shared" ref="I16" si="8">IF(F16&gt;2,(F16-2)*1,0)</f>
        <v>0</v>
      </c>
      <c r="J16" s="17">
        <f t="shared" ref="J16" si="9">SUM(G16:I16)</f>
        <v>0</v>
      </c>
      <c r="K16" s="17"/>
      <c r="L16" s="17">
        <f>100-J16-K16</f>
        <v>100</v>
      </c>
      <c r="M16" s="17" t="str">
        <f t="shared" ref="M16" si="10">IF(L16&lt;71,"KL",IF(AND(L16&gt;=71,L16&lt;81),"C",IF(AND(L16&gt;=81,L16&lt;91),"B","A")))</f>
        <v>A</v>
      </c>
      <c r="N16" s="17" t="str">
        <f t="shared" ref="N16" si="11">IF(M16="A","100% LTT",IF(M16="B","90% LTT",IF(M16="C","80% LTT","60% LTT")))</f>
        <v>100% LTT</v>
      </c>
    </row>
    <row r="17" spans="1:14" ht="19.5" customHeight="1" x14ac:dyDescent="0.3">
      <c r="A17" s="184" t="s">
        <v>17</v>
      </c>
      <c r="B17" s="184"/>
      <c r="C17" s="18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ht="19.5" customHeight="1" x14ac:dyDescent="0.3">
      <c r="A18" s="23">
        <f>A16+1</f>
        <v>10</v>
      </c>
      <c r="B18" s="38" t="s">
        <v>12</v>
      </c>
      <c r="C18" s="23" t="s">
        <v>19</v>
      </c>
      <c r="D18" s="23">
        <v>1</v>
      </c>
      <c r="E18" s="23">
        <v>1</v>
      </c>
      <c r="F18" s="23">
        <v>1</v>
      </c>
      <c r="G18" s="74">
        <f t="shared" ref="G18:H26" si="12">IF(D18&gt;5,(D18-5)*2,0)</f>
        <v>0</v>
      </c>
      <c r="H18" s="23">
        <f t="shared" si="12"/>
        <v>0</v>
      </c>
      <c r="I18" s="23">
        <f t="shared" ref="I18:I26" si="13">IF(F18&gt;2,(F18-2)*1,0)</f>
        <v>0</v>
      </c>
      <c r="J18" s="23">
        <f t="shared" ref="J18:J26" si="14">SUM(G18:I18)</f>
        <v>0</v>
      </c>
      <c r="K18" s="23">
        <v>8</v>
      </c>
      <c r="L18" s="23">
        <f>100-J18-K18</f>
        <v>92</v>
      </c>
      <c r="M18" s="23" t="str">
        <f t="shared" ref="M18:M26" si="15">IF(L18&lt;71,"KL",IF(AND(L18&gt;=71,L18&lt;81),"C",IF(AND(L18&gt;=81,L18&lt;91),"B","A")))</f>
        <v>A</v>
      </c>
      <c r="N18" s="23" t="str">
        <f t="shared" ref="N18:N26" si="16">IF(M18="A","100% LTT",IF(M18="B","90% LTT",IF(M18="C","80% LTT","60% LTT")))</f>
        <v>100% LTT</v>
      </c>
    </row>
    <row r="19" spans="1:14" ht="19.5" customHeight="1" x14ac:dyDescent="0.3">
      <c r="A19" s="15">
        <f>A18+1</f>
        <v>11</v>
      </c>
      <c r="B19" s="16" t="s">
        <v>13</v>
      </c>
      <c r="C19" s="15" t="s">
        <v>101</v>
      </c>
      <c r="D19" s="15"/>
      <c r="E19" s="15"/>
      <c r="F19" s="15"/>
      <c r="G19" s="15">
        <f t="shared" si="12"/>
        <v>0</v>
      </c>
      <c r="H19" s="15">
        <f t="shared" si="12"/>
        <v>0</v>
      </c>
      <c r="I19" s="15">
        <f t="shared" si="13"/>
        <v>0</v>
      </c>
      <c r="J19" s="15">
        <f t="shared" si="14"/>
        <v>0</v>
      </c>
      <c r="K19" s="15">
        <v>4</v>
      </c>
      <c r="L19" s="15">
        <f>100-J19-K19</f>
        <v>96</v>
      </c>
      <c r="M19" s="15" t="str">
        <f t="shared" si="15"/>
        <v>A</v>
      </c>
      <c r="N19" s="15" t="str">
        <f>IF(M19="A","100% LTT",IF(M19="B","90% LTT",IF(M19="C","80% LTT","60% LTT")))</f>
        <v>100% LTT</v>
      </c>
    </row>
    <row r="20" spans="1:14" ht="19.5" customHeight="1" x14ac:dyDescent="0.3">
      <c r="A20" s="15">
        <f t="shared" ref="A20:A26" si="17">A19+1</f>
        <v>12</v>
      </c>
      <c r="B20" s="16" t="s">
        <v>14</v>
      </c>
      <c r="C20" s="15" t="s">
        <v>19</v>
      </c>
      <c r="D20" s="15"/>
      <c r="E20" s="15"/>
      <c r="F20" s="15"/>
      <c r="G20" s="15">
        <f t="shared" si="12"/>
        <v>0</v>
      </c>
      <c r="H20" s="15">
        <f t="shared" si="12"/>
        <v>0</v>
      </c>
      <c r="I20" s="15">
        <f t="shared" si="13"/>
        <v>0</v>
      </c>
      <c r="J20" s="15">
        <f t="shared" si="14"/>
        <v>0</v>
      </c>
      <c r="K20" s="15">
        <v>6</v>
      </c>
      <c r="L20" s="15">
        <f t="shared" ref="L20:L26" si="18">100-J20-K20</f>
        <v>94</v>
      </c>
      <c r="M20" s="15" t="str">
        <f t="shared" si="15"/>
        <v>A</v>
      </c>
      <c r="N20" s="15" t="str">
        <f t="shared" si="16"/>
        <v>100% LTT</v>
      </c>
    </row>
    <row r="21" spans="1:14" ht="19.5" customHeight="1" x14ac:dyDescent="0.3">
      <c r="A21" s="15">
        <f t="shared" si="17"/>
        <v>13</v>
      </c>
      <c r="B21" s="16" t="s">
        <v>40</v>
      </c>
      <c r="C21" s="15" t="s">
        <v>19</v>
      </c>
      <c r="D21" s="15"/>
      <c r="E21" s="15"/>
      <c r="F21" s="15"/>
      <c r="G21" s="15">
        <f t="shared" si="12"/>
        <v>0</v>
      </c>
      <c r="H21" s="15">
        <f t="shared" si="12"/>
        <v>0</v>
      </c>
      <c r="I21" s="15">
        <f t="shared" si="13"/>
        <v>0</v>
      </c>
      <c r="J21" s="15">
        <f t="shared" si="14"/>
        <v>0</v>
      </c>
      <c r="K21" s="15">
        <v>4</v>
      </c>
      <c r="L21" s="15">
        <f>100-J21-K21</f>
        <v>96</v>
      </c>
      <c r="M21" s="15" t="str">
        <f t="shared" si="15"/>
        <v>A</v>
      </c>
      <c r="N21" s="15" t="str">
        <f t="shared" si="16"/>
        <v>100% LTT</v>
      </c>
    </row>
    <row r="22" spans="1:14" ht="19.5" customHeight="1" x14ac:dyDescent="0.3">
      <c r="A22" s="15">
        <f t="shared" si="17"/>
        <v>14</v>
      </c>
      <c r="B22" s="16" t="s">
        <v>130</v>
      </c>
      <c r="C22" s="15" t="s">
        <v>131</v>
      </c>
      <c r="D22" s="15"/>
      <c r="E22" s="15"/>
      <c r="F22" s="15"/>
      <c r="G22" s="15">
        <f t="shared" si="12"/>
        <v>0</v>
      </c>
      <c r="H22" s="15">
        <f t="shared" si="12"/>
        <v>0</v>
      </c>
      <c r="I22" s="15">
        <f t="shared" si="13"/>
        <v>0</v>
      </c>
      <c r="J22" s="15">
        <f t="shared" si="14"/>
        <v>0</v>
      </c>
      <c r="K22" s="15">
        <v>4</v>
      </c>
      <c r="L22" s="15">
        <f t="shared" ref="L22:L23" si="19">100-J22-K22</f>
        <v>96</v>
      </c>
      <c r="M22" s="15" t="str">
        <f t="shared" si="15"/>
        <v>A</v>
      </c>
      <c r="N22" s="15" t="str">
        <f t="shared" si="16"/>
        <v>100% LTT</v>
      </c>
    </row>
    <row r="23" spans="1:14" ht="19.5" customHeight="1" x14ac:dyDescent="0.3">
      <c r="A23" s="15">
        <f t="shared" si="17"/>
        <v>15</v>
      </c>
      <c r="B23" s="16" t="s">
        <v>98</v>
      </c>
      <c r="C23" s="15" t="s">
        <v>102</v>
      </c>
      <c r="D23" s="15"/>
      <c r="E23" s="15"/>
      <c r="F23" s="15"/>
      <c r="G23" s="15">
        <f t="shared" si="12"/>
        <v>0</v>
      </c>
      <c r="H23" s="15">
        <f t="shared" si="12"/>
        <v>0</v>
      </c>
      <c r="I23" s="15">
        <f t="shared" si="13"/>
        <v>0</v>
      </c>
      <c r="J23" s="15">
        <f t="shared" si="14"/>
        <v>0</v>
      </c>
      <c r="K23" s="15">
        <v>8</v>
      </c>
      <c r="L23" s="15">
        <f t="shared" si="19"/>
        <v>92</v>
      </c>
      <c r="M23" s="15" t="str">
        <f t="shared" si="15"/>
        <v>A</v>
      </c>
      <c r="N23" s="15" t="str">
        <f t="shared" si="16"/>
        <v>100% LTT</v>
      </c>
    </row>
    <row r="24" spans="1:14" ht="19.5" customHeight="1" x14ac:dyDescent="0.3">
      <c r="A24" s="15">
        <f t="shared" si="17"/>
        <v>16</v>
      </c>
      <c r="B24" s="16" t="s">
        <v>99</v>
      </c>
      <c r="C24" s="15" t="s">
        <v>102</v>
      </c>
      <c r="D24" s="15"/>
      <c r="E24" s="15"/>
      <c r="F24" s="15"/>
      <c r="G24" s="15">
        <f t="shared" si="12"/>
        <v>0</v>
      </c>
      <c r="H24" s="15">
        <f t="shared" si="12"/>
        <v>0</v>
      </c>
      <c r="I24" s="15">
        <f t="shared" si="13"/>
        <v>0</v>
      </c>
      <c r="J24" s="15">
        <f t="shared" si="14"/>
        <v>0</v>
      </c>
      <c r="K24" s="15">
        <v>6</v>
      </c>
      <c r="L24" s="15">
        <f t="shared" si="18"/>
        <v>94</v>
      </c>
      <c r="M24" s="15" t="str">
        <f t="shared" si="15"/>
        <v>A</v>
      </c>
      <c r="N24" s="15" t="str">
        <f t="shared" si="16"/>
        <v>100% LTT</v>
      </c>
    </row>
    <row r="25" spans="1:14" ht="19.5" customHeight="1" x14ac:dyDescent="0.3">
      <c r="A25" s="15">
        <f t="shared" si="17"/>
        <v>17</v>
      </c>
      <c r="B25" s="16" t="s">
        <v>100</v>
      </c>
      <c r="C25" s="15" t="s">
        <v>102</v>
      </c>
      <c r="D25" s="15"/>
      <c r="E25" s="15"/>
      <c r="F25" s="15"/>
      <c r="G25" s="15">
        <f t="shared" si="12"/>
        <v>0</v>
      </c>
      <c r="H25" s="15">
        <f t="shared" si="12"/>
        <v>0</v>
      </c>
      <c r="I25" s="15">
        <f t="shared" si="13"/>
        <v>0</v>
      </c>
      <c r="J25" s="15">
        <f t="shared" si="14"/>
        <v>0</v>
      </c>
      <c r="K25" s="15">
        <v>4</v>
      </c>
      <c r="L25" s="15">
        <f t="shared" si="18"/>
        <v>96</v>
      </c>
      <c r="M25" s="15" t="str">
        <f t="shared" si="15"/>
        <v>A</v>
      </c>
      <c r="N25" s="15" t="str">
        <f t="shared" si="16"/>
        <v>100% LTT</v>
      </c>
    </row>
    <row r="26" spans="1:14" ht="19.5" customHeight="1" x14ac:dyDescent="0.3">
      <c r="A26" s="15">
        <f t="shared" si="17"/>
        <v>18</v>
      </c>
      <c r="B26" s="18" t="s">
        <v>116</v>
      </c>
      <c r="C26" s="17" t="s">
        <v>107</v>
      </c>
      <c r="D26" s="17"/>
      <c r="E26" s="17"/>
      <c r="F26" s="17"/>
      <c r="G26" s="15">
        <f t="shared" si="12"/>
        <v>0</v>
      </c>
      <c r="H26" s="15">
        <f t="shared" si="12"/>
        <v>0</v>
      </c>
      <c r="I26" s="15">
        <f t="shared" si="13"/>
        <v>0</v>
      </c>
      <c r="J26" s="15">
        <f t="shared" si="14"/>
        <v>0</v>
      </c>
      <c r="K26" s="17">
        <v>8</v>
      </c>
      <c r="L26" s="15">
        <f t="shared" si="18"/>
        <v>92</v>
      </c>
      <c r="M26" s="15" t="str">
        <f t="shared" si="15"/>
        <v>A</v>
      </c>
      <c r="N26" s="17" t="str">
        <f t="shared" si="16"/>
        <v>100% LTT</v>
      </c>
    </row>
    <row r="27" spans="1:14" ht="22.5" customHeight="1" x14ac:dyDescent="0.3">
      <c r="A27" s="180" t="s">
        <v>132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</row>
    <row r="28" spans="1:14" ht="22.5" customHeight="1" x14ac:dyDescent="0.3">
      <c r="J28" s="185" t="s">
        <v>127</v>
      </c>
      <c r="K28" s="185"/>
      <c r="L28" s="185"/>
      <c r="M28" s="185"/>
      <c r="N28" s="185"/>
    </row>
    <row r="29" spans="1:14" ht="22.5" customHeight="1" x14ac:dyDescent="0.3">
      <c r="B29" s="178" t="s">
        <v>22</v>
      </c>
      <c r="C29" s="178"/>
      <c r="D29" s="178"/>
      <c r="L29" s="178" t="s">
        <v>25</v>
      </c>
      <c r="M29" s="178"/>
      <c r="N29" s="178"/>
    </row>
    <row r="30" spans="1:14" ht="22.5" customHeight="1" x14ac:dyDescent="0.3">
      <c r="L30" s="99"/>
      <c r="M30" s="99"/>
    </row>
    <row r="31" spans="1:14" ht="22.5" customHeight="1" x14ac:dyDescent="0.3">
      <c r="L31" s="99"/>
      <c r="M31" s="99"/>
    </row>
    <row r="32" spans="1:14" ht="22.5" customHeight="1" x14ac:dyDescent="0.3">
      <c r="L32" s="99"/>
      <c r="M32" s="99"/>
    </row>
    <row r="33" spans="2:14" ht="22.5" customHeight="1" x14ac:dyDescent="0.3">
      <c r="B33" s="178" t="s">
        <v>28</v>
      </c>
      <c r="C33" s="178"/>
      <c r="D33" s="178"/>
      <c r="L33" s="178" t="s">
        <v>27</v>
      </c>
      <c r="M33" s="178"/>
      <c r="N33" s="178"/>
    </row>
    <row r="34" spans="2:14" ht="22.5" customHeight="1" x14ac:dyDescent="0.3">
      <c r="C34" s="1"/>
      <c r="D34" s="1"/>
    </row>
  </sheetData>
  <mergeCells count="25">
    <mergeCell ref="B33:D33"/>
    <mergeCell ref="L33:N33"/>
    <mergeCell ref="A6:C6"/>
    <mergeCell ref="A15:C15"/>
    <mergeCell ref="A17:C17"/>
    <mergeCell ref="A27:N27"/>
    <mergeCell ref="J28:N28"/>
    <mergeCell ref="B29:D29"/>
    <mergeCell ref="L29:N29"/>
    <mergeCell ref="O4:O5"/>
    <mergeCell ref="A1:N1"/>
    <mergeCell ref="A2:N2"/>
    <mergeCell ref="A3:N3"/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L4:L5"/>
    <mergeCell ref="M4:M5"/>
    <mergeCell ref="N4:N5"/>
  </mergeCells>
  <pageMargins left="0.3" right="0.23" top="0.47" bottom="0.38" header="0.3" footer="0.3"/>
  <pageSetup scale="70" orientation="landscape" verticalDpi="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sqref="A1:XFD1048576"/>
    </sheetView>
  </sheetViews>
  <sheetFormatPr defaultColWidth="9.109375" defaultRowHeight="16.8" x14ac:dyDescent="0.3"/>
  <cols>
    <col min="1" max="1" width="6.109375" style="2" customWidth="1"/>
    <col min="2" max="2" width="24.6640625" style="1" customWidth="1"/>
    <col min="3" max="3" width="22" style="2" customWidth="1"/>
    <col min="4" max="6" width="11.33203125" style="2" customWidth="1"/>
    <col min="7" max="9" width="12.33203125" style="2" customWidth="1"/>
    <col min="10" max="10" width="12.44140625" style="2" customWidth="1"/>
    <col min="11" max="11" width="11.33203125" style="2" customWidth="1"/>
    <col min="12" max="12" width="12.109375" style="2" customWidth="1"/>
    <col min="13" max="13" width="9.44140625" style="2" customWidth="1"/>
    <col min="14" max="14" width="15" style="2" customWidth="1"/>
    <col min="15" max="15" width="53.88671875" style="2" customWidth="1"/>
    <col min="16" max="16384" width="9.109375" style="1"/>
  </cols>
  <sheetData>
    <row r="1" spans="1:15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5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</row>
    <row r="3" spans="1:15" ht="22.5" customHeight="1" x14ac:dyDescent="0.3">
      <c r="A3" s="179" t="s">
        <v>134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</row>
    <row r="4" spans="1:15" s="3" customFormat="1" ht="22.5" customHeight="1" x14ac:dyDescent="0.3">
      <c r="A4" s="180" t="s">
        <v>0</v>
      </c>
      <c r="B4" s="180" t="s">
        <v>1</v>
      </c>
      <c r="C4" s="180" t="s">
        <v>2</v>
      </c>
      <c r="D4" s="180" t="s">
        <v>23</v>
      </c>
      <c r="E4" s="180"/>
      <c r="F4" s="180"/>
      <c r="G4" s="181" t="s">
        <v>29</v>
      </c>
      <c r="H4" s="181" t="s">
        <v>30</v>
      </c>
      <c r="I4" s="181" t="s">
        <v>31</v>
      </c>
      <c r="J4" s="181" t="s">
        <v>96</v>
      </c>
      <c r="K4" s="181" t="s">
        <v>97</v>
      </c>
      <c r="L4" s="180" t="s">
        <v>6</v>
      </c>
      <c r="M4" s="180" t="s">
        <v>7</v>
      </c>
      <c r="N4" s="180" t="s">
        <v>8</v>
      </c>
      <c r="O4" s="183"/>
    </row>
    <row r="5" spans="1:15" s="3" customFormat="1" ht="49.8" customHeight="1" x14ac:dyDescent="0.3">
      <c r="A5" s="180"/>
      <c r="B5" s="180"/>
      <c r="C5" s="180"/>
      <c r="D5" s="102" t="s">
        <v>3</v>
      </c>
      <c r="E5" s="102" t="s">
        <v>4</v>
      </c>
      <c r="F5" s="102" t="s">
        <v>5</v>
      </c>
      <c r="G5" s="182"/>
      <c r="H5" s="182"/>
      <c r="I5" s="182"/>
      <c r="J5" s="182"/>
      <c r="K5" s="182"/>
      <c r="L5" s="180"/>
      <c r="M5" s="180"/>
      <c r="N5" s="180"/>
      <c r="O5" s="183"/>
    </row>
    <row r="6" spans="1:15" ht="19.5" customHeight="1" x14ac:dyDescent="0.3">
      <c r="A6" s="184" t="s">
        <v>15</v>
      </c>
      <c r="B6" s="184"/>
      <c r="C6" s="18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5" ht="19.5" customHeight="1" x14ac:dyDescent="0.3">
      <c r="A7" s="15">
        <v>1</v>
      </c>
      <c r="B7" s="16" t="s">
        <v>49</v>
      </c>
      <c r="C7" s="15" t="s">
        <v>19</v>
      </c>
      <c r="D7" s="15">
        <v>2</v>
      </c>
      <c r="E7" s="15">
        <v>1</v>
      </c>
      <c r="F7" s="15">
        <v>1</v>
      </c>
      <c r="G7" s="15">
        <f t="shared" ref="G7:H14" si="0">IF(D7&gt;5,(D7-5)*2,0)</f>
        <v>0</v>
      </c>
      <c r="H7" s="15">
        <f t="shared" si="0"/>
        <v>0</v>
      </c>
      <c r="I7" s="15">
        <f t="shared" ref="I7:I14" si="1">IF(F7&gt;2,(F7-2)*1,0)</f>
        <v>0</v>
      </c>
      <c r="J7" s="15">
        <f>SUM(G7:I7)</f>
        <v>0</v>
      </c>
      <c r="K7" s="15">
        <v>3</v>
      </c>
      <c r="L7" s="15">
        <f t="shared" ref="L7:L14" si="2">100-J7-K7</f>
        <v>97</v>
      </c>
      <c r="M7" s="15" t="str">
        <f>IF(L7&lt;71,"KL",IF(AND(L7&gt;=71,L7&lt;81),"C",IF(AND(L7&gt;=81,L7&lt;91),"B","A")))</f>
        <v>A</v>
      </c>
      <c r="N7" s="15" t="str">
        <f>IF(M7="A","100% LTT",IF(M7="B","90% LTT",IF(M7="C","80% LTT","60% LTT")))</f>
        <v>100% LTT</v>
      </c>
      <c r="O7" s="11" t="s">
        <v>33</v>
      </c>
    </row>
    <row r="8" spans="1:15" ht="19.5" customHeight="1" x14ac:dyDescent="0.3">
      <c r="A8" s="15">
        <f t="shared" ref="A8:A14" si="3">A7+1</f>
        <v>2</v>
      </c>
      <c r="B8" s="16" t="s">
        <v>52</v>
      </c>
      <c r="C8" s="15" t="s">
        <v>19</v>
      </c>
      <c r="D8" s="15"/>
      <c r="E8" s="15"/>
      <c r="F8" s="15"/>
      <c r="G8" s="15">
        <f t="shared" si="0"/>
        <v>0</v>
      </c>
      <c r="H8" s="15">
        <f t="shared" si="0"/>
        <v>0</v>
      </c>
      <c r="I8" s="15">
        <f t="shared" si="1"/>
        <v>0</v>
      </c>
      <c r="J8" s="15">
        <f t="shared" ref="J8:J14" si="4">SUM(G8:I8)</f>
        <v>0</v>
      </c>
      <c r="K8" s="15"/>
      <c r="L8" s="15">
        <f t="shared" si="2"/>
        <v>100</v>
      </c>
      <c r="M8" s="15" t="str">
        <f t="shared" ref="M8:M14" si="5">IF(L8&lt;71,"KL",IF(AND(L8&gt;=71,L8&lt;81),"C",IF(AND(L8&gt;=81,L8&lt;91),"B","A")))</f>
        <v>A</v>
      </c>
      <c r="N8" s="15" t="str">
        <f t="shared" ref="N8:N14" si="6">IF(M8="A","100% LTT",IF(M8="B","90% LTT",IF(M8="C","80% LTT","60% LTT")))</f>
        <v>100% LTT</v>
      </c>
      <c r="O8" s="34"/>
    </row>
    <row r="9" spans="1:15" ht="19.5" customHeight="1" x14ac:dyDescent="0.3">
      <c r="A9" s="15">
        <f t="shared" si="3"/>
        <v>3</v>
      </c>
      <c r="B9" s="16" t="s">
        <v>57</v>
      </c>
      <c r="C9" s="15" t="s">
        <v>19</v>
      </c>
      <c r="D9" s="15"/>
      <c r="E9" s="15"/>
      <c r="F9" s="15"/>
      <c r="G9" s="15">
        <f t="shared" si="0"/>
        <v>0</v>
      </c>
      <c r="H9" s="15">
        <f t="shared" si="0"/>
        <v>0</v>
      </c>
      <c r="I9" s="15">
        <f t="shared" si="1"/>
        <v>0</v>
      </c>
      <c r="J9" s="15">
        <f t="shared" si="4"/>
        <v>0</v>
      </c>
      <c r="K9" s="15"/>
      <c r="L9" s="15">
        <f t="shared" si="2"/>
        <v>100</v>
      </c>
      <c r="M9" s="15" t="str">
        <f t="shared" si="5"/>
        <v>A</v>
      </c>
      <c r="N9" s="15" t="str">
        <f t="shared" si="6"/>
        <v>100% LTT</v>
      </c>
      <c r="O9" s="35"/>
    </row>
    <row r="10" spans="1:15" ht="19.5" customHeight="1" x14ac:dyDescent="0.3">
      <c r="A10" s="15">
        <f t="shared" si="3"/>
        <v>4</v>
      </c>
      <c r="B10" s="16" t="s">
        <v>58</v>
      </c>
      <c r="C10" s="15" t="s">
        <v>19</v>
      </c>
      <c r="D10" s="15"/>
      <c r="E10" s="15"/>
      <c r="F10" s="15"/>
      <c r="G10" s="15">
        <f t="shared" si="0"/>
        <v>0</v>
      </c>
      <c r="H10" s="15">
        <f t="shared" si="0"/>
        <v>0</v>
      </c>
      <c r="I10" s="15">
        <f t="shared" si="1"/>
        <v>0</v>
      </c>
      <c r="J10" s="15">
        <f t="shared" si="4"/>
        <v>0</v>
      </c>
      <c r="K10" s="15"/>
      <c r="L10" s="15">
        <f t="shared" si="2"/>
        <v>100</v>
      </c>
      <c r="M10" s="15" t="str">
        <f t="shared" si="5"/>
        <v>A</v>
      </c>
      <c r="N10" s="15" t="str">
        <f t="shared" si="6"/>
        <v>100% LTT</v>
      </c>
      <c r="O10" s="35"/>
    </row>
    <row r="11" spans="1:15" ht="19.5" customHeight="1" x14ac:dyDescent="0.3">
      <c r="A11" s="15">
        <f t="shared" si="3"/>
        <v>5</v>
      </c>
      <c r="B11" s="16" t="s">
        <v>59</v>
      </c>
      <c r="C11" s="15" t="s">
        <v>19</v>
      </c>
      <c r="D11" s="15"/>
      <c r="E11" s="15"/>
      <c r="F11" s="15"/>
      <c r="G11" s="15">
        <f t="shared" si="0"/>
        <v>0</v>
      </c>
      <c r="H11" s="15">
        <f t="shared" si="0"/>
        <v>0</v>
      </c>
      <c r="I11" s="15">
        <f t="shared" si="1"/>
        <v>0</v>
      </c>
      <c r="J11" s="15">
        <f t="shared" si="4"/>
        <v>0</v>
      </c>
      <c r="K11" s="15"/>
      <c r="L11" s="15">
        <f t="shared" si="2"/>
        <v>100</v>
      </c>
      <c r="M11" s="15" t="str">
        <f t="shared" si="5"/>
        <v>A</v>
      </c>
      <c r="N11" s="15" t="str">
        <f t="shared" si="6"/>
        <v>100% LTT</v>
      </c>
      <c r="O11" s="35"/>
    </row>
    <row r="12" spans="1:15" ht="19.5" customHeight="1" x14ac:dyDescent="0.3">
      <c r="A12" s="15">
        <f t="shared" si="3"/>
        <v>6</v>
      </c>
      <c r="B12" s="16" t="s">
        <v>53</v>
      </c>
      <c r="C12" s="15" t="s">
        <v>19</v>
      </c>
      <c r="D12" s="15"/>
      <c r="E12" s="15"/>
      <c r="F12" s="15"/>
      <c r="G12" s="15">
        <f t="shared" si="0"/>
        <v>0</v>
      </c>
      <c r="H12" s="15">
        <f t="shared" si="0"/>
        <v>0</v>
      </c>
      <c r="I12" s="15">
        <f t="shared" si="1"/>
        <v>0</v>
      </c>
      <c r="J12" s="15">
        <f t="shared" si="4"/>
        <v>0</v>
      </c>
      <c r="K12" s="15"/>
      <c r="L12" s="15">
        <f t="shared" si="2"/>
        <v>100</v>
      </c>
      <c r="M12" s="15" t="str">
        <f t="shared" si="5"/>
        <v>A</v>
      </c>
      <c r="N12" s="15" t="str">
        <f t="shared" si="6"/>
        <v>100% LTT</v>
      </c>
      <c r="O12" s="35"/>
    </row>
    <row r="13" spans="1:15" ht="19.5" customHeight="1" x14ac:dyDescent="0.3">
      <c r="A13" s="15">
        <f t="shared" si="3"/>
        <v>7</v>
      </c>
      <c r="B13" s="16" t="s">
        <v>54</v>
      </c>
      <c r="C13" s="15" t="s">
        <v>19</v>
      </c>
      <c r="D13" s="15"/>
      <c r="E13" s="15"/>
      <c r="F13" s="15"/>
      <c r="G13" s="15">
        <f t="shared" si="0"/>
        <v>0</v>
      </c>
      <c r="H13" s="15">
        <f t="shared" si="0"/>
        <v>0</v>
      </c>
      <c r="I13" s="15">
        <f t="shared" si="1"/>
        <v>0</v>
      </c>
      <c r="J13" s="15">
        <f t="shared" si="4"/>
        <v>0</v>
      </c>
      <c r="K13" s="15"/>
      <c r="L13" s="15">
        <f t="shared" si="2"/>
        <v>100</v>
      </c>
      <c r="M13" s="15" t="str">
        <f t="shared" si="5"/>
        <v>A</v>
      </c>
      <c r="N13" s="15" t="str">
        <f t="shared" si="6"/>
        <v>100% LTT</v>
      </c>
      <c r="O13" s="35"/>
    </row>
    <row r="14" spans="1:15" ht="19.5" customHeight="1" x14ac:dyDescent="0.3">
      <c r="A14" s="15">
        <f t="shared" si="3"/>
        <v>8</v>
      </c>
      <c r="B14" s="18" t="s">
        <v>11</v>
      </c>
      <c r="C14" s="17" t="s">
        <v>51</v>
      </c>
      <c r="D14" s="17">
        <v>1</v>
      </c>
      <c r="E14" s="17">
        <v>1</v>
      </c>
      <c r="F14" s="17">
        <v>2</v>
      </c>
      <c r="G14" s="17">
        <f t="shared" si="0"/>
        <v>0</v>
      </c>
      <c r="H14" s="17">
        <f t="shared" si="0"/>
        <v>0</v>
      </c>
      <c r="I14" s="17">
        <f t="shared" si="1"/>
        <v>0</v>
      </c>
      <c r="J14" s="17">
        <f t="shared" si="4"/>
        <v>0</v>
      </c>
      <c r="K14" s="17">
        <v>3</v>
      </c>
      <c r="L14" s="15">
        <f t="shared" si="2"/>
        <v>97</v>
      </c>
      <c r="M14" s="17" t="str">
        <f t="shared" si="5"/>
        <v>A</v>
      </c>
      <c r="N14" s="17" t="str">
        <f t="shared" si="6"/>
        <v>100% LTT</v>
      </c>
      <c r="O14" s="35"/>
    </row>
    <row r="15" spans="1:15" ht="19.5" customHeight="1" x14ac:dyDescent="0.3">
      <c r="A15" s="184" t="s">
        <v>16</v>
      </c>
      <c r="B15" s="184"/>
      <c r="C15" s="18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5" ht="19.5" customHeight="1" x14ac:dyDescent="0.3">
      <c r="A16" s="17">
        <f>A14+1</f>
        <v>9</v>
      </c>
      <c r="B16" s="18" t="s">
        <v>28</v>
      </c>
      <c r="C16" s="17" t="s">
        <v>121</v>
      </c>
      <c r="D16" s="4"/>
      <c r="E16" s="17"/>
      <c r="F16" s="17">
        <v>2</v>
      </c>
      <c r="G16" s="17">
        <f t="shared" ref="G16:H16" si="7">IF(D16&gt;5,(D16-5)*2,0)</f>
        <v>0</v>
      </c>
      <c r="H16" s="17">
        <f t="shared" si="7"/>
        <v>0</v>
      </c>
      <c r="I16" s="17">
        <f t="shared" ref="I16" si="8">IF(F16&gt;2,(F16-2)*1,0)</f>
        <v>0</v>
      </c>
      <c r="J16" s="17">
        <f t="shared" ref="J16" si="9">SUM(G16:I16)</f>
        <v>0</v>
      </c>
      <c r="K16" s="17"/>
      <c r="L16" s="17">
        <f>100-J16-K16</f>
        <v>100</v>
      </c>
      <c r="M16" s="17" t="str">
        <f t="shared" ref="M16" si="10">IF(L16&lt;71,"KL",IF(AND(L16&gt;=71,L16&lt;81),"C",IF(AND(L16&gt;=81,L16&lt;91),"B","A")))</f>
        <v>A</v>
      </c>
      <c r="N16" s="17" t="str">
        <f t="shared" ref="N16" si="11">IF(M16="A","100% LTT",IF(M16="B","90% LTT",IF(M16="C","80% LTT","60% LTT")))</f>
        <v>100% LTT</v>
      </c>
    </row>
    <row r="17" spans="1:14" ht="19.5" customHeight="1" x14ac:dyDescent="0.3">
      <c r="A17" s="184" t="s">
        <v>17</v>
      </c>
      <c r="B17" s="184"/>
      <c r="C17" s="18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ht="19.5" customHeight="1" x14ac:dyDescent="0.3">
      <c r="A18" s="23">
        <f>A16+1</f>
        <v>10</v>
      </c>
      <c r="B18" s="38" t="s">
        <v>12</v>
      </c>
      <c r="C18" s="23" t="s">
        <v>19</v>
      </c>
      <c r="D18" s="23"/>
      <c r="E18" s="23"/>
      <c r="F18" s="23"/>
      <c r="G18" s="74">
        <f t="shared" ref="G18:H26" si="12">IF(D18&gt;5,(D18-5)*2,0)</f>
        <v>0</v>
      </c>
      <c r="H18" s="23">
        <f t="shared" si="12"/>
        <v>0</v>
      </c>
      <c r="I18" s="23">
        <f t="shared" ref="I18:I26" si="13">IF(F18&gt;2,(F18-2)*1,0)</f>
        <v>0</v>
      </c>
      <c r="J18" s="23">
        <f t="shared" ref="J18:J26" si="14">SUM(G18:I18)</f>
        <v>0</v>
      </c>
      <c r="K18" s="23"/>
      <c r="L18" s="23">
        <f>100-J18-K18</f>
        <v>100</v>
      </c>
      <c r="M18" s="23" t="str">
        <f t="shared" ref="M18:M26" si="15">IF(L18&lt;71,"KL",IF(AND(L18&gt;=71,L18&lt;81),"C",IF(AND(L18&gt;=81,L18&lt;91),"B","A")))</f>
        <v>A</v>
      </c>
      <c r="N18" s="23" t="str">
        <f t="shared" ref="N18:N26" si="16">IF(M18="A","100% LTT",IF(M18="B","90% LTT",IF(M18="C","80% LTT","60% LTT")))</f>
        <v>100% LTT</v>
      </c>
    </row>
    <row r="19" spans="1:14" ht="19.5" customHeight="1" x14ac:dyDescent="0.3">
      <c r="A19" s="15">
        <f>A18+1</f>
        <v>11</v>
      </c>
      <c r="B19" s="16" t="s">
        <v>13</v>
      </c>
      <c r="C19" s="15" t="s">
        <v>101</v>
      </c>
      <c r="D19" s="15"/>
      <c r="E19" s="15"/>
      <c r="F19" s="15">
        <v>2</v>
      </c>
      <c r="G19" s="15">
        <f t="shared" si="12"/>
        <v>0</v>
      </c>
      <c r="H19" s="15">
        <f t="shared" si="12"/>
        <v>0</v>
      </c>
      <c r="I19" s="15">
        <f t="shared" si="13"/>
        <v>0</v>
      </c>
      <c r="J19" s="15">
        <f t="shared" si="14"/>
        <v>0</v>
      </c>
      <c r="K19" s="15">
        <v>4</v>
      </c>
      <c r="L19" s="15">
        <f>100-J19-K19</f>
        <v>96</v>
      </c>
      <c r="M19" s="15" t="str">
        <f t="shared" si="15"/>
        <v>A</v>
      </c>
      <c r="N19" s="15" t="str">
        <f>IF(M19="A","100% LTT",IF(M19="B","90% LTT",IF(M19="C","80% LTT","60% LTT")))</f>
        <v>100% LTT</v>
      </c>
    </row>
    <row r="20" spans="1:14" ht="19.5" customHeight="1" x14ac:dyDescent="0.3">
      <c r="A20" s="15">
        <f t="shared" ref="A20:A26" si="17">A19+1</f>
        <v>12</v>
      </c>
      <c r="B20" s="16" t="s">
        <v>14</v>
      </c>
      <c r="C20" s="15" t="s">
        <v>19</v>
      </c>
      <c r="D20" s="15"/>
      <c r="E20" s="15"/>
      <c r="F20" s="15"/>
      <c r="G20" s="15">
        <f t="shared" si="12"/>
        <v>0</v>
      </c>
      <c r="H20" s="15">
        <f t="shared" si="12"/>
        <v>0</v>
      </c>
      <c r="I20" s="15">
        <f t="shared" si="13"/>
        <v>0</v>
      </c>
      <c r="J20" s="15">
        <f t="shared" si="14"/>
        <v>0</v>
      </c>
      <c r="K20" s="15">
        <v>5</v>
      </c>
      <c r="L20" s="15">
        <f t="shared" ref="L20:L26" si="18">100-J20-K20</f>
        <v>95</v>
      </c>
      <c r="M20" s="15" t="str">
        <f t="shared" si="15"/>
        <v>A</v>
      </c>
      <c r="N20" s="15" t="str">
        <f t="shared" si="16"/>
        <v>100% LTT</v>
      </c>
    </row>
    <row r="21" spans="1:14" ht="19.5" customHeight="1" x14ac:dyDescent="0.3">
      <c r="A21" s="15">
        <f t="shared" si="17"/>
        <v>13</v>
      </c>
      <c r="B21" s="16" t="s">
        <v>40</v>
      </c>
      <c r="C21" s="15" t="s">
        <v>19</v>
      </c>
      <c r="D21" s="15"/>
      <c r="E21" s="15"/>
      <c r="F21" s="15"/>
      <c r="G21" s="15">
        <f t="shared" si="12"/>
        <v>0</v>
      </c>
      <c r="H21" s="15">
        <f t="shared" si="12"/>
        <v>0</v>
      </c>
      <c r="I21" s="15">
        <f t="shared" si="13"/>
        <v>0</v>
      </c>
      <c r="J21" s="15">
        <f t="shared" si="14"/>
        <v>0</v>
      </c>
      <c r="K21" s="15">
        <v>4</v>
      </c>
      <c r="L21" s="15">
        <f>100-J21-K21</f>
        <v>96</v>
      </c>
      <c r="M21" s="15" t="str">
        <f t="shared" si="15"/>
        <v>A</v>
      </c>
      <c r="N21" s="15" t="str">
        <f t="shared" si="16"/>
        <v>100% LTT</v>
      </c>
    </row>
    <row r="22" spans="1:14" ht="19.5" customHeight="1" x14ac:dyDescent="0.3">
      <c r="A22" s="15">
        <f t="shared" si="17"/>
        <v>14</v>
      </c>
      <c r="B22" s="16" t="s">
        <v>130</v>
      </c>
      <c r="C22" s="15" t="s">
        <v>131</v>
      </c>
      <c r="D22" s="15"/>
      <c r="E22" s="15"/>
      <c r="F22" s="15"/>
      <c r="G22" s="15">
        <f t="shared" si="12"/>
        <v>0</v>
      </c>
      <c r="H22" s="15">
        <f t="shared" si="12"/>
        <v>0</v>
      </c>
      <c r="I22" s="15">
        <f t="shared" si="13"/>
        <v>0</v>
      </c>
      <c r="J22" s="15">
        <f t="shared" si="14"/>
        <v>0</v>
      </c>
      <c r="K22" s="15">
        <v>8</v>
      </c>
      <c r="L22" s="15">
        <f t="shared" ref="L22:L23" si="19">100-J22-K22</f>
        <v>92</v>
      </c>
      <c r="M22" s="15" t="str">
        <f t="shared" si="15"/>
        <v>A</v>
      </c>
      <c r="N22" s="15" t="str">
        <f t="shared" si="16"/>
        <v>100% LTT</v>
      </c>
    </row>
    <row r="23" spans="1:14" ht="19.5" customHeight="1" x14ac:dyDescent="0.3">
      <c r="A23" s="15">
        <f t="shared" si="17"/>
        <v>15</v>
      </c>
      <c r="B23" s="16" t="s">
        <v>98</v>
      </c>
      <c r="C23" s="15" t="s">
        <v>102</v>
      </c>
      <c r="D23" s="15"/>
      <c r="E23" s="15"/>
      <c r="F23" s="15"/>
      <c r="G23" s="15">
        <f t="shared" si="12"/>
        <v>0</v>
      </c>
      <c r="H23" s="15">
        <f t="shared" si="12"/>
        <v>0</v>
      </c>
      <c r="I23" s="15">
        <f t="shared" si="13"/>
        <v>0</v>
      </c>
      <c r="J23" s="15">
        <f t="shared" si="14"/>
        <v>0</v>
      </c>
      <c r="K23" s="15">
        <v>8</v>
      </c>
      <c r="L23" s="15">
        <f t="shared" si="19"/>
        <v>92</v>
      </c>
      <c r="M23" s="15" t="str">
        <f t="shared" si="15"/>
        <v>A</v>
      </c>
      <c r="N23" s="15" t="str">
        <f t="shared" si="16"/>
        <v>100% LTT</v>
      </c>
    </row>
    <row r="24" spans="1:14" ht="19.5" customHeight="1" x14ac:dyDescent="0.3">
      <c r="A24" s="15">
        <f t="shared" si="17"/>
        <v>16</v>
      </c>
      <c r="B24" s="16" t="s">
        <v>99</v>
      </c>
      <c r="C24" s="15" t="s">
        <v>102</v>
      </c>
      <c r="D24" s="15"/>
      <c r="E24" s="15"/>
      <c r="F24" s="15"/>
      <c r="G24" s="15">
        <f t="shared" si="12"/>
        <v>0</v>
      </c>
      <c r="H24" s="15">
        <f t="shared" si="12"/>
        <v>0</v>
      </c>
      <c r="I24" s="15">
        <f t="shared" si="13"/>
        <v>0</v>
      </c>
      <c r="J24" s="15">
        <f t="shared" si="14"/>
        <v>0</v>
      </c>
      <c r="K24" s="15">
        <v>8</v>
      </c>
      <c r="L24" s="15">
        <f t="shared" si="18"/>
        <v>92</v>
      </c>
      <c r="M24" s="15" t="str">
        <f t="shared" si="15"/>
        <v>A</v>
      </c>
      <c r="N24" s="15" t="str">
        <f t="shared" si="16"/>
        <v>100% LTT</v>
      </c>
    </row>
    <row r="25" spans="1:14" ht="19.5" customHeight="1" x14ac:dyDescent="0.3">
      <c r="A25" s="15">
        <f t="shared" si="17"/>
        <v>17</v>
      </c>
      <c r="B25" s="16" t="s">
        <v>100</v>
      </c>
      <c r="C25" s="15" t="s">
        <v>102</v>
      </c>
      <c r="D25" s="15"/>
      <c r="E25" s="15"/>
      <c r="F25" s="15"/>
      <c r="G25" s="15">
        <f t="shared" si="12"/>
        <v>0</v>
      </c>
      <c r="H25" s="15">
        <f t="shared" si="12"/>
        <v>0</v>
      </c>
      <c r="I25" s="15">
        <f t="shared" si="13"/>
        <v>0</v>
      </c>
      <c r="J25" s="15">
        <f t="shared" si="14"/>
        <v>0</v>
      </c>
      <c r="K25" s="15">
        <v>5</v>
      </c>
      <c r="L25" s="15">
        <f t="shared" si="18"/>
        <v>95</v>
      </c>
      <c r="M25" s="15" t="str">
        <f t="shared" si="15"/>
        <v>A</v>
      </c>
      <c r="N25" s="15" t="str">
        <f t="shared" si="16"/>
        <v>100% LTT</v>
      </c>
    </row>
    <row r="26" spans="1:14" ht="19.5" customHeight="1" x14ac:dyDescent="0.3">
      <c r="A26" s="15">
        <f t="shared" si="17"/>
        <v>18</v>
      </c>
      <c r="B26" s="18" t="s">
        <v>116</v>
      </c>
      <c r="C26" s="17" t="s">
        <v>107</v>
      </c>
      <c r="D26" s="17"/>
      <c r="E26" s="17"/>
      <c r="F26" s="17"/>
      <c r="G26" s="15">
        <f t="shared" si="12"/>
        <v>0</v>
      </c>
      <c r="H26" s="15">
        <f t="shared" si="12"/>
        <v>0</v>
      </c>
      <c r="I26" s="15">
        <f t="shared" si="13"/>
        <v>0</v>
      </c>
      <c r="J26" s="15">
        <f t="shared" si="14"/>
        <v>0</v>
      </c>
      <c r="K26" s="17">
        <v>8</v>
      </c>
      <c r="L26" s="15">
        <f t="shared" si="18"/>
        <v>92</v>
      </c>
      <c r="M26" s="15" t="str">
        <f t="shared" si="15"/>
        <v>A</v>
      </c>
      <c r="N26" s="17" t="str">
        <f t="shared" si="16"/>
        <v>100% LTT</v>
      </c>
    </row>
    <row r="27" spans="1:14" ht="22.5" customHeight="1" x14ac:dyDescent="0.3">
      <c r="A27" s="180" t="s">
        <v>132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</row>
    <row r="28" spans="1:14" ht="22.5" customHeight="1" x14ac:dyDescent="0.3">
      <c r="J28" s="185" t="s">
        <v>127</v>
      </c>
      <c r="K28" s="185"/>
      <c r="L28" s="185"/>
      <c r="M28" s="185"/>
      <c r="N28" s="185"/>
    </row>
    <row r="29" spans="1:14" ht="22.5" customHeight="1" x14ac:dyDescent="0.3">
      <c r="B29" s="178" t="s">
        <v>22</v>
      </c>
      <c r="C29" s="178"/>
      <c r="D29" s="178"/>
      <c r="L29" s="178" t="s">
        <v>25</v>
      </c>
      <c r="M29" s="178"/>
      <c r="N29" s="178"/>
    </row>
    <row r="30" spans="1:14" ht="22.5" customHeight="1" x14ac:dyDescent="0.3">
      <c r="L30" s="101"/>
      <c r="M30" s="101"/>
    </row>
    <row r="31" spans="1:14" ht="22.5" customHeight="1" x14ac:dyDescent="0.3">
      <c r="L31" s="101"/>
      <c r="M31" s="101"/>
    </row>
    <row r="32" spans="1:14" ht="22.5" customHeight="1" x14ac:dyDescent="0.3">
      <c r="L32" s="101"/>
      <c r="M32" s="101"/>
    </row>
    <row r="33" spans="2:14" ht="22.5" customHeight="1" x14ac:dyDescent="0.3">
      <c r="B33" s="178" t="s">
        <v>28</v>
      </c>
      <c r="C33" s="178"/>
      <c r="D33" s="178"/>
      <c r="L33" s="178" t="s">
        <v>27</v>
      </c>
      <c r="M33" s="178"/>
      <c r="N33" s="178"/>
    </row>
    <row r="34" spans="2:14" ht="22.5" customHeight="1" x14ac:dyDescent="0.3">
      <c r="C34" s="1"/>
      <c r="D34" s="1"/>
    </row>
  </sheetData>
  <mergeCells count="25">
    <mergeCell ref="O4:O5"/>
    <mergeCell ref="A1:N1"/>
    <mergeCell ref="A2:N2"/>
    <mergeCell ref="A3:N3"/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L4:L5"/>
    <mergeCell ref="M4:M5"/>
    <mergeCell ref="N4:N5"/>
    <mergeCell ref="B33:D33"/>
    <mergeCell ref="L33:N33"/>
    <mergeCell ref="A6:C6"/>
    <mergeCell ref="A15:C15"/>
    <mergeCell ref="A17:C17"/>
    <mergeCell ref="A27:N27"/>
    <mergeCell ref="J28:N28"/>
    <mergeCell ref="B29:D29"/>
    <mergeCell ref="L29:N29"/>
  </mergeCells>
  <pageMargins left="0.23" right="0.2" top="0.4" bottom="0.33" header="0.3" footer="0.3"/>
  <pageSetup scale="70" orientation="landscape" verticalDpi="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workbookViewId="0">
      <pane xSplit="2" ySplit="6" topLeftCell="D7" activePane="bottomRight" state="frozen"/>
      <selection pane="topRight" activeCell="C1" sqref="C1"/>
      <selection pane="bottomLeft" activeCell="A7" sqref="A7"/>
      <selection pane="bottomRight" sqref="A1:XFD1048576"/>
    </sheetView>
  </sheetViews>
  <sheetFormatPr defaultColWidth="9.109375" defaultRowHeight="16.8" x14ac:dyDescent="0.3"/>
  <cols>
    <col min="1" max="1" width="6.109375" style="2" customWidth="1"/>
    <col min="2" max="2" width="24.6640625" style="1" customWidth="1"/>
    <col min="3" max="3" width="22" style="2" customWidth="1"/>
    <col min="4" max="6" width="11.33203125" style="2" customWidth="1"/>
    <col min="7" max="9" width="12.33203125" style="2" customWidth="1"/>
    <col min="10" max="10" width="12.44140625" style="2" customWidth="1"/>
    <col min="11" max="11" width="11.33203125" style="2" customWidth="1"/>
    <col min="12" max="12" width="12.109375" style="2" customWidth="1"/>
    <col min="13" max="13" width="9.44140625" style="2" customWidth="1"/>
    <col min="14" max="14" width="15" style="2" customWidth="1"/>
    <col min="15" max="15" width="53.88671875" style="2" customWidth="1"/>
    <col min="16" max="16384" width="9.109375" style="1"/>
  </cols>
  <sheetData>
    <row r="1" spans="1:15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5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</row>
    <row r="3" spans="1:15" ht="22.5" customHeight="1" x14ac:dyDescent="0.3">
      <c r="A3" s="179" t="s">
        <v>135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</row>
    <row r="4" spans="1:15" s="3" customFormat="1" ht="22.5" customHeight="1" x14ac:dyDescent="0.3">
      <c r="A4" s="180" t="s">
        <v>0</v>
      </c>
      <c r="B4" s="180" t="s">
        <v>1</v>
      </c>
      <c r="C4" s="180" t="s">
        <v>2</v>
      </c>
      <c r="D4" s="180" t="s">
        <v>23</v>
      </c>
      <c r="E4" s="180"/>
      <c r="F4" s="180"/>
      <c r="G4" s="181" t="s">
        <v>29</v>
      </c>
      <c r="H4" s="181" t="s">
        <v>30</v>
      </c>
      <c r="I4" s="181" t="s">
        <v>31</v>
      </c>
      <c r="J4" s="181" t="s">
        <v>96</v>
      </c>
      <c r="K4" s="181" t="s">
        <v>97</v>
      </c>
      <c r="L4" s="180" t="s">
        <v>6</v>
      </c>
      <c r="M4" s="180" t="s">
        <v>7</v>
      </c>
      <c r="N4" s="180" t="s">
        <v>8</v>
      </c>
      <c r="O4" s="183"/>
    </row>
    <row r="5" spans="1:15" s="3" customFormat="1" ht="49.8" customHeight="1" x14ac:dyDescent="0.3">
      <c r="A5" s="180"/>
      <c r="B5" s="180"/>
      <c r="C5" s="180"/>
      <c r="D5" s="104" t="s">
        <v>3</v>
      </c>
      <c r="E5" s="104" t="s">
        <v>4</v>
      </c>
      <c r="F5" s="104" t="s">
        <v>5</v>
      </c>
      <c r="G5" s="182"/>
      <c r="H5" s="182"/>
      <c r="I5" s="182"/>
      <c r="J5" s="182"/>
      <c r="K5" s="182"/>
      <c r="L5" s="180"/>
      <c r="M5" s="180"/>
      <c r="N5" s="180"/>
      <c r="O5" s="183"/>
    </row>
    <row r="6" spans="1:15" ht="19.5" customHeight="1" x14ac:dyDescent="0.3">
      <c r="A6" s="184" t="s">
        <v>15</v>
      </c>
      <c r="B6" s="184"/>
      <c r="C6" s="18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5" ht="19.5" customHeight="1" x14ac:dyDescent="0.3">
      <c r="A7" s="15">
        <v>1</v>
      </c>
      <c r="B7" s="16" t="s">
        <v>49</v>
      </c>
      <c r="C7" s="15" t="s">
        <v>19</v>
      </c>
      <c r="D7" s="15">
        <v>2</v>
      </c>
      <c r="E7" s="15"/>
      <c r="F7" s="15"/>
      <c r="G7" s="15">
        <f t="shared" ref="G7:H14" si="0">IF(D7&gt;5,(D7-5)*2,0)</f>
        <v>0</v>
      </c>
      <c r="H7" s="15">
        <f t="shared" si="0"/>
        <v>0</v>
      </c>
      <c r="I7" s="15">
        <f t="shared" ref="I7:I14" si="1">IF(F7&gt;2,(F7-2)*1,0)</f>
        <v>0</v>
      </c>
      <c r="J7" s="15">
        <f>SUM(G7:I7)</f>
        <v>0</v>
      </c>
      <c r="K7" s="15">
        <v>3</v>
      </c>
      <c r="L7" s="15">
        <f t="shared" ref="L7:L14" si="2">100-J7-K7</f>
        <v>97</v>
      </c>
      <c r="M7" s="15" t="str">
        <f>IF(L7&lt;71,"KL",IF(AND(L7&gt;=71,L7&lt;81),"C",IF(AND(L7&gt;=81,L7&lt;91),"B","A")))</f>
        <v>A</v>
      </c>
      <c r="N7" s="15" t="str">
        <f>IF(M7="A","100% LTT",IF(M7="B","90% LTT",IF(M7="C","80% LTT","60% LTT")))</f>
        <v>100% LTT</v>
      </c>
      <c r="O7" s="11" t="s">
        <v>33</v>
      </c>
    </row>
    <row r="8" spans="1:15" ht="19.5" customHeight="1" x14ac:dyDescent="0.3">
      <c r="A8" s="15">
        <f t="shared" ref="A8:A14" si="3">A7+1</f>
        <v>2</v>
      </c>
      <c r="B8" s="16" t="s">
        <v>52</v>
      </c>
      <c r="C8" s="15" t="s">
        <v>19</v>
      </c>
      <c r="D8" s="15"/>
      <c r="E8" s="15"/>
      <c r="F8" s="15"/>
      <c r="G8" s="15">
        <f t="shared" si="0"/>
        <v>0</v>
      </c>
      <c r="H8" s="15">
        <f t="shared" si="0"/>
        <v>0</v>
      </c>
      <c r="I8" s="15">
        <f t="shared" si="1"/>
        <v>0</v>
      </c>
      <c r="J8" s="15">
        <f t="shared" ref="J8:J14" si="4">SUM(G8:I8)</f>
        <v>0</v>
      </c>
      <c r="K8" s="15"/>
      <c r="L8" s="15">
        <f t="shared" si="2"/>
        <v>100</v>
      </c>
      <c r="M8" s="15" t="str">
        <f t="shared" ref="M8:M14" si="5">IF(L8&lt;71,"KL",IF(AND(L8&gt;=71,L8&lt;81),"C",IF(AND(L8&gt;=81,L8&lt;91),"B","A")))</f>
        <v>A</v>
      </c>
      <c r="N8" s="15" t="str">
        <f t="shared" ref="N8:N14" si="6">IF(M8="A","100% LTT",IF(M8="B","90% LTT",IF(M8="C","80% LTT","60% LTT")))</f>
        <v>100% LTT</v>
      </c>
      <c r="O8" s="34"/>
    </row>
    <row r="9" spans="1:15" ht="19.5" customHeight="1" x14ac:dyDescent="0.3">
      <c r="A9" s="15">
        <f t="shared" si="3"/>
        <v>3</v>
      </c>
      <c r="B9" s="16" t="s">
        <v>57</v>
      </c>
      <c r="C9" s="15" t="s">
        <v>19</v>
      </c>
      <c r="D9" s="15"/>
      <c r="E9" s="15"/>
      <c r="F9" s="15"/>
      <c r="G9" s="15">
        <f t="shared" si="0"/>
        <v>0</v>
      </c>
      <c r="H9" s="15">
        <f t="shared" si="0"/>
        <v>0</v>
      </c>
      <c r="I9" s="15">
        <f t="shared" si="1"/>
        <v>0</v>
      </c>
      <c r="J9" s="15">
        <f t="shared" si="4"/>
        <v>0</v>
      </c>
      <c r="K9" s="15"/>
      <c r="L9" s="15">
        <f t="shared" si="2"/>
        <v>100</v>
      </c>
      <c r="M9" s="15" t="str">
        <f t="shared" si="5"/>
        <v>A</v>
      </c>
      <c r="N9" s="15" t="str">
        <f t="shared" si="6"/>
        <v>100% LTT</v>
      </c>
      <c r="O9" s="35"/>
    </row>
    <row r="10" spans="1:15" ht="19.5" customHeight="1" x14ac:dyDescent="0.3">
      <c r="A10" s="15">
        <f t="shared" si="3"/>
        <v>4</v>
      </c>
      <c r="B10" s="16" t="s">
        <v>58</v>
      </c>
      <c r="C10" s="15" t="s">
        <v>19</v>
      </c>
      <c r="D10" s="15"/>
      <c r="E10" s="15"/>
      <c r="F10" s="15"/>
      <c r="G10" s="15">
        <f t="shared" si="0"/>
        <v>0</v>
      </c>
      <c r="H10" s="15">
        <f t="shared" si="0"/>
        <v>0</v>
      </c>
      <c r="I10" s="15">
        <f t="shared" si="1"/>
        <v>0</v>
      </c>
      <c r="J10" s="15">
        <f t="shared" si="4"/>
        <v>0</v>
      </c>
      <c r="K10" s="15"/>
      <c r="L10" s="15">
        <f t="shared" si="2"/>
        <v>100</v>
      </c>
      <c r="M10" s="15" t="str">
        <f t="shared" si="5"/>
        <v>A</v>
      </c>
      <c r="N10" s="15" t="str">
        <f t="shared" si="6"/>
        <v>100% LTT</v>
      </c>
      <c r="O10" s="35"/>
    </row>
    <row r="11" spans="1:15" ht="19.5" customHeight="1" x14ac:dyDescent="0.3">
      <c r="A11" s="15">
        <f t="shared" si="3"/>
        <v>5</v>
      </c>
      <c r="B11" s="16" t="s">
        <v>59</v>
      </c>
      <c r="C11" s="15" t="s">
        <v>19</v>
      </c>
      <c r="D11" s="15"/>
      <c r="E11" s="15"/>
      <c r="F11" s="15"/>
      <c r="G11" s="15">
        <f t="shared" si="0"/>
        <v>0</v>
      </c>
      <c r="H11" s="15">
        <f t="shared" si="0"/>
        <v>0</v>
      </c>
      <c r="I11" s="15">
        <f t="shared" si="1"/>
        <v>0</v>
      </c>
      <c r="J11" s="15">
        <f t="shared" si="4"/>
        <v>0</v>
      </c>
      <c r="K11" s="15"/>
      <c r="L11" s="15">
        <f t="shared" si="2"/>
        <v>100</v>
      </c>
      <c r="M11" s="15" t="str">
        <f t="shared" si="5"/>
        <v>A</v>
      </c>
      <c r="N11" s="15" t="str">
        <f t="shared" si="6"/>
        <v>100% LTT</v>
      </c>
      <c r="O11" s="35"/>
    </row>
    <row r="12" spans="1:15" ht="19.5" customHeight="1" x14ac:dyDescent="0.3">
      <c r="A12" s="15">
        <f t="shared" si="3"/>
        <v>6</v>
      </c>
      <c r="B12" s="16" t="s">
        <v>53</v>
      </c>
      <c r="C12" s="15" t="s">
        <v>19</v>
      </c>
      <c r="D12" s="15"/>
      <c r="E12" s="15"/>
      <c r="F12" s="15"/>
      <c r="G12" s="15">
        <f t="shared" si="0"/>
        <v>0</v>
      </c>
      <c r="H12" s="15">
        <f t="shared" si="0"/>
        <v>0</v>
      </c>
      <c r="I12" s="15">
        <f t="shared" si="1"/>
        <v>0</v>
      </c>
      <c r="J12" s="15">
        <f t="shared" si="4"/>
        <v>0</v>
      </c>
      <c r="K12" s="15"/>
      <c r="L12" s="15">
        <f t="shared" si="2"/>
        <v>100</v>
      </c>
      <c r="M12" s="15" t="str">
        <f t="shared" si="5"/>
        <v>A</v>
      </c>
      <c r="N12" s="15" t="str">
        <f t="shared" si="6"/>
        <v>100% LTT</v>
      </c>
      <c r="O12" s="35"/>
    </row>
    <row r="13" spans="1:15" ht="19.5" customHeight="1" x14ac:dyDescent="0.3">
      <c r="A13" s="15">
        <f t="shared" si="3"/>
        <v>7</v>
      </c>
      <c r="B13" s="16" t="s">
        <v>54</v>
      </c>
      <c r="C13" s="15" t="s">
        <v>19</v>
      </c>
      <c r="D13" s="15"/>
      <c r="E13" s="15"/>
      <c r="F13" s="15"/>
      <c r="G13" s="15">
        <f t="shared" si="0"/>
        <v>0</v>
      </c>
      <c r="H13" s="15">
        <f t="shared" si="0"/>
        <v>0</v>
      </c>
      <c r="I13" s="15">
        <f t="shared" si="1"/>
        <v>0</v>
      </c>
      <c r="J13" s="15">
        <f t="shared" si="4"/>
        <v>0</v>
      </c>
      <c r="K13" s="15"/>
      <c r="L13" s="15">
        <f t="shared" si="2"/>
        <v>100</v>
      </c>
      <c r="M13" s="15" t="str">
        <f t="shared" si="5"/>
        <v>A</v>
      </c>
      <c r="N13" s="15" t="str">
        <f t="shared" si="6"/>
        <v>100% LTT</v>
      </c>
      <c r="O13" s="35"/>
    </row>
    <row r="14" spans="1:15" ht="19.5" customHeight="1" x14ac:dyDescent="0.3">
      <c r="A14" s="15">
        <f t="shared" si="3"/>
        <v>8</v>
      </c>
      <c r="B14" s="18" t="s">
        <v>11</v>
      </c>
      <c r="C14" s="17" t="s">
        <v>51</v>
      </c>
      <c r="D14" s="17">
        <v>2</v>
      </c>
      <c r="E14" s="17"/>
      <c r="F14" s="17">
        <v>1</v>
      </c>
      <c r="G14" s="17">
        <f t="shared" si="0"/>
        <v>0</v>
      </c>
      <c r="H14" s="17">
        <f t="shared" si="0"/>
        <v>0</v>
      </c>
      <c r="I14" s="17">
        <f t="shared" si="1"/>
        <v>0</v>
      </c>
      <c r="J14" s="17">
        <f t="shared" si="4"/>
        <v>0</v>
      </c>
      <c r="K14" s="17">
        <v>3</v>
      </c>
      <c r="L14" s="15">
        <f t="shared" si="2"/>
        <v>97</v>
      </c>
      <c r="M14" s="17" t="str">
        <f t="shared" si="5"/>
        <v>A</v>
      </c>
      <c r="N14" s="17" t="str">
        <f t="shared" si="6"/>
        <v>100% LTT</v>
      </c>
      <c r="O14" s="35"/>
    </row>
    <row r="15" spans="1:15" ht="19.5" customHeight="1" x14ac:dyDescent="0.3">
      <c r="A15" s="184" t="s">
        <v>16</v>
      </c>
      <c r="B15" s="184"/>
      <c r="C15" s="18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5" ht="19.5" customHeight="1" x14ac:dyDescent="0.3">
      <c r="A16" s="17">
        <f>A14+1</f>
        <v>9</v>
      </c>
      <c r="B16" s="18" t="s">
        <v>28</v>
      </c>
      <c r="C16" s="17" t="s">
        <v>121</v>
      </c>
      <c r="D16" s="4">
        <v>3</v>
      </c>
      <c r="E16" s="17"/>
      <c r="F16" s="17">
        <v>2</v>
      </c>
      <c r="G16" s="17">
        <f t="shared" ref="G16:H16" si="7">IF(D16&gt;5,(D16-5)*2,0)</f>
        <v>0</v>
      </c>
      <c r="H16" s="17">
        <f t="shared" si="7"/>
        <v>0</v>
      </c>
      <c r="I16" s="17">
        <f t="shared" ref="I16" si="8">IF(F16&gt;2,(F16-2)*1,0)</f>
        <v>0</v>
      </c>
      <c r="J16" s="17">
        <f t="shared" ref="J16" si="9">SUM(G16:I16)</f>
        <v>0</v>
      </c>
      <c r="K16" s="17"/>
      <c r="L16" s="17">
        <f>100-J16-K16</f>
        <v>100</v>
      </c>
      <c r="M16" s="17" t="str">
        <f t="shared" ref="M16" si="10">IF(L16&lt;71,"KL",IF(AND(L16&gt;=71,L16&lt;81),"C",IF(AND(L16&gt;=81,L16&lt;91),"B","A")))</f>
        <v>A</v>
      </c>
      <c r="N16" s="17" t="str">
        <f t="shared" ref="N16" si="11">IF(M16="A","100% LTT",IF(M16="B","90% LTT",IF(M16="C","80% LTT","60% LTT")))</f>
        <v>100% LTT</v>
      </c>
    </row>
    <row r="17" spans="1:14" ht="19.5" customHeight="1" x14ac:dyDescent="0.3">
      <c r="A17" s="184" t="s">
        <v>17</v>
      </c>
      <c r="B17" s="184"/>
      <c r="C17" s="18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ht="19.5" customHeight="1" x14ac:dyDescent="0.3">
      <c r="A18" s="15">
        <f>A16+1</f>
        <v>10</v>
      </c>
      <c r="B18" s="16" t="s">
        <v>13</v>
      </c>
      <c r="C18" s="15" t="s">
        <v>101</v>
      </c>
      <c r="D18" s="15">
        <v>1</v>
      </c>
      <c r="E18" s="15"/>
      <c r="F18" s="15"/>
      <c r="G18" s="15">
        <f t="shared" ref="G18:H26" si="12">IF(D18&gt;5,(D18-5)*2,0)</f>
        <v>0</v>
      </c>
      <c r="H18" s="15">
        <f t="shared" si="12"/>
        <v>0</v>
      </c>
      <c r="I18" s="15">
        <f t="shared" ref="I18:I26" si="13">IF(F18&gt;2,(F18-2)*1,0)</f>
        <v>0</v>
      </c>
      <c r="J18" s="15">
        <f t="shared" ref="J18:J26" si="14">SUM(G18:I18)</f>
        <v>0</v>
      </c>
      <c r="K18" s="15">
        <v>3</v>
      </c>
      <c r="L18" s="15">
        <f>100-J18-K18</f>
        <v>97</v>
      </c>
      <c r="M18" s="15" t="str">
        <f t="shared" ref="M18:M26" si="15">IF(L18&lt;71,"KL",IF(AND(L18&gt;=71,L18&lt;81),"C",IF(AND(L18&gt;=81,L18&lt;91),"B","A")))</f>
        <v>A</v>
      </c>
      <c r="N18" s="15" t="str">
        <f>IF(M18="A","100% LTT",IF(M18="B","90% LTT",IF(M18="C","80% LTT","60% LTT")))</f>
        <v>100% LTT</v>
      </c>
    </row>
    <row r="19" spans="1:14" ht="19.5" customHeight="1" x14ac:dyDescent="0.3">
      <c r="A19" s="15">
        <f t="shared" ref="A19:A20" si="16">A18+1</f>
        <v>11</v>
      </c>
      <c r="B19" s="16" t="s">
        <v>14</v>
      </c>
      <c r="C19" s="15" t="s">
        <v>19</v>
      </c>
      <c r="D19" s="15"/>
      <c r="E19" s="15"/>
      <c r="F19" s="15">
        <v>1</v>
      </c>
      <c r="G19" s="15">
        <f t="shared" si="12"/>
        <v>0</v>
      </c>
      <c r="H19" s="15">
        <f t="shared" si="12"/>
        <v>0</v>
      </c>
      <c r="I19" s="15">
        <f t="shared" si="13"/>
        <v>0</v>
      </c>
      <c r="J19" s="15">
        <f t="shared" si="14"/>
        <v>0</v>
      </c>
      <c r="K19" s="15">
        <v>4</v>
      </c>
      <c r="L19" s="15">
        <f t="shared" ref="L19:L26" si="17">100-J19-K19</f>
        <v>96</v>
      </c>
      <c r="M19" s="15" t="str">
        <f t="shared" si="15"/>
        <v>A</v>
      </c>
      <c r="N19" s="15" t="str">
        <f t="shared" ref="N19:N26" si="18">IF(M19="A","100% LTT",IF(M19="B","90% LTT",IF(M19="C","80% LTT","60% LTT")))</f>
        <v>100% LTT</v>
      </c>
    </row>
    <row r="20" spans="1:14" ht="19.5" customHeight="1" x14ac:dyDescent="0.3">
      <c r="A20" s="15">
        <f t="shared" si="16"/>
        <v>12</v>
      </c>
      <c r="B20" s="16" t="s">
        <v>40</v>
      </c>
      <c r="C20" s="15" t="s">
        <v>19</v>
      </c>
      <c r="D20" s="15"/>
      <c r="E20" s="15"/>
      <c r="F20" s="15"/>
      <c r="G20" s="15">
        <f t="shared" si="12"/>
        <v>0</v>
      </c>
      <c r="H20" s="15">
        <f t="shared" si="12"/>
        <v>0</v>
      </c>
      <c r="I20" s="15">
        <f t="shared" si="13"/>
        <v>0</v>
      </c>
      <c r="J20" s="15">
        <f t="shared" si="14"/>
        <v>0</v>
      </c>
      <c r="K20" s="15">
        <v>4</v>
      </c>
      <c r="L20" s="15">
        <f>100-J20-K20</f>
        <v>96</v>
      </c>
      <c r="M20" s="15" t="str">
        <f t="shared" si="15"/>
        <v>A</v>
      </c>
      <c r="N20" s="15" t="str">
        <f t="shared" si="18"/>
        <v>100% LTT</v>
      </c>
    </row>
    <row r="21" spans="1:14" ht="19.5" customHeight="1" x14ac:dyDescent="0.3">
      <c r="A21" s="15">
        <f>A20+1</f>
        <v>13</v>
      </c>
      <c r="B21" s="16" t="s">
        <v>136</v>
      </c>
      <c r="C21" s="15" t="s">
        <v>19</v>
      </c>
      <c r="D21" s="15"/>
      <c r="E21" s="15"/>
      <c r="F21" s="15"/>
      <c r="G21" s="15">
        <f t="shared" si="12"/>
        <v>0</v>
      </c>
      <c r="H21" s="15">
        <f t="shared" si="12"/>
        <v>0</v>
      </c>
      <c r="I21" s="15">
        <f t="shared" si="13"/>
        <v>0</v>
      </c>
      <c r="J21" s="15">
        <f t="shared" si="14"/>
        <v>0</v>
      </c>
      <c r="K21" s="15"/>
      <c r="L21" s="15">
        <f t="shared" ref="L21:L23" si="19">100-J21-K21</f>
        <v>100</v>
      </c>
      <c r="M21" s="15" t="str">
        <f t="shared" si="15"/>
        <v>A</v>
      </c>
      <c r="N21" s="15" t="str">
        <f t="shared" si="18"/>
        <v>100% LTT</v>
      </c>
    </row>
    <row r="22" spans="1:14" ht="19.5" customHeight="1" x14ac:dyDescent="0.3">
      <c r="A22" s="15">
        <f t="shared" ref="A22:A26" si="20">A21+1</f>
        <v>14</v>
      </c>
      <c r="B22" s="16" t="s">
        <v>130</v>
      </c>
      <c r="C22" s="15" t="s">
        <v>131</v>
      </c>
      <c r="D22" s="15"/>
      <c r="E22" s="15"/>
      <c r="F22" s="15"/>
      <c r="G22" s="15">
        <f t="shared" si="12"/>
        <v>0</v>
      </c>
      <c r="H22" s="15">
        <f t="shared" si="12"/>
        <v>0</v>
      </c>
      <c r="I22" s="15">
        <f t="shared" si="13"/>
        <v>0</v>
      </c>
      <c r="J22" s="15">
        <f t="shared" si="14"/>
        <v>0</v>
      </c>
      <c r="K22" s="15">
        <v>8</v>
      </c>
      <c r="L22" s="15">
        <f t="shared" si="19"/>
        <v>92</v>
      </c>
      <c r="M22" s="15" t="str">
        <f t="shared" si="15"/>
        <v>A</v>
      </c>
      <c r="N22" s="15" t="str">
        <f t="shared" si="18"/>
        <v>100% LTT</v>
      </c>
    </row>
    <row r="23" spans="1:14" ht="19.5" customHeight="1" x14ac:dyDescent="0.3">
      <c r="A23" s="15">
        <f t="shared" si="20"/>
        <v>15</v>
      </c>
      <c r="B23" s="16" t="s">
        <v>98</v>
      </c>
      <c r="C23" s="15" t="s">
        <v>102</v>
      </c>
      <c r="D23" s="15"/>
      <c r="E23" s="15"/>
      <c r="F23" s="15"/>
      <c r="G23" s="15">
        <f t="shared" si="12"/>
        <v>0</v>
      </c>
      <c r="H23" s="15">
        <f t="shared" si="12"/>
        <v>0</v>
      </c>
      <c r="I23" s="15">
        <f t="shared" si="13"/>
        <v>0</v>
      </c>
      <c r="J23" s="15">
        <f t="shared" si="14"/>
        <v>0</v>
      </c>
      <c r="K23" s="15">
        <v>8</v>
      </c>
      <c r="L23" s="15">
        <f t="shared" si="19"/>
        <v>92</v>
      </c>
      <c r="M23" s="15" t="str">
        <f t="shared" si="15"/>
        <v>A</v>
      </c>
      <c r="N23" s="15" t="str">
        <f t="shared" si="18"/>
        <v>100% LTT</v>
      </c>
    </row>
    <row r="24" spans="1:14" ht="19.5" customHeight="1" x14ac:dyDescent="0.3">
      <c r="A24" s="15">
        <f t="shared" si="20"/>
        <v>16</v>
      </c>
      <c r="B24" s="16" t="s">
        <v>99</v>
      </c>
      <c r="C24" s="15" t="s">
        <v>102</v>
      </c>
      <c r="D24" s="15"/>
      <c r="E24" s="15"/>
      <c r="F24" s="15"/>
      <c r="G24" s="15">
        <f t="shared" si="12"/>
        <v>0</v>
      </c>
      <c r="H24" s="15">
        <f t="shared" si="12"/>
        <v>0</v>
      </c>
      <c r="I24" s="15">
        <f t="shared" si="13"/>
        <v>0</v>
      </c>
      <c r="J24" s="15">
        <f t="shared" si="14"/>
        <v>0</v>
      </c>
      <c r="K24" s="15">
        <v>4</v>
      </c>
      <c r="L24" s="15">
        <f t="shared" si="17"/>
        <v>96</v>
      </c>
      <c r="M24" s="15" t="str">
        <f t="shared" si="15"/>
        <v>A</v>
      </c>
      <c r="N24" s="15" t="str">
        <f t="shared" si="18"/>
        <v>100% LTT</v>
      </c>
    </row>
    <row r="25" spans="1:14" ht="19.5" customHeight="1" x14ac:dyDescent="0.3">
      <c r="A25" s="15">
        <f t="shared" si="20"/>
        <v>17</v>
      </c>
      <c r="B25" s="16" t="s">
        <v>100</v>
      </c>
      <c r="C25" s="15" t="s">
        <v>102</v>
      </c>
      <c r="D25" s="15"/>
      <c r="E25" s="15"/>
      <c r="F25" s="15"/>
      <c r="G25" s="15">
        <f t="shared" si="12"/>
        <v>0</v>
      </c>
      <c r="H25" s="15">
        <f t="shared" si="12"/>
        <v>0</v>
      </c>
      <c r="I25" s="15">
        <f t="shared" si="13"/>
        <v>0</v>
      </c>
      <c r="J25" s="15">
        <f t="shared" si="14"/>
        <v>0</v>
      </c>
      <c r="K25" s="15">
        <v>4</v>
      </c>
      <c r="L25" s="15">
        <f t="shared" si="17"/>
        <v>96</v>
      </c>
      <c r="M25" s="15" t="str">
        <f t="shared" si="15"/>
        <v>A</v>
      </c>
      <c r="N25" s="15" t="str">
        <f t="shared" si="18"/>
        <v>100% LTT</v>
      </c>
    </row>
    <row r="26" spans="1:14" ht="19.5" customHeight="1" x14ac:dyDescent="0.3">
      <c r="A26" s="15">
        <f t="shared" si="20"/>
        <v>18</v>
      </c>
      <c r="B26" s="18" t="s">
        <v>116</v>
      </c>
      <c r="C26" s="17" t="s">
        <v>107</v>
      </c>
      <c r="D26" s="17"/>
      <c r="E26" s="17"/>
      <c r="F26" s="17"/>
      <c r="G26" s="15">
        <f t="shared" si="12"/>
        <v>0</v>
      </c>
      <c r="H26" s="15">
        <f t="shared" si="12"/>
        <v>0</v>
      </c>
      <c r="I26" s="15">
        <f t="shared" si="13"/>
        <v>0</v>
      </c>
      <c r="J26" s="15">
        <f t="shared" si="14"/>
        <v>0</v>
      </c>
      <c r="K26" s="17">
        <v>8</v>
      </c>
      <c r="L26" s="15">
        <f t="shared" si="17"/>
        <v>92</v>
      </c>
      <c r="M26" s="15" t="str">
        <f t="shared" si="15"/>
        <v>A</v>
      </c>
      <c r="N26" s="17" t="str">
        <f t="shared" si="18"/>
        <v>100% LTT</v>
      </c>
    </row>
    <row r="27" spans="1:14" ht="22.5" customHeight="1" x14ac:dyDescent="0.3">
      <c r="A27" s="180" t="s">
        <v>132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</row>
    <row r="28" spans="1:14" ht="22.5" customHeight="1" x14ac:dyDescent="0.3">
      <c r="J28" s="185" t="s">
        <v>127</v>
      </c>
      <c r="K28" s="185"/>
      <c r="L28" s="185"/>
      <c r="M28" s="185"/>
      <c r="N28" s="185"/>
    </row>
    <row r="29" spans="1:14" ht="22.5" customHeight="1" x14ac:dyDescent="0.3">
      <c r="B29" s="178" t="s">
        <v>22</v>
      </c>
      <c r="C29" s="178"/>
      <c r="D29" s="178"/>
      <c r="L29" s="178" t="s">
        <v>25</v>
      </c>
      <c r="M29" s="178"/>
      <c r="N29" s="178"/>
    </row>
    <row r="30" spans="1:14" ht="22.5" customHeight="1" x14ac:dyDescent="0.3">
      <c r="L30" s="103"/>
      <c r="M30" s="103"/>
    </row>
    <row r="31" spans="1:14" ht="22.5" customHeight="1" x14ac:dyDescent="0.3">
      <c r="L31" s="103"/>
      <c r="M31" s="103"/>
    </row>
    <row r="32" spans="1:14" ht="22.5" customHeight="1" x14ac:dyDescent="0.3">
      <c r="L32" s="103"/>
      <c r="M32" s="103"/>
    </row>
    <row r="33" spans="2:14" ht="22.5" customHeight="1" x14ac:dyDescent="0.3">
      <c r="B33" s="178" t="s">
        <v>28</v>
      </c>
      <c r="C33" s="178"/>
      <c r="D33" s="178"/>
      <c r="L33" s="178" t="s">
        <v>27</v>
      </c>
      <c r="M33" s="178"/>
      <c r="N33" s="178"/>
    </row>
    <row r="34" spans="2:14" ht="22.5" customHeight="1" x14ac:dyDescent="0.3">
      <c r="C34" s="1"/>
      <c r="D34" s="1"/>
    </row>
  </sheetData>
  <mergeCells count="25">
    <mergeCell ref="B33:D33"/>
    <mergeCell ref="L33:N33"/>
    <mergeCell ref="A6:C6"/>
    <mergeCell ref="A15:C15"/>
    <mergeCell ref="A17:C17"/>
    <mergeCell ref="A27:N27"/>
    <mergeCell ref="J28:N28"/>
    <mergeCell ref="B29:D29"/>
    <mergeCell ref="L29:N29"/>
    <mergeCell ref="O4:O5"/>
    <mergeCell ref="A1:N1"/>
    <mergeCell ref="A2:N2"/>
    <mergeCell ref="A3:N3"/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L4:L5"/>
    <mergeCell ref="M4:M5"/>
    <mergeCell ref="N4:N5"/>
  </mergeCells>
  <pageMargins left="0.32" right="0.33" top="0.4" bottom="0.43" header="0.3" footer="0.3"/>
  <pageSetup scale="70" orientation="landscape" verticalDpi="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workbookViewId="0">
      <pane xSplit="2" ySplit="6" topLeftCell="D7" activePane="bottomRight" state="frozen"/>
      <selection pane="topRight" activeCell="C1" sqref="C1"/>
      <selection pane="bottomLeft" activeCell="A7" sqref="A7"/>
      <selection pane="bottomRight" sqref="A1:XFD1048576"/>
    </sheetView>
  </sheetViews>
  <sheetFormatPr defaultColWidth="9.109375" defaultRowHeight="16.8" x14ac:dyDescent="0.3"/>
  <cols>
    <col min="1" max="1" width="6.109375" style="2" customWidth="1"/>
    <col min="2" max="2" width="24.6640625" style="1" customWidth="1"/>
    <col min="3" max="3" width="22" style="2" customWidth="1"/>
    <col min="4" max="6" width="11.33203125" style="2" customWidth="1"/>
    <col min="7" max="9" width="12.33203125" style="2" customWidth="1"/>
    <col min="10" max="10" width="12.44140625" style="2" customWidth="1"/>
    <col min="11" max="11" width="11.33203125" style="2" customWidth="1"/>
    <col min="12" max="12" width="12.109375" style="2" customWidth="1"/>
    <col min="13" max="13" width="9.44140625" style="2" customWidth="1"/>
    <col min="14" max="14" width="15" style="2" customWidth="1"/>
    <col min="15" max="15" width="53.88671875" style="2" customWidth="1"/>
    <col min="16" max="16384" width="9.109375" style="1"/>
  </cols>
  <sheetData>
    <row r="1" spans="1:15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5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</row>
    <row r="3" spans="1:15" ht="22.5" customHeight="1" x14ac:dyDescent="0.3">
      <c r="A3" s="179" t="s">
        <v>137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</row>
    <row r="4" spans="1:15" s="3" customFormat="1" ht="22.5" customHeight="1" x14ac:dyDescent="0.3">
      <c r="A4" s="180" t="s">
        <v>0</v>
      </c>
      <c r="B4" s="180" t="s">
        <v>1</v>
      </c>
      <c r="C4" s="180" t="s">
        <v>2</v>
      </c>
      <c r="D4" s="180" t="s">
        <v>23</v>
      </c>
      <c r="E4" s="180"/>
      <c r="F4" s="180"/>
      <c r="G4" s="181" t="s">
        <v>29</v>
      </c>
      <c r="H4" s="181" t="s">
        <v>30</v>
      </c>
      <c r="I4" s="181" t="s">
        <v>31</v>
      </c>
      <c r="J4" s="181" t="s">
        <v>96</v>
      </c>
      <c r="K4" s="181" t="s">
        <v>97</v>
      </c>
      <c r="L4" s="180" t="s">
        <v>6</v>
      </c>
      <c r="M4" s="180" t="s">
        <v>7</v>
      </c>
      <c r="N4" s="180" t="s">
        <v>8</v>
      </c>
      <c r="O4" s="183"/>
    </row>
    <row r="5" spans="1:15" s="3" customFormat="1" ht="49.8" customHeight="1" x14ac:dyDescent="0.3">
      <c r="A5" s="180"/>
      <c r="B5" s="180"/>
      <c r="C5" s="180"/>
      <c r="D5" s="106" t="s">
        <v>3</v>
      </c>
      <c r="E5" s="106" t="s">
        <v>4</v>
      </c>
      <c r="F5" s="106" t="s">
        <v>5</v>
      </c>
      <c r="G5" s="182"/>
      <c r="H5" s="182"/>
      <c r="I5" s="182"/>
      <c r="J5" s="182"/>
      <c r="K5" s="182"/>
      <c r="L5" s="180"/>
      <c r="M5" s="180"/>
      <c r="N5" s="180"/>
      <c r="O5" s="183"/>
    </row>
    <row r="6" spans="1:15" ht="19.5" customHeight="1" x14ac:dyDescent="0.3">
      <c r="A6" s="184" t="s">
        <v>15</v>
      </c>
      <c r="B6" s="184"/>
      <c r="C6" s="18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5" ht="19.5" customHeight="1" x14ac:dyDescent="0.3">
      <c r="A7" s="15">
        <v>1</v>
      </c>
      <c r="B7" s="16" t="s">
        <v>49</v>
      </c>
      <c r="C7" s="15" t="s">
        <v>19</v>
      </c>
      <c r="D7" s="15">
        <v>3</v>
      </c>
      <c r="E7" s="15">
        <v>1</v>
      </c>
      <c r="F7" s="15">
        <v>3</v>
      </c>
      <c r="G7" s="15">
        <f t="shared" ref="G7:H14" si="0">IF(D7&gt;5,(D7-5)*2,0)</f>
        <v>0</v>
      </c>
      <c r="H7" s="15">
        <f t="shared" si="0"/>
        <v>0</v>
      </c>
      <c r="I7" s="15">
        <f t="shared" ref="I7:I14" si="1">IF(F7&gt;2,(F7-2)*1,0)</f>
        <v>1</v>
      </c>
      <c r="J7" s="15">
        <f>SUM(G7:I7)</f>
        <v>1</v>
      </c>
      <c r="K7" s="15">
        <v>3</v>
      </c>
      <c r="L7" s="15">
        <f t="shared" ref="L7:L14" si="2">100-J7-K7</f>
        <v>96</v>
      </c>
      <c r="M7" s="15" t="str">
        <f>IF(L7&lt;71,"KL",IF(AND(L7&gt;=71,L7&lt;81),"C",IF(AND(L7&gt;=81,L7&lt;91),"B","A")))</f>
        <v>A</v>
      </c>
      <c r="N7" s="15" t="str">
        <f>IF(M7="A","100% LTT",IF(M7="B","90% LTT",IF(M7="C","80% LTT","60% LTT")))</f>
        <v>100% LTT</v>
      </c>
      <c r="O7" s="11" t="s">
        <v>33</v>
      </c>
    </row>
    <row r="8" spans="1:15" ht="19.5" customHeight="1" x14ac:dyDescent="0.3">
      <c r="A8" s="15">
        <f t="shared" ref="A8:A14" si="3">A7+1</f>
        <v>2</v>
      </c>
      <c r="B8" s="16" t="s">
        <v>52</v>
      </c>
      <c r="C8" s="15" t="s">
        <v>19</v>
      </c>
      <c r="D8" s="15"/>
      <c r="E8" s="15"/>
      <c r="F8" s="15"/>
      <c r="G8" s="15">
        <f t="shared" si="0"/>
        <v>0</v>
      </c>
      <c r="H8" s="15">
        <f t="shared" si="0"/>
        <v>0</v>
      </c>
      <c r="I8" s="15">
        <f t="shared" si="1"/>
        <v>0</v>
      </c>
      <c r="J8" s="15">
        <f t="shared" ref="J8:J14" si="4">SUM(G8:I8)</f>
        <v>0</v>
      </c>
      <c r="K8" s="15"/>
      <c r="L8" s="15">
        <f t="shared" si="2"/>
        <v>100</v>
      </c>
      <c r="M8" s="15" t="str">
        <f t="shared" ref="M8:M14" si="5">IF(L8&lt;71,"KL",IF(AND(L8&gt;=71,L8&lt;81),"C",IF(AND(L8&gt;=81,L8&lt;91),"B","A")))</f>
        <v>A</v>
      </c>
      <c r="N8" s="15" t="str">
        <f t="shared" ref="N8:N14" si="6">IF(M8="A","100% LTT",IF(M8="B","90% LTT",IF(M8="C","80% LTT","60% LTT")))</f>
        <v>100% LTT</v>
      </c>
      <c r="O8" s="34"/>
    </row>
    <row r="9" spans="1:15" ht="19.5" customHeight="1" x14ac:dyDescent="0.3">
      <c r="A9" s="15">
        <f t="shared" si="3"/>
        <v>3</v>
      </c>
      <c r="B9" s="16" t="s">
        <v>57</v>
      </c>
      <c r="C9" s="15" t="s">
        <v>19</v>
      </c>
      <c r="D9" s="15"/>
      <c r="E9" s="15"/>
      <c r="F9" s="15"/>
      <c r="G9" s="15">
        <f t="shared" si="0"/>
        <v>0</v>
      </c>
      <c r="H9" s="15">
        <f t="shared" si="0"/>
        <v>0</v>
      </c>
      <c r="I9" s="15">
        <f t="shared" si="1"/>
        <v>0</v>
      </c>
      <c r="J9" s="15">
        <f t="shared" si="4"/>
        <v>0</v>
      </c>
      <c r="K9" s="15"/>
      <c r="L9" s="15">
        <f t="shared" si="2"/>
        <v>100</v>
      </c>
      <c r="M9" s="15" t="str">
        <f t="shared" si="5"/>
        <v>A</v>
      </c>
      <c r="N9" s="15" t="str">
        <f t="shared" si="6"/>
        <v>100% LTT</v>
      </c>
      <c r="O9" s="35"/>
    </row>
    <row r="10" spans="1:15" ht="19.5" customHeight="1" x14ac:dyDescent="0.3">
      <c r="A10" s="15">
        <f t="shared" si="3"/>
        <v>4</v>
      </c>
      <c r="B10" s="16" t="s">
        <v>58</v>
      </c>
      <c r="C10" s="15" t="s">
        <v>19</v>
      </c>
      <c r="D10" s="15"/>
      <c r="E10" s="15"/>
      <c r="F10" s="15"/>
      <c r="G10" s="15">
        <f t="shared" si="0"/>
        <v>0</v>
      </c>
      <c r="H10" s="15">
        <f t="shared" si="0"/>
        <v>0</v>
      </c>
      <c r="I10" s="15">
        <f t="shared" si="1"/>
        <v>0</v>
      </c>
      <c r="J10" s="15">
        <f t="shared" si="4"/>
        <v>0</v>
      </c>
      <c r="K10" s="15"/>
      <c r="L10" s="15">
        <f t="shared" si="2"/>
        <v>100</v>
      </c>
      <c r="M10" s="15" t="str">
        <f t="shared" si="5"/>
        <v>A</v>
      </c>
      <c r="N10" s="15" t="str">
        <f t="shared" si="6"/>
        <v>100% LTT</v>
      </c>
      <c r="O10" s="35"/>
    </row>
    <row r="11" spans="1:15" ht="19.5" customHeight="1" x14ac:dyDescent="0.3">
      <c r="A11" s="15">
        <f t="shared" si="3"/>
        <v>5</v>
      </c>
      <c r="B11" s="16" t="s">
        <v>59</v>
      </c>
      <c r="C11" s="15" t="s">
        <v>19</v>
      </c>
      <c r="D11" s="15"/>
      <c r="E11" s="15"/>
      <c r="F11" s="15"/>
      <c r="G11" s="15">
        <f t="shared" si="0"/>
        <v>0</v>
      </c>
      <c r="H11" s="15">
        <f t="shared" si="0"/>
        <v>0</v>
      </c>
      <c r="I11" s="15">
        <f t="shared" si="1"/>
        <v>0</v>
      </c>
      <c r="J11" s="15">
        <f t="shared" si="4"/>
        <v>0</v>
      </c>
      <c r="K11" s="15"/>
      <c r="L11" s="15">
        <f t="shared" si="2"/>
        <v>100</v>
      </c>
      <c r="M11" s="15" t="str">
        <f t="shared" si="5"/>
        <v>A</v>
      </c>
      <c r="N11" s="15" t="str">
        <f t="shared" si="6"/>
        <v>100% LTT</v>
      </c>
      <c r="O11" s="35"/>
    </row>
    <row r="12" spans="1:15" ht="19.5" customHeight="1" x14ac:dyDescent="0.3">
      <c r="A12" s="15">
        <f t="shared" si="3"/>
        <v>6</v>
      </c>
      <c r="B12" s="16" t="s">
        <v>53</v>
      </c>
      <c r="C12" s="15" t="s">
        <v>19</v>
      </c>
      <c r="D12" s="15"/>
      <c r="E12" s="15"/>
      <c r="F12" s="15"/>
      <c r="G12" s="15">
        <f t="shared" si="0"/>
        <v>0</v>
      </c>
      <c r="H12" s="15">
        <f t="shared" si="0"/>
        <v>0</v>
      </c>
      <c r="I12" s="15">
        <f t="shared" si="1"/>
        <v>0</v>
      </c>
      <c r="J12" s="15">
        <f t="shared" si="4"/>
        <v>0</v>
      </c>
      <c r="K12" s="15"/>
      <c r="L12" s="15">
        <f t="shared" si="2"/>
        <v>100</v>
      </c>
      <c r="M12" s="15" t="str">
        <f t="shared" si="5"/>
        <v>A</v>
      </c>
      <c r="N12" s="15" t="str">
        <f t="shared" si="6"/>
        <v>100% LTT</v>
      </c>
      <c r="O12" s="35"/>
    </row>
    <row r="13" spans="1:15" ht="19.5" customHeight="1" x14ac:dyDescent="0.3">
      <c r="A13" s="15">
        <f t="shared" si="3"/>
        <v>7</v>
      </c>
      <c r="B13" s="16" t="s">
        <v>54</v>
      </c>
      <c r="C13" s="15" t="s">
        <v>19</v>
      </c>
      <c r="D13" s="15"/>
      <c r="E13" s="15"/>
      <c r="F13" s="15"/>
      <c r="G13" s="15">
        <f t="shared" si="0"/>
        <v>0</v>
      </c>
      <c r="H13" s="15">
        <f t="shared" si="0"/>
        <v>0</v>
      </c>
      <c r="I13" s="15">
        <f t="shared" si="1"/>
        <v>0</v>
      </c>
      <c r="J13" s="15">
        <f t="shared" si="4"/>
        <v>0</v>
      </c>
      <c r="K13" s="15"/>
      <c r="L13" s="15">
        <f t="shared" si="2"/>
        <v>100</v>
      </c>
      <c r="M13" s="15" t="str">
        <f t="shared" si="5"/>
        <v>A</v>
      </c>
      <c r="N13" s="15" t="str">
        <f t="shared" si="6"/>
        <v>100% LTT</v>
      </c>
      <c r="O13" s="35"/>
    </row>
    <row r="14" spans="1:15" ht="19.5" customHeight="1" x14ac:dyDescent="0.3">
      <c r="A14" s="15">
        <f t="shared" si="3"/>
        <v>8</v>
      </c>
      <c r="B14" s="18" t="s">
        <v>11</v>
      </c>
      <c r="C14" s="17" t="s">
        <v>51</v>
      </c>
      <c r="D14" s="17">
        <v>4</v>
      </c>
      <c r="E14" s="17"/>
      <c r="F14" s="17">
        <v>3</v>
      </c>
      <c r="G14" s="17">
        <f t="shared" si="0"/>
        <v>0</v>
      </c>
      <c r="H14" s="17">
        <f t="shared" si="0"/>
        <v>0</v>
      </c>
      <c r="I14" s="17">
        <f t="shared" si="1"/>
        <v>1</v>
      </c>
      <c r="J14" s="17">
        <f t="shared" si="4"/>
        <v>1</v>
      </c>
      <c r="K14" s="17">
        <v>3</v>
      </c>
      <c r="L14" s="15">
        <f t="shared" si="2"/>
        <v>96</v>
      </c>
      <c r="M14" s="17" t="str">
        <f t="shared" si="5"/>
        <v>A</v>
      </c>
      <c r="N14" s="17" t="str">
        <f t="shared" si="6"/>
        <v>100% LTT</v>
      </c>
      <c r="O14" s="35"/>
    </row>
    <row r="15" spans="1:15" ht="19.5" customHeight="1" x14ac:dyDescent="0.3">
      <c r="A15" s="184" t="s">
        <v>16</v>
      </c>
      <c r="B15" s="184"/>
      <c r="C15" s="18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5" ht="19.5" customHeight="1" x14ac:dyDescent="0.3">
      <c r="A16" s="17">
        <f>A14+1</f>
        <v>9</v>
      </c>
      <c r="B16" s="18" t="s">
        <v>28</v>
      </c>
      <c r="C16" s="17" t="s">
        <v>121</v>
      </c>
      <c r="D16" s="4"/>
      <c r="E16" s="17"/>
      <c r="F16" s="17"/>
      <c r="G16" s="17">
        <f t="shared" ref="G16:H16" si="7">IF(D16&gt;5,(D16-5)*2,0)</f>
        <v>0</v>
      </c>
      <c r="H16" s="17">
        <f t="shared" si="7"/>
        <v>0</v>
      </c>
      <c r="I16" s="17">
        <f t="shared" ref="I16" si="8">IF(F16&gt;2,(F16-2)*1,0)</f>
        <v>0</v>
      </c>
      <c r="J16" s="17">
        <f t="shared" ref="J16" si="9">SUM(G16:I16)</f>
        <v>0</v>
      </c>
      <c r="K16" s="17"/>
      <c r="L16" s="17">
        <f>100-J16-K16</f>
        <v>100</v>
      </c>
      <c r="M16" s="17" t="str">
        <f t="shared" ref="M16" si="10">IF(L16&lt;71,"KL",IF(AND(L16&gt;=71,L16&lt;81),"C",IF(AND(L16&gt;=81,L16&lt;91),"B","A")))</f>
        <v>A</v>
      </c>
      <c r="N16" s="17" t="str">
        <f t="shared" ref="N16" si="11">IF(M16="A","100% LTT",IF(M16="B","90% LTT",IF(M16="C","80% LTT","60% LTT")))</f>
        <v>100% LTT</v>
      </c>
    </row>
    <row r="17" spans="1:14" ht="19.5" customHeight="1" x14ac:dyDescent="0.3">
      <c r="A17" s="184" t="s">
        <v>17</v>
      </c>
      <c r="B17" s="184"/>
      <c r="C17" s="18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ht="19.5" customHeight="1" x14ac:dyDescent="0.3">
      <c r="A18" s="15">
        <f>A16+1</f>
        <v>10</v>
      </c>
      <c r="B18" s="16" t="s">
        <v>13</v>
      </c>
      <c r="C18" s="15" t="s">
        <v>101</v>
      </c>
      <c r="D18" s="15">
        <v>1</v>
      </c>
      <c r="E18" s="15"/>
      <c r="F18" s="15"/>
      <c r="G18" s="15">
        <f t="shared" ref="G18:H26" si="12">IF(D18&gt;5,(D18-5)*2,0)</f>
        <v>0</v>
      </c>
      <c r="H18" s="15">
        <f t="shared" si="12"/>
        <v>0</v>
      </c>
      <c r="I18" s="15">
        <f t="shared" ref="I18:I26" si="13">IF(F18&gt;2,(F18-2)*1,0)</f>
        <v>0</v>
      </c>
      <c r="J18" s="15">
        <f t="shared" ref="J18:J26" si="14">SUM(G18:I18)</f>
        <v>0</v>
      </c>
      <c r="K18" s="15">
        <v>3</v>
      </c>
      <c r="L18" s="15">
        <f>100-J18-K18</f>
        <v>97</v>
      </c>
      <c r="M18" s="15" t="str">
        <f t="shared" ref="M18:M26" si="15">IF(L18&lt;71,"KL",IF(AND(L18&gt;=71,L18&lt;81),"C",IF(AND(L18&gt;=81,L18&lt;91),"B","A")))</f>
        <v>A</v>
      </c>
      <c r="N18" s="15" t="str">
        <f>IF(M18="A","100% LTT",IF(M18="B","90% LTT",IF(M18="C","80% LTT","60% LTT")))</f>
        <v>100% LTT</v>
      </c>
    </row>
    <row r="19" spans="1:14" ht="19.5" customHeight="1" x14ac:dyDescent="0.3">
      <c r="A19" s="15">
        <f t="shared" ref="A19:A20" si="16">A18+1</f>
        <v>11</v>
      </c>
      <c r="B19" s="16" t="s">
        <v>14</v>
      </c>
      <c r="C19" s="15" t="s">
        <v>19</v>
      </c>
      <c r="D19" s="15">
        <v>1</v>
      </c>
      <c r="E19" s="15"/>
      <c r="F19" s="15">
        <v>1</v>
      </c>
      <c r="G19" s="15">
        <f t="shared" si="12"/>
        <v>0</v>
      </c>
      <c r="H19" s="15">
        <f t="shared" si="12"/>
        <v>0</v>
      </c>
      <c r="I19" s="15">
        <f t="shared" si="13"/>
        <v>0</v>
      </c>
      <c r="J19" s="15">
        <f t="shared" si="14"/>
        <v>0</v>
      </c>
      <c r="K19" s="15">
        <v>4</v>
      </c>
      <c r="L19" s="15">
        <f t="shared" ref="L19:L26" si="17">100-J19-K19</f>
        <v>96</v>
      </c>
      <c r="M19" s="15" t="str">
        <f t="shared" si="15"/>
        <v>A</v>
      </c>
      <c r="N19" s="15" t="str">
        <f t="shared" ref="N19:N26" si="18">IF(M19="A","100% LTT",IF(M19="B","90% LTT",IF(M19="C","80% LTT","60% LTT")))</f>
        <v>100% LTT</v>
      </c>
    </row>
    <row r="20" spans="1:14" ht="19.5" customHeight="1" x14ac:dyDescent="0.3">
      <c r="A20" s="15">
        <f t="shared" si="16"/>
        <v>12</v>
      </c>
      <c r="B20" s="16" t="s">
        <v>40</v>
      </c>
      <c r="C20" s="15" t="s">
        <v>19</v>
      </c>
      <c r="D20" s="15"/>
      <c r="E20" s="15"/>
      <c r="F20" s="15"/>
      <c r="G20" s="15">
        <f t="shared" si="12"/>
        <v>0</v>
      </c>
      <c r="H20" s="15">
        <f t="shared" si="12"/>
        <v>0</v>
      </c>
      <c r="I20" s="15">
        <f t="shared" si="13"/>
        <v>0</v>
      </c>
      <c r="J20" s="15">
        <f t="shared" si="14"/>
        <v>0</v>
      </c>
      <c r="K20" s="15">
        <v>4</v>
      </c>
      <c r="L20" s="15">
        <f>100-J20-K20</f>
        <v>96</v>
      </c>
      <c r="M20" s="15" t="str">
        <f t="shared" si="15"/>
        <v>A</v>
      </c>
      <c r="N20" s="15" t="str">
        <f t="shared" si="18"/>
        <v>100% LTT</v>
      </c>
    </row>
    <row r="21" spans="1:14" ht="19.5" customHeight="1" x14ac:dyDescent="0.3">
      <c r="A21" s="15">
        <f>A20+1</f>
        <v>13</v>
      </c>
      <c r="B21" s="16" t="s">
        <v>136</v>
      </c>
      <c r="C21" s="15" t="s">
        <v>19</v>
      </c>
      <c r="D21" s="15"/>
      <c r="E21" s="15"/>
      <c r="F21" s="15"/>
      <c r="G21" s="15">
        <f t="shared" si="12"/>
        <v>0</v>
      </c>
      <c r="H21" s="15">
        <f t="shared" si="12"/>
        <v>0</v>
      </c>
      <c r="I21" s="15">
        <f t="shared" si="13"/>
        <v>0</v>
      </c>
      <c r="J21" s="15">
        <f t="shared" si="14"/>
        <v>0</v>
      </c>
      <c r="K21" s="15"/>
      <c r="L21" s="15">
        <f t="shared" ref="L21:L23" si="19">100-J21-K21</f>
        <v>100</v>
      </c>
      <c r="M21" s="15" t="str">
        <f t="shared" si="15"/>
        <v>A</v>
      </c>
      <c r="N21" s="15" t="str">
        <f t="shared" si="18"/>
        <v>100% LTT</v>
      </c>
    </row>
    <row r="22" spans="1:14" ht="19.5" customHeight="1" x14ac:dyDescent="0.3">
      <c r="A22" s="15">
        <f t="shared" ref="A22:A26" si="20">A21+1</f>
        <v>14</v>
      </c>
      <c r="B22" s="16" t="s">
        <v>130</v>
      </c>
      <c r="C22" s="15" t="s">
        <v>131</v>
      </c>
      <c r="D22" s="15"/>
      <c r="E22" s="15"/>
      <c r="F22" s="15"/>
      <c r="G22" s="15">
        <f t="shared" si="12"/>
        <v>0</v>
      </c>
      <c r="H22" s="15">
        <f t="shared" si="12"/>
        <v>0</v>
      </c>
      <c r="I22" s="15">
        <f t="shared" si="13"/>
        <v>0</v>
      </c>
      <c r="J22" s="15">
        <f t="shared" si="14"/>
        <v>0</v>
      </c>
      <c r="K22" s="15">
        <v>1.5</v>
      </c>
      <c r="L22" s="15">
        <f t="shared" si="19"/>
        <v>98.5</v>
      </c>
      <c r="M22" s="15" t="str">
        <f t="shared" si="15"/>
        <v>A</v>
      </c>
      <c r="N22" s="15" t="str">
        <f t="shared" si="18"/>
        <v>100% LTT</v>
      </c>
    </row>
    <row r="23" spans="1:14" ht="19.5" customHeight="1" x14ac:dyDescent="0.3">
      <c r="A23" s="15">
        <f t="shared" si="20"/>
        <v>15</v>
      </c>
      <c r="B23" s="16" t="s">
        <v>98</v>
      </c>
      <c r="C23" s="15" t="s">
        <v>102</v>
      </c>
      <c r="D23" s="15"/>
      <c r="E23" s="15"/>
      <c r="F23" s="15"/>
      <c r="G23" s="15">
        <f t="shared" si="12"/>
        <v>0</v>
      </c>
      <c r="H23" s="15">
        <f t="shared" si="12"/>
        <v>0</v>
      </c>
      <c r="I23" s="15">
        <f t="shared" si="13"/>
        <v>0</v>
      </c>
      <c r="J23" s="15">
        <f t="shared" si="14"/>
        <v>0</v>
      </c>
      <c r="K23" s="15">
        <v>7</v>
      </c>
      <c r="L23" s="15">
        <f t="shared" si="19"/>
        <v>93</v>
      </c>
      <c r="M23" s="15" t="str">
        <f t="shared" si="15"/>
        <v>A</v>
      </c>
      <c r="N23" s="15" t="str">
        <f t="shared" si="18"/>
        <v>100% LTT</v>
      </c>
    </row>
    <row r="24" spans="1:14" ht="19.5" customHeight="1" x14ac:dyDescent="0.3">
      <c r="A24" s="15">
        <f t="shared" si="20"/>
        <v>16</v>
      </c>
      <c r="B24" s="16" t="s">
        <v>99</v>
      </c>
      <c r="C24" s="15" t="s">
        <v>102</v>
      </c>
      <c r="D24" s="15"/>
      <c r="E24" s="15"/>
      <c r="F24" s="15"/>
      <c r="G24" s="15">
        <f t="shared" si="12"/>
        <v>0</v>
      </c>
      <c r="H24" s="15">
        <f t="shared" si="12"/>
        <v>0</v>
      </c>
      <c r="I24" s="15">
        <f t="shared" si="13"/>
        <v>0</v>
      </c>
      <c r="J24" s="15">
        <f t="shared" si="14"/>
        <v>0</v>
      </c>
      <c r="K24" s="15">
        <v>4</v>
      </c>
      <c r="L24" s="15">
        <f t="shared" si="17"/>
        <v>96</v>
      </c>
      <c r="M24" s="15" t="str">
        <f t="shared" si="15"/>
        <v>A</v>
      </c>
      <c r="N24" s="15" t="str">
        <f t="shared" si="18"/>
        <v>100% LTT</v>
      </c>
    </row>
    <row r="25" spans="1:14" ht="19.5" customHeight="1" x14ac:dyDescent="0.3">
      <c r="A25" s="15">
        <f t="shared" si="20"/>
        <v>17</v>
      </c>
      <c r="B25" s="16" t="s">
        <v>100</v>
      </c>
      <c r="C25" s="15" t="s">
        <v>102</v>
      </c>
      <c r="D25" s="15"/>
      <c r="E25" s="15"/>
      <c r="F25" s="15"/>
      <c r="G25" s="15">
        <f t="shared" si="12"/>
        <v>0</v>
      </c>
      <c r="H25" s="15">
        <f t="shared" si="12"/>
        <v>0</v>
      </c>
      <c r="I25" s="15">
        <f t="shared" si="13"/>
        <v>0</v>
      </c>
      <c r="J25" s="15">
        <f t="shared" si="14"/>
        <v>0</v>
      </c>
      <c r="K25" s="15">
        <v>5</v>
      </c>
      <c r="L25" s="15">
        <f t="shared" si="17"/>
        <v>95</v>
      </c>
      <c r="M25" s="15" t="str">
        <f t="shared" si="15"/>
        <v>A</v>
      </c>
      <c r="N25" s="15" t="str">
        <f t="shared" si="18"/>
        <v>100% LTT</v>
      </c>
    </row>
    <row r="26" spans="1:14" ht="19.5" customHeight="1" x14ac:dyDescent="0.3">
      <c r="A26" s="15">
        <f t="shared" si="20"/>
        <v>18</v>
      </c>
      <c r="B26" s="18" t="s">
        <v>116</v>
      </c>
      <c r="C26" s="17" t="s">
        <v>107</v>
      </c>
      <c r="D26" s="17"/>
      <c r="E26" s="17"/>
      <c r="F26" s="17"/>
      <c r="G26" s="15">
        <f t="shared" si="12"/>
        <v>0</v>
      </c>
      <c r="H26" s="15">
        <f t="shared" si="12"/>
        <v>0</v>
      </c>
      <c r="I26" s="15">
        <f t="shared" si="13"/>
        <v>0</v>
      </c>
      <c r="J26" s="15">
        <f t="shared" si="14"/>
        <v>0</v>
      </c>
      <c r="K26" s="17">
        <v>8</v>
      </c>
      <c r="L26" s="15">
        <f t="shared" si="17"/>
        <v>92</v>
      </c>
      <c r="M26" s="15" t="str">
        <f t="shared" si="15"/>
        <v>A</v>
      </c>
      <c r="N26" s="17" t="str">
        <f t="shared" si="18"/>
        <v>100% LTT</v>
      </c>
    </row>
    <row r="27" spans="1:14" ht="22.5" customHeight="1" x14ac:dyDescent="0.3">
      <c r="A27" s="180" t="s">
        <v>132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</row>
    <row r="28" spans="1:14" ht="22.5" customHeight="1" x14ac:dyDescent="0.3">
      <c r="J28" s="185" t="s">
        <v>127</v>
      </c>
      <c r="K28" s="185"/>
      <c r="L28" s="185"/>
      <c r="M28" s="185"/>
      <c r="N28" s="185"/>
    </row>
    <row r="29" spans="1:14" ht="22.5" customHeight="1" x14ac:dyDescent="0.3">
      <c r="B29" s="178" t="s">
        <v>22</v>
      </c>
      <c r="C29" s="178"/>
      <c r="D29" s="178"/>
      <c r="L29" s="178" t="s">
        <v>25</v>
      </c>
      <c r="M29" s="178"/>
      <c r="N29" s="178"/>
    </row>
    <row r="30" spans="1:14" ht="22.5" customHeight="1" x14ac:dyDescent="0.3">
      <c r="L30" s="105"/>
      <c r="M30" s="105"/>
    </row>
    <row r="31" spans="1:14" ht="22.5" customHeight="1" x14ac:dyDescent="0.3">
      <c r="L31" s="105"/>
      <c r="M31" s="105"/>
    </row>
    <row r="32" spans="1:14" ht="22.5" customHeight="1" x14ac:dyDescent="0.3">
      <c r="L32" s="105"/>
      <c r="M32" s="105"/>
    </row>
    <row r="33" spans="2:14" ht="22.5" customHeight="1" x14ac:dyDescent="0.3">
      <c r="B33" s="178" t="s">
        <v>28</v>
      </c>
      <c r="C33" s="178"/>
      <c r="D33" s="178"/>
      <c r="L33" s="178" t="s">
        <v>27</v>
      </c>
      <c r="M33" s="178"/>
      <c r="N33" s="178"/>
    </row>
    <row r="34" spans="2:14" ht="22.5" customHeight="1" x14ac:dyDescent="0.3">
      <c r="C34" s="1"/>
      <c r="D34" s="1"/>
    </row>
  </sheetData>
  <mergeCells count="25">
    <mergeCell ref="B33:D33"/>
    <mergeCell ref="L33:N33"/>
    <mergeCell ref="A6:C6"/>
    <mergeCell ref="A15:C15"/>
    <mergeCell ref="A17:C17"/>
    <mergeCell ref="A27:N27"/>
    <mergeCell ref="J28:N28"/>
    <mergeCell ref="B29:D29"/>
    <mergeCell ref="L29:N29"/>
    <mergeCell ref="O4:O5"/>
    <mergeCell ref="A1:N1"/>
    <mergeCell ref="A2:N2"/>
    <mergeCell ref="A3:N3"/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L4:L5"/>
    <mergeCell ref="M4:M5"/>
    <mergeCell ref="N4:N5"/>
  </mergeCells>
  <pageMargins left="0.28000000000000003" right="0.2" top="0.42" bottom="0.35" header="0.3" footer="0.3"/>
  <pageSetup scale="70" orientation="landscape" verticalDpi="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workbookViewId="0">
      <pane xSplit="2" ySplit="6" topLeftCell="E7" activePane="bottomRight" state="frozen"/>
      <selection pane="topRight" activeCell="C1" sqref="C1"/>
      <selection pane="bottomLeft" activeCell="A7" sqref="A7"/>
      <selection pane="bottomRight" sqref="A1:XFD1048576"/>
    </sheetView>
  </sheetViews>
  <sheetFormatPr defaultColWidth="9.109375" defaultRowHeight="16.8" x14ac:dyDescent="0.3"/>
  <cols>
    <col min="1" max="1" width="6.109375" style="2" customWidth="1"/>
    <col min="2" max="2" width="24.6640625" style="1" customWidth="1"/>
    <col min="3" max="3" width="22" style="2" customWidth="1"/>
    <col min="4" max="6" width="11.33203125" style="2" customWidth="1"/>
    <col min="7" max="9" width="12.33203125" style="2" customWidth="1"/>
    <col min="10" max="10" width="12.44140625" style="2" customWidth="1"/>
    <col min="11" max="11" width="11.33203125" style="2" customWidth="1"/>
    <col min="12" max="12" width="12.109375" style="2" customWidth="1"/>
    <col min="13" max="13" width="9.44140625" style="2" customWidth="1"/>
    <col min="14" max="14" width="15" style="2" customWidth="1"/>
    <col min="15" max="15" width="53.88671875" style="2" customWidth="1"/>
    <col min="16" max="16384" width="9.109375" style="1"/>
  </cols>
  <sheetData>
    <row r="1" spans="1:15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5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</row>
    <row r="3" spans="1:15" ht="22.5" customHeight="1" x14ac:dyDescent="0.3">
      <c r="A3" s="179" t="s">
        <v>138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</row>
    <row r="4" spans="1:15" s="3" customFormat="1" ht="22.5" customHeight="1" x14ac:dyDescent="0.3">
      <c r="A4" s="180" t="s">
        <v>0</v>
      </c>
      <c r="B4" s="180" t="s">
        <v>1</v>
      </c>
      <c r="C4" s="180" t="s">
        <v>2</v>
      </c>
      <c r="D4" s="180" t="s">
        <v>23</v>
      </c>
      <c r="E4" s="180"/>
      <c r="F4" s="180"/>
      <c r="G4" s="181" t="s">
        <v>29</v>
      </c>
      <c r="H4" s="181" t="s">
        <v>30</v>
      </c>
      <c r="I4" s="181" t="s">
        <v>31</v>
      </c>
      <c r="J4" s="181" t="s">
        <v>96</v>
      </c>
      <c r="K4" s="181" t="s">
        <v>97</v>
      </c>
      <c r="L4" s="180" t="s">
        <v>6</v>
      </c>
      <c r="M4" s="180" t="s">
        <v>7</v>
      </c>
      <c r="N4" s="180" t="s">
        <v>8</v>
      </c>
      <c r="O4" s="183"/>
    </row>
    <row r="5" spans="1:15" s="3" customFormat="1" ht="49.8" customHeight="1" x14ac:dyDescent="0.3">
      <c r="A5" s="180"/>
      <c r="B5" s="180"/>
      <c r="C5" s="180"/>
      <c r="D5" s="108" t="s">
        <v>3</v>
      </c>
      <c r="E5" s="108" t="s">
        <v>4</v>
      </c>
      <c r="F5" s="108" t="s">
        <v>5</v>
      </c>
      <c r="G5" s="182"/>
      <c r="H5" s="182"/>
      <c r="I5" s="182"/>
      <c r="J5" s="182"/>
      <c r="K5" s="182"/>
      <c r="L5" s="180"/>
      <c r="M5" s="180"/>
      <c r="N5" s="180"/>
      <c r="O5" s="183"/>
    </row>
    <row r="6" spans="1:15" ht="19.5" customHeight="1" x14ac:dyDescent="0.3">
      <c r="A6" s="184" t="s">
        <v>15</v>
      </c>
      <c r="B6" s="184"/>
      <c r="C6" s="18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5" ht="19.5" customHeight="1" x14ac:dyDescent="0.3">
      <c r="A7" s="15">
        <v>1</v>
      </c>
      <c r="B7" s="16" t="s">
        <v>49</v>
      </c>
      <c r="C7" s="15" t="s">
        <v>19</v>
      </c>
      <c r="D7" s="15">
        <v>2</v>
      </c>
      <c r="E7" s="15"/>
      <c r="F7" s="15">
        <v>1</v>
      </c>
      <c r="G7" s="15">
        <f t="shared" ref="G7:H14" si="0">IF(D7&gt;5,(D7-5)*2,0)</f>
        <v>0</v>
      </c>
      <c r="H7" s="15">
        <f t="shared" si="0"/>
        <v>0</v>
      </c>
      <c r="I7" s="15">
        <f t="shared" ref="I7:I14" si="1">IF(F7&gt;2,(F7-2)*1,0)</f>
        <v>0</v>
      </c>
      <c r="J7" s="15">
        <f>SUM(G7:I7)</f>
        <v>0</v>
      </c>
      <c r="K7" s="15">
        <v>3</v>
      </c>
      <c r="L7" s="15">
        <f t="shared" ref="L7:L14" si="2">100-J7-K7</f>
        <v>97</v>
      </c>
      <c r="M7" s="15" t="str">
        <f>IF(L7&lt;71,"KL",IF(AND(L7&gt;=71,L7&lt;81),"C",IF(AND(L7&gt;=81,L7&lt;91),"B","A")))</f>
        <v>A</v>
      </c>
      <c r="N7" s="15" t="str">
        <f>IF(M7="A","100% LTT",IF(M7="B","90% LTT",IF(M7="C","80% LTT","60% LTT")))</f>
        <v>100% LTT</v>
      </c>
      <c r="O7" s="11" t="s">
        <v>33</v>
      </c>
    </row>
    <row r="8" spans="1:15" ht="19.5" customHeight="1" x14ac:dyDescent="0.3">
      <c r="A8" s="15">
        <f t="shared" ref="A8:A14" si="3">A7+1</f>
        <v>2</v>
      </c>
      <c r="B8" s="16" t="s">
        <v>52</v>
      </c>
      <c r="C8" s="15" t="s">
        <v>19</v>
      </c>
      <c r="D8" s="15"/>
      <c r="E8" s="15"/>
      <c r="F8" s="15"/>
      <c r="G8" s="15">
        <f t="shared" si="0"/>
        <v>0</v>
      </c>
      <c r="H8" s="15">
        <f t="shared" si="0"/>
        <v>0</v>
      </c>
      <c r="I8" s="15">
        <f t="shared" si="1"/>
        <v>0</v>
      </c>
      <c r="J8" s="15">
        <f t="shared" ref="J8:J14" si="4">SUM(G8:I8)</f>
        <v>0</v>
      </c>
      <c r="K8" s="15"/>
      <c r="L8" s="15">
        <f t="shared" si="2"/>
        <v>100</v>
      </c>
      <c r="M8" s="15" t="str">
        <f t="shared" ref="M8:M14" si="5">IF(L8&lt;71,"KL",IF(AND(L8&gt;=71,L8&lt;81),"C",IF(AND(L8&gt;=81,L8&lt;91),"B","A")))</f>
        <v>A</v>
      </c>
      <c r="N8" s="15" t="str">
        <f t="shared" ref="N8:N14" si="6">IF(M8="A","100% LTT",IF(M8="B","90% LTT",IF(M8="C","80% LTT","60% LTT")))</f>
        <v>100% LTT</v>
      </c>
      <c r="O8" s="34"/>
    </row>
    <row r="9" spans="1:15" ht="19.5" customHeight="1" x14ac:dyDescent="0.3">
      <c r="A9" s="15">
        <f t="shared" si="3"/>
        <v>3</v>
      </c>
      <c r="B9" s="16" t="s">
        <v>57</v>
      </c>
      <c r="C9" s="15" t="s">
        <v>19</v>
      </c>
      <c r="D9" s="15"/>
      <c r="E9" s="15"/>
      <c r="F9" s="15"/>
      <c r="G9" s="15">
        <f t="shared" si="0"/>
        <v>0</v>
      </c>
      <c r="H9" s="15">
        <f t="shared" si="0"/>
        <v>0</v>
      </c>
      <c r="I9" s="15">
        <f t="shared" si="1"/>
        <v>0</v>
      </c>
      <c r="J9" s="15">
        <f t="shared" si="4"/>
        <v>0</v>
      </c>
      <c r="K9" s="15"/>
      <c r="L9" s="15">
        <f t="shared" si="2"/>
        <v>100</v>
      </c>
      <c r="M9" s="15" t="str">
        <f t="shared" si="5"/>
        <v>A</v>
      </c>
      <c r="N9" s="15" t="str">
        <f t="shared" si="6"/>
        <v>100% LTT</v>
      </c>
      <c r="O9" s="35"/>
    </row>
    <row r="10" spans="1:15" ht="19.5" customHeight="1" x14ac:dyDescent="0.3">
      <c r="A10" s="15">
        <f t="shared" si="3"/>
        <v>4</v>
      </c>
      <c r="B10" s="16" t="s">
        <v>58</v>
      </c>
      <c r="C10" s="15" t="s">
        <v>19</v>
      </c>
      <c r="D10" s="15"/>
      <c r="E10" s="15"/>
      <c r="F10" s="15"/>
      <c r="G10" s="15">
        <f t="shared" si="0"/>
        <v>0</v>
      </c>
      <c r="H10" s="15">
        <f t="shared" si="0"/>
        <v>0</v>
      </c>
      <c r="I10" s="15">
        <f t="shared" si="1"/>
        <v>0</v>
      </c>
      <c r="J10" s="15">
        <f t="shared" si="4"/>
        <v>0</v>
      </c>
      <c r="K10" s="15"/>
      <c r="L10" s="15">
        <f t="shared" si="2"/>
        <v>100</v>
      </c>
      <c r="M10" s="15" t="str">
        <f t="shared" si="5"/>
        <v>A</v>
      </c>
      <c r="N10" s="15" t="str">
        <f t="shared" si="6"/>
        <v>100% LTT</v>
      </c>
      <c r="O10" s="35"/>
    </row>
    <row r="11" spans="1:15" ht="19.5" customHeight="1" x14ac:dyDescent="0.3">
      <c r="A11" s="15">
        <f t="shared" si="3"/>
        <v>5</v>
      </c>
      <c r="B11" s="16" t="s">
        <v>59</v>
      </c>
      <c r="C11" s="15" t="s">
        <v>19</v>
      </c>
      <c r="D11" s="15"/>
      <c r="E11" s="15"/>
      <c r="F11" s="15"/>
      <c r="G11" s="15">
        <f t="shared" si="0"/>
        <v>0</v>
      </c>
      <c r="H11" s="15">
        <f t="shared" si="0"/>
        <v>0</v>
      </c>
      <c r="I11" s="15">
        <f t="shared" si="1"/>
        <v>0</v>
      </c>
      <c r="J11" s="15">
        <f t="shared" si="4"/>
        <v>0</v>
      </c>
      <c r="K11" s="15"/>
      <c r="L11" s="15">
        <f t="shared" si="2"/>
        <v>100</v>
      </c>
      <c r="M11" s="15" t="str">
        <f t="shared" si="5"/>
        <v>A</v>
      </c>
      <c r="N11" s="15" t="str">
        <f t="shared" si="6"/>
        <v>100% LTT</v>
      </c>
      <c r="O11" s="35"/>
    </row>
    <row r="12" spans="1:15" ht="19.5" customHeight="1" x14ac:dyDescent="0.3">
      <c r="A12" s="15">
        <f t="shared" si="3"/>
        <v>6</v>
      </c>
      <c r="B12" s="16" t="s">
        <v>53</v>
      </c>
      <c r="C12" s="15" t="s">
        <v>19</v>
      </c>
      <c r="D12" s="15"/>
      <c r="E12" s="15"/>
      <c r="F12" s="15"/>
      <c r="G12" s="15">
        <f t="shared" si="0"/>
        <v>0</v>
      </c>
      <c r="H12" s="15">
        <f t="shared" si="0"/>
        <v>0</v>
      </c>
      <c r="I12" s="15">
        <f t="shared" si="1"/>
        <v>0</v>
      </c>
      <c r="J12" s="15">
        <f t="shared" si="4"/>
        <v>0</v>
      </c>
      <c r="K12" s="15"/>
      <c r="L12" s="15">
        <f t="shared" si="2"/>
        <v>100</v>
      </c>
      <c r="M12" s="15" t="str">
        <f t="shared" si="5"/>
        <v>A</v>
      </c>
      <c r="N12" s="15" t="str">
        <f t="shared" si="6"/>
        <v>100% LTT</v>
      </c>
      <c r="O12" s="35"/>
    </row>
    <row r="13" spans="1:15" ht="19.5" customHeight="1" x14ac:dyDescent="0.3">
      <c r="A13" s="15">
        <f t="shared" si="3"/>
        <v>7</v>
      </c>
      <c r="B13" s="16" t="s">
        <v>54</v>
      </c>
      <c r="C13" s="15" t="s">
        <v>19</v>
      </c>
      <c r="D13" s="15"/>
      <c r="E13" s="15"/>
      <c r="F13" s="15"/>
      <c r="G13" s="15">
        <f t="shared" si="0"/>
        <v>0</v>
      </c>
      <c r="H13" s="15">
        <f t="shared" si="0"/>
        <v>0</v>
      </c>
      <c r="I13" s="15">
        <f t="shared" si="1"/>
        <v>0</v>
      </c>
      <c r="J13" s="15">
        <f t="shared" si="4"/>
        <v>0</v>
      </c>
      <c r="K13" s="15"/>
      <c r="L13" s="15">
        <f t="shared" si="2"/>
        <v>100</v>
      </c>
      <c r="M13" s="15" t="str">
        <f t="shared" si="5"/>
        <v>A</v>
      </c>
      <c r="N13" s="15" t="str">
        <f t="shared" si="6"/>
        <v>100% LTT</v>
      </c>
      <c r="O13" s="35"/>
    </row>
    <row r="14" spans="1:15" ht="19.5" customHeight="1" x14ac:dyDescent="0.3">
      <c r="A14" s="15">
        <f t="shared" si="3"/>
        <v>8</v>
      </c>
      <c r="B14" s="18" t="s">
        <v>11</v>
      </c>
      <c r="C14" s="17" t="s">
        <v>51</v>
      </c>
      <c r="D14" s="17"/>
      <c r="E14" s="17"/>
      <c r="F14" s="17"/>
      <c r="G14" s="17">
        <f t="shared" si="0"/>
        <v>0</v>
      </c>
      <c r="H14" s="17">
        <f t="shared" si="0"/>
        <v>0</v>
      </c>
      <c r="I14" s="17">
        <f t="shared" si="1"/>
        <v>0</v>
      </c>
      <c r="J14" s="17">
        <f t="shared" si="4"/>
        <v>0</v>
      </c>
      <c r="K14" s="17">
        <v>3</v>
      </c>
      <c r="L14" s="15">
        <f t="shared" si="2"/>
        <v>97</v>
      </c>
      <c r="M14" s="17" t="str">
        <f t="shared" si="5"/>
        <v>A</v>
      </c>
      <c r="N14" s="17" t="str">
        <f t="shared" si="6"/>
        <v>100% LTT</v>
      </c>
      <c r="O14" s="35"/>
    </row>
    <row r="15" spans="1:15" ht="19.5" customHeight="1" x14ac:dyDescent="0.3">
      <c r="A15" s="184" t="s">
        <v>16</v>
      </c>
      <c r="B15" s="184"/>
      <c r="C15" s="18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5" ht="19.5" customHeight="1" x14ac:dyDescent="0.3">
      <c r="A16" s="17">
        <f>A14+1</f>
        <v>9</v>
      </c>
      <c r="B16" s="18" t="s">
        <v>28</v>
      </c>
      <c r="C16" s="17" t="s">
        <v>121</v>
      </c>
      <c r="D16" s="4">
        <v>2</v>
      </c>
      <c r="E16" s="17">
        <v>1</v>
      </c>
      <c r="F16" s="17"/>
      <c r="G16" s="17">
        <f t="shared" ref="G16:H16" si="7">IF(D16&gt;5,(D16-5)*2,0)</f>
        <v>0</v>
      </c>
      <c r="H16" s="17">
        <f t="shared" si="7"/>
        <v>0</v>
      </c>
      <c r="I16" s="17">
        <f t="shared" ref="I16" si="8">IF(F16&gt;2,(F16-2)*1,0)</f>
        <v>0</v>
      </c>
      <c r="J16" s="17">
        <f t="shared" ref="J16" si="9">SUM(G16:I16)</f>
        <v>0</v>
      </c>
      <c r="K16" s="17"/>
      <c r="L16" s="17">
        <f>100-J16-K16</f>
        <v>100</v>
      </c>
      <c r="M16" s="17" t="str">
        <f t="shared" ref="M16" si="10">IF(L16&lt;71,"KL",IF(AND(L16&gt;=71,L16&lt;81),"C",IF(AND(L16&gt;=81,L16&lt;91),"B","A")))</f>
        <v>A</v>
      </c>
      <c r="N16" s="17" t="str">
        <f t="shared" ref="N16" si="11">IF(M16="A","100% LTT",IF(M16="B","90% LTT",IF(M16="C","80% LTT","60% LTT")))</f>
        <v>100% LTT</v>
      </c>
    </row>
    <row r="17" spans="1:14" ht="19.5" customHeight="1" x14ac:dyDescent="0.3">
      <c r="A17" s="184" t="s">
        <v>17</v>
      </c>
      <c r="B17" s="184"/>
      <c r="C17" s="18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ht="19.5" customHeight="1" x14ac:dyDescent="0.3">
      <c r="A18" s="15">
        <f>A16+1</f>
        <v>10</v>
      </c>
      <c r="B18" s="16" t="s">
        <v>13</v>
      </c>
      <c r="C18" s="15" t="s">
        <v>101</v>
      </c>
      <c r="D18" s="15"/>
      <c r="E18" s="15">
        <v>1</v>
      </c>
      <c r="F18" s="15">
        <v>2</v>
      </c>
      <c r="G18" s="15">
        <f t="shared" ref="G18:H25" si="12">IF(D18&gt;5,(D18-5)*2,0)</f>
        <v>0</v>
      </c>
      <c r="H18" s="15">
        <f t="shared" si="12"/>
        <v>0</v>
      </c>
      <c r="I18" s="15">
        <f t="shared" ref="I18:I25" si="13">IF(F18&gt;2,(F18-2)*1,0)</f>
        <v>0</v>
      </c>
      <c r="J18" s="15">
        <f t="shared" ref="J18:J25" si="14">SUM(G18:I18)</f>
        <v>0</v>
      </c>
      <c r="K18" s="15">
        <v>3</v>
      </c>
      <c r="L18" s="15">
        <f>100-J18-K18</f>
        <v>97</v>
      </c>
      <c r="M18" s="15" t="str">
        <f t="shared" ref="M18:M25" si="15">IF(L18&lt;71,"KL",IF(AND(L18&gt;=71,L18&lt;81),"C",IF(AND(L18&gt;=81,L18&lt;91),"B","A")))</f>
        <v>A</v>
      </c>
      <c r="N18" s="15" t="str">
        <f>IF(M18="A","100% LTT",IF(M18="B","90% LTT",IF(M18="C","80% LTT","60% LTT")))</f>
        <v>100% LTT</v>
      </c>
    </row>
    <row r="19" spans="1:14" ht="19.5" customHeight="1" x14ac:dyDescent="0.3">
      <c r="A19" s="15">
        <f t="shared" ref="A19:A21" si="16">A18+1</f>
        <v>11</v>
      </c>
      <c r="B19" s="16" t="s">
        <v>14</v>
      </c>
      <c r="C19" s="15" t="s">
        <v>19</v>
      </c>
      <c r="D19" s="15"/>
      <c r="E19" s="15"/>
      <c r="F19" s="15"/>
      <c r="G19" s="15">
        <f t="shared" si="12"/>
        <v>0</v>
      </c>
      <c r="H19" s="15">
        <f t="shared" si="12"/>
        <v>0</v>
      </c>
      <c r="I19" s="15">
        <f t="shared" si="13"/>
        <v>0</v>
      </c>
      <c r="J19" s="15">
        <f t="shared" si="14"/>
        <v>0</v>
      </c>
      <c r="K19" s="15">
        <v>4</v>
      </c>
      <c r="L19" s="15">
        <f t="shared" ref="L19:L25" si="17">100-J19-K19</f>
        <v>96</v>
      </c>
      <c r="M19" s="15" t="str">
        <f t="shared" si="15"/>
        <v>A</v>
      </c>
      <c r="N19" s="15" t="str">
        <f t="shared" ref="N19:N25" si="18">IF(M19="A","100% LTT",IF(M19="B","90% LTT",IF(M19="C","80% LTT","60% LTT")))</f>
        <v>100% LTT</v>
      </c>
    </row>
    <row r="20" spans="1:14" ht="19.5" customHeight="1" x14ac:dyDescent="0.3">
      <c r="A20" s="15">
        <f t="shared" si="16"/>
        <v>12</v>
      </c>
      <c r="B20" s="16" t="s">
        <v>40</v>
      </c>
      <c r="C20" s="15" t="s">
        <v>19</v>
      </c>
      <c r="D20" s="15"/>
      <c r="E20" s="15"/>
      <c r="F20" s="15"/>
      <c r="G20" s="15">
        <f t="shared" si="12"/>
        <v>0</v>
      </c>
      <c r="H20" s="15">
        <f t="shared" si="12"/>
        <v>0</v>
      </c>
      <c r="I20" s="15">
        <f t="shared" si="13"/>
        <v>0</v>
      </c>
      <c r="J20" s="15">
        <f t="shared" si="14"/>
        <v>0</v>
      </c>
      <c r="K20" s="15">
        <v>4</v>
      </c>
      <c r="L20" s="15">
        <f>100-J20-K20</f>
        <v>96</v>
      </c>
      <c r="M20" s="15" t="str">
        <f t="shared" si="15"/>
        <v>A</v>
      </c>
      <c r="N20" s="15" t="str">
        <f t="shared" si="18"/>
        <v>100% LTT</v>
      </c>
    </row>
    <row r="21" spans="1:14" ht="19.5" customHeight="1" x14ac:dyDescent="0.3">
      <c r="A21" s="15">
        <f t="shared" si="16"/>
        <v>13</v>
      </c>
      <c r="B21" s="16" t="s">
        <v>130</v>
      </c>
      <c r="C21" s="15" t="s">
        <v>131</v>
      </c>
      <c r="D21" s="15"/>
      <c r="E21" s="15"/>
      <c r="F21" s="15"/>
      <c r="G21" s="15">
        <f t="shared" si="12"/>
        <v>0</v>
      </c>
      <c r="H21" s="15">
        <f t="shared" si="12"/>
        <v>0</v>
      </c>
      <c r="I21" s="15">
        <f t="shared" si="13"/>
        <v>0</v>
      </c>
      <c r="J21" s="15">
        <f t="shared" si="14"/>
        <v>0</v>
      </c>
      <c r="K21" s="15">
        <v>1</v>
      </c>
      <c r="L21" s="15">
        <f t="shared" ref="L21:L22" si="19">100-J21-K21</f>
        <v>99</v>
      </c>
      <c r="M21" s="15" t="str">
        <f t="shared" si="15"/>
        <v>A</v>
      </c>
      <c r="N21" s="15" t="str">
        <f t="shared" si="18"/>
        <v>100% LTT</v>
      </c>
    </row>
    <row r="22" spans="1:14" ht="19.5" customHeight="1" x14ac:dyDescent="0.3">
      <c r="A22" s="15">
        <f t="shared" ref="A22:A25" si="20">A21+1</f>
        <v>14</v>
      </c>
      <c r="B22" s="16" t="s">
        <v>98</v>
      </c>
      <c r="C22" s="15" t="s">
        <v>102</v>
      </c>
      <c r="D22" s="15"/>
      <c r="E22" s="15"/>
      <c r="F22" s="15"/>
      <c r="G22" s="15">
        <f t="shared" si="12"/>
        <v>0</v>
      </c>
      <c r="H22" s="15">
        <f t="shared" si="12"/>
        <v>0</v>
      </c>
      <c r="I22" s="15">
        <f t="shared" si="13"/>
        <v>0</v>
      </c>
      <c r="J22" s="15">
        <f t="shared" si="14"/>
        <v>0</v>
      </c>
      <c r="K22" s="15">
        <v>7</v>
      </c>
      <c r="L22" s="15">
        <f t="shared" si="19"/>
        <v>93</v>
      </c>
      <c r="M22" s="15" t="str">
        <f t="shared" si="15"/>
        <v>A</v>
      </c>
      <c r="N22" s="15" t="str">
        <f t="shared" si="18"/>
        <v>100% LTT</v>
      </c>
    </row>
    <row r="23" spans="1:14" ht="19.5" customHeight="1" x14ac:dyDescent="0.3">
      <c r="A23" s="15">
        <f t="shared" si="20"/>
        <v>15</v>
      </c>
      <c r="B23" s="16" t="s">
        <v>99</v>
      </c>
      <c r="C23" s="15" t="s">
        <v>102</v>
      </c>
      <c r="D23" s="15"/>
      <c r="E23" s="15"/>
      <c r="F23" s="15"/>
      <c r="G23" s="15">
        <f t="shared" si="12"/>
        <v>0</v>
      </c>
      <c r="H23" s="15">
        <f t="shared" si="12"/>
        <v>0</v>
      </c>
      <c r="I23" s="15">
        <f t="shared" si="13"/>
        <v>0</v>
      </c>
      <c r="J23" s="15">
        <f t="shared" si="14"/>
        <v>0</v>
      </c>
      <c r="K23" s="15">
        <v>4</v>
      </c>
      <c r="L23" s="15">
        <f t="shared" si="17"/>
        <v>96</v>
      </c>
      <c r="M23" s="15" t="str">
        <f t="shared" si="15"/>
        <v>A</v>
      </c>
      <c r="N23" s="15" t="str">
        <f t="shared" si="18"/>
        <v>100% LTT</v>
      </c>
    </row>
    <row r="24" spans="1:14" ht="19.5" customHeight="1" x14ac:dyDescent="0.3">
      <c r="A24" s="15">
        <f t="shared" si="20"/>
        <v>16</v>
      </c>
      <c r="B24" s="16" t="s">
        <v>100</v>
      </c>
      <c r="C24" s="15" t="s">
        <v>102</v>
      </c>
      <c r="D24" s="15"/>
      <c r="E24" s="15"/>
      <c r="F24" s="15"/>
      <c r="G24" s="15">
        <f t="shared" si="12"/>
        <v>0</v>
      </c>
      <c r="H24" s="15">
        <f t="shared" si="12"/>
        <v>0</v>
      </c>
      <c r="I24" s="15">
        <f t="shared" si="13"/>
        <v>0</v>
      </c>
      <c r="J24" s="15">
        <f t="shared" si="14"/>
        <v>0</v>
      </c>
      <c r="K24" s="15">
        <v>5</v>
      </c>
      <c r="L24" s="15">
        <f t="shared" si="17"/>
        <v>95</v>
      </c>
      <c r="M24" s="15" t="str">
        <f t="shared" si="15"/>
        <v>A</v>
      </c>
      <c r="N24" s="15" t="str">
        <f t="shared" si="18"/>
        <v>100% LTT</v>
      </c>
    </row>
    <row r="25" spans="1:14" ht="19.5" customHeight="1" x14ac:dyDescent="0.3">
      <c r="A25" s="15">
        <f t="shared" si="20"/>
        <v>17</v>
      </c>
      <c r="B25" s="18" t="s">
        <v>116</v>
      </c>
      <c r="C25" s="17" t="s">
        <v>107</v>
      </c>
      <c r="D25" s="17"/>
      <c r="E25" s="17"/>
      <c r="F25" s="17"/>
      <c r="G25" s="15">
        <f t="shared" si="12"/>
        <v>0</v>
      </c>
      <c r="H25" s="15">
        <f t="shared" si="12"/>
        <v>0</v>
      </c>
      <c r="I25" s="15">
        <f t="shared" si="13"/>
        <v>0</v>
      </c>
      <c r="J25" s="15">
        <f t="shared" si="14"/>
        <v>0</v>
      </c>
      <c r="K25" s="17">
        <v>8</v>
      </c>
      <c r="L25" s="15">
        <f t="shared" si="17"/>
        <v>92</v>
      </c>
      <c r="M25" s="15" t="str">
        <f t="shared" si="15"/>
        <v>A</v>
      </c>
      <c r="N25" s="17" t="str">
        <f t="shared" si="18"/>
        <v>100% LTT</v>
      </c>
    </row>
    <row r="26" spans="1:14" ht="22.5" customHeight="1" x14ac:dyDescent="0.3">
      <c r="A26" s="180" t="s">
        <v>132</v>
      </c>
      <c r="B26" s="180"/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0"/>
      <c r="N26" s="180"/>
    </row>
    <row r="27" spans="1:14" ht="22.5" customHeight="1" x14ac:dyDescent="0.3">
      <c r="J27" s="185" t="s">
        <v>127</v>
      </c>
      <c r="K27" s="185"/>
      <c r="L27" s="185"/>
      <c r="M27" s="185"/>
      <c r="N27" s="185"/>
    </row>
    <row r="28" spans="1:14" ht="22.5" customHeight="1" x14ac:dyDescent="0.3">
      <c r="B28" s="178" t="s">
        <v>22</v>
      </c>
      <c r="C28" s="178"/>
      <c r="D28" s="178"/>
      <c r="L28" s="178" t="s">
        <v>25</v>
      </c>
      <c r="M28" s="178"/>
      <c r="N28" s="178"/>
    </row>
    <row r="29" spans="1:14" ht="22.5" customHeight="1" x14ac:dyDescent="0.3">
      <c r="L29" s="107"/>
      <c r="M29" s="107"/>
    </row>
    <row r="30" spans="1:14" ht="22.5" customHeight="1" x14ac:dyDescent="0.3">
      <c r="L30" s="107"/>
      <c r="M30" s="107"/>
    </row>
    <row r="31" spans="1:14" ht="22.5" customHeight="1" x14ac:dyDescent="0.3">
      <c r="L31" s="107"/>
      <c r="M31" s="107"/>
    </row>
    <row r="32" spans="1:14" ht="22.5" customHeight="1" x14ac:dyDescent="0.3">
      <c r="B32" s="178" t="s">
        <v>28</v>
      </c>
      <c r="C32" s="178"/>
      <c r="D32" s="178"/>
      <c r="L32" s="178" t="s">
        <v>27</v>
      </c>
      <c r="M32" s="178"/>
      <c r="N32" s="178"/>
    </row>
    <row r="33" spans="3:4" ht="22.5" customHeight="1" x14ac:dyDescent="0.3">
      <c r="C33" s="1"/>
      <c r="D33" s="1"/>
    </row>
  </sheetData>
  <mergeCells count="25">
    <mergeCell ref="O4:O5"/>
    <mergeCell ref="A1:N1"/>
    <mergeCell ref="A2:N2"/>
    <mergeCell ref="A3:N3"/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L4:L5"/>
    <mergeCell ref="M4:M5"/>
    <mergeCell ref="N4:N5"/>
    <mergeCell ref="B32:D32"/>
    <mergeCell ref="L32:N32"/>
    <mergeCell ref="A6:C6"/>
    <mergeCell ref="A15:C15"/>
    <mergeCell ref="A17:C17"/>
    <mergeCell ref="A26:N26"/>
    <mergeCell ref="J27:N27"/>
    <mergeCell ref="B28:D28"/>
    <mergeCell ref="L28:N28"/>
  </mergeCells>
  <pageMargins left="0.23" right="0.28000000000000003" top="0.37" bottom="0.38" header="0.3" footer="0.3"/>
  <pageSetup scale="70" orientation="landscape" verticalDpi="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zoomScale="81" zoomScaleNormal="81" workbookViewId="0">
      <pane xSplit="2" ySplit="6" topLeftCell="C7" activePane="bottomRight" state="frozen"/>
      <selection pane="topRight" activeCell="C1" sqref="C1"/>
      <selection pane="bottomLeft" activeCell="A7" sqref="A7"/>
      <selection pane="bottomRight" sqref="A1:XFD1048576"/>
    </sheetView>
  </sheetViews>
  <sheetFormatPr defaultColWidth="9.109375" defaultRowHeight="16.8" x14ac:dyDescent="0.3"/>
  <cols>
    <col min="1" max="1" width="6.109375" style="2" customWidth="1"/>
    <col min="2" max="2" width="27.5546875" style="1" customWidth="1"/>
    <col min="3" max="3" width="22" style="2" customWidth="1"/>
    <col min="4" max="6" width="11.33203125" style="2" customWidth="1"/>
    <col min="7" max="9" width="12.33203125" style="2" customWidth="1"/>
    <col min="10" max="10" width="12.44140625" style="2" customWidth="1"/>
    <col min="11" max="11" width="11.33203125" style="2" customWidth="1"/>
    <col min="12" max="12" width="12.109375" style="2" customWidth="1"/>
    <col min="13" max="13" width="9.44140625" style="2" customWidth="1"/>
    <col min="14" max="14" width="15" style="2" customWidth="1"/>
    <col min="15" max="15" width="53.88671875" style="2" customWidth="1"/>
    <col min="16" max="16384" width="9.109375" style="1"/>
  </cols>
  <sheetData>
    <row r="1" spans="1:15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5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</row>
    <row r="3" spans="1:15" ht="22.5" customHeight="1" x14ac:dyDescent="0.3">
      <c r="A3" s="179" t="s">
        <v>139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</row>
    <row r="4" spans="1:15" s="3" customFormat="1" ht="22.5" customHeight="1" x14ac:dyDescent="0.3">
      <c r="A4" s="180" t="s">
        <v>0</v>
      </c>
      <c r="B4" s="180" t="s">
        <v>1</v>
      </c>
      <c r="C4" s="180" t="s">
        <v>2</v>
      </c>
      <c r="D4" s="180" t="s">
        <v>23</v>
      </c>
      <c r="E4" s="180"/>
      <c r="F4" s="180"/>
      <c r="G4" s="181" t="s">
        <v>29</v>
      </c>
      <c r="H4" s="181" t="s">
        <v>30</v>
      </c>
      <c r="I4" s="181" t="s">
        <v>31</v>
      </c>
      <c r="J4" s="181" t="s">
        <v>96</v>
      </c>
      <c r="K4" s="181" t="s">
        <v>97</v>
      </c>
      <c r="L4" s="180" t="s">
        <v>6</v>
      </c>
      <c r="M4" s="180" t="s">
        <v>7</v>
      </c>
      <c r="N4" s="180" t="s">
        <v>8</v>
      </c>
      <c r="O4" s="183"/>
    </row>
    <row r="5" spans="1:15" s="3" customFormat="1" ht="49.8" customHeight="1" x14ac:dyDescent="0.3">
      <c r="A5" s="180"/>
      <c r="B5" s="180"/>
      <c r="C5" s="180"/>
      <c r="D5" s="110" t="s">
        <v>3</v>
      </c>
      <c r="E5" s="110" t="s">
        <v>4</v>
      </c>
      <c r="F5" s="110" t="s">
        <v>5</v>
      </c>
      <c r="G5" s="182"/>
      <c r="H5" s="182"/>
      <c r="I5" s="182"/>
      <c r="J5" s="182"/>
      <c r="K5" s="182"/>
      <c r="L5" s="180"/>
      <c r="M5" s="180"/>
      <c r="N5" s="180"/>
      <c r="O5" s="183"/>
    </row>
    <row r="6" spans="1:15" ht="19.5" customHeight="1" x14ac:dyDescent="0.3">
      <c r="A6" s="184" t="s">
        <v>15</v>
      </c>
      <c r="B6" s="184"/>
      <c r="C6" s="18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5" ht="19.5" customHeight="1" x14ac:dyDescent="0.3">
      <c r="A7" s="15">
        <v>1</v>
      </c>
      <c r="B7" s="16" t="s">
        <v>49</v>
      </c>
      <c r="C7" s="15" t="s">
        <v>19</v>
      </c>
      <c r="D7" s="15">
        <v>1</v>
      </c>
      <c r="E7" s="15">
        <v>2</v>
      </c>
      <c r="F7" s="15">
        <v>1</v>
      </c>
      <c r="G7" s="15">
        <f t="shared" ref="G7:H14" si="0">IF(D7&gt;5,(D7-5)*2,0)</f>
        <v>0</v>
      </c>
      <c r="H7" s="15">
        <f t="shared" si="0"/>
        <v>0</v>
      </c>
      <c r="I7" s="15">
        <f t="shared" ref="I7:I14" si="1">IF(F7&gt;2,(F7-2)*1,0)</f>
        <v>0</v>
      </c>
      <c r="J7" s="15">
        <f>SUM(G7:I7)</f>
        <v>0</v>
      </c>
      <c r="K7" s="15">
        <v>3</v>
      </c>
      <c r="L7" s="15">
        <f t="shared" ref="L7:L14" si="2">100-J7-K7</f>
        <v>97</v>
      </c>
      <c r="M7" s="15" t="str">
        <f>IF(L7&lt;71,"KL",IF(AND(L7&gt;=71,L7&lt;81),"C",IF(AND(L7&gt;=81,L7&lt;91),"B","A")))</f>
        <v>A</v>
      </c>
      <c r="N7" s="15" t="str">
        <f>IF(M7="A","100% LTT",IF(M7="B","90% LTT",IF(M7="C","80% LTT","60% LTT")))</f>
        <v>100% LTT</v>
      </c>
      <c r="O7" s="11" t="s">
        <v>33</v>
      </c>
    </row>
    <row r="8" spans="1:15" ht="19.5" customHeight="1" x14ac:dyDescent="0.3">
      <c r="A8" s="15">
        <f t="shared" ref="A8:A14" si="3">A7+1</f>
        <v>2</v>
      </c>
      <c r="B8" s="16" t="s">
        <v>52</v>
      </c>
      <c r="C8" s="15" t="s">
        <v>19</v>
      </c>
      <c r="D8" s="15"/>
      <c r="E8" s="15"/>
      <c r="F8" s="15"/>
      <c r="G8" s="15">
        <f t="shared" si="0"/>
        <v>0</v>
      </c>
      <c r="H8" s="15">
        <f t="shared" si="0"/>
        <v>0</v>
      </c>
      <c r="I8" s="15">
        <f t="shared" si="1"/>
        <v>0</v>
      </c>
      <c r="J8" s="15">
        <f t="shared" ref="J8:J14" si="4">SUM(G8:I8)</f>
        <v>0</v>
      </c>
      <c r="K8" s="15"/>
      <c r="L8" s="15">
        <f t="shared" si="2"/>
        <v>100</v>
      </c>
      <c r="M8" s="15" t="str">
        <f t="shared" ref="M8:M14" si="5">IF(L8&lt;71,"KL",IF(AND(L8&gt;=71,L8&lt;81),"C",IF(AND(L8&gt;=81,L8&lt;91),"B","A")))</f>
        <v>A</v>
      </c>
      <c r="N8" s="15" t="str">
        <f t="shared" ref="N8:N14" si="6">IF(M8="A","100% LTT",IF(M8="B","90% LTT",IF(M8="C","80% LTT","60% LTT")))</f>
        <v>100% LTT</v>
      </c>
      <c r="O8" s="34"/>
    </row>
    <row r="9" spans="1:15" ht="19.5" customHeight="1" x14ac:dyDescent="0.3">
      <c r="A9" s="15">
        <f t="shared" si="3"/>
        <v>3</v>
      </c>
      <c r="B9" s="16" t="s">
        <v>57</v>
      </c>
      <c r="C9" s="15" t="s">
        <v>19</v>
      </c>
      <c r="D9" s="15"/>
      <c r="E9" s="15"/>
      <c r="F9" s="15"/>
      <c r="G9" s="15">
        <f t="shared" si="0"/>
        <v>0</v>
      </c>
      <c r="H9" s="15">
        <f t="shared" si="0"/>
        <v>0</v>
      </c>
      <c r="I9" s="15">
        <f t="shared" si="1"/>
        <v>0</v>
      </c>
      <c r="J9" s="15">
        <f t="shared" si="4"/>
        <v>0</v>
      </c>
      <c r="K9" s="15"/>
      <c r="L9" s="15">
        <f t="shared" si="2"/>
        <v>100</v>
      </c>
      <c r="M9" s="15" t="str">
        <f t="shared" si="5"/>
        <v>A</v>
      </c>
      <c r="N9" s="15" t="str">
        <f t="shared" si="6"/>
        <v>100% LTT</v>
      </c>
      <c r="O9" s="35"/>
    </row>
    <row r="10" spans="1:15" ht="19.5" customHeight="1" x14ac:dyDescent="0.3">
      <c r="A10" s="15">
        <f t="shared" si="3"/>
        <v>4</v>
      </c>
      <c r="B10" s="16" t="s">
        <v>58</v>
      </c>
      <c r="C10" s="15" t="s">
        <v>19</v>
      </c>
      <c r="D10" s="15"/>
      <c r="E10" s="15"/>
      <c r="F10" s="15"/>
      <c r="G10" s="15">
        <f t="shared" si="0"/>
        <v>0</v>
      </c>
      <c r="H10" s="15">
        <f t="shared" si="0"/>
        <v>0</v>
      </c>
      <c r="I10" s="15">
        <f t="shared" si="1"/>
        <v>0</v>
      </c>
      <c r="J10" s="15">
        <f t="shared" si="4"/>
        <v>0</v>
      </c>
      <c r="K10" s="15"/>
      <c r="L10" s="15">
        <f t="shared" si="2"/>
        <v>100</v>
      </c>
      <c r="M10" s="15" t="str">
        <f t="shared" si="5"/>
        <v>A</v>
      </c>
      <c r="N10" s="15" t="str">
        <f t="shared" si="6"/>
        <v>100% LTT</v>
      </c>
      <c r="O10" s="35"/>
    </row>
    <row r="11" spans="1:15" ht="19.5" customHeight="1" x14ac:dyDescent="0.3">
      <c r="A11" s="15">
        <f t="shared" si="3"/>
        <v>5</v>
      </c>
      <c r="B11" s="16" t="s">
        <v>59</v>
      </c>
      <c r="C11" s="15" t="s">
        <v>19</v>
      </c>
      <c r="D11" s="15"/>
      <c r="E11" s="15"/>
      <c r="F11" s="15"/>
      <c r="G11" s="15">
        <f t="shared" si="0"/>
        <v>0</v>
      </c>
      <c r="H11" s="15">
        <f t="shared" si="0"/>
        <v>0</v>
      </c>
      <c r="I11" s="15">
        <f t="shared" si="1"/>
        <v>0</v>
      </c>
      <c r="J11" s="15">
        <f t="shared" si="4"/>
        <v>0</v>
      </c>
      <c r="K11" s="15"/>
      <c r="L11" s="15">
        <f t="shared" si="2"/>
        <v>100</v>
      </c>
      <c r="M11" s="15" t="str">
        <f t="shared" si="5"/>
        <v>A</v>
      </c>
      <c r="N11" s="15" t="str">
        <f t="shared" si="6"/>
        <v>100% LTT</v>
      </c>
      <c r="O11" s="35"/>
    </row>
    <row r="12" spans="1:15" ht="19.5" customHeight="1" x14ac:dyDescent="0.3">
      <c r="A12" s="15">
        <f t="shared" si="3"/>
        <v>6</v>
      </c>
      <c r="B12" s="16" t="s">
        <v>53</v>
      </c>
      <c r="C12" s="15" t="s">
        <v>19</v>
      </c>
      <c r="D12" s="15"/>
      <c r="E12" s="15"/>
      <c r="F12" s="15"/>
      <c r="G12" s="15">
        <f t="shared" si="0"/>
        <v>0</v>
      </c>
      <c r="H12" s="15">
        <f t="shared" si="0"/>
        <v>0</v>
      </c>
      <c r="I12" s="15">
        <f t="shared" si="1"/>
        <v>0</v>
      </c>
      <c r="J12" s="15">
        <f t="shared" si="4"/>
        <v>0</v>
      </c>
      <c r="K12" s="15"/>
      <c r="L12" s="15">
        <f t="shared" si="2"/>
        <v>100</v>
      </c>
      <c r="M12" s="15" t="str">
        <f t="shared" si="5"/>
        <v>A</v>
      </c>
      <c r="N12" s="15" t="str">
        <f t="shared" si="6"/>
        <v>100% LTT</v>
      </c>
      <c r="O12" s="35"/>
    </row>
    <row r="13" spans="1:15" ht="19.5" customHeight="1" x14ac:dyDescent="0.3">
      <c r="A13" s="15">
        <f t="shared" si="3"/>
        <v>7</v>
      </c>
      <c r="B13" s="16" t="s">
        <v>54</v>
      </c>
      <c r="C13" s="15" t="s">
        <v>19</v>
      </c>
      <c r="D13" s="15"/>
      <c r="E13" s="15"/>
      <c r="F13" s="15"/>
      <c r="G13" s="15">
        <f t="shared" si="0"/>
        <v>0</v>
      </c>
      <c r="H13" s="15">
        <f t="shared" si="0"/>
        <v>0</v>
      </c>
      <c r="I13" s="15">
        <f t="shared" si="1"/>
        <v>0</v>
      </c>
      <c r="J13" s="15">
        <f t="shared" si="4"/>
        <v>0</v>
      </c>
      <c r="K13" s="15"/>
      <c r="L13" s="15">
        <f t="shared" si="2"/>
        <v>100</v>
      </c>
      <c r="M13" s="15" t="str">
        <f t="shared" si="5"/>
        <v>A</v>
      </c>
      <c r="N13" s="15" t="str">
        <f t="shared" si="6"/>
        <v>100% LTT</v>
      </c>
      <c r="O13" s="35"/>
    </row>
    <row r="14" spans="1:15" ht="19.5" customHeight="1" x14ac:dyDescent="0.3">
      <c r="A14" s="15">
        <f t="shared" si="3"/>
        <v>8</v>
      </c>
      <c r="B14" s="18" t="s">
        <v>11</v>
      </c>
      <c r="C14" s="17" t="s">
        <v>51</v>
      </c>
      <c r="D14" s="17">
        <v>1</v>
      </c>
      <c r="E14" s="17">
        <v>2</v>
      </c>
      <c r="F14" s="17">
        <v>2</v>
      </c>
      <c r="G14" s="17">
        <f t="shared" si="0"/>
        <v>0</v>
      </c>
      <c r="H14" s="17">
        <f t="shared" si="0"/>
        <v>0</v>
      </c>
      <c r="I14" s="17">
        <f t="shared" si="1"/>
        <v>0</v>
      </c>
      <c r="J14" s="17">
        <f t="shared" si="4"/>
        <v>0</v>
      </c>
      <c r="K14" s="17">
        <v>3</v>
      </c>
      <c r="L14" s="15">
        <f t="shared" si="2"/>
        <v>97</v>
      </c>
      <c r="M14" s="17" t="str">
        <f t="shared" si="5"/>
        <v>A</v>
      </c>
      <c r="N14" s="17" t="str">
        <f t="shared" si="6"/>
        <v>100% LTT</v>
      </c>
      <c r="O14" s="35"/>
    </row>
    <row r="15" spans="1:15" ht="19.5" customHeight="1" x14ac:dyDescent="0.3">
      <c r="A15" s="184" t="s">
        <v>16</v>
      </c>
      <c r="B15" s="184"/>
      <c r="C15" s="18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5" ht="19.5" customHeight="1" x14ac:dyDescent="0.3">
      <c r="A16" s="17">
        <f>A14+1</f>
        <v>9</v>
      </c>
      <c r="B16" s="18" t="s">
        <v>28</v>
      </c>
      <c r="C16" s="17" t="s">
        <v>121</v>
      </c>
      <c r="D16" s="4"/>
      <c r="E16" s="17"/>
      <c r="F16" s="17">
        <v>3</v>
      </c>
      <c r="G16" s="17">
        <f t="shared" ref="G16:H16" si="7">IF(D16&gt;5,(D16-5)*2,0)</f>
        <v>0</v>
      </c>
      <c r="H16" s="17">
        <f t="shared" si="7"/>
        <v>0</v>
      </c>
      <c r="I16" s="17">
        <f t="shared" ref="I16" si="8">IF(F16&gt;2,(F16-2)*1,0)</f>
        <v>1</v>
      </c>
      <c r="J16" s="17">
        <f t="shared" ref="J16" si="9">SUM(G16:I16)</f>
        <v>1</v>
      </c>
      <c r="K16" s="17"/>
      <c r="L16" s="17">
        <f>100-J16-K16</f>
        <v>99</v>
      </c>
      <c r="M16" s="17" t="str">
        <f t="shared" ref="M16" si="10">IF(L16&lt;71,"KL",IF(AND(L16&gt;=71,L16&lt;81),"C",IF(AND(L16&gt;=81,L16&lt;91),"B","A")))</f>
        <v>A</v>
      </c>
      <c r="N16" s="17" t="str">
        <f t="shared" ref="N16" si="11">IF(M16="A","100% LTT",IF(M16="B","90% LTT",IF(M16="C","80% LTT","60% LTT")))</f>
        <v>100% LTT</v>
      </c>
    </row>
    <row r="17" spans="1:14" ht="19.5" customHeight="1" x14ac:dyDescent="0.3">
      <c r="A17" s="184" t="s">
        <v>17</v>
      </c>
      <c r="B17" s="184"/>
      <c r="C17" s="18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ht="19.5" customHeight="1" x14ac:dyDescent="0.3">
      <c r="A18" s="15">
        <f>A16+1</f>
        <v>10</v>
      </c>
      <c r="B18" s="16" t="s">
        <v>13</v>
      </c>
      <c r="C18" s="15" t="s">
        <v>101</v>
      </c>
      <c r="D18" s="15"/>
      <c r="E18" s="15"/>
      <c r="F18" s="15"/>
      <c r="G18" s="15">
        <f t="shared" ref="G18:H25" si="12">IF(D18&gt;5,(D18-5)*2,0)</f>
        <v>0</v>
      </c>
      <c r="H18" s="15">
        <f t="shared" si="12"/>
        <v>0</v>
      </c>
      <c r="I18" s="15">
        <f t="shared" ref="I18:I25" si="13">IF(F18&gt;2,(F18-2)*1,0)</f>
        <v>0</v>
      </c>
      <c r="J18" s="15">
        <f t="shared" ref="J18:J25" si="14">SUM(G18:I18)</f>
        <v>0</v>
      </c>
      <c r="K18" s="15">
        <v>3</v>
      </c>
      <c r="L18" s="15">
        <f>100-J18-K18</f>
        <v>97</v>
      </c>
      <c r="M18" s="15" t="str">
        <f t="shared" ref="M18:M25" si="15">IF(L18&lt;71,"KL",IF(AND(L18&gt;=71,L18&lt;81),"C",IF(AND(L18&gt;=81,L18&lt;91),"B","A")))</f>
        <v>A</v>
      </c>
      <c r="N18" s="15" t="str">
        <f>IF(M18="A","100% LTT",IF(M18="B","90% LTT",IF(M18="C","80% LTT","60% LTT")))</f>
        <v>100% LTT</v>
      </c>
    </row>
    <row r="19" spans="1:14" ht="19.5" customHeight="1" x14ac:dyDescent="0.3">
      <c r="A19" s="15">
        <f t="shared" ref="A19:A25" si="16">A18+1</f>
        <v>11</v>
      </c>
      <c r="B19" s="16" t="s">
        <v>14</v>
      </c>
      <c r="C19" s="15" t="s">
        <v>19</v>
      </c>
      <c r="D19" s="15"/>
      <c r="E19" s="15"/>
      <c r="F19" s="15"/>
      <c r="G19" s="15">
        <f t="shared" si="12"/>
        <v>0</v>
      </c>
      <c r="H19" s="15">
        <f t="shared" si="12"/>
        <v>0</v>
      </c>
      <c r="I19" s="15">
        <f t="shared" si="13"/>
        <v>0</v>
      </c>
      <c r="J19" s="15">
        <f t="shared" si="14"/>
        <v>0</v>
      </c>
      <c r="K19" s="15">
        <v>3</v>
      </c>
      <c r="L19" s="15">
        <f t="shared" ref="L19:L25" si="17">100-J19-K19</f>
        <v>97</v>
      </c>
      <c r="M19" s="15" t="str">
        <f t="shared" si="15"/>
        <v>A</v>
      </c>
      <c r="N19" s="15" t="str">
        <f t="shared" ref="N19:N25" si="18">IF(M19="A","100% LTT",IF(M19="B","90% LTT",IF(M19="C","80% LTT","60% LTT")))</f>
        <v>100% LTT</v>
      </c>
    </row>
    <row r="20" spans="1:14" ht="19.5" customHeight="1" x14ac:dyDescent="0.3">
      <c r="A20" s="15">
        <f t="shared" si="16"/>
        <v>12</v>
      </c>
      <c r="B20" s="16" t="s">
        <v>40</v>
      </c>
      <c r="C20" s="15" t="s">
        <v>19</v>
      </c>
      <c r="D20" s="15"/>
      <c r="E20" s="15"/>
      <c r="F20" s="15"/>
      <c r="G20" s="15">
        <f t="shared" si="12"/>
        <v>0</v>
      </c>
      <c r="H20" s="15">
        <f t="shared" si="12"/>
        <v>0</v>
      </c>
      <c r="I20" s="15">
        <f t="shared" si="13"/>
        <v>0</v>
      </c>
      <c r="J20" s="15">
        <f t="shared" si="14"/>
        <v>0</v>
      </c>
      <c r="K20" s="15">
        <v>4</v>
      </c>
      <c r="L20" s="15">
        <f>100-J20-K20</f>
        <v>96</v>
      </c>
      <c r="M20" s="15" t="str">
        <f t="shared" si="15"/>
        <v>A</v>
      </c>
      <c r="N20" s="15" t="str">
        <f t="shared" si="18"/>
        <v>100% LTT</v>
      </c>
    </row>
    <row r="21" spans="1:14" ht="19.5" customHeight="1" x14ac:dyDescent="0.3">
      <c r="A21" s="15">
        <f t="shared" si="16"/>
        <v>13</v>
      </c>
      <c r="B21" s="16" t="s">
        <v>130</v>
      </c>
      <c r="C21" s="15" t="s">
        <v>131</v>
      </c>
      <c r="D21" s="15"/>
      <c r="E21" s="15"/>
      <c r="F21" s="15"/>
      <c r="G21" s="15">
        <f t="shared" si="12"/>
        <v>0</v>
      </c>
      <c r="H21" s="15">
        <f t="shared" si="12"/>
        <v>0</v>
      </c>
      <c r="I21" s="15">
        <f t="shared" si="13"/>
        <v>0</v>
      </c>
      <c r="J21" s="15">
        <f t="shared" si="14"/>
        <v>0</v>
      </c>
      <c r="K21" s="15">
        <v>1</v>
      </c>
      <c r="L21" s="15">
        <f t="shared" ref="L21:L22" si="19">100-J21-K21</f>
        <v>99</v>
      </c>
      <c r="M21" s="15" t="str">
        <f t="shared" si="15"/>
        <v>A</v>
      </c>
      <c r="N21" s="15" t="str">
        <f t="shared" si="18"/>
        <v>100% LTT</v>
      </c>
    </row>
    <row r="22" spans="1:14" ht="19.5" customHeight="1" x14ac:dyDescent="0.3">
      <c r="A22" s="15">
        <f t="shared" si="16"/>
        <v>14</v>
      </c>
      <c r="B22" s="16" t="s">
        <v>98</v>
      </c>
      <c r="C22" s="15" t="s">
        <v>102</v>
      </c>
      <c r="D22" s="15"/>
      <c r="E22" s="15"/>
      <c r="F22" s="15"/>
      <c r="G22" s="15">
        <f t="shared" si="12"/>
        <v>0</v>
      </c>
      <c r="H22" s="15">
        <f t="shared" si="12"/>
        <v>0</v>
      </c>
      <c r="I22" s="15">
        <f t="shared" si="13"/>
        <v>0</v>
      </c>
      <c r="J22" s="15">
        <f t="shared" si="14"/>
        <v>0</v>
      </c>
      <c r="K22" s="15">
        <v>8</v>
      </c>
      <c r="L22" s="15">
        <f t="shared" si="19"/>
        <v>92</v>
      </c>
      <c r="M22" s="15" t="str">
        <f t="shared" si="15"/>
        <v>A</v>
      </c>
      <c r="N22" s="15" t="str">
        <f t="shared" si="18"/>
        <v>100% LTT</v>
      </c>
    </row>
    <row r="23" spans="1:14" ht="19.5" customHeight="1" x14ac:dyDescent="0.3">
      <c r="A23" s="15">
        <f t="shared" si="16"/>
        <v>15</v>
      </c>
      <c r="B23" s="16" t="s">
        <v>99</v>
      </c>
      <c r="C23" s="15" t="s">
        <v>102</v>
      </c>
      <c r="D23" s="15"/>
      <c r="E23" s="15"/>
      <c r="F23" s="15"/>
      <c r="G23" s="15">
        <f t="shared" si="12"/>
        <v>0</v>
      </c>
      <c r="H23" s="15">
        <f t="shared" si="12"/>
        <v>0</v>
      </c>
      <c r="I23" s="15">
        <f t="shared" si="13"/>
        <v>0</v>
      </c>
      <c r="J23" s="15">
        <f t="shared" si="14"/>
        <v>0</v>
      </c>
      <c r="K23" s="15">
        <v>4</v>
      </c>
      <c r="L23" s="15">
        <f t="shared" si="17"/>
        <v>96</v>
      </c>
      <c r="M23" s="15" t="str">
        <f t="shared" si="15"/>
        <v>A</v>
      </c>
      <c r="N23" s="15" t="str">
        <f t="shared" si="18"/>
        <v>100% LTT</v>
      </c>
    </row>
    <row r="24" spans="1:14" ht="19.5" customHeight="1" x14ac:dyDescent="0.3">
      <c r="A24" s="15">
        <f t="shared" si="16"/>
        <v>16</v>
      </c>
      <c r="B24" s="16" t="s">
        <v>100</v>
      </c>
      <c r="C24" s="15" t="s">
        <v>102</v>
      </c>
      <c r="D24" s="15"/>
      <c r="E24" s="15"/>
      <c r="F24" s="15"/>
      <c r="G24" s="15">
        <f t="shared" si="12"/>
        <v>0</v>
      </c>
      <c r="H24" s="15">
        <f t="shared" si="12"/>
        <v>0</v>
      </c>
      <c r="I24" s="15">
        <f t="shared" si="13"/>
        <v>0</v>
      </c>
      <c r="J24" s="15">
        <f t="shared" si="14"/>
        <v>0</v>
      </c>
      <c r="K24" s="15">
        <v>4</v>
      </c>
      <c r="L24" s="15">
        <f t="shared" si="17"/>
        <v>96</v>
      </c>
      <c r="M24" s="15" t="str">
        <f t="shared" si="15"/>
        <v>A</v>
      </c>
      <c r="N24" s="15" t="str">
        <f t="shared" si="18"/>
        <v>100% LTT</v>
      </c>
    </row>
    <row r="25" spans="1:14" ht="19.5" customHeight="1" x14ac:dyDescent="0.3">
      <c r="A25" s="15">
        <f t="shared" si="16"/>
        <v>17</v>
      </c>
      <c r="B25" s="18" t="s">
        <v>116</v>
      </c>
      <c r="C25" s="17" t="s">
        <v>107</v>
      </c>
      <c r="D25" s="17"/>
      <c r="E25" s="17"/>
      <c r="F25" s="17"/>
      <c r="G25" s="15">
        <f t="shared" si="12"/>
        <v>0</v>
      </c>
      <c r="H25" s="15">
        <f t="shared" si="12"/>
        <v>0</v>
      </c>
      <c r="I25" s="15">
        <f t="shared" si="13"/>
        <v>0</v>
      </c>
      <c r="J25" s="15">
        <f t="shared" si="14"/>
        <v>0</v>
      </c>
      <c r="K25" s="17">
        <v>8</v>
      </c>
      <c r="L25" s="15">
        <f t="shared" si="17"/>
        <v>92</v>
      </c>
      <c r="M25" s="15" t="str">
        <f t="shared" si="15"/>
        <v>A</v>
      </c>
      <c r="N25" s="17" t="str">
        <f t="shared" si="18"/>
        <v>100% LTT</v>
      </c>
    </row>
    <row r="26" spans="1:14" ht="22.5" customHeight="1" x14ac:dyDescent="0.3">
      <c r="A26" s="180" t="s">
        <v>60</v>
      </c>
      <c r="B26" s="180"/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0"/>
      <c r="N26" s="180"/>
    </row>
    <row r="27" spans="1:14" ht="22.5" customHeight="1" x14ac:dyDescent="0.3">
      <c r="J27" s="185" t="s">
        <v>127</v>
      </c>
      <c r="K27" s="185"/>
      <c r="L27" s="185"/>
      <c r="M27" s="185"/>
      <c r="N27" s="185"/>
    </row>
    <row r="28" spans="1:14" ht="22.5" customHeight="1" x14ac:dyDescent="0.3">
      <c r="B28" s="178" t="s">
        <v>22</v>
      </c>
      <c r="C28" s="178"/>
      <c r="D28" s="178"/>
      <c r="L28" s="178" t="s">
        <v>25</v>
      </c>
      <c r="M28" s="178"/>
      <c r="N28" s="178"/>
    </row>
    <row r="29" spans="1:14" ht="22.5" customHeight="1" x14ac:dyDescent="0.3">
      <c r="L29" s="109"/>
      <c r="M29" s="109"/>
    </row>
    <row r="30" spans="1:14" ht="22.5" customHeight="1" x14ac:dyDescent="0.3">
      <c r="L30" s="109"/>
      <c r="M30" s="109"/>
    </row>
    <row r="31" spans="1:14" ht="22.5" customHeight="1" x14ac:dyDescent="0.3">
      <c r="L31" s="109"/>
      <c r="M31" s="109"/>
    </row>
    <row r="32" spans="1:14" ht="22.5" customHeight="1" x14ac:dyDescent="0.3">
      <c r="B32" s="178" t="s">
        <v>28</v>
      </c>
      <c r="C32" s="178"/>
      <c r="D32" s="178"/>
      <c r="L32" s="178" t="s">
        <v>27</v>
      </c>
      <c r="M32" s="178"/>
      <c r="N32" s="178"/>
    </row>
    <row r="33" spans="3:4" ht="22.5" customHeight="1" x14ac:dyDescent="0.3">
      <c r="C33" s="1"/>
      <c r="D33" s="1"/>
    </row>
  </sheetData>
  <mergeCells count="25">
    <mergeCell ref="O4:O5"/>
    <mergeCell ref="A1:N1"/>
    <mergeCell ref="A2:N2"/>
    <mergeCell ref="A3:N3"/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L4:L5"/>
    <mergeCell ref="M4:M5"/>
    <mergeCell ref="N4:N5"/>
    <mergeCell ref="B32:D32"/>
    <mergeCell ref="L32:N32"/>
    <mergeCell ref="A6:C6"/>
    <mergeCell ref="A15:C15"/>
    <mergeCell ref="A17:C17"/>
    <mergeCell ref="A26:N26"/>
    <mergeCell ref="J27:N27"/>
    <mergeCell ref="B28:D28"/>
    <mergeCell ref="L28:N28"/>
  </mergeCells>
  <pageMargins left="0.25" right="0.2" top="0.45" bottom="0.27" header="0.3" footer="0.3"/>
  <pageSetup scale="70" orientation="landscape" verticalDpi="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workbookViewId="0">
      <pane xSplit="2" ySplit="6" topLeftCell="C31" activePane="bottomRight" state="frozen"/>
      <selection pane="topRight" activeCell="C1" sqref="C1"/>
      <selection pane="bottomLeft" activeCell="A7" sqref="A7"/>
      <selection pane="bottomRight" sqref="A1:XFD1048576"/>
    </sheetView>
  </sheetViews>
  <sheetFormatPr defaultColWidth="9.109375" defaultRowHeight="16.8" x14ac:dyDescent="0.3"/>
  <cols>
    <col min="1" max="1" width="6.109375" style="2" customWidth="1"/>
    <col min="2" max="2" width="27.5546875" style="1" customWidth="1"/>
    <col min="3" max="3" width="22" style="2" customWidth="1"/>
    <col min="4" max="6" width="11.33203125" style="2" customWidth="1"/>
    <col min="7" max="9" width="12.33203125" style="2" customWidth="1"/>
    <col min="10" max="10" width="12.44140625" style="2" customWidth="1"/>
    <col min="11" max="11" width="11.33203125" style="2" customWidth="1"/>
    <col min="12" max="12" width="12.109375" style="2" customWidth="1"/>
    <col min="13" max="13" width="9.44140625" style="2" customWidth="1"/>
    <col min="14" max="14" width="15" style="2" customWidth="1"/>
    <col min="15" max="15" width="53.88671875" style="2" customWidth="1"/>
    <col min="16" max="16384" width="9.109375" style="1"/>
  </cols>
  <sheetData>
    <row r="1" spans="1:15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5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</row>
    <row r="3" spans="1:15" ht="22.5" customHeight="1" x14ac:dyDescent="0.3">
      <c r="A3" s="179" t="s">
        <v>140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</row>
    <row r="4" spans="1:15" s="3" customFormat="1" ht="22.5" customHeight="1" x14ac:dyDescent="0.3">
      <c r="A4" s="180" t="s">
        <v>0</v>
      </c>
      <c r="B4" s="180" t="s">
        <v>1</v>
      </c>
      <c r="C4" s="180" t="s">
        <v>2</v>
      </c>
      <c r="D4" s="180" t="s">
        <v>23</v>
      </c>
      <c r="E4" s="180"/>
      <c r="F4" s="180"/>
      <c r="G4" s="181" t="s">
        <v>29</v>
      </c>
      <c r="H4" s="181" t="s">
        <v>30</v>
      </c>
      <c r="I4" s="181" t="s">
        <v>31</v>
      </c>
      <c r="J4" s="181" t="s">
        <v>96</v>
      </c>
      <c r="K4" s="181" t="s">
        <v>97</v>
      </c>
      <c r="L4" s="180" t="s">
        <v>6</v>
      </c>
      <c r="M4" s="180" t="s">
        <v>7</v>
      </c>
      <c r="N4" s="180" t="s">
        <v>8</v>
      </c>
      <c r="O4" s="183"/>
    </row>
    <row r="5" spans="1:15" s="3" customFormat="1" ht="49.8" customHeight="1" x14ac:dyDescent="0.3">
      <c r="A5" s="180"/>
      <c r="B5" s="180"/>
      <c r="C5" s="180"/>
      <c r="D5" s="112" t="s">
        <v>3</v>
      </c>
      <c r="E5" s="112" t="s">
        <v>4</v>
      </c>
      <c r="F5" s="112" t="s">
        <v>5</v>
      </c>
      <c r="G5" s="182"/>
      <c r="H5" s="182"/>
      <c r="I5" s="182"/>
      <c r="J5" s="182"/>
      <c r="K5" s="182"/>
      <c r="L5" s="180"/>
      <c r="M5" s="180"/>
      <c r="N5" s="180"/>
      <c r="O5" s="183"/>
    </row>
    <row r="6" spans="1:15" ht="19.5" customHeight="1" x14ac:dyDescent="0.3">
      <c r="A6" s="184" t="s">
        <v>15</v>
      </c>
      <c r="B6" s="184"/>
      <c r="C6" s="18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5" ht="19.5" customHeight="1" x14ac:dyDescent="0.3">
      <c r="A7" s="15">
        <v>1</v>
      </c>
      <c r="B7" s="16" t="s">
        <v>49</v>
      </c>
      <c r="C7" s="15" t="s">
        <v>19</v>
      </c>
      <c r="D7" s="15">
        <v>3</v>
      </c>
      <c r="E7" s="15"/>
      <c r="F7" s="15">
        <v>2</v>
      </c>
      <c r="G7" s="15">
        <f t="shared" ref="G7:H14" si="0">IF(D7&gt;5,(D7-5)*2,0)</f>
        <v>0</v>
      </c>
      <c r="H7" s="15">
        <f t="shared" si="0"/>
        <v>0</v>
      </c>
      <c r="I7" s="15">
        <f t="shared" ref="I7:I14" si="1">IF(F7&gt;2,(F7-2)*1,0)</f>
        <v>0</v>
      </c>
      <c r="J7" s="15">
        <f>SUM(G7:I7)</f>
        <v>0</v>
      </c>
      <c r="K7" s="15">
        <v>3</v>
      </c>
      <c r="L7" s="15">
        <f t="shared" ref="L7:L14" si="2">100-J7-K7</f>
        <v>97</v>
      </c>
      <c r="M7" s="15" t="str">
        <f>IF(L7&lt;71,"KL",IF(AND(L7&gt;=71,L7&lt;81),"C",IF(AND(L7&gt;=81,L7&lt;91),"B","A")))</f>
        <v>A</v>
      </c>
      <c r="N7" s="15" t="str">
        <f>IF(M7="A","100% LTT",IF(M7="B","90% LTT",IF(M7="C","80% LTT","60% LTT")))</f>
        <v>100% LTT</v>
      </c>
      <c r="O7" s="11" t="s">
        <v>33</v>
      </c>
    </row>
    <row r="8" spans="1:15" ht="19.5" customHeight="1" x14ac:dyDescent="0.3">
      <c r="A8" s="15">
        <f t="shared" ref="A8:A14" si="3">A7+1</f>
        <v>2</v>
      </c>
      <c r="B8" s="16" t="s">
        <v>52</v>
      </c>
      <c r="C8" s="15" t="s">
        <v>19</v>
      </c>
      <c r="D8" s="15"/>
      <c r="E8" s="15"/>
      <c r="F8" s="15"/>
      <c r="G8" s="15">
        <f t="shared" si="0"/>
        <v>0</v>
      </c>
      <c r="H8" s="15">
        <f t="shared" si="0"/>
        <v>0</v>
      </c>
      <c r="I8" s="15">
        <f t="shared" si="1"/>
        <v>0</v>
      </c>
      <c r="J8" s="15">
        <f t="shared" ref="J8:J14" si="4">SUM(G8:I8)</f>
        <v>0</v>
      </c>
      <c r="K8" s="15"/>
      <c r="L8" s="15">
        <f t="shared" si="2"/>
        <v>100</v>
      </c>
      <c r="M8" s="15" t="str">
        <f t="shared" ref="M8:M14" si="5">IF(L8&lt;71,"KL",IF(AND(L8&gt;=71,L8&lt;81),"C",IF(AND(L8&gt;=81,L8&lt;91),"B","A")))</f>
        <v>A</v>
      </c>
      <c r="N8" s="15" t="str">
        <f t="shared" ref="N8:N14" si="6">IF(M8="A","100% LTT",IF(M8="B","90% LTT",IF(M8="C","80% LTT","60% LTT")))</f>
        <v>100% LTT</v>
      </c>
      <c r="O8" s="34"/>
    </row>
    <row r="9" spans="1:15" ht="19.5" customHeight="1" x14ac:dyDescent="0.3">
      <c r="A9" s="15">
        <f t="shared" si="3"/>
        <v>3</v>
      </c>
      <c r="B9" s="16" t="s">
        <v>57</v>
      </c>
      <c r="C9" s="15" t="s">
        <v>19</v>
      </c>
      <c r="D9" s="15"/>
      <c r="E9" s="15"/>
      <c r="F9" s="15"/>
      <c r="G9" s="15">
        <f t="shared" si="0"/>
        <v>0</v>
      </c>
      <c r="H9" s="15">
        <f t="shared" si="0"/>
        <v>0</v>
      </c>
      <c r="I9" s="15">
        <f t="shared" si="1"/>
        <v>0</v>
      </c>
      <c r="J9" s="15">
        <f t="shared" si="4"/>
        <v>0</v>
      </c>
      <c r="K9" s="15"/>
      <c r="L9" s="15">
        <f t="shared" si="2"/>
        <v>100</v>
      </c>
      <c r="M9" s="15" t="str">
        <f t="shared" si="5"/>
        <v>A</v>
      </c>
      <c r="N9" s="15" t="str">
        <f t="shared" si="6"/>
        <v>100% LTT</v>
      </c>
      <c r="O9" s="35"/>
    </row>
    <row r="10" spans="1:15" ht="19.5" customHeight="1" x14ac:dyDescent="0.3">
      <c r="A10" s="15">
        <f t="shared" si="3"/>
        <v>4</v>
      </c>
      <c r="B10" s="16" t="s">
        <v>58</v>
      </c>
      <c r="C10" s="15" t="s">
        <v>19</v>
      </c>
      <c r="D10" s="15"/>
      <c r="E10" s="15"/>
      <c r="F10" s="15"/>
      <c r="G10" s="15">
        <f t="shared" si="0"/>
        <v>0</v>
      </c>
      <c r="H10" s="15">
        <f t="shared" si="0"/>
        <v>0</v>
      </c>
      <c r="I10" s="15">
        <f t="shared" si="1"/>
        <v>0</v>
      </c>
      <c r="J10" s="15">
        <f t="shared" si="4"/>
        <v>0</v>
      </c>
      <c r="K10" s="15"/>
      <c r="L10" s="15">
        <f t="shared" si="2"/>
        <v>100</v>
      </c>
      <c r="M10" s="15" t="str">
        <f t="shared" si="5"/>
        <v>A</v>
      </c>
      <c r="N10" s="15" t="str">
        <f t="shared" si="6"/>
        <v>100% LTT</v>
      </c>
      <c r="O10" s="35"/>
    </row>
    <row r="11" spans="1:15" ht="19.5" customHeight="1" x14ac:dyDescent="0.3">
      <c r="A11" s="15">
        <f t="shared" si="3"/>
        <v>5</v>
      </c>
      <c r="B11" s="16" t="s">
        <v>59</v>
      </c>
      <c r="C11" s="15" t="s">
        <v>19</v>
      </c>
      <c r="D11" s="15"/>
      <c r="E11" s="15"/>
      <c r="F11" s="15"/>
      <c r="G11" s="15">
        <f t="shared" si="0"/>
        <v>0</v>
      </c>
      <c r="H11" s="15">
        <f t="shared" si="0"/>
        <v>0</v>
      </c>
      <c r="I11" s="15">
        <f t="shared" si="1"/>
        <v>0</v>
      </c>
      <c r="J11" s="15">
        <f t="shared" si="4"/>
        <v>0</v>
      </c>
      <c r="K11" s="15"/>
      <c r="L11" s="15">
        <f t="shared" si="2"/>
        <v>100</v>
      </c>
      <c r="M11" s="15" t="str">
        <f t="shared" si="5"/>
        <v>A</v>
      </c>
      <c r="N11" s="15" t="str">
        <f t="shared" si="6"/>
        <v>100% LTT</v>
      </c>
      <c r="O11" s="35"/>
    </row>
    <row r="12" spans="1:15" ht="19.5" customHeight="1" x14ac:dyDescent="0.3">
      <c r="A12" s="15">
        <f t="shared" si="3"/>
        <v>6</v>
      </c>
      <c r="B12" s="16" t="s">
        <v>53</v>
      </c>
      <c r="C12" s="15" t="s">
        <v>19</v>
      </c>
      <c r="D12" s="15"/>
      <c r="E12" s="15"/>
      <c r="F12" s="15"/>
      <c r="G12" s="15">
        <f t="shared" si="0"/>
        <v>0</v>
      </c>
      <c r="H12" s="15">
        <f t="shared" si="0"/>
        <v>0</v>
      </c>
      <c r="I12" s="15">
        <f t="shared" si="1"/>
        <v>0</v>
      </c>
      <c r="J12" s="15">
        <f t="shared" si="4"/>
        <v>0</v>
      </c>
      <c r="K12" s="15"/>
      <c r="L12" s="15">
        <f t="shared" si="2"/>
        <v>100</v>
      </c>
      <c r="M12" s="15" t="str">
        <f t="shared" si="5"/>
        <v>A</v>
      </c>
      <c r="N12" s="15" t="str">
        <f t="shared" si="6"/>
        <v>100% LTT</v>
      </c>
      <c r="O12" s="35"/>
    </row>
    <row r="13" spans="1:15" ht="19.5" customHeight="1" x14ac:dyDescent="0.3">
      <c r="A13" s="15">
        <f t="shared" si="3"/>
        <v>7</v>
      </c>
      <c r="B13" s="16" t="s">
        <v>54</v>
      </c>
      <c r="C13" s="15" t="s">
        <v>19</v>
      </c>
      <c r="D13" s="15"/>
      <c r="E13" s="15"/>
      <c r="F13" s="15"/>
      <c r="G13" s="15">
        <f t="shared" si="0"/>
        <v>0</v>
      </c>
      <c r="H13" s="15">
        <f t="shared" si="0"/>
        <v>0</v>
      </c>
      <c r="I13" s="15">
        <f t="shared" si="1"/>
        <v>0</v>
      </c>
      <c r="J13" s="15">
        <f t="shared" si="4"/>
        <v>0</v>
      </c>
      <c r="K13" s="15"/>
      <c r="L13" s="15">
        <f t="shared" si="2"/>
        <v>100</v>
      </c>
      <c r="M13" s="15" t="str">
        <f t="shared" si="5"/>
        <v>A</v>
      </c>
      <c r="N13" s="15" t="str">
        <f t="shared" si="6"/>
        <v>100% LTT</v>
      </c>
      <c r="O13" s="35"/>
    </row>
    <row r="14" spans="1:15" ht="19.5" customHeight="1" x14ac:dyDescent="0.3">
      <c r="A14" s="15">
        <f t="shared" si="3"/>
        <v>8</v>
      </c>
      <c r="B14" s="18" t="s">
        <v>11</v>
      </c>
      <c r="C14" s="17" t="s">
        <v>51</v>
      </c>
      <c r="D14" s="17">
        <v>2</v>
      </c>
      <c r="E14" s="17"/>
      <c r="F14" s="17">
        <v>3</v>
      </c>
      <c r="G14" s="17">
        <f t="shared" si="0"/>
        <v>0</v>
      </c>
      <c r="H14" s="17">
        <f t="shared" si="0"/>
        <v>0</v>
      </c>
      <c r="I14" s="17">
        <f t="shared" si="1"/>
        <v>1</v>
      </c>
      <c r="J14" s="17">
        <f t="shared" si="4"/>
        <v>1</v>
      </c>
      <c r="K14" s="17">
        <v>2</v>
      </c>
      <c r="L14" s="15">
        <f t="shared" si="2"/>
        <v>97</v>
      </c>
      <c r="M14" s="17" t="str">
        <f t="shared" si="5"/>
        <v>A</v>
      </c>
      <c r="N14" s="17" t="str">
        <f t="shared" si="6"/>
        <v>100% LTT</v>
      </c>
      <c r="O14" s="35"/>
    </row>
    <row r="15" spans="1:15" ht="19.5" customHeight="1" x14ac:dyDescent="0.3">
      <c r="A15" s="184" t="s">
        <v>16</v>
      </c>
      <c r="B15" s="184"/>
      <c r="C15" s="18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5" ht="19.5" customHeight="1" x14ac:dyDescent="0.3">
      <c r="A16" s="17">
        <f>A14+1</f>
        <v>9</v>
      </c>
      <c r="B16" s="18" t="s">
        <v>28</v>
      </c>
      <c r="C16" s="17" t="s">
        <v>121</v>
      </c>
      <c r="D16" s="4">
        <v>3</v>
      </c>
      <c r="E16" s="17"/>
      <c r="F16" s="17">
        <v>2</v>
      </c>
      <c r="G16" s="17">
        <f t="shared" ref="G16:H16" si="7">IF(D16&gt;5,(D16-5)*2,0)</f>
        <v>0</v>
      </c>
      <c r="H16" s="17">
        <f t="shared" si="7"/>
        <v>0</v>
      </c>
      <c r="I16" s="17">
        <f t="shared" ref="I16" si="8">IF(F16&gt;2,(F16-2)*1,0)</f>
        <v>0</v>
      </c>
      <c r="J16" s="17">
        <f t="shared" ref="J16" si="9">SUM(G16:I16)</f>
        <v>0</v>
      </c>
      <c r="K16" s="17"/>
      <c r="L16" s="17">
        <f>100-J16-K16</f>
        <v>100</v>
      </c>
      <c r="M16" s="17" t="str">
        <f t="shared" ref="M16" si="10">IF(L16&lt;71,"KL",IF(AND(L16&gt;=71,L16&lt;81),"C",IF(AND(L16&gt;=81,L16&lt;91),"B","A")))</f>
        <v>A</v>
      </c>
      <c r="N16" s="17" t="str">
        <f t="shared" ref="N16" si="11">IF(M16="A","100% LTT",IF(M16="B","90% LTT",IF(M16="C","80% LTT","60% LTT")))</f>
        <v>100% LTT</v>
      </c>
    </row>
    <row r="17" spans="1:14" ht="19.5" customHeight="1" x14ac:dyDescent="0.3">
      <c r="A17" s="184" t="s">
        <v>17</v>
      </c>
      <c r="B17" s="184"/>
      <c r="C17" s="18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ht="19.5" customHeight="1" x14ac:dyDescent="0.3">
      <c r="A18" s="15">
        <f>A16+1</f>
        <v>10</v>
      </c>
      <c r="B18" s="16" t="s">
        <v>13</v>
      </c>
      <c r="C18" s="15" t="s">
        <v>101</v>
      </c>
      <c r="D18" s="15">
        <v>8</v>
      </c>
      <c r="E18" s="15"/>
      <c r="F18" s="15">
        <v>2</v>
      </c>
      <c r="G18" s="15">
        <f t="shared" ref="G18:H25" si="12">IF(D18&gt;5,(D18-5)*2,0)</f>
        <v>6</v>
      </c>
      <c r="H18" s="15">
        <f t="shared" si="12"/>
        <v>0</v>
      </c>
      <c r="I18" s="15">
        <f t="shared" ref="I18:I25" si="13">IF(F18&gt;2,(F18-2)*1,0)</f>
        <v>0</v>
      </c>
      <c r="J18" s="15">
        <f t="shared" ref="J18:J25" si="14">SUM(G18:I18)</f>
        <v>6</v>
      </c>
      <c r="K18" s="15"/>
      <c r="L18" s="15">
        <f>100-J18-K18</f>
        <v>94</v>
      </c>
      <c r="M18" s="15" t="str">
        <f t="shared" ref="M18:M25" si="15">IF(L18&lt;71,"KL",IF(AND(L18&gt;=71,L18&lt;81),"C",IF(AND(L18&gt;=81,L18&lt;91),"B","A")))</f>
        <v>A</v>
      </c>
      <c r="N18" s="15" t="str">
        <f>IF(M18="A","100% LTT",IF(M18="B","90% LTT",IF(M18="C","80% LTT","60% LTT")))</f>
        <v>100% LTT</v>
      </c>
    </row>
    <row r="19" spans="1:14" ht="19.5" customHeight="1" x14ac:dyDescent="0.3">
      <c r="A19" s="15">
        <f t="shared" ref="A19:A25" si="16">A18+1</f>
        <v>11</v>
      </c>
      <c r="B19" s="16" t="s">
        <v>14</v>
      </c>
      <c r="C19" s="15" t="s">
        <v>19</v>
      </c>
      <c r="D19" s="15">
        <v>4</v>
      </c>
      <c r="E19" s="15"/>
      <c r="F19" s="15">
        <v>1</v>
      </c>
      <c r="G19" s="15">
        <f t="shared" si="12"/>
        <v>0</v>
      </c>
      <c r="H19" s="15">
        <f t="shared" si="12"/>
        <v>0</v>
      </c>
      <c r="I19" s="15">
        <f t="shared" si="13"/>
        <v>0</v>
      </c>
      <c r="J19" s="15">
        <f t="shared" si="14"/>
        <v>0</v>
      </c>
      <c r="K19" s="15">
        <v>3</v>
      </c>
      <c r="L19" s="15">
        <f t="shared" ref="L19:L25" si="17">100-J19-K19</f>
        <v>97</v>
      </c>
      <c r="M19" s="15" t="str">
        <f t="shared" si="15"/>
        <v>A</v>
      </c>
      <c r="N19" s="15" t="str">
        <f t="shared" ref="N19:N25" si="18">IF(M19="A","100% LTT",IF(M19="B","90% LTT",IF(M19="C","80% LTT","60% LTT")))</f>
        <v>100% LTT</v>
      </c>
    </row>
    <row r="20" spans="1:14" ht="19.5" customHeight="1" x14ac:dyDescent="0.3">
      <c r="A20" s="15">
        <f t="shared" si="16"/>
        <v>12</v>
      </c>
      <c r="B20" s="16" t="s">
        <v>40</v>
      </c>
      <c r="C20" s="15" t="s">
        <v>19</v>
      </c>
      <c r="D20" s="15"/>
      <c r="E20" s="15"/>
      <c r="F20" s="15"/>
      <c r="G20" s="15">
        <f t="shared" si="12"/>
        <v>0</v>
      </c>
      <c r="H20" s="15">
        <f t="shared" si="12"/>
        <v>0</v>
      </c>
      <c r="I20" s="15">
        <f t="shared" si="13"/>
        <v>0</v>
      </c>
      <c r="J20" s="15">
        <f t="shared" si="14"/>
        <v>0</v>
      </c>
      <c r="K20" s="15">
        <v>4</v>
      </c>
      <c r="L20" s="15">
        <f>100-J20-K20</f>
        <v>96</v>
      </c>
      <c r="M20" s="15" t="str">
        <f t="shared" si="15"/>
        <v>A</v>
      </c>
      <c r="N20" s="15" t="str">
        <f t="shared" si="18"/>
        <v>100% LTT</v>
      </c>
    </row>
    <row r="21" spans="1:14" ht="19.5" customHeight="1" x14ac:dyDescent="0.3">
      <c r="A21" s="15">
        <f t="shared" si="16"/>
        <v>13</v>
      </c>
      <c r="B21" s="16" t="s">
        <v>130</v>
      </c>
      <c r="C21" s="15" t="s">
        <v>131</v>
      </c>
      <c r="D21" s="15"/>
      <c r="E21" s="15"/>
      <c r="F21" s="15"/>
      <c r="G21" s="15">
        <f t="shared" si="12"/>
        <v>0</v>
      </c>
      <c r="H21" s="15">
        <f t="shared" si="12"/>
        <v>0</v>
      </c>
      <c r="I21" s="15">
        <f t="shared" si="13"/>
        <v>0</v>
      </c>
      <c r="J21" s="15">
        <f t="shared" si="14"/>
        <v>0</v>
      </c>
      <c r="K21" s="15">
        <v>5</v>
      </c>
      <c r="L21" s="15">
        <f t="shared" ref="L21:L22" si="19">100-J21-K21</f>
        <v>95</v>
      </c>
      <c r="M21" s="15" t="str">
        <f t="shared" si="15"/>
        <v>A</v>
      </c>
      <c r="N21" s="15" t="str">
        <f t="shared" si="18"/>
        <v>100% LTT</v>
      </c>
    </row>
    <row r="22" spans="1:14" ht="19.5" customHeight="1" x14ac:dyDescent="0.3">
      <c r="A22" s="15">
        <f t="shared" si="16"/>
        <v>14</v>
      </c>
      <c r="B22" s="16" t="s">
        <v>98</v>
      </c>
      <c r="C22" s="15" t="s">
        <v>102</v>
      </c>
      <c r="D22" s="15"/>
      <c r="E22" s="15"/>
      <c r="F22" s="15"/>
      <c r="G22" s="15">
        <f t="shared" si="12"/>
        <v>0</v>
      </c>
      <c r="H22" s="15">
        <f t="shared" si="12"/>
        <v>0</v>
      </c>
      <c r="I22" s="15">
        <f t="shared" si="13"/>
        <v>0</v>
      </c>
      <c r="J22" s="15">
        <f t="shared" si="14"/>
        <v>0</v>
      </c>
      <c r="K22" s="15">
        <v>2</v>
      </c>
      <c r="L22" s="15">
        <f t="shared" si="19"/>
        <v>98</v>
      </c>
      <c r="M22" s="15" t="str">
        <f t="shared" si="15"/>
        <v>A</v>
      </c>
      <c r="N22" s="15" t="str">
        <f t="shared" si="18"/>
        <v>100% LTT</v>
      </c>
    </row>
    <row r="23" spans="1:14" ht="19.5" customHeight="1" x14ac:dyDescent="0.3">
      <c r="A23" s="15">
        <f t="shared" si="16"/>
        <v>15</v>
      </c>
      <c r="B23" s="16" t="s">
        <v>99</v>
      </c>
      <c r="C23" s="15" t="s">
        <v>102</v>
      </c>
      <c r="D23" s="15"/>
      <c r="E23" s="15"/>
      <c r="F23" s="15"/>
      <c r="G23" s="15">
        <f t="shared" si="12"/>
        <v>0</v>
      </c>
      <c r="H23" s="15">
        <f t="shared" si="12"/>
        <v>0</v>
      </c>
      <c r="I23" s="15">
        <f t="shared" si="13"/>
        <v>0</v>
      </c>
      <c r="J23" s="15">
        <f t="shared" si="14"/>
        <v>0</v>
      </c>
      <c r="K23" s="15">
        <v>4</v>
      </c>
      <c r="L23" s="15">
        <f t="shared" si="17"/>
        <v>96</v>
      </c>
      <c r="M23" s="15" t="str">
        <f t="shared" si="15"/>
        <v>A</v>
      </c>
      <c r="N23" s="15" t="str">
        <f t="shared" si="18"/>
        <v>100% LTT</v>
      </c>
    </row>
    <row r="24" spans="1:14" ht="19.5" customHeight="1" x14ac:dyDescent="0.3">
      <c r="A24" s="15">
        <f t="shared" si="16"/>
        <v>16</v>
      </c>
      <c r="B24" s="16" t="s">
        <v>100</v>
      </c>
      <c r="C24" s="15" t="s">
        <v>102</v>
      </c>
      <c r="D24" s="15"/>
      <c r="E24" s="15"/>
      <c r="F24" s="15"/>
      <c r="G24" s="15">
        <f t="shared" si="12"/>
        <v>0</v>
      </c>
      <c r="H24" s="15">
        <f t="shared" si="12"/>
        <v>0</v>
      </c>
      <c r="I24" s="15">
        <f t="shared" si="13"/>
        <v>0</v>
      </c>
      <c r="J24" s="15">
        <f t="shared" si="14"/>
        <v>0</v>
      </c>
      <c r="K24" s="15">
        <v>5</v>
      </c>
      <c r="L24" s="15">
        <f t="shared" si="17"/>
        <v>95</v>
      </c>
      <c r="M24" s="15" t="str">
        <f t="shared" si="15"/>
        <v>A</v>
      </c>
      <c r="N24" s="15" t="str">
        <f t="shared" si="18"/>
        <v>100% LTT</v>
      </c>
    </row>
    <row r="25" spans="1:14" ht="19.5" customHeight="1" x14ac:dyDescent="0.3">
      <c r="A25" s="15">
        <f t="shared" si="16"/>
        <v>17</v>
      </c>
      <c r="B25" s="18" t="s">
        <v>116</v>
      </c>
      <c r="C25" s="17" t="s">
        <v>107</v>
      </c>
      <c r="D25" s="17"/>
      <c r="E25" s="17"/>
      <c r="F25" s="17"/>
      <c r="G25" s="15">
        <f t="shared" si="12"/>
        <v>0</v>
      </c>
      <c r="H25" s="15">
        <f t="shared" si="12"/>
        <v>0</v>
      </c>
      <c r="I25" s="15">
        <f t="shared" si="13"/>
        <v>0</v>
      </c>
      <c r="J25" s="15">
        <f t="shared" si="14"/>
        <v>0</v>
      </c>
      <c r="K25" s="17">
        <v>8</v>
      </c>
      <c r="L25" s="15">
        <f t="shared" si="17"/>
        <v>92</v>
      </c>
      <c r="M25" s="15" t="str">
        <f t="shared" si="15"/>
        <v>A</v>
      </c>
      <c r="N25" s="17" t="str">
        <f t="shared" si="18"/>
        <v>100% LTT</v>
      </c>
    </row>
    <row r="26" spans="1:14" ht="22.5" customHeight="1" x14ac:dyDescent="0.3">
      <c r="A26" s="180" t="s">
        <v>60</v>
      </c>
      <c r="B26" s="180"/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0"/>
      <c r="N26" s="180"/>
    </row>
    <row r="27" spans="1:14" ht="22.5" customHeight="1" x14ac:dyDescent="0.3">
      <c r="J27" s="185" t="s">
        <v>127</v>
      </c>
      <c r="K27" s="185"/>
      <c r="L27" s="185"/>
      <c r="M27" s="185"/>
      <c r="N27" s="185"/>
    </row>
    <row r="28" spans="1:14" ht="22.5" customHeight="1" x14ac:dyDescent="0.3">
      <c r="B28" s="178" t="s">
        <v>22</v>
      </c>
      <c r="C28" s="178"/>
      <c r="D28" s="178"/>
      <c r="L28" s="178" t="s">
        <v>25</v>
      </c>
      <c r="M28" s="178"/>
      <c r="N28" s="178"/>
    </row>
    <row r="29" spans="1:14" ht="22.5" customHeight="1" x14ac:dyDescent="0.3">
      <c r="L29" s="111"/>
      <c r="M29" s="111"/>
    </row>
    <row r="30" spans="1:14" ht="22.5" customHeight="1" x14ac:dyDescent="0.3">
      <c r="L30" s="111"/>
      <c r="M30" s="111"/>
    </row>
    <row r="31" spans="1:14" ht="22.5" customHeight="1" x14ac:dyDescent="0.3">
      <c r="L31" s="111"/>
      <c r="M31" s="111"/>
    </row>
    <row r="32" spans="1:14" ht="22.5" customHeight="1" x14ac:dyDescent="0.3">
      <c r="B32" s="178" t="s">
        <v>28</v>
      </c>
      <c r="C32" s="178"/>
      <c r="D32" s="178"/>
      <c r="L32" s="178" t="s">
        <v>27</v>
      </c>
      <c r="M32" s="178"/>
      <c r="N32" s="178"/>
    </row>
    <row r="33" spans="3:4" ht="22.5" customHeight="1" x14ac:dyDescent="0.3">
      <c r="C33" s="1"/>
      <c r="D33" s="1"/>
    </row>
  </sheetData>
  <mergeCells count="25">
    <mergeCell ref="B32:D32"/>
    <mergeCell ref="L32:N32"/>
    <mergeCell ref="A6:C6"/>
    <mergeCell ref="A15:C15"/>
    <mergeCell ref="A17:C17"/>
    <mergeCell ref="A26:N26"/>
    <mergeCell ref="J27:N27"/>
    <mergeCell ref="B28:D28"/>
    <mergeCell ref="L28:N28"/>
    <mergeCell ref="O4:O5"/>
    <mergeCell ref="A1:N1"/>
    <mergeCell ref="A2:N2"/>
    <mergeCell ref="A3:N3"/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L4:L5"/>
    <mergeCell ref="M4:M5"/>
    <mergeCell ref="N4:N5"/>
  </mergeCells>
  <pageMargins left="0.3" right="0.32" top="0.48" bottom="0.42" header="0.3" footer="0.3"/>
  <pageSetup scale="70" orientation="landscape" verticalDpi="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workbookViewId="0">
      <pane xSplit="2" ySplit="6" topLeftCell="C28" activePane="bottomRight" state="frozen"/>
      <selection pane="topRight" activeCell="C1" sqref="C1"/>
      <selection pane="bottomLeft" activeCell="A7" sqref="A7"/>
      <selection pane="bottomRight" sqref="A1:XFD1048576"/>
    </sheetView>
  </sheetViews>
  <sheetFormatPr defaultColWidth="9.109375" defaultRowHeight="16.8" x14ac:dyDescent="0.3"/>
  <cols>
    <col min="1" max="1" width="6.109375" style="2" customWidth="1"/>
    <col min="2" max="2" width="27.5546875" style="1" customWidth="1"/>
    <col min="3" max="3" width="22" style="2" customWidth="1"/>
    <col min="4" max="6" width="11.33203125" style="2" customWidth="1"/>
    <col min="7" max="9" width="12.33203125" style="2" customWidth="1"/>
    <col min="10" max="10" width="12.44140625" style="2" customWidth="1"/>
    <col min="11" max="11" width="11.33203125" style="2" customWidth="1"/>
    <col min="12" max="12" width="12.109375" style="2" customWidth="1"/>
    <col min="13" max="13" width="9.44140625" style="2" customWidth="1"/>
    <col min="14" max="14" width="15" style="2" customWidth="1"/>
    <col min="15" max="15" width="53.88671875" style="2" customWidth="1"/>
    <col min="16" max="16384" width="9.109375" style="1"/>
  </cols>
  <sheetData>
    <row r="1" spans="1:15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5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</row>
    <row r="3" spans="1:15" ht="22.5" customHeight="1" x14ac:dyDescent="0.3">
      <c r="A3" s="179" t="s">
        <v>141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</row>
    <row r="4" spans="1:15" s="3" customFormat="1" ht="22.5" customHeight="1" x14ac:dyDescent="0.3">
      <c r="A4" s="180" t="s">
        <v>0</v>
      </c>
      <c r="B4" s="180" t="s">
        <v>1</v>
      </c>
      <c r="C4" s="180" t="s">
        <v>2</v>
      </c>
      <c r="D4" s="180" t="s">
        <v>23</v>
      </c>
      <c r="E4" s="180"/>
      <c r="F4" s="180"/>
      <c r="G4" s="181" t="s">
        <v>29</v>
      </c>
      <c r="H4" s="181" t="s">
        <v>30</v>
      </c>
      <c r="I4" s="181" t="s">
        <v>31</v>
      </c>
      <c r="J4" s="181" t="s">
        <v>96</v>
      </c>
      <c r="K4" s="181" t="s">
        <v>97</v>
      </c>
      <c r="L4" s="180" t="s">
        <v>6</v>
      </c>
      <c r="M4" s="180" t="s">
        <v>7</v>
      </c>
      <c r="N4" s="180" t="s">
        <v>8</v>
      </c>
      <c r="O4" s="183"/>
    </row>
    <row r="5" spans="1:15" s="3" customFormat="1" ht="49.8" customHeight="1" x14ac:dyDescent="0.3">
      <c r="A5" s="180"/>
      <c r="B5" s="180"/>
      <c r="C5" s="180"/>
      <c r="D5" s="114" t="s">
        <v>3</v>
      </c>
      <c r="E5" s="114" t="s">
        <v>4</v>
      </c>
      <c r="F5" s="114" t="s">
        <v>5</v>
      </c>
      <c r="G5" s="182"/>
      <c r="H5" s="182"/>
      <c r="I5" s="182"/>
      <c r="J5" s="182"/>
      <c r="K5" s="182"/>
      <c r="L5" s="180"/>
      <c r="M5" s="180"/>
      <c r="N5" s="180"/>
      <c r="O5" s="183"/>
    </row>
    <row r="6" spans="1:15" ht="19.5" customHeight="1" x14ac:dyDescent="0.3">
      <c r="A6" s="184" t="s">
        <v>15</v>
      </c>
      <c r="B6" s="184"/>
      <c r="C6" s="18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5" ht="19.5" customHeight="1" x14ac:dyDescent="0.3">
      <c r="A7" s="15">
        <v>1</v>
      </c>
      <c r="B7" s="16" t="s">
        <v>49</v>
      </c>
      <c r="C7" s="15" t="s">
        <v>19</v>
      </c>
      <c r="D7" s="15">
        <v>4</v>
      </c>
      <c r="E7" s="15"/>
      <c r="F7" s="15">
        <v>1</v>
      </c>
      <c r="G7" s="15">
        <f t="shared" ref="G7:H14" si="0">IF(D7&gt;5,(D7-5)*2,0)</f>
        <v>0</v>
      </c>
      <c r="H7" s="15">
        <f t="shared" si="0"/>
        <v>0</v>
      </c>
      <c r="I7" s="15">
        <f t="shared" ref="I7:I14" si="1">IF(F7&gt;2,(F7-2)*1,0)</f>
        <v>0</v>
      </c>
      <c r="J7" s="15">
        <f>SUM(G7:I7)</f>
        <v>0</v>
      </c>
      <c r="K7" s="15">
        <v>4</v>
      </c>
      <c r="L7" s="15">
        <f t="shared" ref="L7:L14" si="2">100-J7-K7</f>
        <v>96</v>
      </c>
      <c r="M7" s="15" t="str">
        <f>IF(L7&lt;71,"KL",IF(AND(L7&gt;=71,L7&lt;81),"C",IF(AND(L7&gt;=81,L7&lt;91),"B","A")))</f>
        <v>A</v>
      </c>
      <c r="N7" s="15" t="str">
        <f>IF(M7="A","100% LTT",IF(M7="B","90% LTT",IF(M7="C","80% LTT","60% LTT")))</f>
        <v>100% LTT</v>
      </c>
      <c r="O7" s="11" t="s">
        <v>33</v>
      </c>
    </row>
    <row r="8" spans="1:15" ht="19.5" customHeight="1" x14ac:dyDescent="0.3">
      <c r="A8" s="15">
        <f t="shared" ref="A8:A14" si="3">A7+1</f>
        <v>2</v>
      </c>
      <c r="B8" s="16" t="s">
        <v>52</v>
      </c>
      <c r="C8" s="15" t="s">
        <v>19</v>
      </c>
      <c r="D8" s="15"/>
      <c r="E8" s="15"/>
      <c r="F8" s="15"/>
      <c r="G8" s="15">
        <f t="shared" si="0"/>
        <v>0</v>
      </c>
      <c r="H8" s="15">
        <f t="shared" si="0"/>
        <v>0</v>
      </c>
      <c r="I8" s="15">
        <f t="shared" si="1"/>
        <v>0</v>
      </c>
      <c r="J8" s="15">
        <f t="shared" ref="J8:J14" si="4">SUM(G8:I8)</f>
        <v>0</v>
      </c>
      <c r="K8" s="15"/>
      <c r="L8" s="15">
        <f t="shared" si="2"/>
        <v>100</v>
      </c>
      <c r="M8" s="15" t="str">
        <f t="shared" ref="M8:M14" si="5">IF(L8&lt;71,"KL",IF(AND(L8&gt;=71,L8&lt;81),"C",IF(AND(L8&gt;=81,L8&lt;91),"B","A")))</f>
        <v>A</v>
      </c>
      <c r="N8" s="15" t="str">
        <f t="shared" ref="N8:N14" si="6">IF(M8="A","100% LTT",IF(M8="B","90% LTT",IF(M8="C","80% LTT","60% LTT")))</f>
        <v>100% LTT</v>
      </c>
      <c r="O8" s="34"/>
    </row>
    <row r="9" spans="1:15" ht="19.5" customHeight="1" x14ac:dyDescent="0.3">
      <c r="A9" s="15">
        <f t="shared" si="3"/>
        <v>3</v>
      </c>
      <c r="B9" s="16" t="s">
        <v>57</v>
      </c>
      <c r="C9" s="15" t="s">
        <v>19</v>
      </c>
      <c r="D9" s="15"/>
      <c r="E9" s="15"/>
      <c r="F9" s="15"/>
      <c r="G9" s="15">
        <f t="shared" si="0"/>
        <v>0</v>
      </c>
      <c r="H9" s="15">
        <f t="shared" si="0"/>
        <v>0</v>
      </c>
      <c r="I9" s="15">
        <f t="shared" si="1"/>
        <v>0</v>
      </c>
      <c r="J9" s="15">
        <f t="shared" si="4"/>
        <v>0</v>
      </c>
      <c r="K9" s="15"/>
      <c r="L9" s="15">
        <f t="shared" si="2"/>
        <v>100</v>
      </c>
      <c r="M9" s="15" t="str">
        <f t="shared" si="5"/>
        <v>A</v>
      </c>
      <c r="N9" s="15" t="str">
        <f t="shared" si="6"/>
        <v>100% LTT</v>
      </c>
      <c r="O9" s="35"/>
    </row>
    <row r="10" spans="1:15" ht="19.5" customHeight="1" x14ac:dyDescent="0.3">
      <c r="A10" s="15">
        <f t="shared" si="3"/>
        <v>4</v>
      </c>
      <c r="B10" s="16" t="s">
        <v>58</v>
      </c>
      <c r="C10" s="15" t="s">
        <v>19</v>
      </c>
      <c r="D10" s="15"/>
      <c r="E10" s="15"/>
      <c r="F10" s="15"/>
      <c r="G10" s="15">
        <f t="shared" si="0"/>
        <v>0</v>
      </c>
      <c r="H10" s="15">
        <f t="shared" si="0"/>
        <v>0</v>
      </c>
      <c r="I10" s="15">
        <f t="shared" si="1"/>
        <v>0</v>
      </c>
      <c r="J10" s="15">
        <f t="shared" si="4"/>
        <v>0</v>
      </c>
      <c r="K10" s="15"/>
      <c r="L10" s="15">
        <f t="shared" si="2"/>
        <v>100</v>
      </c>
      <c r="M10" s="15" t="str">
        <f t="shared" si="5"/>
        <v>A</v>
      </c>
      <c r="N10" s="15" t="str">
        <f t="shared" si="6"/>
        <v>100% LTT</v>
      </c>
      <c r="O10" s="35"/>
    </row>
    <row r="11" spans="1:15" ht="19.5" customHeight="1" x14ac:dyDescent="0.3">
      <c r="A11" s="15">
        <f t="shared" si="3"/>
        <v>5</v>
      </c>
      <c r="B11" s="16" t="s">
        <v>59</v>
      </c>
      <c r="C11" s="15" t="s">
        <v>19</v>
      </c>
      <c r="D11" s="15"/>
      <c r="E11" s="15"/>
      <c r="F11" s="15"/>
      <c r="G11" s="15">
        <f t="shared" si="0"/>
        <v>0</v>
      </c>
      <c r="H11" s="15">
        <f t="shared" si="0"/>
        <v>0</v>
      </c>
      <c r="I11" s="15">
        <f t="shared" si="1"/>
        <v>0</v>
      </c>
      <c r="J11" s="15">
        <f t="shared" si="4"/>
        <v>0</v>
      </c>
      <c r="K11" s="15"/>
      <c r="L11" s="15">
        <f t="shared" si="2"/>
        <v>100</v>
      </c>
      <c r="M11" s="15" t="str">
        <f t="shared" si="5"/>
        <v>A</v>
      </c>
      <c r="N11" s="15" t="str">
        <f t="shared" si="6"/>
        <v>100% LTT</v>
      </c>
      <c r="O11" s="35"/>
    </row>
    <row r="12" spans="1:15" ht="19.5" customHeight="1" x14ac:dyDescent="0.3">
      <c r="A12" s="15">
        <f t="shared" si="3"/>
        <v>6</v>
      </c>
      <c r="B12" s="16" t="s">
        <v>53</v>
      </c>
      <c r="C12" s="15" t="s">
        <v>19</v>
      </c>
      <c r="D12" s="15"/>
      <c r="E12" s="15"/>
      <c r="F12" s="15"/>
      <c r="G12" s="15">
        <f t="shared" si="0"/>
        <v>0</v>
      </c>
      <c r="H12" s="15">
        <f t="shared" si="0"/>
        <v>0</v>
      </c>
      <c r="I12" s="15">
        <f t="shared" si="1"/>
        <v>0</v>
      </c>
      <c r="J12" s="15">
        <f t="shared" si="4"/>
        <v>0</v>
      </c>
      <c r="K12" s="15"/>
      <c r="L12" s="15">
        <f t="shared" si="2"/>
        <v>100</v>
      </c>
      <c r="M12" s="15" t="str">
        <f t="shared" si="5"/>
        <v>A</v>
      </c>
      <c r="N12" s="15" t="str">
        <f t="shared" si="6"/>
        <v>100% LTT</v>
      </c>
      <c r="O12" s="35"/>
    </row>
    <row r="13" spans="1:15" ht="19.5" customHeight="1" x14ac:dyDescent="0.3">
      <c r="A13" s="15">
        <f t="shared" si="3"/>
        <v>7</v>
      </c>
      <c r="B13" s="16" t="s">
        <v>54</v>
      </c>
      <c r="C13" s="15" t="s">
        <v>19</v>
      </c>
      <c r="D13" s="15"/>
      <c r="E13" s="15"/>
      <c r="F13" s="15"/>
      <c r="G13" s="15">
        <f t="shared" si="0"/>
        <v>0</v>
      </c>
      <c r="H13" s="15">
        <f t="shared" si="0"/>
        <v>0</v>
      </c>
      <c r="I13" s="15">
        <f t="shared" si="1"/>
        <v>0</v>
      </c>
      <c r="J13" s="15">
        <f t="shared" si="4"/>
        <v>0</v>
      </c>
      <c r="K13" s="15"/>
      <c r="L13" s="15">
        <f t="shared" si="2"/>
        <v>100</v>
      </c>
      <c r="M13" s="15" t="str">
        <f t="shared" si="5"/>
        <v>A</v>
      </c>
      <c r="N13" s="15" t="str">
        <f t="shared" si="6"/>
        <v>100% LTT</v>
      </c>
      <c r="O13" s="35"/>
    </row>
    <row r="14" spans="1:15" ht="19.5" customHeight="1" x14ac:dyDescent="0.3">
      <c r="A14" s="15">
        <f t="shared" si="3"/>
        <v>8</v>
      </c>
      <c r="B14" s="18" t="s">
        <v>11</v>
      </c>
      <c r="C14" s="17" t="s">
        <v>51</v>
      </c>
      <c r="D14" s="17">
        <v>7</v>
      </c>
      <c r="E14" s="17"/>
      <c r="F14" s="17"/>
      <c r="G14" s="17">
        <f t="shared" si="0"/>
        <v>4</v>
      </c>
      <c r="H14" s="17">
        <f t="shared" si="0"/>
        <v>0</v>
      </c>
      <c r="I14" s="17">
        <f t="shared" si="1"/>
        <v>0</v>
      </c>
      <c r="J14" s="17">
        <f t="shared" si="4"/>
        <v>4</v>
      </c>
      <c r="K14" s="17">
        <v>3</v>
      </c>
      <c r="L14" s="15">
        <f t="shared" si="2"/>
        <v>93</v>
      </c>
      <c r="M14" s="17" t="str">
        <f t="shared" si="5"/>
        <v>A</v>
      </c>
      <c r="N14" s="17" t="str">
        <f t="shared" si="6"/>
        <v>100% LTT</v>
      </c>
      <c r="O14" s="35"/>
    </row>
    <row r="15" spans="1:15" ht="19.5" customHeight="1" x14ac:dyDescent="0.3">
      <c r="A15" s="184" t="s">
        <v>16</v>
      </c>
      <c r="B15" s="184"/>
      <c r="C15" s="18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5" ht="19.5" customHeight="1" x14ac:dyDescent="0.3">
      <c r="A16" s="17">
        <f>A14+1</f>
        <v>9</v>
      </c>
      <c r="B16" s="18" t="s">
        <v>28</v>
      </c>
      <c r="C16" s="17" t="s">
        <v>121</v>
      </c>
      <c r="D16" s="4">
        <v>3</v>
      </c>
      <c r="E16" s="17"/>
      <c r="F16" s="17">
        <v>3</v>
      </c>
      <c r="G16" s="17">
        <f t="shared" ref="G16:H16" si="7">IF(D16&gt;5,(D16-5)*2,0)</f>
        <v>0</v>
      </c>
      <c r="H16" s="17">
        <f t="shared" si="7"/>
        <v>0</v>
      </c>
      <c r="I16" s="17">
        <f t="shared" ref="I16" si="8">IF(F16&gt;2,(F16-2)*1,0)</f>
        <v>1</v>
      </c>
      <c r="J16" s="17">
        <f t="shared" ref="J16" si="9">SUM(G16:I16)</f>
        <v>1</v>
      </c>
      <c r="K16" s="17"/>
      <c r="L16" s="17">
        <f>100-J16-K16</f>
        <v>99</v>
      </c>
      <c r="M16" s="17" t="str">
        <f t="shared" ref="M16" si="10">IF(L16&lt;71,"KL",IF(AND(L16&gt;=71,L16&lt;81),"C",IF(AND(L16&gt;=81,L16&lt;91),"B","A")))</f>
        <v>A</v>
      </c>
      <c r="N16" s="17" t="str">
        <f t="shared" ref="N16" si="11">IF(M16="A","100% LTT",IF(M16="B","90% LTT",IF(M16="C","80% LTT","60% LTT")))</f>
        <v>100% LTT</v>
      </c>
    </row>
    <row r="17" spans="1:14" ht="19.5" customHeight="1" x14ac:dyDescent="0.3">
      <c r="A17" s="184" t="s">
        <v>17</v>
      </c>
      <c r="B17" s="184"/>
      <c r="C17" s="18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ht="19.5" customHeight="1" x14ac:dyDescent="0.3">
      <c r="A18" s="15">
        <f>A16+1</f>
        <v>10</v>
      </c>
      <c r="B18" s="16" t="s">
        <v>13</v>
      </c>
      <c r="C18" s="15" t="s">
        <v>101</v>
      </c>
      <c r="D18" s="15">
        <v>3</v>
      </c>
      <c r="E18" s="15"/>
      <c r="F18" s="15">
        <v>1</v>
      </c>
      <c r="G18" s="15">
        <f t="shared" ref="G18:H25" si="12">IF(D18&gt;5,(D18-5)*2,0)</f>
        <v>0</v>
      </c>
      <c r="H18" s="15">
        <f t="shared" si="12"/>
        <v>0</v>
      </c>
      <c r="I18" s="15">
        <f t="shared" ref="I18:I25" si="13">IF(F18&gt;2,(F18-2)*1,0)</f>
        <v>0</v>
      </c>
      <c r="J18" s="15">
        <f t="shared" ref="J18:J25" si="14">SUM(G18:I18)</f>
        <v>0</v>
      </c>
      <c r="K18" s="15"/>
      <c r="L18" s="15">
        <f>100-J18-K18</f>
        <v>100</v>
      </c>
      <c r="M18" s="15" t="str">
        <f t="shared" ref="M18:M25" si="15">IF(L18&lt;71,"KL",IF(AND(L18&gt;=71,L18&lt;81),"C",IF(AND(L18&gt;=81,L18&lt;91),"B","A")))</f>
        <v>A</v>
      </c>
      <c r="N18" s="15" t="str">
        <f>IF(M18="A","100% LTT",IF(M18="B","90% LTT",IF(M18="C","80% LTT","60% LTT")))</f>
        <v>100% LTT</v>
      </c>
    </row>
    <row r="19" spans="1:14" ht="19.5" customHeight="1" x14ac:dyDescent="0.3">
      <c r="A19" s="15">
        <f t="shared" ref="A19:A25" si="16">A18+1</f>
        <v>11</v>
      </c>
      <c r="B19" s="16" t="s">
        <v>14</v>
      </c>
      <c r="C19" s="15" t="s">
        <v>19</v>
      </c>
      <c r="D19" s="15">
        <v>7</v>
      </c>
      <c r="E19" s="15"/>
      <c r="F19" s="15"/>
      <c r="G19" s="15">
        <f t="shared" si="12"/>
        <v>4</v>
      </c>
      <c r="H19" s="15">
        <f t="shared" si="12"/>
        <v>0</v>
      </c>
      <c r="I19" s="15">
        <f t="shared" si="13"/>
        <v>0</v>
      </c>
      <c r="J19" s="15">
        <f t="shared" si="14"/>
        <v>4</v>
      </c>
      <c r="K19" s="15">
        <v>4</v>
      </c>
      <c r="L19" s="15">
        <f t="shared" ref="L19:L25" si="17">100-J19-K19</f>
        <v>92</v>
      </c>
      <c r="M19" s="15" t="str">
        <f t="shared" si="15"/>
        <v>A</v>
      </c>
      <c r="N19" s="15" t="str">
        <f t="shared" ref="N19:N25" si="18">IF(M19="A","100% LTT",IF(M19="B","90% LTT",IF(M19="C","80% LTT","60% LTT")))</f>
        <v>100% LTT</v>
      </c>
    </row>
    <row r="20" spans="1:14" ht="19.5" customHeight="1" x14ac:dyDescent="0.3">
      <c r="A20" s="15">
        <f t="shared" si="16"/>
        <v>12</v>
      </c>
      <c r="B20" s="16" t="s">
        <v>40</v>
      </c>
      <c r="C20" s="15" t="s">
        <v>19</v>
      </c>
      <c r="D20" s="15"/>
      <c r="E20" s="15"/>
      <c r="F20" s="15"/>
      <c r="G20" s="15">
        <f t="shared" si="12"/>
        <v>0</v>
      </c>
      <c r="H20" s="15">
        <f t="shared" si="12"/>
        <v>0</v>
      </c>
      <c r="I20" s="15">
        <f t="shared" si="13"/>
        <v>0</v>
      </c>
      <c r="J20" s="15">
        <f t="shared" si="14"/>
        <v>0</v>
      </c>
      <c r="K20" s="15">
        <v>4</v>
      </c>
      <c r="L20" s="15">
        <f>100-J20-K20</f>
        <v>96</v>
      </c>
      <c r="M20" s="15" t="str">
        <f t="shared" si="15"/>
        <v>A</v>
      </c>
      <c r="N20" s="15" t="str">
        <f t="shared" si="18"/>
        <v>100% LTT</v>
      </c>
    </row>
    <row r="21" spans="1:14" ht="19.5" customHeight="1" x14ac:dyDescent="0.3">
      <c r="A21" s="15">
        <f t="shared" si="16"/>
        <v>13</v>
      </c>
      <c r="B21" s="16" t="s">
        <v>130</v>
      </c>
      <c r="C21" s="15" t="s">
        <v>131</v>
      </c>
      <c r="D21" s="15"/>
      <c r="E21" s="15"/>
      <c r="F21" s="15"/>
      <c r="G21" s="15">
        <f t="shared" si="12"/>
        <v>0</v>
      </c>
      <c r="H21" s="15">
        <f t="shared" si="12"/>
        <v>0</v>
      </c>
      <c r="I21" s="15">
        <f t="shared" si="13"/>
        <v>0</v>
      </c>
      <c r="J21" s="15">
        <f t="shared" si="14"/>
        <v>0</v>
      </c>
      <c r="K21" s="15">
        <v>1</v>
      </c>
      <c r="L21" s="15">
        <f t="shared" ref="L21:L22" si="19">100-J21-K21</f>
        <v>99</v>
      </c>
      <c r="M21" s="15" t="str">
        <f t="shared" si="15"/>
        <v>A</v>
      </c>
      <c r="N21" s="15" t="str">
        <f t="shared" si="18"/>
        <v>100% LTT</v>
      </c>
    </row>
    <row r="22" spans="1:14" ht="19.5" customHeight="1" x14ac:dyDescent="0.3">
      <c r="A22" s="15">
        <f t="shared" si="16"/>
        <v>14</v>
      </c>
      <c r="B22" s="16" t="s">
        <v>98</v>
      </c>
      <c r="C22" s="15" t="s">
        <v>102</v>
      </c>
      <c r="D22" s="15"/>
      <c r="E22" s="15"/>
      <c r="F22" s="15"/>
      <c r="G22" s="15">
        <f t="shared" si="12"/>
        <v>0</v>
      </c>
      <c r="H22" s="15">
        <f t="shared" si="12"/>
        <v>0</v>
      </c>
      <c r="I22" s="15">
        <f t="shared" si="13"/>
        <v>0</v>
      </c>
      <c r="J22" s="15">
        <f t="shared" si="14"/>
        <v>0</v>
      </c>
      <c r="K22" s="15">
        <v>8</v>
      </c>
      <c r="L22" s="15">
        <f t="shared" si="19"/>
        <v>92</v>
      </c>
      <c r="M22" s="15" t="str">
        <f t="shared" si="15"/>
        <v>A</v>
      </c>
      <c r="N22" s="15" t="str">
        <f t="shared" si="18"/>
        <v>100% LTT</v>
      </c>
    </row>
    <row r="23" spans="1:14" ht="19.5" customHeight="1" x14ac:dyDescent="0.3">
      <c r="A23" s="15">
        <f t="shared" si="16"/>
        <v>15</v>
      </c>
      <c r="B23" s="16" t="s">
        <v>99</v>
      </c>
      <c r="C23" s="15" t="s">
        <v>102</v>
      </c>
      <c r="D23" s="15"/>
      <c r="E23" s="15"/>
      <c r="F23" s="15"/>
      <c r="G23" s="15">
        <f t="shared" si="12"/>
        <v>0</v>
      </c>
      <c r="H23" s="15">
        <f t="shared" si="12"/>
        <v>0</v>
      </c>
      <c r="I23" s="15">
        <f t="shared" si="13"/>
        <v>0</v>
      </c>
      <c r="J23" s="15">
        <f t="shared" si="14"/>
        <v>0</v>
      </c>
      <c r="K23" s="15">
        <v>6</v>
      </c>
      <c r="L23" s="15">
        <f t="shared" si="17"/>
        <v>94</v>
      </c>
      <c r="M23" s="15" t="str">
        <f t="shared" si="15"/>
        <v>A</v>
      </c>
      <c r="N23" s="15" t="str">
        <f t="shared" si="18"/>
        <v>100% LTT</v>
      </c>
    </row>
    <row r="24" spans="1:14" ht="19.5" customHeight="1" x14ac:dyDescent="0.3">
      <c r="A24" s="15">
        <f t="shared" si="16"/>
        <v>16</v>
      </c>
      <c r="B24" s="16" t="s">
        <v>100</v>
      </c>
      <c r="C24" s="15" t="s">
        <v>102</v>
      </c>
      <c r="D24" s="15"/>
      <c r="E24" s="15"/>
      <c r="F24" s="15"/>
      <c r="G24" s="15">
        <f t="shared" si="12"/>
        <v>0</v>
      </c>
      <c r="H24" s="15">
        <f t="shared" si="12"/>
        <v>0</v>
      </c>
      <c r="I24" s="15">
        <f t="shared" si="13"/>
        <v>0</v>
      </c>
      <c r="J24" s="15">
        <f t="shared" si="14"/>
        <v>0</v>
      </c>
      <c r="K24" s="15"/>
      <c r="L24" s="15">
        <f t="shared" si="17"/>
        <v>100</v>
      </c>
      <c r="M24" s="15" t="str">
        <f t="shared" si="15"/>
        <v>A</v>
      </c>
      <c r="N24" s="15" t="str">
        <f t="shared" si="18"/>
        <v>100% LTT</v>
      </c>
    </row>
    <row r="25" spans="1:14" ht="19.5" customHeight="1" x14ac:dyDescent="0.3">
      <c r="A25" s="15">
        <f t="shared" si="16"/>
        <v>17</v>
      </c>
      <c r="B25" s="18" t="s">
        <v>116</v>
      </c>
      <c r="C25" s="17" t="s">
        <v>107</v>
      </c>
      <c r="D25" s="17"/>
      <c r="E25" s="17"/>
      <c r="F25" s="17"/>
      <c r="G25" s="15">
        <f t="shared" si="12"/>
        <v>0</v>
      </c>
      <c r="H25" s="15">
        <f t="shared" si="12"/>
        <v>0</v>
      </c>
      <c r="I25" s="15">
        <f t="shared" si="13"/>
        <v>0</v>
      </c>
      <c r="J25" s="15">
        <f t="shared" si="14"/>
        <v>0</v>
      </c>
      <c r="K25" s="17">
        <v>8</v>
      </c>
      <c r="L25" s="15">
        <f t="shared" si="17"/>
        <v>92</v>
      </c>
      <c r="M25" s="15" t="str">
        <f t="shared" si="15"/>
        <v>A</v>
      </c>
      <c r="N25" s="17" t="str">
        <f t="shared" si="18"/>
        <v>100% LTT</v>
      </c>
    </row>
    <row r="26" spans="1:14" ht="22.5" customHeight="1" x14ac:dyDescent="0.3">
      <c r="A26" s="180" t="s">
        <v>60</v>
      </c>
      <c r="B26" s="180"/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0"/>
      <c r="N26" s="180"/>
    </row>
    <row r="27" spans="1:14" ht="22.5" customHeight="1" x14ac:dyDescent="0.3">
      <c r="J27" s="185" t="s">
        <v>127</v>
      </c>
      <c r="K27" s="185"/>
      <c r="L27" s="185"/>
      <c r="M27" s="185"/>
      <c r="N27" s="185"/>
    </row>
    <row r="28" spans="1:14" ht="22.5" customHeight="1" x14ac:dyDescent="0.3">
      <c r="B28" s="178" t="s">
        <v>22</v>
      </c>
      <c r="C28" s="178"/>
      <c r="D28" s="178"/>
      <c r="L28" s="178" t="s">
        <v>25</v>
      </c>
      <c r="M28" s="178"/>
      <c r="N28" s="178"/>
    </row>
    <row r="29" spans="1:14" ht="22.5" customHeight="1" x14ac:dyDescent="0.3">
      <c r="L29" s="113"/>
      <c r="M29" s="113"/>
    </row>
    <row r="30" spans="1:14" ht="22.5" customHeight="1" x14ac:dyDescent="0.3">
      <c r="L30" s="113"/>
      <c r="M30" s="113"/>
    </row>
    <row r="31" spans="1:14" ht="22.5" customHeight="1" x14ac:dyDescent="0.3">
      <c r="L31" s="113"/>
      <c r="M31" s="113"/>
    </row>
    <row r="32" spans="1:14" ht="22.5" customHeight="1" x14ac:dyDescent="0.3">
      <c r="B32" s="178" t="s">
        <v>28</v>
      </c>
      <c r="C32" s="178"/>
      <c r="D32" s="178"/>
      <c r="L32" s="178" t="s">
        <v>27</v>
      </c>
      <c r="M32" s="178"/>
      <c r="N32" s="178"/>
    </row>
    <row r="33" spans="3:4" ht="22.5" customHeight="1" x14ac:dyDescent="0.3">
      <c r="C33" s="1"/>
      <c r="D33" s="1"/>
    </row>
  </sheetData>
  <mergeCells count="25">
    <mergeCell ref="B32:D32"/>
    <mergeCell ref="L32:N32"/>
    <mergeCell ref="A6:C6"/>
    <mergeCell ref="A15:C15"/>
    <mergeCell ref="A17:C17"/>
    <mergeCell ref="A26:N26"/>
    <mergeCell ref="J27:N27"/>
    <mergeCell ref="B28:D28"/>
    <mergeCell ref="L28:N28"/>
    <mergeCell ref="O4:O5"/>
    <mergeCell ref="A1:N1"/>
    <mergeCell ref="A2:N2"/>
    <mergeCell ref="A3:N3"/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L4:L5"/>
    <mergeCell ref="M4:M5"/>
    <mergeCell ref="N4:N5"/>
  </mergeCells>
  <pageMargins left="0.27" right="0.27" top="0.48" bottom="0.4" header="0.3" footer="0.3"/>
  <pageSetup scale="70" orientation="landscape" verticalDpi="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workbookViewId="0">
      <pane xSplit="2" ySplit="6" topLeftCell="D7" activePane="bottomRight" state="frozen"/>
      <selection pane="topRight" activeCell="C1" sqref="C1"/>
      <selection pane="bottomLeft" activeCell="A7" sqref="A7"/>
      <selection pane="bottomRight" sqref="A1:XFD1048576"/>
    </sheetView>
  </sheetViews>
  <sheetFormatPr defaultColWidth="9.109375" defaultRowHeight="16.8" x14ac:dyDescent="0.3"/>
  <cols>
    <col min="1" max="1" width="6.109375" style="2" customWidth="1"/>
    <col min="2" max="2" width="27.5546875" style="1" customWidth="1"/>
    <col min="3" max="3" width="22" style="2" customWidth="1"/>
    <col min="4" max="6" width="11.33203125" style="2" customWidth="1"/>
    <col min="7" max="9" width="12.33203125" style="2" customWidth="1"/>
    <col min="10" max="10" width="12.44140625" style="2" customWidth="1"/>
    <col min="11" max="11" width="11.33203125" style="2" customWidth="1"/>
    <col min="12" max="12" width="12.109375" style="2" customWidth="1"/>
    <col min="13" max="13" width="9.44140625" style="2" customWidth="1"/>
    <col min="14" max="14" width="15" style="2" customWidth="1"/>
    <col min="15" max="15" width="53.88671875" style="2" customWidth="1"/>
    <col min="16" max="16384" width="9.109375" style="1"/>
  </cols>
  <sheetData>
    <row r="1" spans="1:15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5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</row>
    <row r="3" spans="1:15" ht="22.5" customHeight="1" x14ac:dyDescent="0.3">
      <c r="A3" s="179" t="s">
        <v>142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</row>
    <row r="4" spans="1:15" s="3" customFormat="1" ht="22.5" customHeight="1" x14ac:dyDescent="0.3">
      <c r="A4" s="180" t="s">
        <v>0</v>
      </c>
      <c r="B4" s="180" t="s">
        <v>1</v>
      </c>
      <c r="C4" s="180" t="s">
        <v>2</v>
      </c>
      <c r="D4" s="180" t="s">
        <v>23</v>
      </c>
      <c r="E4" s="180"/>
      <c r="F4" s="180"/>
      <c r="G4" s="181" t="s">
        <v>29</v>
      </c>
      <c r="H4" s="181" t="s">
        <v>30</v>
      </c>
      <c r="I4" s="181" t="s">
        <v>31</v>
      </c>
      <c r="J4" s="181" t="s">
        <v>96</v>
      </c>
      <c r="K4" s="181" t="s">
        <v>97</v>
      </c>
      <c r="L4" s="180" t="s">
        <v>6</v>
      </c>
      <c r="M4" s="180" t="s">
        <v>7</v>
      </c>
      <c r="N4" s="180" t="s">
        <v>8</v>
      </c>
      <c r="O4" s="183"/>
    </row>
    <row r="5" spans="1:15" s="3" customFormat="1" ht="49.8" customHeight="1" x14ac:dyDescent="0.3">
      <c r="A5" s="180"/>
      <c r="B5" s="180"/>
      <c r="C5" s="180"/>
      <c r="D5" s="116" t="s">
        <v>3</v>
      </c>
      <c r="E5" s="116" t="s">
        <v>4</v>
      </c>
      <c r="F5" s="116" t="s">
        <v>5</v>
      </c>
      <c r="G5" s="182"/>
      <c r="H5" s="182"/>
      <c r="I5" s="182"/>
      <c r="J5" s="182"/>
      <c r="K5" s="182"/>
      <c r="L5" s="180"/>
      <c r="M5" s="180"/>
      <c r="N5" s="180"/>
      <c r="O5" s="183"/>
    </row>
    <row r="6" spans="1:15" ht="19.5" customHeight="1" x14ac:dyDescent="0.3">
      <c r="A6" s="184" t="s">
        <v>15</v>
      </c>
      <c r="B6" s="184"/>
      <c r="C6" s="18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5" ht="19.5" customHeight="1" x14ac:dyDescent="0.3">
      <c r="A7" s="15">
        <v>1</v>
      </c>
      <c r="B7" s="16" t="s">
        <v>49</v>
      </c>
      <c r="C7" s="15" t="s">
        <v>19</v>
      </c>
      <c r="D7" s="15">
        <v>1</v>
      </c>
      <c r="E7" s="15"/>
      <c r="F7" s="15">
        <v>1</v>
      </c>
      <c r="G7" s="15">
        <f t="shared" ref="G7:H14" si="0">IF(D7&gt;5,(D7-5)*2,0)</f>
        <v>0</v>
      </c>
      <c r="H7" s="15">
        <f t="shared" si="0"/>
        <v>0</v>
      </c>
      <c r="I7" s="15">
        <f t="shared" ref="I7:I14" si="1">IF(F7&gt;2,(F7-2)*1,0)</f>
        <v>0</v>
      </c>
      <c r="J7" s="15">
        <f>SUM(G7:I7)</f>
        <v>0</v>
      </c>
      <c r="K7" s="15">
        <v>3</v>
      </c>
      <c r="L7" s="15">
        <f t="shared" ref="L7:L14" si="2">100-J7-K7</f>
        <v>97</v>
      </c>
      <c r="M7" s="15" t="str">
        <f>IF(L7&lt;71,"KL",IF(AND(L7&gt;=71,L7&lt;81),"C",IF(AND(L7&gt;=81,L7&lt;91),"B","A")))</f>
        <v>A</v>
      </c>
      <c r="N7" s="15" t="str">
        <f>IF(M7="A","100% LTT",IF(M7="B","90% LTT",IF(M7="C","80% LTT","60% LTT")))</f>
        <v>100% LTT</v>
      </c>
      <c r="O7" s="11" t="s">
        <v>33</v>
      </c>
    </row>
    <row r="8" spans="1:15" ht="19.5" customHeight="1" x14ac:dyDescent="0.3">
      <c r="A8" s="15">
        <f t="shared" ref="A8:A14" si="3">A7+1</f>
        <v>2</v>
      </c>
      <c r="B8" s="16" t="s">
        <v>52</v>
      </c>
      <c r="C8" s="15" t="s">
        <v>19</v>
      </c>
      <c r="D8" s="15"/>
      <c r="E8" s="15"/>
      <c r="F8" s="15"/>
      <c r="G8" s="15">
        <f t="shared" si="0"/>
        <v>0</v>
      </c>
      <c r="H8" s="15">
        <f t="shared" si="0"/>
        <v>0</v>
      </c>
      <c r="I8" s="15">
        <f t="shared" si="1"/>
        <v>0</v>
      </c>
      <c r="J8" s="15">
        <f t="shared" ref="J8:J14" si="4">SUM(G8:I8)</f>
        <v>0</v>
      </c>
      <c r="K8" s="15"/>
      <c r="L8" s="15">
        <f t="shared" si="2"/>
        <v>100</v>
      </c>
      <c r="M8" s="15" t="str">
        <f t="shared" ref="M8:M14" si="5">IF(L8&lt;71,"KL",IF(AND(L8&gt;=71,L8&lt;81),"C",IF(AND(L8&gt;=81,L8&lt;91),"B","A")))</f>
        <v>A</v>
      </c>
      <c r="N8" s="15" t="str">
        <f t="shared" ref="N8:N14" si="6">IF(M8="A","100% LTT",IF(M8="B","90% LTT",IF(M8="C","80% LTT","60% LTT")))</f>
        <v>100% LTT</v>
      </c>
      <c r="O8" s="34"/>
    </row>
    <row r="9" spans="1:15" ht="19.5" customHeight="1" x14ac:dyDescent="0.3">
      <c r="A9" s="15">
        <f t="shared" si="3"/>
        <v>3</v>
      </c>
      <c r="B9" s="16" t="s">
        <v>57</v>
      </c>
      <c r="C9" s="15" t="s">
        <v>19</v>
      </c>
      <c r="D9" s="15"/>
      <c r="E9" s="15"/>
      <c r="F9" s="15"/>
      <c r="G9" s="15">
        <f t="shared" si="0"/>
        <v>0</v>
      </c>
      <c r="H9" s="15">
        <f t="shared" si="0"/>
        <v>0</v>
      </c>
      <c r="I9" s="15">
        <f t="shared" si="1"/>
        <v>0</v>
      </c>
      <c r="J9" s="15">
        <f t="shared" si="4"/>
        <v>0</v>
      </c>
      <c r="K9" s="15"/>
      <c r="L9" s="15">
        <f t="shared" si="2"/>
        <v>100</v>
      </c>
      <c r="M9" s="15" t="str">
        <f t="shared" si="5"/>
        <v>A</v>
      </c>
      <c r="N9" s="15" t="str">
        <f t="shared" si="6"/>
        <v>100% LTT</v>
      </c>
      <c r="O9" s="35"/>
    </row>
    <row r="10" spans="1:15" ht="19.5" customHeight="1" x14ac:dyDescent="0.3">
      <c r="A10" s="15">
        <f t="shared" si="3"/>
        <v>4</v>
      </c>
      <c r="B10" s="16" t="s">
        <v>58</v>
      </c>
      <c r="C10" s="15" t="s">
        <v>19</v>
      </c>
      <c r="D10" s="15"/>
      <c r="E10" s="15"/>
      <c r="F10" s="15"/>
      <c r="G10" s="15">
        <f t="shared" si="0"/>
        <v>0</v>
      </c>
      <c r="H10" s="15">
        <f t="shared" si="0"/>
        <v>0</v>
      </c>
      <c r="I10" s="15">
        <f t="shared" si="1"/>
        <v>0</v>
      </c>
      <c r="J10" s="15">
        <f t="shared" si="4"/>
        <v>0</v>
      </c>
      <c r="K10" s="15"/>
      <c r="L10" s="15">
        <f t="shared" si="2"/>
        <v>100</v>
      </c>
      <c r="M10" s="15" t="str">
        <f t="shared" si="5"/>
        <v>A</v>
      </c>
      <c r="N10" s="15" t="str">
        <f t="shared" si="6"/>
        <v>100% LTT</v>
      </c>
      <c r="O10" s="35"/>
    </row>
    <row r="11" spans="1:15" ht="19.5" customHeight="1" x14ac:dyDescent="0.3">
      <c r="A11" s="15">
        <f t="shared" si="3"/>
        <v>5</v>
      </c>
      <c r="B11" s="16" t="s">
        <v>59</v>
      </c>
      <c r="C11" s="15" t="s">
        <v>19</v>
      </c>
      <c r="D11" s="15"/>
      <c r="E11" s="15"/>
      <c r="F11" s="15"/>
      <c r="G11" s="15">
        <f t="shared" si="0"/>
        <v>0</v>
      </c>
      <c r="H11" s="15">
        <f t="shared" si="0"/>
        <v>0</v>
      </c>
      <c r="I11" s="15">
        <f t="shared" si="1"/>
        <v>0</v>
      </c>
      <c r="J11" s="15">
        <f t="shared" si="4"/>
        <v>0</v>
      </c>
      <c r="K11" s="15"/>
      <c r="L11" s="15">
        <f t="shared" si="2"/>
        <v>100</v>
      </c>
      <c r="M11" s="15" t="str">
        <f t="shared" si="5"/>
        <v>A</v>
      </c>
      <c r="N11" s="15" t="str">
        <f t="shared" si="6"/>
        <v>100% LTT</v>
      </c>
      <c r="O11" s="35"/>
    </row>
    <row r="12" spans="1:15" ht="19.5" customHeight="1" x14ac:dyDescent="0.3">
      <c r="A12" s="15">
        <f t="shared" si="3"/>
        <v>6</v>
      </c>
      <c r="B12" s="16" t="s">
        <v>53</v>
      </c>
      <c r="C12" s="15" t="s">
        <v>19</v>
      </c>
      <c r="D12" s="15"/>
      <c r="E12" s="15"/>
      <c r="F12" s="15"/>
      <c r="G12" s="15">
        <f t="shared" si="0"/>
        <v>0</v>
      </c>
      <c r="H12" s="15">
        <f t="shared" si="0"/>
        <v>0</v>
      </c>
      <c r="I12" s="15">
        <f t="shared" si="1"/>
        <v>0</v>
      </c>
      <c r="J12" s="15">
        <f t="shared" si="4"/>
        <v>0</v>
      </c>
      <c r="K12" s="15"/>
      <c r="L12" s="15">
        <f t="shared" si="2"/>
        <v>100</v>
      </c>
      <c r="M12" s="15" t="str">
        <f t="shared" si="5"/>
        <v>A</v>
      </c>
      <c r="N12" s="15" t="str">
        <f t="shared" si="6"/>
        <v>100% LTT</v>
      </c>
      <c r="O12" s="35"/>
    </row>
    <row r="13" spans="1:15" ht="19.5" customHeight="1" x14ac:dyDescent="0.3">
      <c r="A13" s="15">
        <f t="shared" si="3"/>
        <v>7</v>
      </c>
      <c r="B13" s="16" t="s">
        <v>54</v>
      </c>
      <c r="C13" s="15" t="s">
        <v>19</v>
      </c>
      <c r="D13" s="15"/>
      <c r="E13" s="15"/>
      <c r="F13" s="15"/>
      <c r="G13" s="15">
        <f t="shared" si="0"/>
        <v>0</v>
      </c>
      <c r="H13" s="15">
        <f t="shared" si="0"/>
        <v>0</v>
      </c>
      <c r="I13" s="15">
        <f t="shared" si="1"/>
        <v>0</v>
      </c>
      <c r="J13" s="15">
        <f t="shared" si="4"/>
        <v>0</v>
      </c>
      <c r="K13" s="15"/>
      <c r="L13" s="15">
        <f t="shared" si="2"/>
        <v>100</v>
      </c>
      <c r="M13" s="15" t="str">
        <f t="shared" si="5"/>
        <v>A</v>
      </c>
      <c r="N13" s="15" t="str">
        <f t="shared" si="6"/>
        <v>100% LTT</v>
      </c>
      <c r="O13" s="35"/>
    </row>
    <row r="14" spans="1:15" ht="19.5" customHeight="1" x14ac:dyDescent="0.3">
      <c r="A14" s="15">
        <f t="shared" si="3"/>
        <v>8</v>
      </c>
      <c r="B14" s="18" t="s">
        <v>11</v>
      </c>
      <c r="C14" s="17" t="s">
        <v>51</v>
      </c>
      <c r="D14" s="17"/>
      <c r="E14" s="17"/>
      <c r="F14" s="17">
        <v>1</v>
      </c>
      <c r="G14" s="17">
        <f t="shared" si="0"/>
        <v>0</v>
      </c>
      <c r="H14" s="17">
        <f t="shared" si="0"/>
        <v>0</v>
      </c>
      <c r="I14" s="17">
        <f t="shared" si="1"/>
        <v>0</v>
      </c>
      <c r="J14" s="17">
        <f t="shared" si="4"/>
        <v>0</v>
      </c>
      <c r="K14" s="17">
        <v>2</v>
      </c>
      <c r="L14" s="15">
        <f t="shared" si="2"/>
        <v>98</v>
      </c>
      <c r="M14" s="17" t="str">
        <f t="shared" si="5"/>
        <v>A</v>
      </c>
      <c r="N14" s="17" t="str">
        <f t="shared" si="6"/>
        <v>100% LTT</v>
      </c>
      <c r="O14" s="35"/>
    </row>
    <row r="15" spans="1:15" ht="19.5" customHeight="1" x14ac:dyDescent="0.3">
      <c r="A15" s="184" t="s">
        <v>16</v>
      </c>
      <c r="B15" s="184"/>
      <c r="C15" s="18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5" ht="19.5" customHeight="1" x14ac:dyDescent="0.3">
      <c r="A16" s="17">
        <f>A14+1</f>
        <v>9</v>
      </c>
      <c r="B16" s="18" t="s">
        <v>28</v>
      </c>
      <c r="C16" s="17" t="s">
        <v>121</v>
      </c>
      <c r="D16" s="4">
        <v>1</v>
      </c>
      <c r="E16" s="17"/>
      <c r="F16" s="17">
        <v>2</v>
      </c>
      <c r="G16" s="17">
        <f t="shared" ref="G16:H16" si="7">IF(D16&gt;5,(D16-5)*2,0)</f>
        <v>0</v>
      </c>
      <c r="H16" s="17">
        <f t="shared" si="7"/>
        <v>0</v>
      </c>
      <c r="I16" s="17">
        <f t="shared" ref="I16" si="8">IF(F16&gt;2,(F16-2)*1,0)</f>
        <v>0</v>
      </c>
      <c r="J16" s="17">
        <f t="shared" ref="J16" si="9">SUM(G16:I16)</f>
        <v>0</v>
      </c>
      <c r="K16" s="17"/>
      <c r="L16" s="17">
        <f>100-J16-K16</f>
        <v>100</v>
      </c>
      <c r="M16" s="17" t="str">
        <f t="shared" ref="M16" si="10">IF(L16&lt;71,"KL",IF(AND(L16&gt;=71,L16&lt;81),"C",IF(AND(L16&gt;=81,L16&lt;91),"B","A")))</f>
        <v>A</v>
      </c>
      <c r="N16" s="17" t="str">
        <f t="shared" ref="N16" si="11">IF(M16="A","100% LTT",IF(M16="B","90% LTT",IF(M16="C","80% LTT","60% LTT")))</f>
        <v>100% LTT</v>
      </c>
    </row>
    <row r="17" spans="1:14" ht="19.5" customHeight="1" x14ac:dyDescent="0.3">
      <c r="A17" s="184" t="s">
        <v>17</v>
      </c>
      <c r="B17" s="184"/>
      <c r="C17" s="18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ht="19.5" customHeight="1" x14ac:dyDescent="0.3">
      <c r="A18" s="15">
        <f>A16+1</f>
        <v>10</v>
      </c>
      <c r="B18" s="16" t="s">
        <v>13</v>
      </c>
      <c r="C18" s="15" t="s">
        <v>101</v>
      </c>
      <c r="D18" s="15"/>
      <c r="E18" s="15"/>
      <c r="F18" s="15">
        <v>2</v>
      </c>
      <c r="G18" s="15">
        <f t="shared" ref="G18:H25" si="12">IF(D18&gt;5,(D18-5)*2,0)</f>
        <v>0</v>
      </c>
      <c r="H18" s="15">
        <f t="shared" si="12"/>
        <v>0</v>
      </c>
      <c r="I18" s="15">
        <f t="shared" ref="I18:I25" si="13">IF(F18&gt;2,(F18-2)*1,0)</f>
        <v>0</v>
      </c>
      <c r="J18" s="15">
        <f t="shared" ref="J18:J25" si="14">SUM(G18:I18)</f>
        <v>0</v>
      </c>
      <c r="K18" s="15">
        <v>4</v>
      </c>
      <c r="L18" s="15">
        <f>100-J18-K18</f>
        <v>96</v>
      </c>
      <c r="M18" s="15" t="str">
        <f t="shared" ref="M18:M25" si="15">IF(L18&lt;71,"KL",IF(AND(L18&gt;=71,L18&lt;81),"C",IF(AND(L18&gt;=81,L18&lt;91),"B","A")))</f>
        <v>A</v>
      </c>
      <c r="N18" s="15" t="str">
        <f>IF(M18="A","100% LTT",IF(M18="B","90% LTT",IF(M18="C","80% LTT","60% LTT")))</f>
        <v>100% LTT</v>
      </c>
    </row>
    <row r="19" spans="1:14" ht="19.5" customHeight="1" x14ac:dyDescent="0.3">
      <c r="A19" s="15">
        <f t="shared" ref="A19:A25" si="16">A18+1</f>
        <v>11</v>
      </c>
      <c r="B19" s="16" t="s">
        <v>14</v>
      </c>
      <c r="C19" s="15" t="s">
        <v>19</v>
      </c>
      <c r="D19" s="15"/>
      <c r="E19" s="15">
        <v>1</v>
      </c>
      <c r="F19" s="15"/>
      <c r="G19" s="15">
        <f t="shared" si="12"/>
        <v>0</v>
      </c>
      <c r="H19" s="15">
        <f t="shared" si="12"/>
        <v>0</v>
      </c>
      <c r="I19" s="15">
        <f t="shared" si="13"/>
        <v>0</v>
      </c>
      <c r="J19" s="15">
        <f t="shared" si="14"/>
        <v>0</v>
      </c>
      <c r="K19" s="15">
        <v>3</v>
      </c>
      <c r="L19" s="15">
        <f t="shared" ref="L19:L25" si="17">100-J19-K19</f>
        <v>97</v>
      </c>
      <c r="M19" s="15" t="str">
        <f t="shared" si="15"/>
        <v>A</v>
      </c>
      <c r="N19" s="15" t="str">
        <f t="shared" ref="N19:N25" si="18">IF(M19="A","100% LTT",IF(M19="B","90% LTT",IF(M19="C","80% LTT","60% LTT")))</f>
        <v>100% LTT</v>
      </c>
    </row>
    <row r="20" spans="1:14" ht="19.5" customHeight="1" x14ac:dyDescent="0.3">
      <c r="A20" s="15">
        <f t="shared" si="16"/>
        <v>12</v>
      </c>
      <c r="B20" s="16" t="s">
        <v>40</v>
      </c>
      <c r="C20" s="15" t="s">
        <v>19</v>
      </c>
      <c r="D20" s="15"/>
      <c r="E20" s="15"/>
      <c r="F20" s="15"/>
      <c r="G20" s="15">
        <f t="shared" si="12"/>
        <v>0</v>
      </c>
      <c r="H20" s="15">
        <f t="shared" si="12"/>
        <v>0</v>
      </c>
      <c r="I20" s="15">
        <f t="shared" si="13"/>
        <v>0</v>
      </c>
      <c r="J20" s="15">
        <f t="shared" si="14"/>
        <v>0</v>
      </c>
      <c r="K20" s="15">
        <v>4</v>
      </c>
      <c r="L20" s="15">
        <f>100-J20-K20</f>
        <v>96</v>
      </c>
      <c r="M20" s="15" t="str">
        <f t="shared" si="15"/>
        <v>A</v>
      </c>
      <c r="N20" s="15" t="str">
        <f t="shared" si="18"/>
        <v>100% LTT</v>
      </c>
    </row>
    <row r="21" spans="1:14" ht="19.5" customHeight="1" x14ac:dyDescent="0.3">
      <c r="A21" s="15">
        <f t="shared" si="16"/>
        <v>13</v>
      </c>
      <c r="B21" s="16" t="s">
        <v>130</v>
      </c>
      <c r="C21" s="15" t="s">
        <v>131</v>
      </c>
      <c r="D21" s="15"/>
      <c r="E21" s="15"/>
      <c r="F21" s="15"/>
      <c r="G21" s="15">
        <f t="shared" si="12"/>
        <v>0</v>
      </c>
      <c r="H21" s="15">
        <f t="shared" si="12"/>
        <v>0</v>
      </c>
      <c r="I21" s="15">
        <f t="shared" si="13"/>
        <v>0</v>
      </c>
      <c r="J21" s="15">
        <f t="shared" si="14"/>
        <v>0</v>
      </c>
      <c r="K21" s="15">
        <v>5</v>
      </c>
      <c r="L21" s="15">
        <f t="shared" ref="L21:L22" si="19">100-J21-K21</f>
        <v>95</v>
      </c>
      <c r="M21" s="15" t="str">
        <f t="shared" si="15"/>
        <v>A</v>
      </c>
      <c r="N21" s="15" t="str">
        <f t="shared" si="18"/>
        <v>100% LTT</v>
      </c>
    </row>
    <row r="22" spans="1:14" ht="19.5" customHeight="1" x14ac:dyDescent="0.3">
      <c r="A22" s="15">
        <f t="shared" si="16"/>
        <v>14</v>
      </c>
      <c r="B22" s="16" t="s">
        <v>98</v>
      </c>
      <c r="C22" s="15" t="s">
        <v>102</v>
      </c>
      <c r="D22" s="15"/>
      <c r="E22" s="15"/>
      <c r="F22" s="15"/>
      <c r="G22" s="15">
        <f t="shared" si="12"/>
        <v>0</v>
      </c>
      <c r="H22" s="15">
        <f t="shared" si="12"/>
        <v>0</v>
      </c>
      <c r="I22" s="15">
        <f t="shared" si="13"/>
        <v>0</v>
      </c>
      <c r="J22" s="15">
        <f t="shared" si="14"/>
        <v>0</v>
      </c>
      <c r="K22" s="15">
        <v>8</v>
      </c>
      <c r="L22" s="15">
        <f t="shared" si="19"/>
        <v>92</v>
      </c>
      <c r="M22" s="15" t="str">
        <f t="shared" si="15"/>
        <v>A</v>
      </c>
      <c r="N22" s="15" t="str">
        <f t="shared" si="18"/>
        <v>100% LTT</v>
      </c>
    </row>
    <row r="23" spans="1:14" ht="19.5" customHeight="1" x14ac:dyDescent="0.3">
      <c r="A23" s="15">
        <f t="shared" si="16"/>
        <v>15</v>
      </c>
      <c r="B23" s="16" t="s">
        <v>99</v>
      </c>
      <c r="C23" s="15" t="s">
        <v>102</v>
      </c>
      <c r="D23" s="15"/>
      <c r="E23" s="15"/>
      <c r="F23" s="15"/>
      <c r="G23" s="15">
        <f t="shared" si="12"/>
        <v>0</v>
      </c>
      <c r="H23" s="15">
        <f t="shared" si="12"/>
        <v>0</v>
      </c>
      <c r="I23" s="15">
        <f t="shared" si="13"/>
        <v>0</v>
      </c>
      <c r="J23" s="15">
        <f t="shared" si="14"/>
        <v>0</v>
      </c>
      <c r="K23" s="15">
        <v>6</v>
      </c>
      <c r="L23" s="15">
        <f t="shared" si="17"/>
        <v>94</v>
      </c>
      <c r="M23" s="15" t="str">
        <f t="shared" si="15"/>
        <v>A</v>
      </c>
      <c r="N23" s="15" t="str">
        <f t="shared" si="18"/>
        <v>100% LTT</v>
      </c>
    </row>
    <row r="24" spans="1:14" ht="19.5" customHeight="1" x14ac:dyDescent="0.3">
      <c r="A24" s="15">
        <f t="shared" si="16"/>
        <v>16</v>
      </c>
      <c r="B24" s="16" t="s">
        <v>100</v>
      </c>
      <c r="C24" s="15" t="s">
        <v>102</v>
      </c>
      <c r="D24" s="15"/>
      <c r="E24" s="15"/>
      <c r="F24" s="15"/>
      <c r="G24" s="15">
        <f t="shared" si="12"/>
        <v>0</v>
      </c>
      <c r="H24" s="15">
        <f t="shared" si="12"/>
        <v>0</v>
      </c>
      <c r="I24" s="15">
        <f t="shared" si="13"/>
        <v>0</v>
      </c>
      <c r="J24" s="15">
        <f t="shared" si="14"/>
        <v>0</v>
      </c>
      <c r="K24" s="15">
        <v>5</v>
      </c>
      <c r="L24" s="15">
        <f t="shared" si="17"/>
        <v>95</v>
      </c>
      <c r="M24" s="15" t="str">
        <f t="shared" si="15"/>
        <v>A</v>
      </c>
      <c r="N24" s="15" t="str">
        <f t="shared" si="18"/>
        <v>100% LTT</v>
      </c>
    </row>
    <row r="25" spans="1:14" ht="19.5" customHeight="1" x14ac:dyDescent="0.3">
      <c r="A25" s="15">
        <f t="shared" si="16"/>
        <v>17</v>
      </c>
      <c r="B25" s="18" t="s">
        <v>116</v>
      </c>
      <c r="C25" s="17" t="s">
        <v>107</v>
      </c>
      <c r="D25" s="17"/>
      <c r="E25" s="17"/>
      <c r="F25" s="17"/>
      <c r="G25" s="15">
        <f t="shared" si="12"/>
        <v>0</v>
      </c>
      <c r="H25" s="15">
        <f t="shared" si="12"/>
        <v>0</v>
      </c>
      <c r="I25" s="15">
        <f t="shared" si="13"/>
        <v>0</v>
      </c>
      <c r="J25" s="15">
        <f t="shared" si="14"/>
        <v>0</v>
      </c>
      <c r="K25" s="17">
        <v>8</v>
      </c>
      <c r="L25" s="15">
        <f t="shared" si="17"/>
        <v>92</v>
      </c>
      <c r="M25" s="15" t="str">
        <f t="shared" si="15"/>
        <v>A</v>
      </c>
      <c r="N25" s="17" t="str">
        <f t="shared" si="18"/>
        <v>100% LTT</v>
      </c>
    </row>
    <row r="26" spans="1:14" ht="22.5" customHeight="1" x14ac:dyDescent="0.3">
      <c r="A26" s="180" t="s">
        <v>60</v>
      </c>
      <c r="B26" s="180"/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0"/>
      <c r="N26" s="180"/>
    </row>
    <row r="27" spans="1:14" ht="22.5" customHeight="1" x14ac:dyDescent="0.3">
      <c r="J27" s="185" t="s">
        <v>127</v>
      </c>
      <c r="K27" s="185"/>
      <c r="L27" s="185"/>
      <c r="M27" s="185"/>
      <c r="N27" s="185"/>
    </row>
    <row r="28" spans="1:14" ht="22.5" customHeight="1" x14ac:dyDescent="0.3">
      <c r="B28" s="178" t="s">
        <v>22</v>
      </c>
      <c r="C28" s="178"/>
      <c r="D28" s="178"/>
      <c r="L28" s="178" t="s">
        <v>25</v>
      </c>
      <c r="M28" s="178"/>
      <c r="N28" s="178"/>
    </row>
    <row r="29" spans="1:14" ht="22.5" customHeight="1" x14ac:dyDescent="0.3">
      <c r="L29" s="115"/>
      <c r="M29" s="115"/>
    </row>
    <row r="30" spans="1:14" ht="22.5" customHeight="1" x14ac:dyDescent="0.3">
      <c r="L30" s="115"/>
      <c r="M30" s="115"/>
    </row>
    <row r="31" spans="1:14" ht="22.5" customHeight="1" x14ac:dyDescent="0.3">
      <c r="L31" s="115"/>
      <c r="M31" s="115"/>
    </row>
    <row r="32" spans="1:14" ht="22.5" customHeight="1" x14ac:dyDescent="0.3">
      <c r="B32" s="178" t="s">
        <v>28</v>
      </c>
      <c r="C32" s="178"/>
      <c r="D32" s="178"/>
      <c r="L32" s="178" t="s">
        <v>27</v>
      </c>
      <c r="M32" s="178"/>
      <c r="N32" s="178"/>
    </row>
    <row r="33" spans="3:4" ht="22.5" customHeight="1" x14ac:dyDescent="0.3">
      <c r="C33" s="1"/>
      <c r="D33" s="1"/>
    </row>
  </sheetData>
  <mergeCells count="25">
    <mergeCell ref="B32:D32"/>
    <mergeCell ref="L32:N32"/>
    <mergeCell ref="A6:C6"/>
    <mergeCell ref="A15:C15"/>
    <mergeCell ref="A17:C17"/>
    <mergeCell ref="A26:N26"/>
    <mergeCell ref="J27:N27"/>
    <mergeCell ref="B28:D28"/>
    <mergeCell ref="L28:N28"/>
    <mergeCell ref="O4:O5"/>
    <mergeCell ref="A1:N1"/>
    <mergeCell ref="A2:N2"/>
    <mergeCell ref="A3:N3"/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L4:L5"/>
    <mergeCell ref="M4:M5"/>
    <mergeCell ref="N4:N5"/>
  </mergeCells>
  <pageMargins left="0.2" right="0.26" top="0.36" bottom="0.36" header="0.3" footer="0.3"/>
  <pageSetup scale="70" orientation="landscape" verticalDpi="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zoomScale="80" zoomScaleNormal="80" workbookViewId="0">
      <pane xSplit="2" ySplit="6" topLeftCell="D7" activePane="bottomRight" state="frozen"/>
      <selection pane="topRight" activeCell="C1" sqref="C1"/>
      <selection pane="bottomLeft" activeCell="A7" sqref="A7"/>
      <selection pane="bottomRight" sqref="A1:XFD1048576"/>
    </sheetView>
  </sheetViews>
  <sheetFormatPr defaultColWidth="9.109375" defaultRowHeight="16.8" x14ac:dyDescent="0.3"/>
  <cols>
    <col min="1" max="1" width="6.109375" style="2" customWidth="1"/>
    <col min="2" max="2" width="27.5546875" style="1" customWidth="1"/>
    <col min="3" max="3" width="22" style="2" customWidth="1"/>
    <col min="4" max="6" width="11.33203125" style="2" customWidth="1"/>
    <col min="7" max="9" width="12.33203125" style="2" customWidth="1"/>
    <col min="10" max="10" width="12.44140625" style="2" customWidth="1"/>
    <col min="11" max="11" width="11.33203125" style="2" customWidth="1"/>
    <col min="12" max="12" width="12.109375" style="2" customWidth="1"/>
    <col min="13" max="13" width="9.44140625" style="2" customWidth="1"/>
    <col min="14" max="14" width="15" style="2" customWidth="1"/>
    <col min="15" max="15" width="53.88671875" style="2" customWidth="1"/>
    <col min="16" max="16384" width="9.109375" style="1"/>
  </cols>
  <sheetData>
    <row r="1" spans="1:15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5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</row>
    <row r="3" spans="1:15" ht="22.5" customHeight="1" x14ac:dyDescent="0.3">
      <c r="A3" s="179" t="s">
        <v>143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</row>
    <row r="4" spans="1:15" s="3" customFormat="1" ht="22.5" customHeight="1" x14ac:dyDescent="0.3">
      <c r="A4" s="180" t="s">
        <v>0</v>
      </c>
      <c r="B4" s="180" t="s">
        <v>1</v>
      </c>
      <c r="C4" s="180" t="s">
        <v>2</v>
      </c>
      <c r="D4" s="180" t="s">
        <v>23</v>
      </c>
      <c r="E4" s="180"/>
      <c r="F4" s="180"/>
      <c r="G4" s="181" t="s">
        <v>29</v>
      </c>
      <c r="H4" s="181" t="s">
        <v>30</v>
      </c>
      <c r="I4" s="181" t="s">
        <v>31</v>
      </c>
      <c r="J4" s="181" t="s">
        <v>96</v>
      </c>
      <c r="K4" s="181" t="s">
        <v>97</v>
      </c>
      <c r="L4" s="180" t="s">
        <v>6</v>
      </c>
      <c r="M4" s="180" t="s">
        <v>7</v>
      </c>
      <c r="N4" s="180" t="s">
        <v>8</v>
      </c>
      <c r="O4" s="183"/>
    </row>
    <row r="5" spans="1:15" s="3" customFormat="1" ht="49.8" customHeight="1" x14ac:dyDescent="0.3">
      <c r="A5" s="180"/>
      <c r="B5" s="180"/>
      <c r="C5" s="180"/>
      <c r="D5" s="118" t="s">
        <v>3</v>
      </c>
      <c r="E5" s="118" t="s">
        <v>4</v>
      </c>
      <c r="F5" s="118" t="s">
        <v>5</v>
      </c>
      <c r="G5" s="182"/>
      <c r="H5" s="182"/>
      <c r="I5" s="182"/>
      <c r="J5" s="182"/>
      <c r="K5" s="182"/>
      <c r="L5" s="180"/>
      <c r="M5" s="180"/>
      <c r="N5" s="180"/>
      <c r="O5" s="183"/>
    </row>
    <row r="6" spans="1:15" ht="19.5" customHeight="1" x14ac:dyDescent="0.3">
      <c r="A6" s="184" t="s">
        <v>15</v>
      </c>
      <c r="B6" s="184"/>
      <c r="C6" s="18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5" ht="19.5" customHeight="1" x14ac:dyDescent="0.3">
      <c r="A7" s="15">
        <v>1</v>
      </c>
      <c r="B7" s="16" t="s">
        <v>49</v>
      </c>
      <c r="C7" s="15" t="s">
        <v>19</v>
      </c>
      <c r="D7" s="15"/>
      <c r="E7" s="15"/>
      <c r="F7" s="15">
        <v>1</v>
      </c>
      <c r="G7" s="15">
        <f t="shared" ref="G7:H14" si="0">IF(D7&gt;5,(D7-5)*2,0)</f>
        <v>0</v>
      </c>
      <c r="H7" s="15">
        <f t="shared" si="0"/>
        <v>0</v>
      </c>
      <c r="I7" s="15">
        <f t="shared" ref="I7:I14" si="1">IF(F7&gt;2,(F7-2)*1,0)</f>
        <v>0</v>
      </c>
      <c r="J7" s="15">
        <f>SUM(G7:I7)</f>
        <v>0</v>
      </c>
      <c r="K7" s="15">
        <v>3</v>
      </c>
      <c r="L7" s="15">
        <f t="shared" ref="L7:L14" si="2">100-J7-K7</f>
        <v>97</v>
      </c>
      <c r="M7" s="15" t="str">
        <f>IF(L7&lt;71,"KL",IF(AND(L7&gt;=71,L7&lt;81),"C",IF(AND(L7&gt;=81,L7&lt;91),"B","A")))</f>
        <v>A</v>
      </c>
      <c r="N7" s="15" t="str">
        <f>IF(M7="A","100% LTT",IF(M7="B","90% LTT",IF(M7="C","80% LTT","60% LTT")))</f>
        <v>100% LTT</v>
      </c>
      <c r="O7" s="11" t="s">
        <v>33</v>
      </c>
    </row>
    <row r="8" spans="1:15" ht="19.5" customHeight="1" x14ac:dyDescent="0.3">
      <c r="A8" s="15">
        <f t="shared" ref="A8:A14" si="3">A7+1</f>
        <v>2</v>
      </c>
      <c r="B8" s="16" t="s">
        <v>52</v>
      </c>
      <c r="C8" s="15" t="s">
        <v>19</v>
      </c>
      <c r="D8" s="15"/>
      <c r="E8" s="15"/>
      <c r="F8" s="15"/>
      <c r="G8" s="15">
        <f t="shared" si="0"/>
        <v>0</v>
      </c>
      <c r="H8" s="15">
        <f t="shared" si="0"/>
        <v>0</v>
      </c>
      <c r="I8" s="15">
        <f t="shared" si="1"/>
        <v>0</v>
      </c>
      <c r="J8" s="15">
        <f t="shared" ref="J8:J14" si="4">SUM(G8:I8)</f>
        <v>0</v>
      </c>
      <c r="K8" s="15"/>
      <c r="L8" s="15">
        <f t="shared" si="2"/>
        <v>100</v>
      </c>
      <c r="M8" s="15" t="str">
        <f t="shared" ref="M8:M14" si="5">IF(L8&lt;71,"KL",IF(AND(L8&gt;=71,L8&lt;81),"C",IF(AND(L8&gt;=81,L8&lt;91),"B","A")))</f>
        <v>A</v>
      </c>
      <c r="N8" s="15" t="str">
        <f t="shared" ref="N8:N14" si="6">IF(M8="A","100% LTT",IF(M8="B","90% LTT",IF(M8="C","80% LTT","60% LTT")))</f>
        <v>100% LTT</v>
      </c>
      <c r="O8" s="34"/>
    </row>
    <row r="9" spans="1:15" ht="19.5" customHeight="1" x14ac:dyDescent="0.3">
      <c r="A9" s="15">
        <f t="shared" si="3"/>
        <v>3</v>
      </c>
      <c r="B9" s="16" t="s">
        <v>57</v>
      </c>
      <c r="C9" s="15" t="s">
        <v>19</v>
      </c>
      <c r="D9" s="15"/>
      <c r="E9" s="15"/>
      <c r="F9" s="15"/>
      <c r="G9" s="15">
        <f t="shared" si="0"/>
        <v>0</v>
      </c>
      <c r="H9" s="15">
        <f t="shared" si="0"/>
        <v>0</v>
      </c>
      <c r="I9" s="15">
        <f t="shared" si="1"/>
        <v>0</v>
      </c>
      <c r="J9" s="15">
        <f t="shared" si="4"/>
        <v>0</v>
      </c>
      <c r="K9" s="15"/>
      <c r="L9" s="15">
        <f t="shared" si="2"/>
        <v>100</v>
      </c>
      <c r="M9" s="15" t="str">
        <f t="shared" si="5"/>
        <v>A</v>
      </c>
      <c r="N9" s="15" t="str">
        <f t="shared" si="6"/>
        <v>100% LTT</v>
      </c>
      <c r="O9" s="35"/>
    </row>
    <row r="10" spans="1:15" ht="19.5" customHeight="1" x14ac:dyDescent="0.3">
      <c r="A10" s="15">
        <f t="shared" si="3"/>
        <v>4</v>
      </c>
      <c r="B10" s="16" t="s">
        <v>58</v>
      </c>
      <c r="C10" s="15" t="s">
        <v>19</v>
      </c>
      <c r="D10" s="15"/>
      <c r="E10" s="15"/>
      <c r="F10" s="15"/>
      <c r="G10" s="15">
        <f t="shared" si="0"/>
        <v>0</v>
      </c>
      <c r="H10" s="15">
        <f t="shared" si="0"/>
        <v>0</v>
      </c>
      <c r="I10" s="15">
        <f t="shared" si="1"/>
        <v>0</v>
      </c>
      <c r="J10" s="15">
        <f t="shared" si="4"/>
        <v>0</v>
      </c>
      <c r="K10" s="15"/>
      <c r="L10" s="15">
        <f t="shared" si="2"/>
        <v>100</v>
      </c>
      <c r="M10" s="15" t="str">
        <f t="shared" si="5"/>
        <v>A</v>
      </c>
      <c r="N10" s="15" t="str">
        <f t="shared" si="6"/>
        <v>100% LTT</v>
      </c>
      <c r="O10" s="35"/>
    </row>
    <row r="11" spans="1:15" ht="19.5" customHeight="1" x14ac:dyDescent="0.3">
      <c r="A11" s="15">
        <f t="shared" si="3"/>
        <v>5</v>
      </c>
      <c r="B11" s="16" t="s">
        <v>59</v>
      </c>
      <c r="C11" s="15" t="s">
        <v>19</v>
      </c>
      <c r="D11" s="15"/>
      <c r="E11" s="15"/>
      <c r="F11" s="15"/>
      <c r="G11" s="15">
        <f t="shared" si="0"/>
        <v>0</v>
      </c>
      <c r="H11" s="15">
        <f t="shared" si="0"/>
        <v>0</v>
      </c>
      <c r="I11" s="15">
        <f t="shared" si="1"/>
        <v>0</v>
      </c>
      <c r="J11" s="15">
        <f t="shared" si="4"/>
        <v>0</v>
      </c>
      <c r="K11" s="15"/>
      <c r="L11" s="15">
        <f t="shared" si="2"/>
        <v>100</v>
      </c>
      <c r="M11" s="15" t="str">
        <f t="shared" si="5"/>
        <v>A</v>
      </c>
      <c r="N11" s="15" t="str">
        <f t="shared" si="6"/>
        <v>100% LTT</v>
      </c>
      <c r="O11" s="35"/>
    </row>
    <row r="12" spans="1:15" ht="19.5" customHeight="1" x14ac:dyDescent="0.3">
      <c r="A12" s="15">
        <f t="shared" si="3"/>
        <v>6</v>
      </c>
      <c r="B12" s="16" t="s">
        <v>53</v>
      </c>
      <c r="C12" s="15" t="s">
        <v>19</v>
      </c>
      <c r="D12" s="15"/>
      <c r="E12" s="15"/>
      <c r="F12" s="15"/>
      <c r="G12" s="15">
        <f t="shared" si="0"/>
        <v>0</v>
      </c>
      <c r="H12" s="15">
        <f t="shared" si="0"/>
        <v>0</v>
      </c>
      <c r="I12" s="15">
        <f t="shared" si="1"/>
        <v>0</v>
      </c>
      <c r="J12" s="15">
        <f t="shared" si="4"/>
        <v>0</v>
      </c>
      <c r="K12" s="15"/>
      <c r="L12" s="15">
        <f t="shared" si="2"/>
        <v>100</v>
      </c>
      <c r="M12" s="15" t="str">
        <f t="shared" si="5"/>
        <v>A</v>
      </c>
      <c r="N12" s="15" t="str">
        <f t="shared" si="6"/>
        <v>100% LTT</v>
      </c>
      <c r="O12" s="35"/>
    </row>
    <row r="13" spans="1:15" ht="19.5" customHeight="1" x14ac:dyDescent="0.3">
      <c r="A13" s="15">
        <f t="shared" si="3"/>
        <v>7</v>
      </c>
      <c r="B13" s="16" t="s">
        <v>54</v>
      </c>
      <c r="C13" s="15" t="s">
        <v>19</v>
      </c>
      <c r="D13" s="15"/>
      <c r="E13" s="15"/>
      <c r="F13" s="15"/>
      <c r="G13" s="15">
        <f t="shared" si="0"/>
        <v>0</v>
      </c>
      <c r="H13" s="15">
        <f t="shared" si="0"/>
        <v>0</v>
      </c>
      <c r="I13" s="15">
        <f t="shared" si="1"/>
        <v>0</v>
      </c>
      <c r="J13" s="15">
        <f t="shared" si="4"/>
        <v>0</v>
      </c>
      <c r="K13" s="15"/>
      <c r="L13" s="15">
        <f t="shared" si="2"/>
        <v>100</v>
      </c>
      <c r="M13" s="15" t="str">
        <f t="shared" si="5"/>
        <v>A</v>
      </c>
      <c r="N13" s="15" t="str">
        <f t="shared" si="6"/>
        <v>100% LTT</v>
      </c>
      <c r="O13" s="35"/>
    </row>
    <row r="14" spans="1:15" ht="19.5" customHeight="1" x14ac:dyDescent="0.3">
      <c r="A14" s="15">
        <f t="shared" si="3"/>
        <v>8</v>
      </c>
      <c r="B14" s="18" t="s">
        <v>11</v>
      </c>
      <c r="C14" s="17" t="s">
        <v>51</v>
      </c>
      <c r="D14" s="17">
        <v>6</v>
      </c>
      <c r="E14" s="17"/>
      <c r="F14" s="17">
        <v>1</v>
      </c>
      <c r="G14" s="17">
        <f t="shared" si="0"/>
        <v>2</v>
      </c>
      <c r="H14" s="17">
        <f t="shared" si="0"/>
        <v>0</v>
      </c>
      <c r="I14" s="17">
        <f t="shared" si="1"/>
        <v>0</v>
      </c>
      <c r="J14" s="17">
        <f t="shared" si="4"/>
        <v>2</v>
      </c>
      <c r="K14" s="17">
        <v>3</v>
      </c>
      <c r="L14" s="15">
        <f t="shared" si="2"/>
        <v>95</v>
      </c>
      <c r="M14" s="17" t="str">
        <f t="shared" si="5"/>
        <v>A</v>
      </c>
      <c r="N14" s="17" t="str">
        <f t="shared" si="6"/>
        <v>100% LTT</v>
      </c>
      <c r="O14" s="35"/>
    </row>
    <row r="15" spans="1:15" ht="19.5" customHeight="1" x14ac:dyDescent="0.3">
      <c r="A15" s="184" t="s">
        <v>16</v>
      </c>
      <c r="B15" s="184"/>
      <c r="C15" s="18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5" ht="19.5" customHeight="1" x14ac:dyDescent="0.3">
      <c r="A16" s="17">
        <f>A14+1</f>
        <v>9</v>
      </c>
      <c r="B16" s="18" t="s">
        <v>28</v>
      </c>
      <c r="C16" s="17" t="s">
        <v>121</v>
      </c>
      <c r="D16" s="4"/>
      <c r="E16" s="17"/>
      <c r="F16" s="17">
        <v>2</v>
      </c>
      <c r="G16" s="17">
        <f t="shared" ref="G16:H16" si="7">IF(D16&gt;5,(D16-5)*2,0)</f>
        <v>0</v>
      </c>
      <c r="H16" s="17">
        <f t="shared" si="7"/>
        <v>0</v>
      </c>
      <c r="I16" s="17">
        <f t="shared" ref="I16" si="8">IF(F16&gt;2,(F16-2)*1,0)</f>
        <v>0</v>
      </c>
      <c r="J16" s="17">
        <f t="shared" ref="J16" si="9">SUM(G16:I16)</f>
        <v>0</v>
      </c>
      <c r="K16" s="17"/>
      <c r="L16" s="17">
        <f>100-J16-K16</f>
        <v>100</v>
      </c>
      <c r="M16" s="17" t="str">
        <f t="shared" ref="M16" si="10">IF(L16&lt;71,"KL",IF(AND(L16&gt;=71,L16&lt;81),"C",IF(AND(L16&gt;=81,L16&lt;91),"B","A")))</f>
        <v>A</v>
      </c>
      <c r="N16" s="17" t="str">
        <f t="shared" ref="N16" si="11">IF(M16="A","100% LTT",IF(M16="B","90% LTT",IF(M16="C","80% LTT","60% LTT")))</f>
        <v>100% LTT</v>
      </c>
    </row>
    <row r="17" spans="1:14" ht="19.5" customHeight="1" x14ac:dyDescent="0.3">
      <c r="A17" s="184" t="s">
        <v>17</v>
      </c>
      <c r="B17" s="184"/>
      <c r="C17" s="18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ht="19.5" customHeight="1" x14ac:dyDescent="0.3">
      <c r="A18" s="15">
        <f>A16+1</f>
        <v>10</v>
      </c>
      <c r="B18" s="16" t="s">
        <v>13</v>
      </c>
      <c r="C18" s="15" t="s">
        <v>101</v>
      </c>
      <c r="D18" s="15">
        <v>2</v>
      </c>
      <c r="E18" s="15"/>
      <c r="F18" s="15">
        <v>2</v>
      </c>
      <c r="G18" s="15">
        <f t="shared" ref="G18:H25" si="12">IF(D18&gt;5,(D18-5)*2,0)</f>
        <v>0</v>
      </c>
      <c r="H18" s="15">
        <f t="shared" si="12"/>
        <v>0</v>
      </c>
      <c r="I18" s="15">
        <f t="shared" ref="I18:I25" si="13">IF(F18&gt;2,(F18-2)*1,0)</f>
        <v>0</v>
      </c>
      <c r="J18" s="15">
        <f t="shared" ref="J18:J25" si="14">SUM(G18:I18)</f>
        <v>0</v>
      </c>
      <c r="K18" s="15">
        <v>4</v>
      </c>
      <c r="L18" s="15">
        <f>100-J18-K18</f>
        <v>96</v>
      </c>
      <c r="M18" s="15" t="str">
        <f t="shared" ref="M18:M25" si="15">IF(L18&lt;71,"KL",IF(AND(L18&gt;=71,L18&lt;81),"C",IF(AND(L18&gt;=81,L18&lt;91),"B","A")))</f>
        <v>A</v>
      </c>
      <c r="N18" s="15" t="str">
        <f>IF(M18="A","100% LTT",IF(M18="B","90% LTT",IF(M18="C","80% LTT","60% LTT")))</f>
        <v>100% LTT</v>
      </c>
    </row>
    <row r="19" spans="1:14" ht="19.5" customHeight="1" x14ac:dyDescent="0.3">
      <c r="A19" s="15">
        <f t="shared" ref="A19:A25" si="16">A18+1</f>
        <v>11</v>
      </c>
      <c r="B19" s="16" t="s">
        <v>14</v>
      </c>
      <c r="C19" s="15" t="s">
        <v>19</v>
      </c>
      <c r="D19" s="15">
        <v>1</v>
      </c>
      <c r="E19" s="15"/>
      <c r="F19" s="15">
        <v>2</v>
      </c>
      <c r="G19" s="15">
        <f t="shared" si="12"/>
        <v>0</v>
      </c>
      <c r="H19" s="15">
        <f t="shared" si="12"/>
        <v>0</v>
      </c>
      <c r="I19" s="15">
        <f t="shared" si="13"/>
        <v>0</v>
      </c>
      <c r="J19" s="15">
        <f t="shared" si="14"/>
        <v>0</v>
      </c>
      <c r="K19" s="15">
        <v>3</v>
      </c>
      <c r="L19" s="15">
        <f t="shared" ref="L19:L25" si="17">100-J19-K19</f>
        <v>97</v>
      </c>
      <c r="M19" s="15" t="str">
        <f t="shared" si="15"/>
        <v>A</v>
      </c>
      <c r="N19" s="15" t="str">
        <f t="shared" ref="N19:N25" si="18">IF(M19="A","100% LTT",IF(M19="B","90% LTT",IF(M19="C","80% LTT","60% LTT")))</f>
        <v>100% LTT</v>
      </c>
    </row>
    <row r="20" spans="1:14" ht="19.5" customHeight="1" x14ac:dyDescent="0.3">
      <c r="A20" s="15">
        <f t="shared" si="16"/>
        <v>12</v>
      </c>
      <c r="B20" s="16" t="s">
        <v>40</v>
      </c>
      <c r="C20" s="15" t="s">
        <v>19</v>
      </c>
      <c r="D20" s="15"/>
      <c r="E20" s="15"/>
      <c r="F20" s="15"/>
      <c r="G20" s="15">
        <f t="shared" si="12"/>
        <v>0</v>
      </c>
      <c r="H20" s="15">
        <f t="shared" si="12"/>
        <v>0</v>
      </c>
      <c r="I20" s="15">
        <f t="shared" si="13"/>
        <v>0</v>
      </c>
      <c r="J20" s="15">
        <f t="shared" si="14"/>
        <v>0</v>
      </c>
      <c r="K20" s="15">
        <v>4</v>
      </c>
      <c r="L20" s="15">
        <f>100-J20-K20</f>
        <v>96</v>
      </c>
      <c r="M20" s="15" t="str">
        <f t="shared" si="15"/>
        <v>A</v>
      </c>
      <c r="N20" s="15" t="str">
        <f t="shared" si="18"/>
        <v>100% LTT</v>
      </c>
    </row>
    <row r="21" spans="1:14" ht="19.5" customHeight="1" x14ac:dyDescent="0.3">
      <c r="A21" s="15">
        <f t="shared" si="16"/>
        <v>13</v>
      </c>
      <c r="B21" s="16" t="s">
        <v>130</v>
      </c>
      <c r="C21" s="15" t="s">
        <v>131</v>
      </c>
      <c r="D21" s="15"/>
      <c r="E21" s="15"/>
      <c r="F21" s="15"/>
      <c r="G21" s="15">
        <f t="shared" si="12"/>
        <v>0</v>
      </c>
      <c r="H21" s="15">
        <f t="shared" si="12"/>
        <v>0</v>
      </c>
      <c r="I21" s="15">
        <f t="shared" si="13"/>
        <v>0</v>
      </c>
      <c r="J21" s="15">
        <f t="shared" si="14"/>
        <v>0</v>
      </c>
      <c r="K21" s="15">
        <v>5</v>
      </c>
      <c r="L21" s="15">
        <f t="shared" ref="L21:L22" si="19">100-J21-K21</f>
        <v>95</v>
      </c>
      <c r="M21" s="15" t="str">
        <f t="shared" si="15"/>
        <v>A</v>
      </c>
      <c r="N21" s="15" t="str">
        <f t="shared" si="18"/>
        <v>100% LTT</v>
      </c>
    </row>
    <row r="22" spans="1:14" ht="19.5" customHeight="1" x14ac:dyDescent="0.3">
      <c r="A22" s="15">
        <f t="shared" si="16"/>
        <v>14</v>
      </c>
      <c r="B22" s="16" t="s">
        <v>98</v>
      </c>
      <c r="C22" s="15" t="s">
        <v>102</v>
      </c>
      <c r="D22" s="15"/>
      <c r="E22" s="15"/>
      <c r="F22" s="15"/>
      <c r="G22" s="15">
        <f t="shared" si="12"/>
        <v>0</v>
      </c>
      <c r="H22" s="15">
        <f t="shared" si="12"/>
        <v>0</v>
      </c>
      <c r="I22" s="15">
        <f t="shared" si="13"/>
        <v>0</v>
      </c>
      <c r="J22" s="15">
        <f t="shared" si="14"/>
        <v>0</v>
      </c>
      <c r="K22" s="15">
        <v>7</v>
      </c>
      <c r="L22" s="15">
        <f t="shared" si="19"/>
        <v>93</v>
      </c>
      <c r="M22" s="15" t="str">
        <f t="shared" si="15"/>
        <v>A</v>
      </c>
      <c r="N22" s="15" t="str">
        <f t="shared" si="18"/>
        <v>100% LTT</v>
      </c>
    </row>
    <row r="23" spans="1:14" ht="19.5" customHeight="1" x14ac:dyDescent="0.3">
      <c r="A23" s="15">
        <f t="shared" si="16"/>
        <v>15</v>
      </c>
      <c r="B23" s="16" t="s">
        <v>99</v>
      </c>
      <c r="C23" s="15" t="s">
        <v>102</v>
      </c>
      <c r="D23" s="15"/>
      <c r="E23" s="15"/>
      <c r="F23" s="15"/>
      <c r="G23" s="15">
        <f t="shared" si="12"/>
        <v>0</v>
      </c>
      <c r="H23" s="15">
        <f t="shared" si="12"/>
        <v>0</v>
      </c>
      <c r="I23" s="15">
        <f t="shared" si="13"/>
        <v>0</v>
      </c>
      <c r="J23" s="15">
        <f t="shared" si="14"/>
        <v>0</v>
      </c>
      <c r="K23" s="15">
        <v>8</v>
      </c>
      <c r="L23" s="15">
        <f t="shared" si="17"/>
        <v>92</v>
      </c>
      <c r="M23" s="15" t="str">
        <f t="shared" si="15"/>
        <v>A</v>
      </c>
      <c r="N23" s="15" t="str">
        <f t="shared" si="18"/>
        <v>100% LTT</v>
      </c>
    </row>
    <row r="24" spans="1:14" ht="19.5" customHeight="1" x14ac:dyDescent="0.3">
      <c r="A24" s="15">
        <f t="shared" si="16"/>
        <v>16</v>
      </c>
      <c r="B24" s="16" t="s">
        <v>100</v>
      </c>
      <c r="C24" s="15" t="s">
        <v>102</v>
      </c>
      <c r="D24" s="15"/>
      <c r="E24" s="15"/>
      <c r="F24" s="15"/>
      <c r="G24" s="15">
        <f t="shared" si="12"/>
        <v>0</v>
      </c>
      <c r="H24" s="15">
        <f t="shared" si="12"/>
        <v>0</v>
      </c>
      <c r="I24" s="15">
        <f t="shared" si="13"/>
        <v>0</v>
      </c>
      <c r="J24" s="15">
        <f t="shared" si="14"/>
        <v>0</v>
      </c>
      <c r="K24" s="15">
        <v>5</v>
      </c>
      <c r="L24" s="15">
        <f t="shared" si="17"/>
        <v>95</v>
      </c>
      <c r="M24" s="15" t="str">
        <f t="shared" si="15"/>
        <v>A</v>
      </c>
      <c r="N24" s="15" t="str">
        <f t="shared" si="18"/>
        <v>100% LTT</v>
      </c>
    </row>
    <row r="25" spans="1:14" ht="19.5" customHeight="1" x14ac:dyDescent="0.3">
      <c r="A25" s="15">
        <f t="shared" si="16"/>
        <v>17</v>
      </c>
      <c r="B25" s="18" t="s">
        <v>116</v>
      </c>
      <c r="C25" s="17" t="s">
        <v>107</v>
      </c>
      <c r="D25" s="17"/>
      <c r="E25" s="17"/>
      <c r="F25" s="17"/>
      <c r="G25" s="15">
        <f t="shared" si="12"/>
        <v>0</v>
      </c>
      <c r="H25" s="15">
        <f t="shared" si="12"/>
        <v>0</v>
      </c>
      <c r="I25" s="15">
        <f t="shared" si="13"/>
        <v>0</v>
      </c>
      <c r="J25" s="15">
        <f t="shared" si="14"/>
        <v>0</v>
      </c>
      <c r="K25" s="17">
        <v>8</v>
      </c>
      <c r="L25" s="15">
        <f t="shared" si="17"/>
        <v>92</v>
      </c>
      <c r="M25" s="15" t="str">
        <f t="shared" si="15"/>
        <v>A</v>
      </c>
      <c r="N25" s="17" t="str">
        <f t="shared" si="18"/>
        <v>100% LTT</v>
      </c>
    </row>
    <row r="26" spans="1:14" ht="22.5" customHeight="1" x14ac:dyDescent="0.3">
      <c r="A26" s="180" t="s">
        <v>60</v>
      </c>
      <c r="B26" s="180"/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0"/>
      <c r="N26" s="180"/>
    </row>
    <row r="27" spans="1:14" ht="22.5" customHeight="1" x14ac:dyDescent="0.3">
      <c r="J27" s="185" t="s">
        <v>144</v>
      </c>
      <c r="K27" s="185"/>
      <c r="L27" s="185"/>
      <c r="M27" s="185"/>
      <c r="N27" s="185"/>
    </row>
    <row r="28" spans="1:14" ht="22.5" customHeight="1" x14ac:dyDescent="0.3">
      <c r="B28" s="178" t="s">
        <v>22</v>
      </c>
      <c r="C28" s="178"/>
      <c r="D28" s="178"/>
      <c r="L28" s="178" t="s">
        <v>25</v>
      </c>
      <c r="M28" s="178"/>
      <c r="N28" s="178"/>
    </row>
    <row r="29" spans="1:14" ht="22.5" customHeight="1" x14ac:dyDescent="0.3">
      <c r="L29" s="117"/>
      <c r="M29" s="117"/>
    </row>
    <row r="30" spans="1:14" ht="22.5" customHeight="1" x14ac:dyDescent="0.3">
      <c r="L30" s="117"/>
      <c r="M30" s="117"/>
    </row>
    <row r="31" spans="1:14" ht="22.5" customHeight="1" x14ac:dyDescent="0.3">
      <c r="L31" s="117"/>
      <c r="M31" s="117"/>
    </row>
    <row r="32" spans="1:14" ht="22.5" customHeight="1" x14ac:dyDescent="0.3">
      <c r="B32" s="178" t="s">
        <v>28</v>
      </c>
      <c r="C32" s="178"/>
      <c r="D32" s="178"/>
      <c r="L32" s="178" t="s">
        <v>27</v>
      </c>
      <c r="M32" s="178"/>
      <c r="N32" s="178"/>
    </row>
    <row r="33" spans="3:4" ht="22.5" customHeight="1" x14ac:dyDescent="0.3">
      <c r="C33" s="1"/>
      <c r="D33" s="1"/>
    </row>
  </sheetData>
  <mergeCells count="25">
    <mergeCell ref="B32:D32"/>
    <mergeCell ref="L32:N32"/>
    <mergeCell ref="A6:C6"/>
    <mergeCell ref="A15:C15"/>
    <mergeCell ref="A17:C17"/>
    <mergeCell ref="A26:N26"/>
    <mergeCell ref="J27:N27"/>
    <mergeCell ref="B28:D28"/>
    <mergeCell ref="L28:N28"/>
    <mergeCell ref="O4:O5"/>
    <mergeCell ref="A1:N1"/>
    <mergeCell ref="A2:N2"/>
    <mergeCell ref="A3:N3"/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L4:L5"/>
    <mergeCell ref="M4:M5"/>
    <mergeCell ref="N4:N5"/>
  </mergeCells>
  <pageMargins left="0.26" right="0.2" top="0.39" bottom="0.36" header="0.3" footer="0.3"/>
  <pageSetup scale="70" orientation="landscape" verticalDpi="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workbookViewId="0">
      <pane xSplit="2" ySplit="6" topLeftCell="D7" activePane="bottomRight" state="frozen"/>
      <selection pane="topRight" activeCell="C1" sqref="C1"/>
      <selection pane="bottomLeft" activeCell="A7" sqref="A7"/>
      <selection pane="bottomRight" sqref="A1:XFD1048576"/>
    </sheetView>
  </sheetViews>
  <sheetFormatPr defaultColWidth="9.109375" defaultRowHeight="16.8" x14ac:dyDescent="0.3"/>
  <cols>
    <col min="1" max="1" width="6.109375" style="2" customWidth="1"/>
    <col min="2" max="2" width="27.5546875" style="1" customWidth="1"/>
    <col min="3" max="3" width="22" style="2" customWidth="1"/>
    <col min="4" max="6" width="11.33203125" style="2" customWidth="1"/>
    <col min="7" max="9" width="12.33203125" style="2" customWidth="1"/>
    <col min="10" max="10" width="12.44140625" style="2" customWidth="1"/>
    <col min="11" max="11" width="11.33203125" style="2" customWidth="1"/>
    <col min="12" max="12" width="12.109375" style="2" customWidth="1"/>
    <col min="13" max="13" width="9.44140625" style="2" customWidth="1"/>
    <col min="14" max="14" width="15" style="2" customWidth="1"/>
    <col min="15" max="15" width="53.88671875" style="2" customWidth="1"/>
    <col min="16" max="16384" width="9.109375" style="1"/>
  </cols>
  <sheetData>
    <row r="1" spans="1:15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5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</row>
    <row r="3" spans="1:15" ht="22.5" customHeight="1" x14ac:dyDescent="0.3">
      <c r="A3" s="179" t="s">
        <v>145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</row>
    <row r="4" spans="1:15" s="3" customFormat="1" ht="22.5" customHeight="1" x14ac:dyDescent="0.3">
      <c r="A4" s="180" t="s">
        <v>0</v>
      </c>
      <c r="B4" s="180" t="s">
        <v>1</v>
      </c>
      <c r="C4" s="180" t="s">
        <v>2</v>
      </c>
      <c r="D4" s="180" t="s">
        <v>23</v>
      </c>
      <c r="E4" s="180"/>
      <c r="F4" s="180"/>
      <c r="G4" s="181" t="s">
        <v>29</v>
      </c>
      <c r="H4" s="181" t="s">
        <v>30</v>
      </c>
      <c r="I4" s="181" t="s">
        <v>31</v>
      </c>
      <c r="J4" s="181" t="s">
        <v>96</v>
      </c>
      <c r="K4" s="181" t="s">
        <v>97</v>
      </c>
      <c r="L4" s="180" t="s">
        <v>6</v>
      </c>
      <c r="M4" s="180" t="s">
        <v>7</v>
      </c>
      <c r="N4" s="180" t="s">
        <v>8</v>
      </c>
      <c r="O4" s="183"/>
    </row>
    <row r="5" spans="1:15" s="3" customFormat="1" ht="49.8" customHeight="1" x14ac:dyDescent="0.3">
      <c r="A5" s="180"/>
      <c r="B5" s="180"/>
      <c r="C5" s="180"/>
      <c r="D5" s="120" t="s">
        <v>3</v>
      </c>
      <c r="E5" s="120" t="s">
        <v>4</v>
      </c>
      <c r="F5" s="120" t="s">
        <v>5</v>
      </c>
      <c r="G5" s="182"/>
      <c r="H5" s="182"/>
      <c r="I5" s="182"/>
      <c r="J5" s="182"/>
      <c r="K5" s="182"/>
      <c r="L5" s="180"/>
      <c r="M5" s="180"/>
      <c r="N5" s="180"/>
      <c r="O5" s="183"/>
    </row>
    <row r="6" spans="1:15" ht="19.5" customHeight="1" x14ac:dyDescent="0.3">
      <c r="A6" s="184" t="s">
        <v>15</v>
      </c>
      <c r="B6" s="184"/>
      <c r="C6" s="18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5" ht="19.5" customHeight="1" x14ac:dyDescent="0.3">
      <c r="A7" s="15">
        <v>1</v>
      </c>
      <c r="B7" s="16" t="s">
        <v>49</v>
      </c>
      <c r="C7" s="15" t="s">
        <v>19</v>
      </c>
      <c r="D7" s="15"/>
      <c r="E7" s="15"/>
      <c r="F7" s="15"/>
      <c r="G7" s="15">
        <f t="shared" ref="G7:H14" si="0">IF(D7&gt;5,(D7-5)*2,0)</f>
        <v>0</v>
      </c>
      <c r="H7" s="15">
        <f t="shared" si="0"/>
        <v>0</v>
      </c>
      <c r="I7" s="15">
        <f t="shared" ref="I7:I14" si="1">IF(F7&gt;2,(F7-2)*1,0)</f>
        <v>0</v>
      </c>
      <c r="J7" s="15">
        <f>SUM(G7:I7)</f>
        <v>0</v>
      </c>
      <c r="K7" s="15">
        <v>2</v>
      </c>
      <c r="L7" s="15">
        <f t="shared" ref="L7:L14" si="2">100-J7-K7</f>
        <v>98</v>
      </c>
      <c r="M7" s="15" t="str">
        <f>IF(L7&lt;71,"KL",IF(AND(L7&gt;=71,L7&lt;81),"C",IF(AND(L7&gt;=81,L7&lt;91),"B","A")))</f>
        <v>A</v>
      </c>
      <c r="N7" s="15" t="str">
        <f>IF(M7="A","100% LTT",IF(M7="B","90% LTT",IF(M7="C","80% LTT","60% LTT")))</f>
        <v>100% LTT</v>
      </c>
      <c r="O7" s="11" t="s">
        <v>33</v>
      </c>
    </row>
    <row r="8" spans="1:15" ht="19.5" customHeight="1" x14ac:dyDescent="0.3">
      <c r="A8" s="15">
        <f t="shared" ref="A8:A14" si="3">A7+1</f>
        <v>2</v>
      </c>
      <c r="B8" s="16" t="s">
        <v>52</v>
      </c>
      <c r="C8" s="15" t="s">
        <v>19</v>
      </c>
      <c r="D8" s="15"/>
      <c r="E8" s="15"/>
      <c r="F8" s="15"/>
      <c r="G8" s="15">
        <f t="shared" si="0"/>
        <v>0</v>
      </c>
      <c r="H8" s="15">
        <f t="shared" si="0"/>
        <v>0</v>
      </c>
      <c r="I8" s="15">
        <f t="shared" si="1"/>
        <v>0</v>
      </c>
      <c r="J8" s="15">
        <f t="shared" ref="J8:J14" si="4">SUM(G8:I8)</f>
        <v>0</v>
      </c>
      <c r="K8" s="15"/>
      <c r="L8" s="15">
        <f t="shared" si="2"/>
        <v>100</v>
      </c>
      <c r="M8" s="15" t="str">
        <f t="shared" ref="M8:M14" si="5">IF(L8&lt;71,"KL",IF(AND(L8&gt;=71,L8&lt;81),"C",IF(AND(L8&gt;=81,L8&lt;91),"B","A")))</f>
        <v>A</v>
      </c>
      <c r="N8" s="15" t="str">
        <f t="shared" ref="N8:N14" si="6">IF(M8="A","100% LTT",IF(M8="B","90% LTT",IF(M8="C","80% LTT","60% LTT")))</f>
        <v>100% LTT</v>
      </c>
      <c r="O8" s="34"/>
    </row>
    <row r="9" spans="1:15" ht="19.5" customHeight="1" x14ac:dyDescent="0.3">
      <c r="A9" s="15">
        <f t="shared" si="3"/>
        <v>3</v>
      </c>
      <c r="B9" s="16" t="s">
        <v>57</v>
      </c>
      <c r="C9" s="15" t="s">
        <v>19</v>
      </c>
      <c r="D9" s="15"/>
      <c r="E9" s="15"/>
      <c r="F9" s="15"/>
      <c r="G9" s="15">
        <f t="shared" si="0"/>
        <v>0</v>
      </c>
      <c r="H9" s="15">
        <f t="shared" si="0"/>
        <v>0</v>
      </c>
      <c r="I9" s="15">
        <f t="shared" si="1"/>
        <v>0</v>
      </c>
      <c r="J9" s="15">
        <f t="shared" si="4"/>
        <v>0</v>
      </c>
      <c r="K9" s="15"/>
      <c r="L9" s="15">
        <f t="shared" si="2"/>
        <v>100</v>
      </c>
      <c r="M9" s="15" t="str">
        <f t="shared" si="5"/>
        <v>A</v>
      </c>
      <c r="N9" s="15" t="str">
        <f t="shared" si="6"/>
        <v>100% LTT</v>
      </c>
      <c r="O9" s="35"/>
    </row>
    <row r="10" spans="1:15" ht="19.5" customHeight="1" x14ac:dyDescent="0.3">
      <c r="A10" s="15">
        <f t="shared" si="3"/>
        <v>4</v>
      </c>
      <c r="B10" s="16" t="s">
        <v>58</v>
      </c>
      <c r="C10" s="15" t="s">
        <v>19</v>
      </c>
      <c r="D10" s="15"/>
      <c r="E10" s="15"/>
      <c r="F10" s="15"/>
      <c r="G10" s="15">
        <f t="shared" si="0"/>
        <v>0</v>
      </c>
      <c r="H10" s="15">
        <f t="shared" si="0"/>
        <v>0</v>
      </c>
      <c r="I10" s="15">
        <f t="shared" si="1"/>
        <v>0</v>
      </c>
      <c r="J10" s="15">
        <f t="shared" si="4"/>
        <v>0</v>
      </c>
      <c r="K10" s="15"/>
      <c r="L10" s="15">
        <f t="shared" si="2"/>
        <v>100</v>
      </c>
      <c r="M10" s="15" t="str">
        <f t="shared" si="5"/>
        <v>A</v>
      </c>
      <c r="N10" s="15" t="str">
        <f t="shared" si="6"/>
        <v>100% LTT</v>
      </c>
      <c r="O10" s="35"/>
    </row>
    <row r="11" spans="1:15" ht="19.5" customHeight="1" x14ac:dyDescent="0.3">
      <c r="A11" s="15">
        <f t="shared" si="3"/>
        <v>5</v>
      </c>
      <c r="B11" s="16" t="s">
        <v>59</v>
      </c>
      <c r="C11" s="15" t="s">
        <v>19</v>
      </c>
      <c r="D11" s="15"/>
      <c r="E11" s="15"/>
      <c r="F11" s="15"/>
      <c r="G11" s="15">
        <f t="shared" si="0"/>
        <v>0</v>
      </c>
      <c r="H11" s="15">
        <f t="shared" si="0"/>
        <v>0</v>
      </c>
      <c r="I11" s="15">
        <f t="shared" si="1"/>
        <v>0</v>
      </c>
      <c r="J11" s="15">
        <f t="shared" si="4"/>
        <v>0</v>
      </c>
      <c r="K11" s="15"/>
      <c r="L11" s="15">
        <f t="shared" si="2"/>
        <v>100</v>
      </c>
      <c r="M11" s="15" t="str">
        <f t="shared" si="5"/>
        <v>A</v>
      </c>
      <c r="N11" s="15" t="str">
        <f t="shared" si="6"/>
        <v>100% LTT</v>
      </c>
      <c r="O11" s="35"/>
    </row>
    <row r="12" spans="1:15" ht="19.5" customHeight="1" x14ac:dyDescent="0.3">
      <c r="A12" s="15">
        <f t="shared" si="3"/>
        <v>6</v>
      </c>
      <c r="B12" s="16" t="s">
        <v>53</v>
      </c>
      <c r="C12" s="15" t="s">
        <v>19</v>
      </c>
      <c r="D12" s="15"/>
      <c r="E12" s="15"/>
      <c r="F12" s="15"/>
      <c r="G12" s="15">
        <f t="shared" si="0"/>
        <v>0</v>
      </c>
      <c r="H12" s="15">
        <f t="shared" si="0"/>
        <v>0</v>
      </c>
      <c r="I12" s="15">
        <f t="shared" si="1"/>
        <v>0</v>
      </c>
      <c r="J12" s="15">
        <f t="shared" si="4"/>
        <v>0</v>
      </c>
      <c r="K12" s="15"/>
      <c r="L12" s="15">
        <f t="shared" si="2"/>
        <v>100</v>
      </c>
      <c r="M12" s="15" t="str">
        <f t="shared" si="5"/>
        <v>A</v>
      </c>
      <c r="N12" s="15" t="str">
        <f t="shared" si="6"/>
        <v>100% LTT</v>
      </c>
      <c r="O12" s="35"/>
    </row>
    <row r="13" spans="1:15" ht="19.5" customHeight="1" x14ac:dyDescent="0.3">
      <c r="A13" s="15">
        <f t="shared" si="3"/>
        <v>7</v>
      </c>
      <c r="B13" s="16" t="s">
        <v>54</v>
      </c>
      <c r="C13" s="15" t="s">
        <v>19</v>
      </c>
      <c r="D13" s="15"/>
      <c r="E13" s="15"/>
      <c r="F13" s="15"/>
      <c r="G13" s="15">
        <f t="shared" si="0"/>
        <v>0</v>
      </c>
      <c r="H13" s="15">
        <f t="shared" si="0"/>
        <v>0</v>
      </c>
      <c r="I13" s="15">
        <f t="shared" si="1"/>
        <v>0</v>
      </c>
      <c r="J13" s="15">
        <f t="shared" si="4"/>
        <v>0</v>
      </c>
      <c r="K13" s="15"/>
      <c r="L13" s="15">
        <f t="shared" si="2"/>
        <v>100</v>
      </c>
      <c r="M13" s="15" t="str">
        <f t="shared" si="5"/>
        <v>A</v>
      </c>
      <c r="N13" s="15" t="str">
        <f t="shared" si="6"/>
        <v>100% LTT</v>
      </c>
      <c r="O13" s="35"/>
    </row>
    <row r="14" spans="1:15" ht="19.5" customHeight="1" x14ac:dyDescent="0.3">
      <c r="A14" s="15">
        <f t="shared" si="3"/>
        <v>8</v>
      </c>
      <c r="B14" s="18" t="s">
        <v>11</v>
      </c>
      <c r="C14" s="17" t="s">
        <v>51</v>
      </c>
      <c r="D14" s="17">
        <v>5</v>
      </c>
      <c r="E14" s="17"/>
      <c r="F14" s="17"/>
      <c r="G14" s="17">
        <f t="shared" si="0"/>
        <v>0</v>
      </c>
      <c r="H14" s="17">
        <f t="shared" si="0"/>
        <v>0</v>
      </c>
      <c r="I14" s="17">
        <f t="shared" si="1"/>
        <v>0</v>
      </c>
      <c r="J14" s="17">
        <f t="shared" si="4"/>
        <v>0</v>
      </c>
      <c r="K14" s="17">
        <v>2</v>
      </c>
      <c r="L14" s="15">
        <f t="shared" si="2"/>
        <v>98</v>
      </c>
      <c r="M14" s="17" t="str">
        <f t="shared" si="5"/>
        <v>A</v>
      </c>
      <c r="N14" s="17" t="str">
        <f t="shared" si="6"/>
        <v>100% LTT</v>
      </c>
      <c r="O14" s="35"/>
    </row>
    <row r="15" spans="1:15" ht="19.5" customHeight="1" x14ac:dyDescent="0.3">
      <c r="A15" s="184" t="s">
        <v>16</v>
      </c>
      <c r="B15" s="184"/>
      <c r="C15" s="18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5" ht="19.5" customHeight="1" x14ac:dyDescent="0.3">
      <c r="A16" s="17">
        <f>A14+1</f>
        <v>9</v>
      </c>
      <c r="B16" s="18" t="s">
        <v>28</v>
      </c>
      <c r="C16" s="17" t="s">
        <v>121</v>
      </c>
      <c r="D16" s="4">
        <v>2</v>
      </c>
      <c r="E16" s="17"/>
      <c r="F16" s="17"/>
      <c r="G16" s="17">
        <f t="shared" ref="G16:H16" si="7">IF(D16&gt;5,(D16-5)*2,0)</f>
        <v>0</v>
      </c>
      <c r="H16" s="17">
        <f t="shared" si="7"/>
        <v>0</v>
      </c>
      <c r="I16" s="17">
        <f t="shared" ref="I16" si="8">IF(F16&gt;2,(F16-2)*1,0)</f>
        <v>0</v>
      </c>
      <c r="J16" s="17">
        <f t="shared" ref="J16" si="9">SUM(G16:I16)</f>
        <v>0</v>
      </c>
      <c r="K16" s="17"/>
      <c r="L16" s="17">
        <f>100-J16-K16</f>
        <v>100</v>
      </c>
      <c r="M16" s="17" t="str">
        <f t="shared" ref="M16" si="10">IF(L16&lt;71,"KL",IF(AND(L16&gt;=71,L16&lt;81),"C",IF(AND(L16&gt;=81,L16&lt;91),"B","A")))</f>
        <v>A</v>
      </c>
      <c r="N16" s="17" t="str">
        <f t="shared" ref="N16" si="11">IF(M16="A","100% LTT",IF(M16="B","90% LTT",IF(M16="C","80% LTT","60% LTT")))</f>
        <v>100% LTT</v>
      </c>
    </row>
    <row r="17" spans="1:14" ht="19.5" customHeight="1" x14ac:dyDescent="0.3">
      <c r="A17" s="184" t="s">
        <v>17</v>
      </c>
      <c r="B17" s="184"/>
      <c r="C17" s="18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ht="19.5" customHeight="1" x14ac:dyDescent="0.3">
      <c r="A18" s="15">
        <f>A16+1</f>
        <v>10</v>
      </c>
      <c r="B18" s="16" t="s">
        <v>13</v>
      </c>
      <c r="C18" s="15" t="s">
        <v>101</v>
      </c>
      <c r="D18" s="15">
        <v>1</v>
      </c>
      <c r="E18" s="15"/>
      <c r="F18" s="15">
        <v>3</v>
      </c>
      <c r="G18" s="15">
        <f t="shared" ref="G18:H25" si="12">IF(D18&gt;5,(D18-5)*2,0)</f>
        <v>0</v>
      </c>
      <c r="H18" s="15">
        <f t="shared" si="12"/>
        <v>0</v>
      </c>
      <c r="I18" s="15">
        <f t="shared" ref="I18:I25" si="13">IF(F18&gt;2,(F18-2)*1,0)</f>
        <v>1</v>
      </c>
      <c r="J18" s="15">
        <f t="shared" ref="J18:J25" si="14">SUM(G18:I18)</f>
        <v>1</v>
      </c>
      <c r="K18" s="15">
        <v>1</v>
      </c>
      <c r="L18" s="15">
        <f>100-J18-K18</f>
        <v>98</v>
      </c>
      <c r="M18" s="15" t="str">
        <f t="shared" ref="M18:M25" si="15">IF(L18&lt;71,"KL",IF(AND(L18&gt;=71,L18&lt;81),"C",IF(AND(L18&gt;=81,L18&lt;91),"B","A")))</f>
        <v>A</v>
      </c>
      <c r="N18" s="15" t="str">
        <f>IF(M18="A","100% LTT",IF(M18="B","90% LTT",IF(M18="C","80% LTT","60% LTT")))</f>
        <v>100% LTT</v>
      </c>
    </row>
    <row r="19" spans="1:14" ht="19.5" customHeight="1" x14ac:dyDescent="0.3">
      <c r="A19" s="15">
        <f t="shared" ref="A19:A25" si="16">A18+1</f>
        <v>11</v>
      </c>
      <c r="B19" s="16" t="s">
        <v>14</v>
      </c>
      <c r="C19" s="15" t="s">
        <v>19</v>
      </c>
      <c r="D19" s="15">
        <v>2</v>
      </c>
      <c r="E19" s="15"/>
      <c r="F19" s="15"/>
      <c r="G19" s="15">
        <f t="shared" si="12"/>
        <v>0</v>
      </c>
      <c r="H19" s="15">
        <f t="shared" si="12"/>
        <v>0</v>
      </c>
      <c r="I19" s="15">
        <f t="shared" si="13"/>
        <v>0</v>
      </c>
      <c r="J19" s="15">
        <f t="shared" si="14"/>
        <v>0</v>
      </c>
      <c r="K19" s="15">
        <v>3</v>
      </c>
      <c r="L19" s="15">
        <f t="shared" ref="L19:L25" si="17">100-J19-K19</f>
        <v>97</v>
      </c>
      <c r="M19" s="15" t="str">
        <f t="shared" si="15"/>
        <v>A</v>
      </c>
      <c r="N19" s="15" t="str">
        <f t="shared" ref="N19:N25" si="18">IF(M19="A","100% LTT",IF(M19="B","90% LTT",IF(M19="C","80% LTT","60% LTT")))</f>
        <v>100% LTT</v>
      </c>
    </row>
    <row r="20" spans="1:14" ht="19.5" customHeight="1" x14ac:dyDescent="0.3">
      <c r="A20" s="15">
        <f t="shared" si="16"/>
        <v>12</v>
      </c>
      <c r="B20" s="16" t="s">
        <v>40</v>
      </c>
      <c r="C20" s="15" t="s">
        <v>19</v>
      </c>
      <c r="D20" s="15"/>
      <c r="E20" s="15"/>
      <c r="F20" s="15"/>
      <c r="G20" s="15">
        <f t="shared" si="12"/>
        <v>0</v>
      </c>
      <c r="H20" s="15">
        <f t="shared" si="12"/>
        <v>0</v>
      </c>
      <c r="I20" s="15">
        <f t="shared" si="13"/>
        <v>0</v>
      </c>
      <c r="J20" s="15">
        <f t="shared" si="14"/>
        <v>0</v>
      </c>
      <c r="K20" s="15">
        <v>4</v>
      </c>
      <c r="L20" s="15">
        <f>100-J20-K20</f>
        <v>96</v>
      </c>
      <c r="M20" s="15" t="str">
        <f t="shared" si="15"/>
        <v>A</v>
      </c>
      <c r="N20" s="15" t="str">
        <f t="shared" si="18"/>
        <v>100% LTT</v>
      </c>
    </row>
    <row r="21" spans="1:14" ht="19.5" customHeight="1" x14ac:dyDescent="0.3">
      <c r="A21" s="15">
        <f t="shared" si="16"/>
        <v>13</v>
      </c>
      <c r="B21" s="16" t="s">
        <v>130</v>
      </c>
      <c r="C21" s="15" t="s">
        <v>131</v>
      </c>
      <c r="D21" s="15"/>
      <c r="E21" s="15"/>
      <c r="F21" s="15"/>
      <c r="G21" s="15">
        <f t="shared" si="12"/>
        <v>0</v>
      </c>
      <c r="H21" s="15">
        <f t="shared" si="12"/>
        <v>0</v>
      </c>
      <c r="I21" s="15">
        <f t="shared" si="13"/>
        <v>0</v>
      </c>
      <c r="J21" s="15">
        <f t="shared" si="14"/>
        <v>0</v>
      </c>
      <c r="K21" s="15">
        <v>5</v>
      </c>
      <c r="L21" s="15">
        <f t="shared" ref="L21:L22" si="19">100-J21-K21</f>
        <v>95</v>
      </c>
      <c r="M21" s="15" t="str">
        <f t="shared" si="15"/>
        <v>A</v>
      </c>
      <c r="N21" s="15" t="str">
        <f t="shared" si="18"/>
        <v>100% LTT</v>
      </c>
    </row>
    <row r="22" spans="1:14" ht="19.5" customHeight="1" x14ac:dyDescent="0.3">
      <c r="A22" s="15">
        <f t="shared" si="16"/>
        <v>14</v>
      </c>
      <c r="B22" s="16" t="s">
        <v>98</v>
      </c>
      <c r="C22" s="15" t="s">
        <v>102</v>
      </c>
      <c r="D22" s="15"/>
      <c r="E22" s="15"/>
      <c r="F22" s="15"/>
      <c r="G22" s="15">
        <f t="shared" si="12"/>
        <v>0</v>
      </c>
      <c r="H22" s="15">
        <f t="shared" si="12"/>
        <v>0</v>
      </c>
      <c r="I22" s="15">
        <f t="shared" si="13"/>
        <v>0</v>
      </c>
      <c r="J22" s="15">
        <f t="shared" si="14"/>
        <v>0</v>
      </c>
      <c r="K22" s="15">
        <v>8</v>
      </c>
      <c r="L22" s="15">
        <f t="shared" si="19"/>
        <v>92</v>
      </c>
      <c r="M22" s="15" t="str">
        <f t="shared" si="15"/>
        <v>A</v>
      </c>
      <c r="N22" s="15" t="str">
        <f t="shared" si="18"/>
        <v>100% LTT</v>
      </c>
    </row>
    <row r="23" spans="1:14" ht="19.5" customHeight="1" x14ac:dyDescent="0.3">
      <c r="A23" s="15">
        <f t="shared" si="16"/>
        <v>15</v>
      </c>
      <c r="B23" s="16" t="s">
        <v>99</v>
      </c>
      <c r="C23" s="15" t="s">
        <v>102</v>
      </c>
      <c r="D23" s="15"/>
      <c r="E23" s="15"/>
      <c r="F23" s="15"/>
      <c r="G23" s="15">
        <f t="shared" si="12"/>
        <v>0</v>
      </c>
      <c r="H23" s="15">
        <f t="shared" si="12"/>
        <v>0</v>
      </c>
      <c r="I23" s="15">
        <f t="shared" si="13"/>
        <v>0</v>
      </c>
      <c r="J23" s="15">
        <f t="shared" si="14"/>
        <v>0</v>
      </c>
      <c r="K23" s="15">
        <v>5</v>
      </c>
      <c r="L23" s="15">
        <f t="shared" si="17"/>
        <v>95</v>
      </c>
      <c r="M23" s="15" t="str">
        <f t="shared" si="15"/>
        <v>A</v>
      </c>
      <c r="N23" s="15" t="str">
        <f t="shared" si="18"/>
        <v>100% LTT</v>
      </c>
    </row>
    <row r="24" spans="1:14" ht="19.5" customHeight="1" x14ac:dyDescent="0.3">
      <c r="A24" s="15">
        <f t="shared" si="16"/>
        <v>16</v>
      </c>
      <c r="B24" s="16" t="s">
        <v>100</v>
      </c>
      <c r="C24" s="15" t="s">
        <v>102</v>
      </c>
      <c r="D24" s="15"/>
      <c r="E24" s="15"/>
      <c r="F24" s="15"/>
      <c r="G24" s="15">
        <f t="shared" si="12"/>
        <v>0</v>
      </c>
      <c r="H24" s="15">
        <f t="shared" si="12"/>
        <v>0</v>
      </c>
      <c r="I24" s="15">
        <f t="shared" si="13"/>
        <v>0</v>
      </c>
      <c r="J24" s="15">
        <f t="shared" si="14"/>
        <v>0</v>
      </c>
      <c r="K24" s="15">
        <v>5</v>
      </c>
      <c r="L24" s="15">
        <f t="shared" si="17"/>
        <v>95</v>
      </c>
      <c r="M24" s="15" t="str">
        <f t="shared" si="15"/>
        <v>A</v>
      </c>
      <c r="N24" s="15" t="str">
        <f t="shared" si="18"/>
        <v>100% LTT</v>
      </c>
    </row>
    <row r="25" spans="1:14" ht="19.5" customHeight="1" x14ac:dyDescent="0.3">
      <c r="A25" s="15">
        <f t="shared" si="16"/>
        <v>17</v>
      </c>
      <c r="B25" s="18" t="s">
        <v>116</v>
      </c>
      <c r="C25" s="17" t="s">
        <v>107</v>
      </c>
      <c r="D25" s="17"/>
      <c r="E25" s="17"/>
      <c r="F25" s="17"/>
      <c r="G25" s="15">
        <f t="shared" si="12"/>
        <v>0</v>
      </c>
      <c r="H25" s="15">
        <f t="shared" si="12"/>
        <v>0</v>
      </c>
      <c r="I25" s="15">
        <f t="shared" si="13"/>
        <v>0</v>
      </c>
      <c r="J25" s="15">
        <f t="shared" si="14"/>
        <v>0</v>
      </c>
      <c r="K25" s="17">
        <v>8</v>
      </c>
      <c r="L25" s="15">
        <f t="shared" si="17"/>
        <v>92</v>
      </c>
      <c r="M25" s="15" t="str">
        <f t="shared" si="15"/>
        <v>A</v>
      </c>
      <c r="N25" s="17" t="str">
        <f t="shared" si="18"/>
        <v>100% LTT</v>
      </c>
    </row>
    <row r="26" spans="1:14" ht="22.5" customHeight="1" x14ac:dyDescent="0.3">
      <c r="A26" s="180" t="s">
        <v>60</v>
      </c>
      <c r="B26" s="180"/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0"/>
      <c r="N26" s="180"/>
    </row>
    <row r="27" spans="1:14" ht="22.5" customHeight="1" x14ac:dyDescent="0.3">
      <c r="J27" s="185" t="s">
        <v>144</v>
      </c>
      <c r="K27" s="185"/>
      <c r="L27" s="185"/>
      <c r="M27" s="185"/>
      <c r="N27" s="185"/>
    </row>
    <row r="28" spans="1:14" ht="22.5" customHeight="1" x14ac:dyDescent="0.3">
      <c r="B28" s="178" t="s">
        <v>22</v>
      </c>
      <c r="C28" s="178"/>
      <c r="D28" s="178"/>
      <c r="L28" s="178" t="s">
        <v>25</v>
      </c>
      <c r="M28" s="178"/>
      <c r="N28" s="178"/>
    </row>
    <row r="29" spans="1:14" ht="22.5" customHeight="1" x14ac:dyDescent="0.3">
      <c r="L29" s="119"/>
      <c r="M29" s="119"/>
    </row>
    <row r="30" spans="1:14" ht="22.5" customHeight="1" x14ac:dyDescent="0.3">
      <c r="L30" s="119"/>
      <c r="M30" s="119"/>
    </row>
    <row r="31" spans="1:14" ht="22.5" customHeight="1" x14ac:dyDescent="0.3">
      <c r="L31" s="119"/>
      <c r="M31" s="119"/>
    </row>
    <row r="32" spans="1:14" ht="22.5" customHeight="1" x14ac:dyDescent="0.3">
      <c r="B32" s="178" t="s">
        <v>28</v>
      </c>
      <c r="C32" s="178"/>
      <c r="D32" s="178"/>
      <c r="L32" s="178" t="s">
        <v>27</v>
      </c>
      <c r="M32" s="178"/>
      <c r="N32" s="178"/>
    </row>
    <row r="33" spans="3:4" ht="22.5" customHeight="1" x14ac:dyDescent="0.3">
      <c r="C33" s="1"/>
      <c r="D33" s="1"/>
    </row>
  </sheetData>
  <mergeCells count="25">
    <mergeCell ref="O4:O5"/>
    <mergeCell ref="A1:N1"/>
    <mergeCell ref="A2:N2"/>
    <mergeCell ref="A3:N3"/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L4:L5"/>
    <mergeCell ref="M4:M5"/>
    <mergeCell ref="N4:N5"/>
    <mergeCell ref="B32:D32"/>
    <mergeCell ref="L32:N32"/>
    <mergeCell ref="A6:C6"/>
    <mergeCell ref="A15:C15"/>
    <mergeCell ref="A17:C17"/>
    <mergeCell ref="A26:N26"/>
    <mergeCell ref="J27:N27"/>
    <mergeCell ref="B28:D28"/>
    <mergeCell ref="L28:N28"/>
  </mergeCells>
  <pageMargins left="0.33" right="0.36" top="0.36" bottom="0.38" header="0.3" footer="0.3"/>
  <pageSetup scale="70" orientation="landscape" verticalDpi="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workbookViewId="0">
      <pane xSplit="2" ySplit="6" topLeftCell="E7" activePane="bottomRight" state="frozen"/>
      <selection pane="topRight" activeCell="C1" sqref="C1"/>
      <selection pane="bottomLeft" activeCell="A7" sqref="A7"/>
      <selection pane="bottomRight" sqref="A1:XFD1048576"/>
    </sheetView>
  </sheetViews>
  <sheetFormatPr defaultColWidth="9.109375" defaultRowHeight="16.8" x14ac:dyDescent="0.3"/>
  <cols>
    <col min="1" max="1" width="6.109375" style="2" customWidth="1"/>
    <col min="2" max="2" width="27.5546875" style="1" customWidth="1"/>
    <col min="3" max="3" width="22" style="2" customWidth="1"/>
    <col min="4" max="6" width="11.33203125" style="2" customWidth="1"/>
    <col min="7" max="9" width="12.33203125" style="2" customWidth="1"/>
    <col min="10" max="10" width="12.44140625" style="2" customWidth="1"/>
    <col min="11" max="11" width="11.33203125" style="2" customWidth="1"/>
    <col min="12" max="12" width="12.109375" style="2" customWidth="1"/>
    <col min="13" max="13" width="9.44140625" style="2" customWidth="1"/>
    <col min="14" max="14" width="15" style="2" customWidth="1"/>
    <col min="15" max="15" width="53.88671875" style="2" customWidth="1"/>
    <col min="16" max="16384" width="9.109375" style="1"/>
  </cols>
  <sheetData>
    <row r="1" spans="1:15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5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</row>
    <row r="3" spans="1:15" ht="22.5" customHeight="1" x14ac:dyDescent="0.3">
      <c r="A3" s="179" t="s">
        <v>146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</row>
    <row r="4" spans="1:15" s="3" customFormat="1" ht="22.5" customHeight="1" x14ac:dyDescent="0.3">
      <c r="A4" s="180" t="s">
        <v>0</v>
      </c>
      <c r="B4" s="180" t="s">
        <v>1</v>
      </c>
      <c r="C4" s="180" t="s">
        <v>2</v>
      </c>
      <c r="D4" s="180" t="s">
        <v>23</v>
      </c>
      <c r="E4" s="180"/>
      <c r="F4" s="180"/>
      <c r="G4" s="181" t="s">
        <v>29</v>
      </c>
      <c r="H4" s="181" t="s">
        <v>30</v>
      </c>
      <c r="I4" s="181" t="s">
        <v>31</v>
      </c>
      <c r="J4" s="181" t="s">
        <v>96</v>
      </c>
      <c r="K4" s="181" t="s">
        <v>97</v>
      </c>
      <c r="L4" s="180" t="s">
        <v>6</v>
      </c>
      <c r="M4" s="180" t="s">
        <v>7</v>
      </c>
      <c r="N4" s="180" t="s">
        <v>8</v>
      </c>
      <c r="O4" s="183"/>
    </row>
    <row r="5" spans="1:15" s="3" customFormat="1" ht="49.8" customHeight="1" x14ac:dyDescent="0.3">
      <c r="A5" s="180"/>
      <c r="B5" s="180"/>
      <c r="C5" s="180"/>
      <c r="D5" s="122" t="s">
        <v>3</v>
      </c>
      <c r="E5" s="122" t="s">
        <v>4</v>
      </c>
      <c r="F5" s="122" t="s">
        <v>5</v>
      </c>
      <c r="G5" s="182"/>
      <c r="H5" s="182"/>
      <c r="I5" s="182"/>
      <c r="J5" s="182"/>
      <c r="K5" s="182"/>
      <c r="L5" s="180"/>
      <c r="M5" s="180"/>
      <c r="N5" s="180"/>
      <c r="O5" s="183"/>
    </row>
    <row r="6" spans="1:15" ht="19.5" customHeight="1" x14ac:dyDescent="0.3">
      <c r="A6" s="184" t="s">
        <v>15</v>
      </c>
      <c r="B6" s="184"/>
      <c r="C6" s="18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5" ht="19.5" customHeight="1" x14ac:dyDescent="0.3">
      <c r="A7" s="15">
        <v>1</v>
      </c>
      <c r="B7" s="16" t="s">
        <v>49</v>
      </c>
      <c r="C7" s="15" t="s">
        <v>19</v>
      </c>
      <c r="D7" s="15"/>
      <c r="E7" s="15"/>
      <c r="F7" s="15">
        <v>2</v>
      </c>
      <c r="G7" s="15">
        <f t="shared" ref="G7:H14" si="0">IF(D7&gt;5,(D7-5)*2,0)</f>
        <v>0</v>
      </c>
      <c r="H7" s="15">
        <f t="shared" si="0"/>
        <v>0</v>
      </c>
      <c r="I7" s="15">
        <f t="shared" ref="I7:I14" si="1">IF(F7&gt;2,(F7-2)*1,0)</f>
        <v>0</v>
      </c>
      <c r="J7" s="15">
        <f>SUM(G7:I7)</f>
        <v>0</v>
      </c>
      <c r="K7" s="15">
        <v>3</v>
      </c>
      <c r="L7" s="15">
        <f t="shared" ref="L7:L14" si="2">100-J7-K7</f>
        <v>97</v>
      </c>
      <c r="M7" s="15" t="str">
        <f>IF(L7&lt;71,"KL",IF(AND(L7&gt;=71,L7&lt;81),"C",IF(AND(L7&gt;=81,L7&lt;91),"B","A")))</f>
        <v>A</v>
      </c>
      <c r="N7" s="15" t="str">
        <f>IF(M7="A","100% LTT",IF(M7="B","90% LTT",IF(M7="C","80% LTT","60% LTT")))</f>
        <v>100% LTT</v>
      </c>
      <c r="O7" s="11" t="s">
        <v>33</v>
      </c>
    </row>
    <row r="8" spans="1:15" ht="19.5" customHeight="1" x14ac:dyDescent="0.3">
      <c r="A8" s="15">
        <f t="shared" ref="A8:A14" si="3">A7+1</f>
        <v>2</v>
      </c>
      <c r="B8" s="16" t="s">
        <v>52</v>
      </c>
      <c r="C8" s="15" t="s">
        <v>19</v>
      </c>
      <c r="D8" s="15"/>
      <c r="E8" s="15"/>
      <c r="F8" s="15"/>
      <c r="G8" s="15">
        <f t="shared" si="0"/>
        <v>0</v>
      </c>
      <c r="H8" s="15">
        <f t="shared" si="0"/>
        <v>0</v>
      </c>
      <c r="I8" s="15">
        <f t="shared" si="1"/>
        <v>0</v>
      </c>
      <c r="J8" s="15">
        <f t="shared" ref="J8:J14" si="4">SUM(G8:I8)</f>
        <v>0</v>
      </c>
      <c r="K8" s="15"/>
      <c r="L8" s="15">
        <f t="shared" si="2"/>
        <v>100</v>
      </c>
      <c r="M8" s="15" t="str">
        <f t="shared" ref="M8:M14" si="5">IF(L8&lt;71,"KL",IF(AND(L8&gt;=71,L8&lt;81),"C",IF(AND(L8&gt;=81,L8&lt;91),"B","A")))</f>
        <v>A</v>
      </c>
      <c r="N8" s="15" t="str">
        <f t="shared" ref="N8:N14" si="6">IF(M8="A","100% LTT",IF(M8="B","90% LTT",IF(M8="C","80% LTT","60% LTT")))</f>
        <v>100% LTT</v>
      </c>
      <c r="O8" s="34"/>
    </row>
    <row r="9" spans="1:15" ht="19.5" customHeight="1" x14ac:dyDescent="0.3">
      <c r="A9" s="15">
        <f t="shared" si="3"/>
        <v>3</v>
      </c>
      <c r="B9" s="16" t="s">
        <v>57</v>
      </c>
      <c r="C9" s="15" t="s">
        <v>19</v>
      </c>
      <c r="D9" s="15"/>
      <c r="E9" s="15"/>
      <c r="F9" s="15"/>
      <c r="G9" s="15">
        <f t="shared" si="0"/>
        <v>0</v>
      </c>
      <c r="H9" s="15">
        <f t="shared" si="0"/>
        <v>0</v>
      </c>
      <c r="I9" s="15">
        <f t="shared" si="1"/>
        <v>0</v>
      </c>
      <c r="J9" s="15">
        <f t="shared" si="4"/>
        <v>0</v>
      </c>
      <c r="K9" s="15"/>
      <c r="L9" s="15">
        <f t="shared" si="2"/>
        <v>100</v>
      </c>
      <c r="M9" s="15" t="str">
        <f t="shared" si="5"/>
        <v>A</v>
      </c>
      <c r="N9" s="15" t="str">
        <f t="shared" si="6"/>
        <v>100% LTT</v>
      </c>
      <c r="O9" s="35"/>
    </row>
    <row r="10" spans="1:15" ht="19.5" customHeight="1" x14ac:dyDescent="0.3">
      <c r="A10" s="15">
        <f t="shared" si="3"/>
        <v>4</v>
      </c>
      <c r="B10" s="16" t="s">
        <v>58</v>
      </c>
      <c r="C10" s="15" t="s">
        <v>19</v>
      </c>
      <c r="D10" s="15"/>
      <c r="E10" s="15"/>
      <c r="F10" s="15"/>
      <c r="G10" s="15">
        <f t="shared" si="0"/>
        <v>0</v>
      </c>
      <c r="H10" s="15">
        <f t="shared" si="0"/>
        <v>0</v>
      </c>
      <c r="I10" s="15">
        <f t="shared" si="1"/>
        <v>0</v>
      </c>
      <c r="J10" s="15">
        <f t="shared" si="4"/>
        <v>0</v>
      </c>
      <c r="K10" s="15"/>
      <c r="L10" s="15">
        <f t="shared" si="2"/>
        <v>100</v>
      </c>
      <c r="M10" s="15" t="str">
        <f t="shared" si="5"/>
        <v>A</v>
      </c>
      <c r="N10" s="15" t="str">
        <f t="shared" si="6"/>
        <v>100% LTT</v>
      </c>
      <c r="O10" s="35"/>
    </row>
    <row r="11" spans="1:15" ht="19.5" customHeight="1" x14ac:dyDescent="0.3">
      <c r="A11" s="15">
        <f t="shared" si="3"/>
        <v>5</v>
      </c>
      <c r="B11" s="16" t="s">
        <v>59</v>
      </c>
      <c r="C11" s="15" t="s">
        <v>19</v>
      </c>
      <c r="D11" s="15"/>
      <c r="E11" s="15"/>
      <c r="F11" s="15"/>
      <c r="G11" s="15">
        <f t="shared" si="0"/>
        <v>0</v>
      </c>
      <c r="H11" s="15">
        <f t="shared" si="0"/>
        <v>0</v>
      </c>
      <c r="I11" s="15">
        <f t="shared" si="1"/>
        <v>0</v>
      </c>
      <c r="J11" s="15">
        <f t="shared" si="4"/>
        <v>0</v>
      </c>
      <c r="K11" s="15"/>
      <c r="L11" s="15">
        <f t="shared" si="2"/>
        <v>100</v>
      </c>
      <c r="M11" s="15" t="str">
        <f t="shared" si="5"/>
        <v>A</v>
      </c>
      <c r="N11" s="15" t="str">
        <f t="shared" si="6"/>
        <v>100% LTT</v>
      </c>
      <c r="O11" s="35"/>
    </row>
    <row r="12" spans="1:15" ht="19.5" customHeight="1" x14ac:dyDescent="0.3">
      <c r="A12" s="15">
        <f t="shared" si="3"/>
        <v>6</v>
      </c>
      <c r="B12" s="16" t="s">
        <v>53</v>
      </c>
      <c r="C12" s="15" t="s">
        <v>19</v>
      </c>
      <c r="D12" s="15"/>
      <c r="E12" s="15"/>
      <c r="F12" s="15"/>
      <c r="G12" s="15">
        <f t="shared" si="0"/>
        <v>0</v>
      </c>
      <c r="H12" s="15">
        <f t="shared" si="0"/>
        <v>0</v>
      </c>
      <c r="I12" s="15">
        <f t="shared" si="1"/>
        <v>0</v>
      </c>
      <c r="J12" s="15">
        <f t="shared" si="4"/>
        <v>0</v>
      </c>
      <c r="K12" s="15"/>
      <c r="L12" s="15">
        <f t="shared" si="2"/>
        <v>100</v>
      </c>
      <c r="M12" s="15" t="str">
        <f t="shared" si="5"/>
        <v>A</v>
      </c>
      <c r="N12" s="15" t="str">
        <f t="shared" si="6"/>
        <v>100% LTT</v>
      </c>
      <c r="O12" s="35"/>
    </row>
    <row r="13" spans="1:15" ht="19.5" customHeight="1" x14ac:dyDescent="0.3">
      <c r="A13" s="15">
        <f t="shared" si="3"/>
        <v>7</v>
      </c>
      <c r="B13" s="16" t="s">
        <v>54</v>
      </c>
      <c r="C13" s="15" t="s">
        <v>19</v>
      </c>
      <c r="D13" s="15"/>
      <c r="E13" s="15"/>
      <c r="F13" s="15"/>
      <c r="G13" s="15">
        <f t="shared" si="0"/>
        <v>0</v>
      </c>
      <c r="H13" s="15">
        <f t="shared" si="0"/>
        <v>0</v>
      </c>
      <c r="I13" s="15">
        <f t="shared" si="1"/>
        <v>0</v>
      </c>
      <c r="J13" s="15">
        <f t="shared" si="4"/>
        <v>0</v>
      </c>
      <c r="K13" s="15"/>
      <c r="L13" s="15">
        <f t="shared" si="2"/>
        <v>100</v>
      </c>
      <c r="M13" s="15" t="str">
        <f t="shared" si="5"/>
        <v>A</v>
      </c>
      <c r="N13" s="15" t="str">
        <f t="shared" si="6"/>
        <v>100% LTT</v>
      </c>
      <c r="O13" s="35"/>
    </row>
    <row r="14" spans="1:15" ht="19.5" customHeight="1" x14ac:dyDescent="0.3">
      <c r="A14" s="15">
        <f t="shared" si="3"/>
        <v>8</v>
      </c>
      <c r="B14" s="18" t="s">
        <v>11</v>
      </c>
      <c r="C14" s="17" t="s">
        <v>51</v>
      </c>
      <c r="D14" s="17">
        <v>5</v>
      </c>
      <c r="E14" s="17"/>
      <c r="F14" s="17"/>
      <c r="G14" s="17">
        <f t="shared" si="0"/>
        <v>0</v>
      </c>
      <c r="H14" s="17">
        <f t="shared" si="0"/>
        <v>0</v>
      </c>
      <c r="I14" s="17">
        <f t="shared" si="1"/>
        <v>0</v>
      </c>
      <c r="J14" s="17">
        <f t="shared" si="4"/>
        <v>0</v>
      </c>
      <c r="K14" s="17">
        <v>1</v>
      </c>
      <c r="L14" s="15">
        <f t="shared" si="2"/>
        <v>99</v>
      </c>
      <c r="M14" s="17" t="str">
        <f t="shared" si="5"/>
        <v>A</v>
      </c>
      <c r="N14" s="17" t="str">
        <f t="shared" si="6"/>
        <v>100% LTT</v>
      </c>
      <c r="O14" s="35"/>
    </row>
    <row r="15" spans="1:15" ht="19.5" customHeight="1" x14ac:dyDescent="0.3">
      <c r="A15" s="184" t="s">
        <v>16</v>
      </c>
      <c r="B15" s="184"/>
      <c r="C15" s="18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5" ht="19.5" customHeight="1" x14ac:dyDescent="0.3">
      <c r="A16" s="17">
        <f>A14+1</f>
        <v>9</v>
      </c>
      <c r="B16" s="18" t="s">
        <v>28</v>
      </c>
      <c r="C16" s="17" t="s">
        <v>121</v>
      </c>
      <c r="D16" s="4">
        <v>2</v>
      </c>
      <c r="E16" s="17"/>
      <c r="F16" s="17">
        <v>2</v>
      </c>
      <c r="G16" s="17">
        <f t="shared" ref="G16:H16" si="7">IF(D16&gt;5,(D16-5)*2,0)</f>
        <v>0</v>
      </c>
      <c r="H16" s="17">
        <f t="shared" si="7"/>
        <v>0</v>
      </c>
      <c r="I16" s="17">
        <f t="shared" ref="I16" si="8">IF(F16&gt;2,(F16-2)*1,0)</f>
        <v>0</v>
      </c>
      <c r="J16" s="17">
        <f t="shared" ref="J16" si="9">SUM(G16:I16)</f>
        <v>0</v>
      </c>
      <c r="K16" s="17"/>
      <c r="L16" s="17">
        <f>100-J16-K16</f>
        <v>100</v>
      </c>
      <c r="M16" s="17" t="str">
        <f t="shared" ref="M16" si="10">IF(L16&lt;71,"KL",IF(AND(L16&gt;=71,L16&lt;81),"C",IF(AND(L16&gt;=81,L16&lt;91),"B","A")))</f>
        <v>A</v>
      </c>
      <c r="N16" s="17" t="str">
        <f t="shared" ref="N16" si="11">IF(M16="A","100% LTT",IF(M16="B","90% LTT",IF(M16="C","80% LTT","60% LTT")))</f>
        <v>100% LTT</v>
      </c>
    </row>
    <row r="17" spans="1:14" ht="19.5" customHeight="1" x14ac:dyDescent="0.3">
      <c r="A17" s="184" t="s">
        <v>17</v>
      </c>
      <c r="B17" s="184"/>
      <c r="C17" s="184"/>
      <c r="D17" s="4"/>
      <c r="E17" s="4"/>
      <c r="F17" s="4">
        <v>2</v>
      </c>
      <c r="G17" s="4"/>
      <c r="H17" s="4"/>
      <c r="I17" s="4"/>
      <c r="J17" s="4"/>
      <c r="K17" s="4"/>
      <c r="L17" s="4"/>
      <c r="M17" s="4"/>
      <c r="N17" s="4"/>
    </row>
    <row r="18" spans="1:14" ht="19.5" customHeight="1" x14ac:dyDescent="0.3">
      <c r="A18" s="15">
        <f>A16+1</f>
        <v>10</v>
      </c>
      <c r="B18" s="16" t="s">
        <v>13</v>
      </c>
      <c r="C18" s="15" t="s">
        <v>101</v>
      </c>
      <c r="D18" s="15">
        <v>2</v>
      </c>
      <c r="E18" s="15"/>
      <c r="F18" s="15">
        <v>4</v>
      </c>
      <c r="G18" s="15">
        <f t="shared" ref="G18:H25" si="12">IF(D18&gt;5,(D18-5)*2,0)</f>
        <v>0</v>
      </c>
      <c r="H18" s="15">
        <f t="shared" si="12"/>
        <v>0</v>
      </c>
      <c r="I18" s="15">
        <f t="shared" ref="I18:I25" si="13">IF(F18&gt;2,(F18-2)*1,0)</f>
        <v>2</v>
      </c>
      <c r="J18" s="15">
        <f t="shared" ref="J18:J25" si="14">SUM(G18:I18)</f>
        <v>2</v>
      </c>
      <c r="K18" s="15">
        <v>1</v>
      </c>
      <c r="L18" s="15">
        <f>100-J18-K18</f>
        <v>97</v>
      </c>
      <c r="M18" s="15" t="str">
        <f t="shared" ref="M18:M25" si="15">IF(L18&lt;71,"KL",IF(AND(L18&gt;=71,L18&lt;81),"C",IF(AND(L18&gt;=81,L18&lt;91),"B","A")))</f>
        <v>A</v>
      </c>
      <c r="N18" s="15" t="str">
        <f>IF(M18="A","100% LTT",IF(M18="B","90% LTT",IF(M18="C","80% LTT","60% LTT")))</f>
        <v>100% LTT</v>
      </c>
    </row>
    <row r="19" spans="1:14" ht="19.5" customHeight="1" x14ac:dyDescent="0.3">
      <c r="A19" s="15">
        <f t="shared" ref="A19:A25" si="16">A18+1</f>
        <v>11</v>
      </c>
      <c r="B19" s="16" t="s">
        <v>14</v>
      </c>
      <c r="C19" s="15" t="s">
        <v>19</v>
      </c>
      <c r="D19" s="15">
        <v>3</v>
      </c>
      <c r="E19" s="15"/>
      <c r="F19" s="15">
        <v>2</v>
      </c>
      <c r="G19" s="15">
        <f t="shared" si="12"/>
        <v>0</v>
      </c>
      <c r="H19" s="15">
        <f t="shared" si="12"/>
        <v>0</v>
      </c>
      <c r="I19" s="15">
        <f t="shared" si="13"/>
        <v>0</v>
      </c>
      <c r="J19" s="15">
        <f t="shared" si="14"/>
        <v>0</v>
      </c>
      <c r="K19" s="15">
        <v>3</v>
      </c>
      <c r="L19" s="15">
        <f t="shared" ref="L19:L25" si="17">100-J19-K19</f>
        <v>97</v>
      </c>
      <c r="M19" s="15" t="str">
        <f t="shared" si="15"/>
        <v>A</v>
      </c>
      <c r="N19" s="15" t="str">
        <f t="shared" ref="N19:N25" si="18">IF(M19="A","100% LTT",IF(M19="B","90% LTT",IF(M19="C","80% LTT","60% LTT")))</f>
        <v>100% LTT</v>
      </c>
    </row>
    <row r="20" spans="1:14" ht="19.5" customHeight="1" x14ac:dyDescent="0.3">
      <c r="A20" s="15">
        <f t="shared" si="16"/>
        <v>12</v>
      </c>
      <c r="B20" s="16" t="s">
        <v>40</v>
      </c>
      <c r="C20" s="15" t="s">
        <v>19</v>
      </c>
      <c r="D20" s="15"/>
      <c r="E20" s="15"/>
      <c r="F20" s="15"/>
      <c r="G20" s="15">
        <f t="shared" si="12"/>
        <v>0</v>
      </c>
      <c r="H20" s="15">
        <f t="shared" si="12"/>
        <v>0</v>
      </c>
      <c r="I20" s="15">
        <f t="shared" si="13"/>
        <v>0</v>
      </c>
      <c r="J20" s="15">
        <f t="shared" si="14"/>
        <v>0</v>
      </c>
      <c r="K20" s="15">
        <v>4</v>
      </c>
      <c r="L20" s="15">
        <f>100-J20-K20</f>
        <v>96</v>
      </c>
      <c r="M20" s="15" t="str">
        <f t="shared" si="15"/>
        <v>A</v>
      </c>
      <c r="N20" s="15" t="str">
        <f t="shared" si="18"/>
        <v>100% LTT</v>
      </c>
    </row>
    <row r="21" spans="1:14" ht="19.5" customHeight="1" x14ac:dyDescent="0.3">
      <c r="A21" s="15">
        <f t="shared" si="16"/>
        <v>13</v>
      </c>
      <c r="B21" s="16" t="s">
        <v>130</v>
      </c>
      <c r="C21" s="15" t="s">
        <v>131</v>
      </c>
      <c r="D21" s="15"/>
      <c r="E21" s="15"/>
      <c r="F21" s="15"/>
      <c r="G21" s="15">
        <f t="shared" si="12"/>
        <v>0</v>
      </c>
      <c r="H21" s="15">
        <f t="shared" si="12"/>
        <v>0</v>
      </c>
      <c r="I21" s="15">
        <f t="shared" si="13"/>
        <v>0</v>
      </c>
      <c r="J21" s="15">
        <f t="shared" si="14"/>
        <v>0</v>
      </c>
      <c r="K21" s="15">
        <v>7</v>
      </c>
      <c r="L21" s="15">
        <f t="shared" ref="L21:L22" si="19">100-J21-K21</f>
        <v>93</v>
      </c>
      <c r="M21" s="15" t="str">
        <f t="shared" si="15"/>
        <v>A</v>
      </c>
      <c r="N21" s="15" t="str">
        <f t="shared" si="18"/>
        <v>100% LTT</v>
      </c>
    </row>
    <row r="22" spans="1:14" ht="19.5" customHeight="1" x14ac:dyDescent="0.3">
      <c r="A22" s="15">
        <f t="shared" si="16"/>
        <v>14</v>
      </c>
      <c r="B22" s="16" t="s">
        <v>98</v>
      </c>
      <c r="C22" s="15" t="s">
        <v>102</v>
      </c>
      <c r="D22" s="15"/>
      <c r="E22" s="15"/>
      <c r="F22" s="15"/>
      <c r="G22" s="15">
        <f t="shared" si="12"/>
        <v>0</v>
      </c>
      <c r="H22" s="15">
        <f t="shared" si="12"/>
        <v>0</v>
      </c>
      <c r="I22" s="15">
        <f t="shared" si="13"/>
        <v>0</v>
      </c>
      <c r="J22" s="15">
        <f t="shared" si="14"/>
        <v>0</v>
      </c>
      <c r="K22" s="15">
        <v>8</v>
      </c>
      <c r="L22" s="15">
        <f t="shared" si="19"/>
        <v>92</v>
      </c>
      <c r="M22" s="15" t="str">
        <f t="shared" si="15"/>
        <v>A</v>
      </c>
      <c r="N22" s="15" t="str">
        <f t="shared" si="18"/>
        <v>100% LTT</v>
      </c>
    </row>
    <row r="23" spans="1:14" ht="19.5" customHeight="1" x14ac:dyDescent="0.3">
      <c r="A23" s="15">
        <f t="shared" si="16"/>
        <v>15</v>
      </c>
      <c r="B23" s="16" t="s">
        <v>99</v>
      </c>
      <c r="C23" s="15" t="s">
        <v>102</v>
      </c>
      <c r="D23" s="15"/>
      <c r="E23" s="15"/>
      <c r="F23" s="15"/>
      <c r="G23" s="15">
        <f t="shared" si="12"/>
        <v>0</v>
      </c>
      <c r="H23" s="15">
        <f t="shared" si="12"/>
        <v>0</v>
      </c>
      <c r="I23" s="15">
        <f t="shared" si="13"/>
        <v>0</v>
      </c>
      <c r="J23" s="15">
        <f t="shared" si="14"/>
        <v>0</v>
      </c>
      <c r="K23" s="15">
        <v>5</v>
      </c>
      <c r="L23" s="15">
        <f t="shared" si="17"/>
        <v>95</v>
      </c>
      <c r="M23" s="15" t="str">
        <f t="shared" si="15"/>
        <v>A</v>
      </c>
      <c r="N23" s="15" t="str">
        <f t="shared" si="18"/>
        <v>100% LTT</v>
      </c>
    </row>
    <row r="24" spans="1:14" ht="19.5" customHeight="1" x14ac:dyDescent="0.3">
      <c r="A24" s="15">
        <f t="shared" si="16"/>
        <v>16</v>
      </c>
      <c r="B24" s="16" t="s">
        <v>100</v>
      </c>
      <c r="C24" s="15" t="s">
        <v>102</v>
      </c>
      <c r="D24" s="15"/>
      <c r="E24" s="15"/>
      <c r="F24" s="15"/>
      <c r="G24" s="15">
        <f t="shared" si="12"/>
        <v>0</v>
      </c>
      <c r="H24" s="15">
        <f t="shared" si="12"/>
        <v>0</v>
      </c>
      <c r="I24" s="15">
        <f t="shared" si="13"/>
        <v>0</v>
      </c>
      <c r="J24" s="15">
        <f t="shared" si="14"/>
        <v>0</v>
      </c>
      <c r="K24" s="15">
        <v>5</v>
      </c>
      <c r="L24" s="15">
        <f t="shared" si="17"/>
        <v>95</v>
      </c>
      <c r="M24" s="15" t="str">
        <f t="shared" si="15"/>
        <v>A</v>
      </c>
      <c r="N24" s="15" t="str">
        <f t="shared" si="18"/>
        <v>100% LTT</v>
      </c>
    </row>
    <row r="25" spans="1:14" ht="19.5" customHeight="1" x14ac:dyDescent="0.3">
      <c r="A25" s="15">
        <f t="shared" si="16"/>
        <v>17</v>
      </c>
      <c r="B25" s="18" t="s">
        <v>116</v>
      </c>
      <c r="C25" s="17" t="s">
        <v>107</v>
      </c>
      <c r="D25" s="17"/>
      <c r="E25" s="17"/>
      <c r="F25" s="17"/>
      <c r="G25" s="15">
        <f t="shared" si="12"/>
        <v>0</v>
      </c>
      <c r="H25" s="15">
        <f t="shared" si="12"/>
        <v>0</v>
      </c>
      <c r="I25" s="15">
        <f t="shared" si="13"/>
        <v>0</v>
      </c>
      <c r="J25" s="15">
        <f t="shared" si="14"/>
        <v>0</v>
      </c>
      <c r="K25" s="17">
        <v>8</v>
      </c>
      <c r="L25" s="15">
        <f t="shared" si="17"/>
        <v>92</v>
      </c>
      <c r="M25" s="15" t="str">
        <f t="shared" si="15"/>
        <v>A</v>
      </c>
      <c r="N25" s="17" t="str">
        <f t="shared" si="18"/>
        <v>100% LTT</v>
      </c>
    </row>
    <row r="26" spans="1:14" ht="22.5" customHeight="1" x14ac:dyDescent="0.3">
      <c r="A26" s="180" t="s">
        <v>60</v>
      </c>
      <c r="B26" s="180"/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0"/>
      <c r="N26" s="180"/>
    </row>
    <row r="27" spans="1:14" ht="22.5" customHeight="1" x14ac:dyDescent="0.3">
      <c r="J27" s="185" t="s">
        <v>144</v>
      </c>
      <c r="K27" s="185"/>
      <c r="L27" s="185"/>
      <c r="M27" s="185"/>
      <c r="N27" s="185"/>
    </row>
    <row r="28" spans="1:14" ht="22.5" customHeight="1" x14ac:dyDescent="0.3">
      <c r="B28" s="178" t="s">
        <v>22</v>
      </c>
      <c r="C28" s="178"/>
      <c r="D28" s="178"/>
      <c r="L28" s="178" t="s">
        <v>25</v>
      </c>
      <c r="M28" s="178"/>
      <c r="N28" s="178"/>
    </row>
    <row r="29" spans="1:14" ht="22.5" customHeight="1" x14ac:dyDescent="0.3">
      <c r="L29" s="121"/>
      <c r="M29" s="121"/>
    </row>
    <row r="30" spans="1:14" ht="22.5" customHeight="1" x14ac:dyDescent="0.3">
      <c r="L30" s="121"/>
      <c r="M30" s="121"/>
    </row>
    <row r="31" spans="1:14" ht="22.5" customHeight="1" x14ac:dyDescent="0.3">
      <c r="L31" s="121"/>
      <c r="M31" s="121"/>
    </row>
    <row r="32" spans="1:14" ht="22.5" customHeight="1" x14ac:dyDescent="0.3">
      <c r="B32" s="178" t="s">
        <v>28</v>
      </c>
      <c r="C32" s="178"/>
      <c r="D32" s="178"/>
      <c r="L32" s="178" t="s">
        <v>27</v>
      </c>
      <c r="M32" s="178"/>
      <c r="N32" s="178"/>
    </row>
    <row r="33" spans="3:4" ht="22.5" customHeight="1" x14ac:dyDescent="0.3">
      <c r="C33" s="1"/>
      <c r="D33" s="1"/>
    </row>
  </sheetData>
  <mergeCells count="25">
    <mergeCell ref="B32:D32"/>
    <mergeCell ref="L32:N32"/>
    <mergeCell ref="A6:C6"/>
    <mergeCell ref="A15:C15"/>
    <mergeCell ref="A17:C17"/>
    <mergeCell ref="A26:N26"/>
    <mergeCell ref="J27:N27"/>
    <mergeCell ref="B28:D28"/>
    <mergeCell ref="L28:N28"/>
    <mergeCell ref="O4:O5"/>
    <mergeCell ref="A1:N1"/>
    <mergeCell ref="A2:N2"/>
    <mergeCell ref="A3:N3"/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L4:L5"/>
    <mergeCell ref="M4:M5"/>
    <mergeCell ref="N4:N5"/>
  </mergeCells>
  <pageMargins left="0.28999999999999998" right="0.39" top="0.49" bottom="0.42" header="0.3" footer="0.3"/>
  <pageSetup scale="70" orientation="landscape" verticalDpi="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workbookViewId="0">
      <pane xSplit="2" ySplit="6" topLeftCell="D7" activePane="bottomRight" state="frozen"/>
      <selection pane="topRight" activeCell="C1" sqref="C1"/>
      <selection pane="bottomLeft" activeCell="A7" sqref="A7"/>
      <selection pane="bottomRight" sqref="A1:XFD1048576"/>
    </sheetView>
  </sheetViews>
  <sheetFormatPr defaultColWidth="9.109375" defaultRowHeight="16.8" x14ac:dyDescent="0.3"/>
  <cols>
    <col min="1" max="1" width="6.109375" style="2" customWidth="1"/>
    <col min="2" max="2" width="27.5546875" style="1" customWidth="1"/>
    <col min="3" max="3" width="22" style="2" customWidth="1"/>
    <col min="4" max="6" width="11.33203125" style="2" customWidth="1"/>
    <col min="7" max="9" width="12.33203125" style="2" customWidth="1"/>
    <col min="10" max="10" width="12.44140625" style="2" customWidth="1"/>
    <col min="11" max="11" width="11.33203125" style="2" customWidth="1"/>
    <col min="12" max="12" width="12.109375" style="2" customWidth="1"/>
    <col min="13" max="13" width="9.44140625" style="2" customWidth="1"/>
    <col min="14" max="14" width="15" style="2" customWidth="1"/>
    <col min="15" max="15" width="53.88671875" style="2" customWidth="1"/>
    <col min="16" max="16384" width="9.109375" style="1"/>
  </cols>
  <sheetData>
    <row r="1" spans="1:15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5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</row>
    <row r="3" spans="1:15" ht="22.5" customHeight="1" x14ac:dyDescent="0.3">
      <c r="A3" s="179" t="s">
        <v>147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</row>
    <row r="4" spans="1:15" s="3" customFormat="1" ht="22.5" customHeight="1" x14ac:dyDescent="0.3">
      <c r="A4" s="180" t="s">
        <v>0</v>
      </c>
      <c r="B4" s="180" t="s">
        <v>1</v>
      </c>
      <c r="C4" s="180" t="s">
        <v>2</v>
      </c>
      <c r="D4" s="180" t="s">
        <v>23</v>
      </c>
      <c r="E4" s="180"/>
      <c r="F4" s="180"/>
      <c r="G4" s="181" t="s">
        <v>29</v>
      </c>
      <c r="H4" s="181" t="s">
        <v>30</v>
      </c>
      <c r="I4" s="181" t="s">
        <v>31</v>
      </c>
      <c r="J4" s="181" t="s">
        <v>96</v>
      </c>
      <c r="K4" s="181" t="s">
        <v>97</v>
      </c>
      <c r="L4" s="180" t="s">
        <v>6</v>
      </c>
      <c r="M4" s="180" t="s">
        <v>7</v>
      </c>
      <c r="N4" s="180" t="s">
        <v>8</v>
      </c>
      <c r="O4" s="183"/>
    </row>
    <row r="5" spans="1:15" s="3" customFormat="1" ht="49.8" customHeight="1" x14ac:dyDescent="0.3">
      <c r="A5" s="180"/>
      <c r="B5" s="180"/>
      <c r="C5" s="180"/>
      <c r="D5" s="124" t="s">
        <v>3</v>
      </c>
      <c r="E5" s="124" t="s">
        <v>4</v>
      </c>
      <c r="F5" s="124" t="s">
        <v>5</v>
      </c>
      <c r="G5" s="182"/>
      <c r="H5" s="182"/>
      <c r="I5" s="182"/>
      <c r="J5" s="182"/>
      <c r="K5" s="182"/>
      <c r="L5" s="180"/>
      <c r="M5" s="180"/>
      <c r="N5" s="180"/>
      <c r="O5" s="183"/>
    </row>
    <row r="6" spans="1:15" ht="19.5" customHeight="1" x14ac:dyDescent="0.3">
      <c r="A6" s="184" t="s">
        <v>15</v>
      </c>
      <c r="B6" s="184"/>
      <c r="C6" s="18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5" ht="19.5" customHeight="1" x14ac:dyDescent="0.3">
      <c r="A7" s="15">
        <v>1</v>
      </c>
      <c r="B7" s="16" t="s">
        <v>49</v>
      </c>
      <c r="C7" s="15" t="s">
        <v>19</v>
      </c>
      <c r="D7" s="15"/>
      <c r="E7" s="15"/>
      <c r="F7" s="15">
        <v>2</v>
      </c>
      <c r="G7" s="15">
        <f t="shared" ref="G7:H14" si="0">IF(D7&gt;5,(D7-5)*2,0)</f>
        <v>0</v>
      </c>
      <c r="H7" s="15">
        <f t="shared" si="0"/>
        <v>0</v>
      </c>
      <c r="I7" s="15">
        <f t="shared" ref="I7:I14" si="1">IF(F7&gt;2,(F7-2)*1,0)</f>
        <v>0</v>
      </c>
      <c r="J7" s="15">
        <f>SUM(G7:I7)</f>
        <v>0</v>
      </c>
      <c r="K7" s="15">
        <v>2</v>
      </c>
      <c r="L7" s="15">
        <f t="shared" ref="L7:L14" si="2">100-J7-K7</f>
        <v>98</v>
      </c>
      <c r="M7" s="15" t="str">
        <f>IF(L7&lt;71,"KL",IF(AND(L7&gt;=71,L7&lt;81),"C",IF(AND(L7&gt;=81,L7&lt;91),"B","A")))</f>
        <v>A</v>
      </c>
      <c r="N7" s="15" t="str">
        <f>IF(M7="A","100% LTT",IF(M7="B","90% LTT",IF(M7="C","80% LTT","60% LTT")))</f>
        <v>100% LTT</v>
      </c>
      <c r="O7" s="11" t="s">
        <v>33</v>
      </c>
    </row>
    <row r="8" spans="1:15" ht="19.5" customHeight="1" x14ac:dyDescent="0.3">
      <c r="A8" s="15">
        <f t="shared" ref="A8:A14" si="3">A7+1</f>
        <v>2</v>
      </c>
      <c r="B8" s="16" t="s">
        <v>52</v>
      </c>
      <c r="C8" s="15" t="s">
        <v>19</v>
      </c>
      <c r="D8" s="15"/>
      <c r="E8" s="15"/>
      <c r="F8" s="15"/>
      <c r="G8" s="15">
        <f t="shared" si="0"/>
        <v>0</v>
      </c>
      <c r="H8" s="15">
        <f t="shared" si="0"/>
        <v>0</v>
      </c>
      <c r="I8" s="15">
        <f t="shared" si="1"/>
        <v>0</v>
      </c>
      <c r="J8" s="15">
        <f t="shared" ref="J8:J14" si="4">SUM(G8:I8)</f>
        <v>0</v>
      </c>
      <c r="K8" s="15"/>
      <c r="L8" s="15">
        <f t="shared" si="2"/>
        <v>100</v>
      </c>
      <c r="M8" s="15" t="str">
        <f t="shared" ref="M8:M14" si="5">IF(L8&lt;71,"KL",IF(AND(L8&gt;=71,L8&lt;81),"C",IF(AND(L8&gt;=81,L8&lt;91),"B","A")))</f>
        <v>A</v>
      </c>
      <c r="N8" s="15" t="str">
        <f t="shared" ref="N8:N14" si="6">IF(M8="A","100% LTT",IF(M8="B","90% LTT",IF(M8="C","80% LTT","60% LTT")))</f>
        <v>100% LTT</v>
      </c>
      <c r="O8" s="34"/>
    </row>
    <row r="9" spans="1:15" ht="19.5" customHeight="1" x14ac:dyDescent="0.3">
      <c r="A9" s="15">
        <f t="shared" si="3"/>
        <v>3</v>
      </c>
      <c r="B9" s="16" t="s">
        <v>57</v>
      </c>
      <c r="C9" s="15" t="s">
        <v>19</v>
      </c>
      <c r="D9" s="15"/>
      <c r="E9" s="15"/>
      <c r="F9" s="15"/>
      <c r="G9" s="15">
        <f t="shared" si="0"/>
        <v>0</v>
      </c>
      <c r="H9" s="15">
        <f t="shared" si="0"/>
        <v>0</v>
      </c>
      <c r="I9" s="15">
        <f t="shared" si="1"/>
        <v>0</v>
      </c>
      <c r="J9" s="15">
        <f t="shared" si="4"/>
        <v>0</v>
      </c>
      <c r="K9" s="15"/>
      <c r="L9" s="15">
        <f t="shared" si="2"/>
        <v>100</v>
      </c>
      <c r="M9" s="15" t="str">
        <f t="shared" si="5"/>
        <v>A</v>
      </c>
      <c r="N9" s="15" t="str">
        <f t="shared" si="6"/>
        <v>100% LTT</v>
      </c>
      <c r="O9" s="35"/>
    </row>
    <row r="10" spans="1:15" ht="19.5" customHeight="1" x14ac:dyDescent="0.3">
      <c r="A10" s="15">
        <f t="shared" si="3"/>
        <v>4</v>
      </c>
      <c r="B10" s="16" t="s">
        <v>58</v>
      </c>
      <c r="C10" s="15" t="s">
        <v>19</v>
      </c>
      <c r="D10" s="15"/>
      <c r="E10" s="15"/>
      <c r="F10" s="15"/>
      <c r="G10" s="15">
        <f t="shared" si="0"/>
        <v>0</v>
      </c>
      <c r="H10" s="15">
        <f t="shared" si="0"/>
        <v>0</v>
      </c>
      <c r="I10" s="15">
        <f t="shared" si="1"/>
        <v>0</v>
      </c>
      <c r="J10" s="15">
        <f t="shared" si="4"/>
        <v>0</v>
      </c>
      <c r="K10" s="15"/>
      <c r="L10" s="15">
        <f t="shared" si="2"/>
        <v>100</v>
      </c>
      <c r="M10" s="15" t="str">
        <f t="shared" si="5"/>
        <v>A</v>
      </c>
      <c r="N10" s="15" t="str">
        <f t="shared" si="6"/>
        <v>100% LTT</v>
      </c>
      <c r="O10" s="35"/>
    </row>
    <row r="11" spans="1:15" ht="19.5" customHeight="1" x14ac:dyDescent="0.3">
      <c r="A11" s="15">
        <f t="shared" si="3"/>
        <v>5</v>
      </c>
      <c r="B11" s="16" t="s">
        <v>59</v>
      </c>
      <c r="C11" s="15" t="s">
        <v>19</v>
      </c>
      <c r="D11" s="15"/>
      <c r="E11" s="15"/>
      <c r="F11" s="15"/>
      <c r="G11" s="15">
        <f t="shared" si="0"/>
        <v>0</v>
      </c>
      <c r="H11" s="15">
        <f t="shared" si="0"/>
        <v>0</v>
      </c>
      <c r="I11" s="15">
        <f t="shared" si="1"/>
        <v>0</v>
      </c>
      <c r="J11" s="15">
        <f t="shared" si="4"/>
        <v>0</v>
      </c>
      <c r="K11" s="15"/>
      <c r="L11" s="15">
        <f t="shared" si="2"/>
        <v>100</v>
      </c>
      <c r="M11" s="15" t="str">
        <f t="shared" si="5"/>
        <v>A</v>
      </c>
      <c r="N11" s="15" t="str">
        <f t="shared" si="6"/>
        <v>100% LTT</v>
      </c>
      <c r="O11" s="35"/>
    </row>
    <row r="12" spans="1:15" ht="19.5" customHeight="1" x14ac:dyDescent="0.3">
      <c r="A12" s="15">
        <f t="shared" si="3"/>
        <v>6</v>
      </c>
      <c r="B12" s="16" t="s">
        <v>53</v>
      </c>
      <c r="C12" s="15" t="s">
        <v>19</v>
      </c>
      <c r="D12" s="15"/>
      <c r="E12" s="15"/>
      <c r="F12" s="15"/>
      <c r="G12" s="15">
        <f t="shared" si="0"/>
        <v>0</v>
      </c>
      <c r="H12" s="15">
        <f t="shared" si="0"/>
        <v>0</v>
      </c>
      <c r="I12" s="15">
        <f t="shared" si="1"/>
        <v>0</v>
      </c>
      <c r="J12" s="15">
        <f t="shared" si="4"/>
        <v>0</v>
      </c>
      <c r="K12" s="15"/>
      <c r="L12" s="15">
        <f t="shared" si="2"/>
        <v>100</v>
      </c>
      <c r="M12" s="15" t="str">
        <f t="shared" si="5"/>
        <v>A</v>
      </c>
      <c r="N12" s="15" t="str">
        <f t="shared" si="6"/>
        <v>100% LTT</v>
      </c>
      <c r="O12" s="35"/>
    </row>
    <row r="13" spans="1:15" ht="19.5" customHeight="1" x14ac:dyDescent="0.3">
      <c r="A13" s="15">
        <f t="shared" si="3"/>
        <v>7</v>
      </c>
      <c r="B13" s="16" t="s">
        <v>54</v>
      </c>
      <c r="C13" s="15" t="s">
        <v>19</v>
      </c>
      <c r="D13" s="15"/>
      <c r="E13" s="15"/>
      <c r="F13" s="15"/>
      <c r="G13" s="15">
        <f t="shared" si="0"/>
        <v>0</v>
      </c>
      <c r="H13" s="15">
        <f t="shared" si="0"/>
        <v>0</v>
      </c>
      <c r="I13" s="15">
        <f t="shared" si="1"/>
        <v>0</v>
      </c>
      <c r="J13" s="15">
        <f t="shared" si="4"/>
        <v>0</v>
      </c>
      <c r="K13" s="15"/>
      <c r="L13" s="15">
        <f t="shared" si="2"/>
        <v>100</v>
      </c>
      <c r="M13" s="15" t="str">
        <f t="shared" si="5"/>
        <v>A</v>
      </c>
      <c r="N13" s="15" t="str">
        <f t="shared" si="6"/>
        <v>100% LTT</v>
      </c>
      <c r="O13" s="35"/>
    </row>
    <row r="14" spans="1:15" ht="19.5" customHeight="1" x14ac:dyDescent="0.3">
      <c r="A14" s="15">
        <f t="shared" si="3"/>
        <v>8</v>
      </c>
      <c r="B14" s="18" t="s">
        <v>11</v>
      </c>
      <c r="C14" s="17" t="s">
        <v>51</v>
      </c>
      <c r="D14" s="17">
        <v>3</v>
      </c>
      <c r="E14" s="17"/>
      <c r="F14" s="17">
        <v>1</v>
      </c>
      <c r="G14" s="17">
        <f t="shared" si="0"/>
        <v>0</v>
      </c>
      <c r="H14" s="17">
        <f t="shared" si="0"/>
        <v>0</v>
      </c>
      <c r="I14" s="17">
        <f t="shared" si="1"/>
        <v>0</v>
      </c>
      <c r="J14" s="17">
        <f t="shared" si="4"/>
        <v>0</v>
      </c>
      <c r="K14" s="17">
        <v>1</v>
      </c>
      <c r="L14" s="15">
        <f t="shared" si="2"/>
        <v>99</v>
      </c>
      <c r="M14" s="17" t="str">
        <f t="shared" si="5"/>
        <v>A</v>
      </c>
      <c r="N14" s="17" t="str">
        <f t="shared" si="6"/>
        <v>100% LTT</v>
      </c>
      <c r="O14" s="35"/>
    </row>
    <row r="15" spans="1:15" ht="19.5" customHeight="1" x14ac:dyDescent="0.3">
      <c r="A15" s="184" t="s">
        <v>16</v>
      </c>
      <c r="B15" s="184"/>
      <c r="C15" s="18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5" ht="19.5" customHeight="1" x14ac:dyDescent="0.3">
      <c r="A16" s="17">
        <f>A14+1</f>
        <v>9</v>
      </c>
      <c r="B16" s="18" t="s">
        <v>28</v>
      </c>
      <c r="C16" s="17" t="s">
        <v>121</v>
      </c>
      <c r="D16" s="4">
        <v>2</v>
      </c>
      <c r="E16" s="17">
        <v>1</v>
      </c>
      <c r="F16" s="17"/>
      <c r="G16" s="17">
        <f t="shared" ref="G16:H16" si="7">IF(D16&gt;5,(D16-5)*2,0)</f>
        <v>0</v>
      </c>
      <c r="H16" s="17">
        <f t="shared" si="7"/>
        <v>0</v>
      </c>
      <c r="I16" s="17">
        <f t="shared" ref="I16" si="8">IF(F16&gt;2,(F16-2)*1,0)</f>
        <v>0</v>
      </c>
      <c r="J16" s="17">
        <f t="shared" ref="J16" si="9">SUM(G16:I16)</f>
        <v>0</v>
      </c>
      <c r="K16" s="17"/>
      <c r="L16" s="17">
        <f>100-J16-K16</f>
        <v>100</v>
      </c>
      <c r="M16" s="17" t="str">
        <f t="shared" ref="M16" si="10">IF(L16&lt;71,"KL",IF(AND(L16&gt;=71,L16&lt;81),"C",IF(AND(L16&gt;=81,L16&lt;91),"B","A")))</f>
        <v>A</v>
      </c>
      <c r="N16" s="17" t="str">
        <f t="shared" ref="N16" si="11">IF(M16="A","100% LTT",IF(M16="B","90% LTT",IF(M16="C","80% LTT","60% LTT")))</f>
        <v>100% LTT</v>
      </c>
    </row>
    <row r="17" spans="1:14" ht="19.5" customHeight="1" x14ac:dyDescent="0.3">
      <c r="A17" s="184" t="s">
        <v>17</v>
      </c>
      <c r="B17" s="184"/>
      <c r="C17" s="18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ht="19.5" customHeight="1" x14ac:dyDescent="0.3">
      <c r="A18" s="15">
        <f>A16+1</f>
        <v>10</v>
      </c>
      <c r="B18" s="16" t="s">
        <v>13</v>
      </c>
      <c r="C18" s="15" t="s">
        <v>101</v>
      </c>
      <c r="D18" s="15">
        <v>2</v>
      </c>
      <c r="E18" s="15"/>
      <c r="F18" s="15">
        <v>3</v>
      </c>
      <c r="G18" s="15">
        <f t="shared" ref="G18:H25" si="12">IF(D18&gt;5,(D18-5)*2,0)</f>
        <v>0</v>
      </c>
      <c r="H18" s="15">
        <f t="shared" si="12"/>
        <v>0</v>
      </c>
      <c r="I18" s="15">
        <f t="shared" ref="I18:I25" si="13">IF(F18&gt;2,(F18-2)*1,0)</f>
        <v>1</v>
      </c>
      <c r="J18" s="15">
        <f t="shared" ref="J18:J25" si="14">SUM(G18:I18)</f>
        <v>1</v>
      </c>
      <c r="K18" s="15">
        <v>2</v>
      </c>
      <c r="L18" s="15">
        <f>100-J18-K18</f>
        <v>97</v>
      </c>
      <c r="M18" s="15" t="str">
        <f t="shared" ref="M18:M25" si="15">IF(L18&lt;71,"KL",IF(AND(L18&gt;=71,L18&lt;81),"C",IF(AND(L18&gt;=81,L18&lt;91),"B","A")))</f>
        <v>A</v>
      </c>
      <c r="N18" s="15" t="str">
        <f>IF(M18="A","100% LTT",IF(M18="B","90% LTT",IF(M18="C","80% LTT","60% LTT")))</f>
        <v>100% LTT</v>
      </c>
    </row>
    <row r="19" spans="1:14" ht="19.5" customHeight="1" x14ac:dyDescent="0.3">
      <c r="A19" s="15">
        <f t="shared" ref="A19:A25" si="16">A18+1</f>
        <v>11</v>
      </c>
      <c r="B19" s="16" t="s">
        <v>14</v>
      </c>
      <c r="C19" s="15" t="s">
        <v>19</v>
      </c>
      <c r="D19" s="15">
        <v>1</v>
      </c>
      <c r="E19" s="15"/>
      <c r="F19" s="15">
        <v>1</v>
      </c>
      <c r="G19" s="15">
        <f t="shared" si="12"/>
        <v>0</v>
      </c>
      <c r="H19" s="15">
        <f t="shared" si="12"/>
        <v>0</v>
      </c>
      <c r="I19" s="15">
        <f t="shared" si="13"/>
        <v>0</v>
      </c>
      <c r="J19" s="15">
        <f t="shared" si="14"/>
        <v>0</v>
      </c>
      <c r="K19" s="15">
        <v>2</v>
      </c>
      <c r="L19" s="15">
        <f t="shared" ref="L19:L25" si="17">100-J19-K19</f>
        <v>98</v>
      </c>
      <c r="M19" s="15" t="str">
        <f t="shared" si="15"/>
        <v>A</v>
      </c>
      <c r="N19" s="15" t="str">
        <f t="shared" ref="N19:N25" si="18">IF(M19="A","100% LTT",IF(M19="B","90% LTT",IF(M19="C","80% LTT","60% LTT")))</f>
        <v>100% LTT</v>
      </c>
    </row>
    <row r="20" spans="1:14" ht="19.5" customHeight="1" x14ac:dyDescent="0.3">
      <c r="A20" s="15">
        <f t="shared" si="16"/>
        <v>12</v>
      </c>
      <c r="B20" s="16" t="s">
        <v>40</v>
      </c>
      <c r="C20" s="15" t="s">
        <v>19</v>
      </c>
      <c r="D20" s="15"/>
      <c r="E20" s="15"/>
      <c r="F20" s="15"/>
      <c r="G20" s="15">
        <f t="shared" si="12"/>
        <v>0</v>
      </c>
      <c r="H20" s="15">
        <f t="shared" si="12"/>
        <v>0</v>
      </c>
      <c r="I20" s="15">
        <f t="shared" si="13"/>
        <v>0</v>
      </c>
      <c r="J20" s="15">
        <f t="shared" si="14"/>
        <v>0</v>
      </c>
      <c r="K20" s="15">
        <v>4</v>
      </c>
      <c r="L20" s="15">
        <f>100-J20-K20</f>
        <v>96</v>
      </c>
      <c r="M20" s="15" t="str">
        <f t="shared" si="15"/>
        <v>A</v>
      </c>
      <c r="N20" s="15" t="str">
        <f t="shared" si="18"/>
        <v>100% LTT</v>
      </c>
    </row>
    <row r="21" spans="1:14" ht="19.5" customHeight="1" x14ac:dyDescent="0.3">
      <c r="A21" s="15">
        <f t="shared" si="16"/>
        <v>13</v>
      </c>
      <c r="B21" s="16" t="s">
        <v>130</v>
      </c>
      <c r="C21" s="15" t="s">
        <v>131</v>
      </c>
      <c r="D21" s="15"/>
      <c r="E21" s="15"/>
      <c r="F21" s="15"/>
      <c r="G21" s="15">
        <f t="shared" si="12"/>
        <v>0</v>
      </c>
      <c r="H21" s="15">
        <f t="shared" si="12"/>
        <v>0</v>
      </c>
      <c r="I21" s="15">
        <f t="shared" si="13"/>
        <v>0</v>
      </c>
      <c r="J21" s="15">
        <f t="shared" si="14"/>
        <v>0</v>
      </c>
      <c r="K21" s="15">
        <v>8</v>
      </c>
      <c r="L21" s="15">
        <f t="shared" ref="L21:L22" si="19">100-J21-K21</f>
        <v>92</v>
      </c>
      <c r="M21" s="15" t="str">
        <f t="shared" si="15"/>
        <v>A</v>
      </c>
      <c r="N21" s="15" t="str">
        <f t="shared" si="18"/>
        <v>100% LTT</v>
      </c>
    </row>
    <row r="22" spans="1:14" ht="19.5" customHeight="1" x14ac:dyDescent="0.3">
      <c r="A22" s="15">
        <f t="shared" si="16"/>
        <v>14</v>
      </c>
      <c r="B22" s="16" t="s">
        <v>98</v>
      </c>
      <c r="C22" s="15" t="s">
        <v>102</v>
      </c>
      <c r="D22" s="15"/>
      <c r="E22" s="15"/>
      <c r="F22" s="15"/>
      <c r="G22" s="15">
        <f t="shared" si="12"/>
        <v>0</v>
      </c>
      <c r="H22" s="15">
        <f t="shared" si="12"/>
        <v>0</v>
      </c>
      <c r="I22" s="15">
        <f t="shared" si="13"/>
        <v>0</v>
      </c>
      <c r="J22" s="15">
        <f t="shared" si="14"/>
        <v>0</v>
      </c>
      <c r="K22" s="15">
        <v>8</v>
      </c>
      <c r="L22" s="15">
        <f t="shared" si="19"/>
        <v>92</v>
      </c>
      <c r="M22" s="15" t="str">
        <f t="shared" si="15"/>
        <v>A</v>
      </c>
      <c r="N22" s="15" t="str">
        <f t="shared" si="18"/>
        <v>100% LTT</v>
      </c>
    </row>
    <row r="23" spans="1:14" ht="19.5" customHeight="1" x14ac:dyDescent="0.3">
      <c r="A23" s="15">
        <f t="shared" si="16"/>
        <v>15</v>
      </c>
      <c r="B23" s="16" t="s">
        <v>99</v>
      </c>
      <c r="C23" s="15" t="s">
        <v>102</v>
      </c>
      <c r="D23" s="15"/>
      <c r="E23" s="15"/>
      <c r="F23" s="15"/>
      <c r="G23" s="15">
        <f t="shared" si="12"/>
        <v>0</v>
      </c>
      <c r="H23" s="15">
        <f t="shared" si="12"/>
        <v>0</v>
      </c>
      <c r="I23" s="15">
        <f t="shared" si="13"/>
        <v>0</v>
      </c>
      <c r="J23" s="15">
        <f t="shared" si="14"/>
        <v>0</v>
      </c>
      <c r="K23" s="15">
        <v>5</v>
      </c>
      <c r="L23" s="15">
        <f t="shared" si="17"/>
        <v>95</v>
      </c>
      <c r="M23" s="15" t="str">
        <f t="shared" si="15"/>
        <v>A</v>
      </c>
      <c r="N23" s="15" t="str">
        <f t="shared" si="18"/>
        <v>100% LTT</v>
      </c>
    </row>
    <row r="24" spans="1:14" ht="19.5" customHeight="1" x14ac:dyDescent="0.3">
      <c r="A24" s="15">
        <f t="shared" si="16"/>
        <v>16</v>
      </c>
      <c r="B24" s="16" t="s">
        <v>100</v>
      </c>
      <c r="C24" s="15" t="s">
        <v>102</v>
      </c>
      <c r="D24" s="15"/>
      <c r="E24" s="15"/>
      <c r="F24" s="15"/>
      <c r="G24" s="15">
        <f t="shared" si="12"/>
        <v>0</v>
      </c>
      <c r="H24" s="15">
        <f t="shared" si="12"/>
        <v>0</v>
      </c>
      <c r="I24" s="15">
        <f t="shared" si="13"/>
        <v>0</v>
      </c>
      <c r="J24" s="15">
        <f t="shared" si="14"/>
        <v>0</v>
      </c>
      <c r="K24" s="15">
        <v>5</v>
      </c>
      <c r="L24" s="15">
        <f t="shared" si="17"/>
        <v>95</v>
      </c>
      <c r="M24" s="15" t="str">
        <f t="shared" si="15"/>
        <v>A</v>
      </c>
      <c r="N24" s="15" t="str">
        <f t="shared" si="18"/>
        <v>100% LTT</v>
      </c>
    </row>
    <row r="25" spans="1:14" ht="19.5" customHeight="1" x14ac:dyDescent="0.3">
      <c r="A25" s="15">
        <f t="shared" si="16"/>
        <v>17</v>
      </c>
      <c r="B25" s="18" t="s">
        <v>116</v>
      </c>
      <c r="C25" s="17" t="s">
        <v>107</v>
      </c>
      <c r="D25" s="17"/>
      <c r="E25" s="17"/>
      <c r="F25" s="17"/>
      <c r="G25" s="15">
        <f t="shared" si="12"/>
        <v>0</v>
      </c>
      <c r="H25" s="15">
        <f t="shared" si="12"/>
        <v>0</v>
      </c>
      <c r="I25" s="15">
        <f t="shared" si="13"/>
        <v>0</v>
      </c>
      <c r="J25" s="15">
        <f t="shared" si="14"/>
        <v>0</v>
      </c>
      <c r="K25" s="17">
        <v>8</v>
      </c>
      <c r="L25" s="15">
        <f t="shared" si="17"/>
        <v>92</v>
      </c>
      <c r="M25" s="15" t="str">
        <f t="shared" si="15"/>
        <v>A</v>
      </c>
      <c r="N25" s="17" t="str">
        <f t="shared" si="18"/>
        <v>100% LTT</v>
      </c>
    </row>
    <row r="26" spans="1:14" ht="22.5" customHeight="1" x14ac:dyDescent="0.3">
      <c r="A26" s="180" t="s">
        <v>60</v>
      </c>
      <c r="B26" s="180"/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0"/>
      <c r="N26" s="180"/>
    </row>
    <row r="27" spans="1:14" ht="22.5" customHeight="1" x14ac:dyDescent="0.3">
      <c r="J27" s="185" t="s">
        <v>144</v>
      </c>
      <c r="K27" s="185"/>
      <c r="L27" s="185"/>
      <c r="M27" s="185"/>
      <c r="N27" s="185"/>
    </row>
    <row r="28" spans="1:14" ht="22.5" customHeight="1" x14ac:dyDescent="0.3">
      <c r="B28" s="178" t="s">
        <v>22</v>
      </c>
      <c r="C28" s="178"/>
      <c r="D28" s="178"/>
      <c r="L28" s="178" t="s">
        <v>25</v>
      </c>
      <c r="M28" s="178"/>
      <c r="N28" s="178"/>
    </row>
    <row r="29" spans="1:14" ht="22.5" customHeight="1" x14ac:dyDescent="0.3">
      <c r="L29" s="123"/>
      <c r="M29" s="123"/>
    </row>
    <row r="30" spans="1:14" ht="22.5" customHeight="1" x14ac:dyDescent="0.3">
      <c r="L30" s="123"/>
      <c r="M30" s="123"/>
    </row>
    <row r="31" spans="1:14" ht="22.5" customHeight="1" x14ac:dyDescent="0.3">
      <c r="L31" s="123"/>
      <c r="M31" s="123"/>
    </row>
    <row r="32" spans="1:14" ht="22.5" customHeight="1" x14ac:dyDescent="0.3">
      <c r="B32" s="178" t="s">
        <v>28</v>
      </c>
      <c r="C32" s="178"/>
      <c r="D32" s="178"/>
      <c r="L32" s="178" t="s">
        <v>27</v>
      </c>
      <c r="M32" s="178"/>
      <c r="N32" s="178"/>
    </row>
    <row r="33" spans="3:4" ht="22.5" customHeight="1" x14ac:dyDescent="0.3">
      <c r="C33" s="1"/>
      <c r="D33" s="1"/>
    </row>
  </sheetData>
  <mergeCells count="25">
    <mergeCell ref="O4:O5"/>
    <mergeCell ref="A1:N1"/>
    <mergeCell ref="A2:N2"/>
    <mergeCell ref="A3:N3"/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L4:L5"/>
    <mergeCell ref="M4:M5"/>
    <mergeCell ref="N4:N5"/>
    <mergeCell ref="B32:D32"/>
    <mergeCell ref="L32:N32"/>
    <mergeCell ref="A6:C6"/>
    <mergeCell ref="A15:C15"/>
    <mergeCell ref="A17:C17"/>
    <mergeCell ref="A26:N26"/>
    <mergeCell ref="J27:N27"/>
    <mergeCell ref="B28:D28"/>
    <mergeCell ref="L28:N28"/>
  </mergeCells>
  <pageMargins left="0.28000000000000003" right="0.23" top="0.39" bottom="0.33" header="0.3" footer="0.3"/>
  <pageSetup scale="70" orientation="landscape" verticalDpi="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workbookViewId="0">
      <pane xSplit="2" ySplit="6" topLeftCell="D7" activePane="bottomRight" state="frozen"/>
      <selection pane="topRight" activeCell="C1" sqref="C1"/>
      <selection pane="bottomLeft" activeCell="A7" sqref="A7"/>
      <selection pane="bottomRight" sqref="A1:XFD1048576"/>
    </sheetView>
  </sheetViews>
  <sheetFormatPr defaultColWidth="9.109375" defaultRowHeight="16.8" x14ac:dyDescent="0.3"/>
  <cols>
    <col min="1" max="1" width="6.109375" style="2" customWidth="1"/>
    <col min="2" max="2" width="27.5546875" style="1" customWidth="1"/>
    <col min="3" max="3" width="22" style="2" customWidth="1"/>
    <col min="4" max="6" width="11.33203125" style="2" customWidth="1"/>
    <col min="7" max="9" width="12.33203125" style="2" customWidth="1"/>
    <col min="10" max="10" width="12.44140625" style="2" customWidth="1"/>
    <col min="11" max="11" width="11.33203125" style="2" customWidth="1"/>
    <col min="12" max="12" width="12.109375" style="2" customWidth="1"/>
    <col min="13" max="13" width="9.44140625" style="2" customWidth="1"/>
    <col min="14" max="14" width="15" style="2" customWidth="1"/>
    <col min="15" max="15" width="53.88671875" style="2" customWidth="1"/>
    <col min="16" max="16384" width="9.109375" style="1"/>
  </cols>
  <sheetData>
    <row r="1" spans="1:15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5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</row>
    <row r="3" spans="1:15" ht="22.5" customHeight="1" x14ac:dyDescent="0.3">
      <c r="A3" s="179" t="s">
        <v>148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</row>
    <row r="4" spans="1:15" s="3" customFormat="1" ht="22.5" customHeight="1" x14ac:dyDescent="0.3">
      <c r="A4" s="180" t="s">
        <v>0</v>
      </c>
      <c r="B4" s="180" t="s">
        <v>1</v>
      </c>
      <c r="C4" s="180" t="s">
        <v>2</v>
      </c>
      <c r="D4" s="180" t="s">
        <v>23</v>
      </c>
      <c r="E4" s="180"/>
      <c r="F4" s="180"/>
      <c r="G4" s="181" t="s">
        <v>29</v>
      </c>
      <c r="H4" s="181" t="s">
        <v>30</v>
      </c>
      <c r="I4" s="181" t="s">
        <v>31</v>
      </c>
      <c r="J4" s="181" t="s">
        <v>96</v>
      </c>
      <c r="K4" s="181" t="s">
        <v>97</v>
      </c>
      <c r="L4" s="180" t="s">
        <v>6</v>
      </c>
      <c r="M4" s="180" t="s">
        <v>7</v>
      </c>
      <c r="N4" s="180" t="s">
        <v>8</v>
      </c>
      <c r="O4" s="183"/>
    </row>
    <row r="5" spans="1:15" s="3" customFormat="1" ht="49.8" customHeight="1" x14ac:dyDescent="0.3">
      <c r="A5" s="180"/>
      <c r="B5" s="180"/>
      <c r="C5" s="180"/>
      <c r="D5" s="126" t="s">
        <v>3</v>
      </c>
      <c r="E5" s="126" t="s">
        <v>4</v>
      </c>
      <c r="F5" s="126" t="s">
        <v>5</v>
      </c>
      <c r="G5" s="182"/>
      <c r="H5" s="182"/>
      <c r="I5" s="182"/>
      <c r="J5" s="182"/>
      <c r="K5" s="182"/>
      <c r="L5" s="180"/>
      <c r="M5" s="180"/>
      <c r="N5" s="180"/>
      <c r="O5" s="183"/>
    </row>
    <row r="6" spans="1:15" ht="19.5" customHeight="1" x14ac:dyDescent="0.3">
      <c r="A6" s="184" t="s">
        <v>15</v>
      </c>
      <c r="B6" s="184"/>
      <c r="C6" s="18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5" ht="19.5" customHeight="1" x14ac:dyDescent="0.3">
      <c r="A7" s="15">
        <v>1</v>
      </c>
      <c r="B7" s="16" t="s">
        <v>49</v>
      </c>
      <c r="C7" s="15" t="s">
        <v>19</v>
      </c>
      <c r="D7" s="15"/>
      <c r="E7" s="15"/>
      <c r="F7" s="15">
        <v>1</v>
      </c>
      <c r="G7" s="15">
        <f t="shared" ref="G7:H14" si="0">IF(D7&gt;5,(D7-5)*2,0)</f>
        <v>0</v>
      </c>
      <c r="H7" s="15">
        <f t="shared" si="0"/>
        <v>0</v>
      </c>
      <c r="I7" s="15">
        <f t="shared" ref="I7:I14" si="1">IF(F7&gt;2,(F7-2)*1,0)</f>
        <v>0</v>
      </c>
      <c r="J7" s="15">
        <f>SUM(G7:I7)</f>
        <v>0</v>
      </c>
      <c r="K7" s="15">
        <v>3</v>
      </c>
      <c r="L7" s="15">
        <f t="shared" ref="L7:L14" si="2">100-J7-K7</f>
        <v>97</v>
      </c>
      <c r="M7" s="15" t="str">
        <f>IF(L7&lt;71,"KL",IF(AND(L7&gt;=71,L7&lt;81),"C",IF(AND(L7&gt;=81,L7&lt;91),"B","A")))</f>
        <v>A</v>
      </c>
      <c r="N7" s="15" t="str">
        <f>IF(M7="A","100% LTT",IF(M7="B","90% LTT",IF(M7="C","80% LTT","60% LTT")))</f>
        <v>100% LTT</v>
      </c>
      <c r="O7" s="11" t="s">
        <v>33</v>
      </c>
    </row>
    <row r="8" spans="1:15" ht="19.5" customHeight="1" x14ac:dyDescent="0.3">
      <c r="A8" s="15">
        <f t="shared" ref="A8:A14" si="3">A7+1</f>
        <v>2</v>
      </c>
      <c r="B8" s="16" t="s">
        <v>52</v>
      </c>
      <c r="C8" s="15" t="s">
        <v>19</v>
      </c>
      <c r="D8" s="15"/>
      <c r="E8" s="15"/>
      <c r="F8" s="15"/>
      <c r="G8" s="15">
        <f t="shared" si="0"/>
        <v>0</v>
      </c>
      <c r="H8" s="15">
        <f t="shared" si="0"/>
        <v>0</v>
      </c>
      <c r="I8" s="15">
        <f t="shared" si="1"/>
        <v>0</v>
      </c>
      <c r="J8" s="15">
        <f t="shared" ref="J8:J14" si="4">SUM(G8:I8)</f>
        <v>0</v>
      </c>
      <c r="K8" s="15"/>
      <c r="L8" s="15">
        <f t="shared" si="2"/>
        <v>100</v>
      </c>
      <c r="M8" s="15" t="str">
        <f t="shared" ref="M8:M14" si="5">IF(L8&lt;71,"KL",IF(AND(L8&gt;=71,L8&lt;81),"C",IF(AND(L8&gt;=81,L8&lt;91),"B","A")))</f>
        <v>A</v>
      </c>
      <c r="N8" s="15" t="str">
        <f t="shared" ref="N8:N14" si="6">IF(M8="A","100% LTT",IF(M8="B","90% LTT",IF(M8="C","80% LTT","60% LTT")))</f>
        <v>100% LTT</v>
      </c>
      <c r="O8" s="34"/>
    </row>
    <row r="9" spans="1:15" ht="19.5" customHeight="1" x14ac:dyDescent="0.3">
      <c r="A9" s="15">
        <f t="shared" si="3"/>
        <v>3</v>
      </c>
      <c r="B9" s="16" t="s">
        <v>57</v>
      </c>
      <c r="C9" s="15" t="s">
        <v>19</v>
      </c>
      <c r="D9" s="15"/>
      <c r="E9" s="15"/>
      <c r="F9" s="15"/>
      <c r="G9" s="15">
        <f t="shared" si="0"/>
        <v>0</v>
      </c>
      <c r="H9" s="15">
        <f t="shared" si="0"/>
        <v>0</v>
      </c>
      <c r="I9" s="15">
        <f t="shared" si="1"/>
        <v>0</v>
      </c>
      <c r="J9" s="15">
        <f t="shared" si="4"/>
        <v>0</v>
      </c>
      <c r="K9" s="15"/>
      <c r="L9" s="15">
        <f t="shared" si="2"/>
        <v>100</v>
      </c>
      <c r="M9" s="15" t="str">
        <f t="shared" si="5"/>
        <v>A</v>
      </c>
      <c r="N9" s="15" t="str">
        <f t="shared" si="6"/>
        <v>100% LTT</v>
      </c>
      <c r="O9" s="35"/>
    </row>
    <row r="10" spans="1:15" ht="19.5" customHeight="1" x14ac:dyDescent="0.3">
      <c r="A10" s="15">
        <f t="shared" si="3"/>
        <v>4</v>
      </c>
      <c r="B10" s="16" t="s">
        <v>58</v>
      </c>
      <c r="C10" s="15" t="s">
        <v>19</v>
      </c>
      <c r="D10" s="15"/>
      <c r="E10" s="15"/>
      <c r="F10" s="15"/>
      <c r="G10" s="15">
        <f t="shared" si="0"/>
        <v>0</v>
      </c>
      <c r="H10" s="15">
        <f t="shared" si="0"/>
        <v>0</v>
      </c>
      <c r="I10" s="15">
        <f t="shared" si="1"/>
        <v>0</v>
      </c>
      <c r="J10" s="15">
        <f t="shared" si="4"/>
        <v>0</v>
      </c>
      <c r="K10" s="15"/>
      <c r="L10" s="15">
        <f t="shared" si="2"/>
        <v>100</v>
      </c>
      <c r="M10" s="15" t="str">
        <f t="shared" si="5"/>
        <v>A</v>
      </c>
      <c r="N10" s="15" t="str">
        <f t="shared" si="6"/>
        <v>100% LTT</v>
      </c>
      <c r="O10" s="35"/>
    </row>
    <row r="11" spans="1:15" ht="19.5" customHeight="1" x14ac:dyDescent="0.3">
      <c r="A11" s="15">
        <f t="shared" si="3"/>
        <v>5</v>
      </c>
      <c r="B11" s="16" t="s">
        <v>59</v>
      </c>
      <c r="C11" s="15" t="s">
        <v>19</v>
      </c>
      <c r="D11" s="15"/>
      <c r="E11" s="15"/>
      <c r="F11" s="15"/>
      <c r="G11" s="15">
        <f t="shared" si="0"/>
        <v>0</v>
      </c>
      <c r="H11" s="15">
        <f t="shared" si="0"/>
        <v>0</v>
      </c>
      <c r="I11" s="15">
        <f t="shared" si="1"/>
        <v>0</v>
      </c>
      <c r="J11" s="15">
        <f t="shared" si="4"/>
        <v>0</v>
      </c>
      <c r="K11" s="15"/>
      <c r="L11" s="15">
        <f t="shared" si="2"/>
        <v>100</v>
      </c>
      <c r="M11" s="15" t="str">
        <f t="shared" si="5"/>
        <v>A</v>
      </c>
      <c r="N11" s="15" t="str">
        <f t="shared" si="6"/>
        <v>100% LTT</v>
      </c>
      <c r="O11" s="35"/>
    </row>
    <row r="12" spans="1:15" ht="19.5" customHeight="1" x14ac:dyDescent="0.3">
      <c r="A12" s="15">
        <f t="shared" si="3"/>
        <v>6</v>
      </c>
      <c r="B12" s="16" t="s">
        <v>53</v>
      </c>
      <c r="C12" s="15" t="s">
        <v>19</v>
      </c>
      <c r="D12" s="15"/>
      <c r="E12" s="15"/>
      <c r="F12" s="15"/>
      <c r="G12" s="15">
        <f t="shared" si="0"/>
        <v>0</v>
      </c>
      <c r="H12" s="15">
        <f t="shared" si="0"/>
        <v>0</v>
      </c>
      <c r="I12" s="15">
        <f t="shared" si="1"/>
        <v>0</v>
      </c>
      <c r="J12" s="15">
        <f t="shared" si="4"/>
        <v>0</v>
      </c>
      <c r="K12" s="15"/>
      <c r="L12" s="15">
        <f t="shared" si="2"/>
        <v>100</v>
      </c>
      <c r="M12" s="15" t="str">
        <f t="shared" si="5"/>
        <v>A</v>
      </c>
      <c r="N12" s="15" t="str">
        <f t="shared" si="6"/>
        <v>100% LTT</v>
      </c>
      <c r="O12" s="35"/>
    </row>
    <row r="13" spans="1:15" ht="19.5" customHeight="1" x14ac:dyDescent="0.3">
      <c r="A13" s="15">
        <f t="shared" si="3"/>
        <v>7</v>
      </c>
      <c r="B13" s="16" t="s">
        <v>54</v>
      </c>
      <c r="C13" s="15" t="s">
        <v>19</v>
      </c>
      <c r="D13" s="15"/>
      <c r="E13" s="15"/>
      <c r="F13" s="15"/>
      <c r="G13" s="15">
        <f t="shared" si="0"/>
        <v>0</v>
      </c>
      <c r="H13" s="15">
        <f t="shared" si="0"/>
        <v>0</v>
      </c>
      <c r="I13" s="15">
        <f t="shared" si="1"/>
        <v>0</v>
      </c>
      <c r="J13" s="15">
        <f t="shared" si="4"/>
        <v>0</v>
      </c>
      <c r="K13" s="15"/>
      <c r="L13" s="15">
        <f t="shared" si="2"/>
        <v>100</v>
      </c>
      <c r="M13" s="15" t="str">
        <f t="shared" si="5"/>
        <v>A</v>
      </c>
      <c r="N13" s="15" t="str">
        <f t="shared" si="6"/>
        <v>100% LTT</v>
      </c>
      <c r="O13" s="35"/>
    </row>
    <row r="14" spans="1:15" ht="19.5" customHeight="1" x14ac:dyDescent="0.3">
      <c r="A14" s="15">
        <f t="shared" si="3"/>
        <v>8</v>
      </c>
      <c r="B14" s="18" t="s">
        <v>11</v>
      </c>
      <c r="C14" s="17" t="s">
        <v>51</v>
      </c>
      <c r="D14" s="17">
        <v>4</v>
      </c>
      <c r="E14" s="17"/>
      <c r="F14" s="17"/>
      <c r="G14" s="17">
        <f t="shared" si="0"/>
        <v>0</v>
      </c>
      <c r="H14" s="17">
        <f t="shared" si="0"/>
        <v>0</v>
      </c>
      <c r="I14" s="17">
        <f t="shared" si="1"/>
        <v>0</v>
      </c>
      <c r="J14" s="17">
        <f t="shared" si="4"/>
        <v>0</v>
      </c>
      <c r="K14" s="17">
        <v>1</v>
      </c>
      <c r="L14" s="15">
        <f t="shared" si="2"/>
        <v>99</v>
      </c>
      <c r="M14" s="17" t="str">
        <f t="shared" si="5"/>
        <v>A</v>
      </c>
      <c r="N14" s="17" t="str">
        <f t="shared" si="6"/>
        <v>100% LTT</v>
      </c>
      <c r="O14" s="35"/>
    </row>
    <row r="15" spans="1:15" ht="19.5" customHeight="1" x14ac:dyDescent="0.3">
      <c r="A15" s="184" t="s">
        <v>16</v>
      </c>
      <c r="B15" s="184"/>
      <c r="C15" s="18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5" ht="19.5" customHeight="1" x14ac:dyDescent="0.3">
      <c r="A16" s="17">
        <f>A14+1</f>
        <v>9</v>
      </c>
      <c r="B16" s="18" t="s">
        <v>28</v>
      </c>
      <c r="C16" s="17" t="s">
        <v>121</v>
      </c>
      <c r="D16" s="4"/>
      <c r="E16" s="17"/>
      <c r="F16" s="17"/>
      <c r="G16" s="17">
        <f t="shared" ref="G16:H16" si="7">IF(D16&gt;5,(D16-5)*2,0)</f>
        <v>0</v>
      </c>
      <c r="H16" s="17">
        <f t="shared" si="7"/>
        <v>0</v>
      </c>
      <c r="I16" s="17">
        <f t="shared" ref="I16" si="8">IF(F16&gt;2,(F16-2)*1,0)</f>
        <v>0</v>
      </c>
      <c r="J16" s="17">
        <f t="shared" ref="J16" si="9">SUM(G16:I16)</f>
        <v>0</v>
      </c>
      <c r="K16" s="17"/>
      <c r="L16" s="17">
        <f>100-J16-K16</f>
        <v>100</v>
      </c>
      <c r="M16" s="17" t="str">
        <f t="shared" ref="M16" si="10">IF(L16&lt;71,"KL",IF(AND(L16&gt;=71,L16&lt;81),"C",IF(AND(L16&gt;=81,L16&lt;91),"B","A")))</f>
        <v>A</v>
      </c>
      <c r="N16" s="17" t="str">
        <f t="shared" ref="N16" si="11">IF(M16="A","100% LTT",IF(M16="B","90% LTT",IF(M16="C","80% LTT","60% LTT")))</f>
        <v>100% LTT</v>
      </c>
    </row>
    <row r="17" spans="1:14" ht="19.5" customHeight="1" x14ac:dyDescent="0.3">
      <c r="A17" s="184" t="s">
        <v>17</v>
      </c>
      <c r="B17" s="184"/>
      <c r="C17" s="18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ht="19.5" customHeight="1" x14ac:dyDescent="0.3">
      <c r="A18" s="15">
        <f>A16+1</f>
        <v>10</v>
      </c>
      <c r="B18" s="16" t="s">
        <v>13</v>
      </c>
      <c r="C18" s="15" t="s">
        <v>101</v>
      </c>
      <c r="D18" s="15"/>
      <c r="E18" s="15"/>
      <c r="F18" s="15"/>
      <c r="G18" s="15">
        <f t="shared" ref="G18:H25" si="12">IF(D18&gt;5,(D18-5)*2,0)</f>
        <v>0</v>
      </c>
      <c r="H18" s="15">
        <f t="shared" si="12"/>
        <v>0</v>
      </c>
      <c r="I18" s="15">
        <f t="shared" ref="I18:I25" si="13">IF(F18&gt;2,(F18-2)*1,0)</f>
        <v>0</v>
      </c>
      <c r="J18" s="15">
        <f t="shared" ref="J18:J25" si="14">SUM(G18:I18)</f>
        <v>0</v>
      </c>
      <c r="K18" s="15">
        <v>3</v>
      </c>
      <c r="L18" s="15">
        <f>100-J18-K18</f>
        <v>97</v>
      </c>
      <c r="M18" s="15" t="str">
        <f t="shared" ref="M18:M25" si="15">IF(L18&lt;71,"KL",IF(AND(L18&gt;=71,L18&lt;81),"C",IF(AND(L18&gt;=81,L18&lt;91),"B","A")))</f>
        <v>A</v>
      </c>
      <c r="N18" s="15" t="str">
        <f>IF(M18="A","100% LTT",IF(M18="B","90% LTT",IF(M18="C","80% LTT","60% LTT")))</f>
        <v>100% LTT</v>
      </c>
    </row>
    <row r="19" spans="1:14" ht="19.5" customHeight="1" x14ac:dyDescent="0.3">
      <c r="A19" s="15">
        <f t="shared" ref="A19:A25" si="16">A18+1</f>
        <v>11</v>
      </c>
      <c r="B19" s="16" t="s">
        <v>14</v>
      </c>
      <c r="C19" s="15" t="s">
        <v>19</v>
      </c>
      <c r="D19" s="15"/>
      <c r="E19" s="15"/>
      <c r="F19" s="15">
        <v>2</v>
      </c>
      <c r="G19" s="15">
        <f t="shared" si="12"/>
        <v>0</v>
      </c>
      <c r="H19" s="15">
        <f t="shared" si="12"/>
        <v>0</v>
      </c>
      <c r="I19" s="15">
        <f t="shared" si="13"/>
        <v>0</v>
      </c>
      <c r="J19" s="15">
        <f t="shared" si="14"/>
        <v>0</v>
      </c>
      <c r="K19" s="15">
        <v>4</v>
      </c>
      <c r="L19" s="15">
        <f t="shared" ref="L19:L25" si="17">100-J19-K19</f>
        <v>96</v>
      </c>
      <c r="M19" s="15" t="str">
        <f t="shared" si="15"/>
        <v>A</v>
      </c>
      <c r="N19" s="15" t="str">
        <f t="shared" ref="N19:N25" si="18">IF(M19="A","100% LTT",IF(M19="B","90% LTT",IF(M19="C","80% LTT","60% LTT")))</f>
        <v>100% LTT</v>
      </c>
    </row>
    <row r="20" spans="1:14" ht="19.5" customHeight="1" x14ac:dyDescent="0.3">
      <c r="A20" s="15">
        <f t="shared" si="16"/>
        <v>12</v>
      </c>
      <c r="B20" s="16" t="s">
        <v>40</v>
      </c>
      <c r="C20" s="15" t="s">
        <v>19</v>
      </c>
      <c r="D20" s="15"/>
      <c r="E20" s="15"/>
      <c r="F20" s="15"/>
      <c r="G20" s="15">
        <f t="shared" si="12"/>
        <v>0</v>
      </c>
      <c r="H20" s="15">
        <f t="shared" si="12"/>
        <v>0</v>
      </c>
      <c r="I20" s="15">
        <f t="shared" si="13"/>
        <v>0</v>
      </c>
      <c r="J20" s="15">
        <f t="shared" si="14"/>
        <v>0</v>
      </c>
      <c r="K20" s="15">
        <v>4</v>
      </c>
      <c r="L20" s="15">
        <f>100-J20-K20</f>
        <v>96</v>
      </c>
      <c r="M20" s="15" t="str">
        <f t="shared" si="15"/>
        <v>A</v>
      </c>
      <c r="N20" s="15" t="str">
        <f t="shared" si="18"/>
        <v>100% LTT</v>
      </c>
    </row>
    <row r="21" spans="1:14" ht="19.5" customHeight="1" x14ac:dyDescent="0.3">
      <c r="A21" s="15">
        <f t="shared" si="16"/>
        <v>13</v>
      </c>
      <c r="B21" s="16" t="s">
        <v>130</v>
      </c>
      <c r="C21" s="15" t="s">
        <v>131</v>
      </c>
      <c r="D21" s="15"/>
      <c r="E21" s="15"/>
      <c r="F21" s="15"/>
      <c r="G21" s="15">
        <f t="shared" si="12"/>
        <v>0</v>
      </c>
      <c r="H21" s="15">
        <f t="shared" si="12"/>
        <v>0</v>
      </c>
      <c r="I21" s="15">
        <f t="shared" si="13"/>
        <v>0</v>
      </c>
      <c r="J21" s="15">
        <f t="shared" si="14"/>
        <v>0</v>
      </c>
      <c r="K21" s="15">
        <v>5</v>
      </c>
      <c r="L21" s="15">
        <f t="shared" ref="L21:L22" si="19">100-J21-K21</f>
        <v>95</v>
      </c>
      <c r="M21" s="15" t="str">
        <f t="shared" si="15"/>
        <v>A</v>
      </c>
      <c r="N21" s="15" t="str">
        <f t="shared" si="18"/>
        <v>100% LTT</v>
      </c>
    </row>
    <row r="22" spans="1:14" ht="19.5" customHeight="1" x14ac:dyDescent="0.3">
      <c r="A22" s="15">
        <f t="shared" si="16"/>
        <v>14</v>
      </c>
      <c r="B22" s="16" t="s">
        <v>98</v>
      </c>
      <c r="C22" s="15" t="s">
        <v>102</v>
      </c>
      <c r="D22" s="15"/>
      <c r="E22" s="15"/>
      <c r="F22" s="15"/>
      <c r="G22" s="15">
        <f t="shared" si="12"/>
        <v>0</v>
      </c>
      <c r="H22" s="15">
        <f t="shared" si="12"/>
        <v>0</v>
      </c>
      <c r="I22" s="15">
        <f t="shared" si="13"/>
        <v>0</v>
      </c>
      <c r="J22" s="15">
        <f t="shared" si="14"/>
        <v>0</v>
      </c>
      <c r="K22" s="15">
        <v>8</v>
      </c>
      <c r="L22" s="15">
        <f t="shared" si="19"/>
        <v>92</v>
      </c>
      <c r="M22" s="15" t="str">
        <f t="shared" si="15"/>
        <v>A</v>
      </c>
      <c r="N22" s="15" t="str">
        <f t="shared" si="18"/>
        <v>100% LTT</v>
      </c>
    </row>
    <row r="23" spans="1:14" ht="19.5" customHeight="1" x14ac:dyDescent="0.3">
      <c r="A23" s="15">
        <f t="shared" si="16"/>
        <v>15</v>
      </c>
      <c r="B23" s="16" t="s">
        <v>99</v>
      </c>
      <c r="C23" s="15" t="s">
        <v>102</v>
      </c>
      <c r="D23" s="15"/>
      <c r="E23" s="15"/>
      <c r="F23" s="15"/>
      <c r="G23" s="15">
        <f t="shared" si="12"/>
        <v>0</v>
      </c>
      <c r="H23" s="15">
        <f t="shared" si="12"/>
        <v>0</v>
      </c>
      <c r="I23" s="15">
        <f t="shared" si="13"/>
        <v>0</v>
      </c>
      <c r="J23" s="15">
        <f t="shared" si="14"/>
        <v>0</v>
      </c>
      <c r="K23" s="15">
        <v>8</v>
      </c>
      <c r="L23" s="15">
        <f t="shared" si="17"/>
        <v>92</v>
      </c>
      <c r="M23" s="15" t="str">
        <f t="shared" si="15"/>
        <v>A</v>
      </c>
      <c r="N23" s="15" t="str">
        <f t="shared" si="18"/>
        <v>100% LTT</v>
      </c>
    </row>
    <row r="24" spans="1:14" ht="19.5" customHeight="1" x14ac:dyDescent="0.3">
      <c r="A24" s="15">
        <f t="shared" si="16"/>
        <v>16</v>
      </c>
      <c r="B24" s="16" t="s">
        <v>100</v>
      </c>
      <c r="C24" s="15" t="s">
        <v>102</v>
      </c>
      <c r="D24" s="15"/>
      <c r="E24" s="15"/>
      <c r="F24" s="15"/>
      <c r="G24" s="15">
        <f t="shared" si="12"/>
        <v>0</v>
      </c>
      <c r="H24" s="15">
        <f t="shared" si="12"/>
        <v>0</v>
      </c>
      <c r="I24" s="15">
        <f t="shared" si="13"/>
        <v>0</v>
      </c>
      <c r="J24" s="15">
        <f t="shared" si="14"/>
        <v>0</v>
      </c>
      <c r="K24" s="15">
        <v>6</v>
      </c>
      <c r="L24" s="15">
        <f t="shared" si="17"/>
        <v>94</v>
      </c>
      <c r="M24" s="15" t="str">
        <f t="shared" si="15"/>
        <v>A</v>
      </c>
      <c r="N24" s="15" t="str">
        <f t="shared" si="18"/>
        <v>100% LTT</v>
      </c>
    </row>
    <row r="25" spans="1:14" ht="19.5" customHeight="1" x14ac:dyDescent="0.3">
      <c r="A25" s="15">
        <f t="shared" si="16"/>
        <v>17</v>
      </c>
      <c r="B25" s="18" t="s">
        <v>116</v>
      </c>
      <c r="C25" s="17" t="s">
        <v>107</v>
      </c>
      <c r="D25" s="17"/>
      <c r="E25" s="17"/>
      <c r="F25" s="17"/>
      <c r="G25" s="15">
        <f t="shared" si="12"/>
        <v>0</v>
      </c>
      <c r="H25" s="15">
        <f t="shared" si="12"/>
        <v>0</v>
      </c>
      <c r="I25" s="15">
        <f t="shared" si="13"/>
        <v>0</v>
      </c>
      <c r="J25" s="15">
        <f t="shared" si="14"/>
        <v>0</v>
      </c>
      <c r="K25" s="17">
        <v>8</v>
      </c>
      <c r="L25" s="15">
        <f t="shared" si="17"/>
        <v>92</v>
      </c>
      <c r="M25" s="15" t="str">
        <f t="shared" si="15"/>
        <v>A</v>
      </c>
      <c r="N25" s="17" t="str">
        <f t="shared" si="18"/>
        <v>100% LTT</v>
      </c>
    </row>
    <row r="26" spans="1:14" ht="22.5" customHeight="1" x14ac:dyDescent="0.3">
      <c r="A26" s="180" t="s">
        <v>60</v>
      </c>
      <c r="B26" s="180"/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0"/>
      <c r="N26" s="180"/>
    </row>
    <row r="27" spans="1:14" ht="22.5" customHeight="1" x14ac:dyDescent="0.3">
      <c r="J27" s="185" t="s">
        <v>144</v>
      </c>
      <c r="K27" s="185"/>
      <c r="L27" s="185"/>
      <c r="M27" s="185"/>
      <c r="N27" s="185"/>
    </row>
    <row r="28" spans="1:14" ht="22.5" customHeight="1" x14ac:dyDescent="0.3">
      <c r="B28" s="178" t="s">
        <v>22</v>
      </c>
      <c r="C28" s="178"/>
      <c r="D28" s="178"/>
      <c r="L28" s="178" t="s">
        <v>25</v>
      </c>
      <c r="M28" s="178"/>
      <c r="N28" s="178"/>
    </row>
    <row r="29" spans="1:14" ht="22.5" customHeight="1" x14ac:dyDescent="0.3">
      <c r="L29" s="125"/>
      <c r="M29" s="125"/>
    </row>
    <row r="30" spans="1:14" ht="22.5" customHeight="1" x14ac:dyDescent="0.3">
      <c r="L30" s="125"/>
      <c r="M30" s="125"/>
    </row>
    <row r="31" spans="1:14" ht="22.5" customHeight="1" x14ac:dyDescent="0.3">
      <c r="L31" s="125"/>
      <c r="M31" s="125"/>
    </row>
    <row r="32" spans="1:14" ht="22.5" customHeight="1" x14ac:dyDescent="0.3">
      <c r="B32" s="178" t="s">
        <v>28</v>
      </c>
      <c r="C32" s="178"/>
      <c r="D32" s="178"/>
      <c r="L32" s="178" t="s">
        <v>27</v>
      </c>
      <c r="M32" s="178"/>
      <c r="N32" s="178"/>
    </row>
    <row r="33" spans="3:4" ht="22.5" customHeight="1" x14ac:dyDescent="0.3">
      <c r="C33" s="1"/>
      <c r="D33" s="1"/>
    </row>
  </sheetData>
  <mergeCells count="25">
    <mergeCell ref="B32:D32"/>
    <mergeCell ref="L32:N32"/>
    <mergeCell ref="A6:C6"/>
    <mergeCell ref="A15:C15"/>
    <mergeCell ref="A17:C17"/>
    <mergeCell ref="A26:N26"/>
    <mergeCell ref="J27:N27"/>
    <mergeCell ref="B28:D28"/>
    <mergeCell ref="L28:N28"/>
    <mergeCell ref="O4:O5"/>
    <mergeCell ref="A1:N1"/>
    <mergeCell ref="A2:N2"/>
    <mergeCell ref="A3:N3"/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L4:L5"/>
    <mergeCell ref="M4:M5"/>
    <mergeCell ref="N4:N5"/>
  </mergeCells>
  <pageMargins left="0.26" right="0.2" top="0.39" bottom="0.28999999999999998" header="0.3" footer="0.3"/>
  <pageSetup scale="70" orientation="landscape" verticalDpi="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sqref="A1:XFD1048576"/>
    </sheetView>
  </sheetViews>
  <sheetFormatPr defaultColWidth="9.109375" defaultRowHeight="16.8" x14ac:dyDescent="0.3"/>
  <cols>
    <col min="1" max="1" width="6.109375" style="2" customWidth="1"/>
    <col min="2" max="2" width="27.5546875" style="1" customWidth="1"/>
    <col min="3" max="3" width="22" style="2" customWidth="1"/>
    <col min="4" max="6" width="11.33203125" style="2" customWidth="1"/>
    <col min="7" max="9" width="12.33203125" style="2" customWidth="1"/>
    <col min="10" max="10" width="12.44140625" style="2" customWidth="1"/>
    <col min="11" max="11" width="11.33203125" style="2" customWidth="1"/>
    <col min="12" max="12" width="12.109375" style="2" customWidth="1"/>
    <col min="13" max="13" width="9.44140625" style="2" customWidth="1"/>
    <col min="14" max="14" width="15" style="2" customWidth="1"/>
    <col min="15" max="15" width="53.88671875" style="2" customWidth="1"/>
    <col min="16" max="16384" width="9.109375" style="1"/>
  </cols>
  <sheetData>
    <row r="1" spans="1:15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5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</row>
    <row r="3" spans="1:15" ht="22.5" customHeight="1" x14ac:dyDescent="0.3">
      <c r="A3" s="179" t="s">
        <v>149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</row>
    <row r="4" spans="1:15" s="3" customFormat="1" ht="22.5" customHeight="1" x14ac:dyDescent="0.3">
      <c r="A4" s="180" t="s">
        <v>0</v>
      </c>
      <c r="B4" s="180" t="s">
        <v>1</v>
      </c>
      <c r="C4" s="180" t="s">
        <v>2</v>
      </c>
      <c r="D4" s="180" t="s">
        <v>23</v>
      </c>
      <c r="E4" s="180"/>
      <c r="F4" s="180"/>
      <c r="G4" s="181" t="s">
        <v>29</v>
      </c>
      <c r="H4" s="181" t="s">
        <v>30</v>
      </c>
      <c r="I4" s="181" t="s">
        <v>31</v>
      </c>
      <c r="J4" s="181" t="s">
        <v>96</v>
      </c>
      <c r="K4" s="181" t="s">
        <v>97</v>
      </c>
      <c r="L4" s="180" t="s">
        <v>6</v>
      </c>
      <c r="M4" s="180" t="s">
        <v>7</v>
      </c>
      <c r="N4" s="180" t="s">
        <v>8</v>
      </c>
      <c r="O4" s="183"/>
    </row>
    <row r="5" spans="1:15" s="3" customFormat="1" ht="49.8" customHeight="1" x14ac:dyDescent="0.3">
      <c r="A5" s="180"/>
      <c r="B5" s="180"/>
      <c r="C5" s="180"/>
      <c r="D5" s="128" t="s">
        <v>3</v>
      </c>
      <c r="E5" s="128" t="s">
        <v>4</v>
      </c>
      <c r="F5" s="128" t="s">
        <v>5</v>
      </c>
      <c r="G5" s="182"/>
      <c r="H5" s="182"/>
      <c r="I5" s="182"/>
      <c r="J5" s="182"/>
      <c r="K5" s="182"/>
      <c r="L5" s="180"/>
      <c r="M5" s="180"/>
      <c r="N5" s="180"/>
      <c r="O5" s="183"/>
    </row>
    <row r="6" spans="1:15" ht="19.5" customHeight="1" x14ac:dyDescent="0.3">
      <c r="A6" s="184" t="s">
        <v>15</v>
      </c>
      <c r="B6" s="184"/>
      <c r="C6" s="18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5" ht="19.5" customHeight="1" x14ac:dyDescent="0.3">
      <c r="A7" s="15">
        <v>1</v>
      </c>
      <c r="B7" s="16" t="s">
        <v>49</v>
      </c>
      <c r="C7" s="15" t="s">
        <v>19</v>
      </c>
      <c r="D7" s="15">
        <v>1</v>
      </c>
      <c r="E7" s="15"/>
      <c r="F7" s="15"/>
      <c r="G7" s="15">
        <f t="shared" ref="G7:H14" si="0">IF(D7&gt;5,(D7-5)*2,0)</f>
        <v>0</v>
      </c>
      <c r="H7" s="15">
        <f t="shared" si="0"/>
        <v>0</v>
      </c>
      <c r="I7" s="15">
        <f t="shared" ref="I7:I14" si="1">IF(F7&gt;2,(F7-2)*1,0)</f>
        <v>0</v>
      </c>
      <c r="J7" s="15">
        <f>SUM(G7:I7)</f>
        <v>0</v>
      </c>
      <c r="K7" s="15">
        <v>2</v>
      </c>
      <c r="L7" s="15">
        <f t="shared" ref="L7:L14" si="2">100-J7-K7</f>
        <v>98</v>
      </c>
      <c r="M7" s="15" t="str">
        <f>IF(L7&lt;71,"KL",IF(AND(L7&gt;=71,L7&lt;81),"C",IF(AND(L7&gt;=81,L7&lt;91),"B","A")))</f>
        <v>A</v>
      </c>
      <c r="N7" s="15" t="str">
        <f>IF(M7="A","100% LTT",IF(M7="B","90% LTT",IF(M7="C","80% LTT","60% LTT")))</f>
        <v>100% LTT</v>
      </c>
      <c r="O7" s="11" t="s">
        <v>33</v>
      </c>
    </row>
    <row r="8" spans="1:15" ht="19.5" customHeight="1" x14ac:dyDescent="0.3">
      <c r="A8" s="15">
        <f t="shared" ref="A8:A14" si="3">A7+1</f>
        <v>2</v>
      </c>
      <c r="B8" s="16" t="s">
        <v>52</v>
      </c>
      <c r="C8" s="15" t="s">
        <v>19</v>
      </c>
      <c r="D8" s="15"/>
      <c r="E8" s="15"/>
      <c r="F8" s="15"/>
      <c r="G8" s="15">
        <f t="shared" si="0"/>
        <v>0</v>
      </c>
      <c r="H8" s="15">
        <f t="shared" si="0"/>
        <v>0</v>
      </c>
      <c r="I8" s="15">
        <f t="shared" si="1"/>
        <v>0</v>
      </c>
      <c r="J8" s="15">
        <f t="shared" ref="J8:J14" si="4">SUM(G8:I8)</f>
        <v>0</v>
      </c>
      <c r="K8" s="15"/>
      <c r="L8" s="15">
        <f t="shared" si="2"/>
        <v>100</v>
      </c>
      <c r="M8" s="15" t="str">
        <f t="shared" ref="M8:M14" si="5">IF(L8&lt;71,"KL",IF(AND(L8&gt;=71,L8&lt;81),"C",IF(AND(L8&gt;=81,L8&lt;91),"B","A")))</f>
        <v>A</v>
      </c>
      <c r="N8" s="15" t="str">
        <f t="shared" ref="N8:N14" si="6">IF(M8="A","100% LTT",IF(M8="B","90% LTT",IF(M8="C","80% LTT","60% LTT")))</f>
        <v>100% LTT</v>
      </c>
      <c r="O8" s="34"/>
    </row>
    <row r="9" spans="1:15" ht="19.5" customHeight="1" x14ac:dyDescent="0.3">
      <c r="A9" s="15">
        <f t="shared" si="3"/>
        <v>3</v>
      </c>
      <c r="B9" s="16" t="s">
        <v>57</v>
      </c>
      <c r="C9" s="15" t="s">
        <v>19</v>
      </c>
      <c r="D9" s="15"/>
      <c r="E9" s="15"/>
      <c r="F9" s="15"/>
      <c r="G9" s="15">
        <f t="shared" si="0"/>
        <v>0</v>
      </c>
      <c r="H9" s="15">
        <f t="shared" si="0"/>
        <v>0</v>
      </c>
      <c r="I9" s="15">
        <f t="shared" si="1"/>
        <v>0</v>
      </c>
      <c r="J9" s="15">
        <f t="shared" si="4"/>
        <v>0</v>
      </c>
      <c r="K9" s="15"/>
      <c r="L9" s="15">
        <f t="shared" si="2"/>
        <v>100</v>
      </c>
      <c r="M9" s="15" t="str">
        <f t="shared" si="5"/>
        <v>A</v>
      </c>
      <c r="N9" s="15" t="str">
        <f t="shared" si="6"/>
        <v>100% LTT</v>
      </c>
      <c r="O9" s="35"/>
    </row>
    <row r="10" spans="1:15" ht="19.5" customHeight="1" x14ac:dyDescent="0.3">
      <c r="A10" s="15">
        <f t="shared" si="3"/>
        <v>4</v>
      </c>
      <c r="B10" s="16" t="s">
        <v>58</v>
      </c>
      <c r="C10" s="15" t="s">
        <v>19</v>
      </c>
      <c r="D10" s="15"/>
      <c r="E10" s="15"/>
      <c r="F10" s="15"/>
      <c r="G10" s="15">
        <f t="shared" si="0"/>
        <v>0</v>
      </c>
      <c r="H10" s="15">
        <f t="shared" si="0"/>
        <v>0</v>
      </c>
      <c r="I10" s="15">
        <f t="shared" si="1"/>
        <v>0</v>
      </c>
      <c r="J10" s="15">
        <f t="shared" si="4"/>
        <v>0</v>
      </c>
      <c r="K10" s="15"/>
      <c r="L10" s="15">
        <f t="shared" si="2"/>
        <v>100</v>
      </c>
      <c r="M10" s="15" t="str">
        <f t="shared" si="5"/>
        <v>A</v>
      </c>
      <c r="N10" s="15" t="str">
        <f t="shared" si="6"/>
        <v>100% LTT</v>
      </c>
      <c r="O10" s="35"/>
    </row>
    <row r="11" spans="1:15" ht="19.5" customHeight="1" x14ac:dyDescent="0.3">
      <c r="A11" s="15">
        <f t="shared" si="3"/>
        <v>5</v>
      </c>
      <c r="B11" s="16" t="s">
        <v>59</v>
      </c>
      <c r="C11" s="15" t="s">
        <v>19</v>
      </c>
      <c r="D11" s="15"/>
      <c r="E11" s="15"/>
      <c r="F11" s="15"/>
      <c r="G11" s="15">
        <f t="shared" si="0"/>
        <v>0</v>
      </c>
      <c r="H11" s="15">
        <f t="shared" si="0"/>
        <v>0</v>
      </c>
      <c r="I11" s="15">
        <f t="shared" si="1"/>
        <v>0</v>
      </c>
      <c r="J11" s="15">
        <f t="shared" si="4"/>
        <v>0</v>
      </c>
      <c r="K11" s="15"/>
      <c r="L11" s="15">
        <f t="shared" si="2"/>
        <v>100</v>
      </c>
      <c r="M11" s="15" t="str">
        <f t="shared" si="5"/>
        <v>A</v>
      </c>
      <c r="N11" s="15" t="str">
        <f t="shared" si="6"/>
        <v>100% LTT</v>
      </c>
      <c r="O11" s="35"/>
    </row>
    <row r="12" spans="1:15" ht="19.5" customHeight="1" x14ac:dyDescent="0.3">
      <c r="A12" s="15">
        <f t="shared" si="3"/>
        <v>6</v>
      </c>
      <c r="B12" s="16" t="s">
        <v>53</v>
      </c>
      <c r="C12" s="15" t="s">
        <v>19</v>
      </c>
      <c r="D12" s="15"/>
      <c r="E12" s="15"/>
      <c r="F12" s="15"/>
      <c r="G12" s="15">
        <f t="shared" si="0"/>
        <v>0</v>
      </c>
      <c r="H12" s="15">
        <f t="shared" si="0"/>
        <v>0</v>
      </c>
      <c r="I12" s="15">
        <f t="shared" si="1"/>
        <v>0</v>
      </c>
      <c r="J12" s="15">
        <f t="shared" si="4"/>
        <v>0</v>
      </c>
      <c r="K12" s="15"/>
      <c r="L12" s="15">
        <f t="shared" si="2"/>
        <v>100</v>
      </c>
      <c r="M12" s="15" t="str">
        <f t="shared" si="5"/>
        <v>A</v>
      </c>
      <c r="N12" s="15" t="str">
        <f t="shared" si="6"/>
        <v>100% LTT</v>
      </c>
      <c r="O12" s="35"/>
    </row>
    <row r="13" spans="1:15" ht="19.5" customHeight="1" x14ac:dyDescent="0.3">
      <c r="A13" s="15">
        <f t="shared" si="3"/>
        <v>7</v>
      </c>
      <c r="B13" s="16" t="s">
        <v>54</v>
      </c>
      <c r="C13" s="15" t="s">
        <v>19</v>
      </c>
      <c r="D13" s="15"/>
      <c r="E13" s="15"/>
      <c r="F13" s="15"/>
      <c r="G13" s="15">
        <f t="shared" si="0"/>
        <v>0</v>
      </c>
      <c r="H13" s="15">
        <f t="shared" si="0"/>
        <v>0</v>
      </c>
      <c r="I13" s="15">
        <f t="shared" si="1"/>
        <v>0</v>
      </c>
      <c r="J13" s="15">
        <f t="shared" si="4"/>
        <v>0</v>
      </c>
      <c r="K13" s="15"/>
      <c r="L13" s="15">
        <f t="shared" si="2"/>
        <v>100</v>
      </c>
      <c r="M13" s="15" t="str">
        <f t="shared" si="5"/>
        <v>A</v>
      </c>
      <c r="N13" s="15" t="str">
        <f t="shared" si="6"/>
        <v>100% LTT</v>
      </c>
      <c r="O13" s="35"/>
    </row>
    <row r="14" spans="1:15" ht="19.5" customHeight="1" x14ac:dyDescent="0.3">
      <c r="A14" s="15">
        <f t="shared" si="3"/>
        <v>8</v>
      </c>
      <c r="B14" s="18" t="s">
        <v>11</v>
      </c>
      <c r="C14" s="17" t="s">
        <v>51</v>
      </c>
      <c r="D14" s="17">
        <v>1</v>
      </c>
      <c r="E14" s="17"/>
      <c r="F14" s="17"/>
      <c r="G14" s="17">
        <f t="shared" si="0"/>
        <v>0</v>
      </c>
      <c r="H14" s="17">
        <f t="shared" si="0"/>
        <v>0</v>
      </c>
      <c r="I14" s="17">
        <f t="shared" si="1"/>
        <v>0</v>
      </c>
      <c r="J14" s="17">
        <f t="shared" si="4"/>
        <v>0</v>
      </c>
      <c r="K14" s="17">
        <v>1</v>
      </c>
      <c r="L14" s="15">
        <f t="shared" si="2"/>
        <v>99</v>
      </c>
      <c r="M14" s="17" t="str">
        <f t="shared" si="5"/>
        <v>A</v>
      </c>
      <c r="N14" s="17" t="str">
        <f t="shared" si="6"/>
        <v>100% LTT</v>
      </c>
      <c r="O14" s="35"/>
    </row>
    <row r="15" spans="1:15" ht="19.5" customHeight="1" x14ac:dyDescent="0.3">
      <c r="A15" s="184" t="s">
        <v>16</v>
      </c>
      <c r="B15" s="184"/>
      <c r="C15" s="18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5" ht="19.5" customHeight="1" x14ac:dyDescent="0.3">
      <c r="A16" s="17">
        <f>A14+1</f>
        <v>9</v>
      </c>
      <c r="B16" s="18" t="s">
        <v>28</v>
      </c>
      <c r="C16" s="17" t="s">
        <v>121</v>
      </c>
      <c r="D16" s="4"/>
      <c r="E16" s="17"/>
      <c r="F16" s="17">
        <v>2</v>
      </c>
      <c r="G16" s="17">
        <f t="shared" ref="G16:H16" si="7">IF(D16&gt;5,(D16-5)*2,0)</f>
        <v>0</v>
      </c>
      <c r="H16" s="17">
        <f t="shared" si="7"/>
        <v>0</v>
      </c>
      <c r="I16" s="17">
        <f t="shared" ref="I16" si="8">IF(F16&gt;2,(F16-2)*1,0)</f>
        <v>0</v>
      </c>
      <c r="J16" s="17">
        <f t="shared" ref="J16" si="9">SUM(G16:I16)</f>
        <v>0</v>
      </c>
      <c r="K16" s="17"/>
      <c r="L16" s="17">
        <f>100-J16-K16</f>
        <v>100</v>
      </c>
      <c r="M16" s="17" t="str">
        <f t="shared" ref="M16" si="10">IF(L16&lt;71,"KL",IF(AND(L16&gt;=71,L16&lt;81),"C",IF(AND(L16&gt;=81,L16&lt;91),"B","A")))</f>
        <v>A</v>
      </c>
      <c r="N16" s="17" t="str">
        <f t="shared" ref="N16" si="11">IF(M16="A","100% LTT",IF(M16="B","90% LTT",IF(M16="C","80% LTT","60% LTT")))</f>
        <v>100% LTT</v>
      </c>
    </row>
    <row r="17" spans="1:14" ht="19.5" customHeight="1" x14ac:dyDescent="0.3">
      <c r="A17" s="184" t="s">
        <v>17</v>
      </c>
      <c r="B17" s="184"/>
      <c r="C17" s="18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ht="19.5" customHeight="1" x14ac:dyDescent="0.3">
      <c r="A18" s="15">
        <f>A16+1</f>
        <v>10</v>
      </c>
      <c r="B18" s="16" t="s">
        <v>13</v>
      </c>
      <c r="C18" s="15" t="s">
        <v>101</v>
      </c>
      <c r="D18" s="15"/>
      <c r="E18" s="15"/>
      <c r="F18" s="15"/>
      <c r="G18" s="15">
        <f t="shared" ref="G18:H25" si="12">IF(D18&gt;5,(D18-5)*2,0)</f>
        <v>0</v>
      </c>
      <c r="H18" s="15">
        <f t="shared" si="12"/>
        <v>0</v>
      </c>
      <c r="I18" s="15">
        <f t="shared" ref="I18:I25" si="13">IF(F18&gt;2,(F18-2)*1,0)</f>
        <v>0</v>
      </c>
      <c r="J18" s="15">
        <f t="shared" ref="J18:J25" si="14">SUM(G18:I18)</f>
        <v>0</v>
      </c>
      <c r="K18" s="15"/>
      <c r="L18" s="15">
        <f>100-J18-K18</f>
        <v>100</v>
      </c>
      <c r="M18" s="15" t="str">
        <f t="shared" ref="M18:M25" si="15">IF(L18&lt;71,"KL",IF(AND(L18&gt;=71,L18&lt;81),"C",IF(AND(L18&gt;=81,L18&lt;91),"B","A")))</f>
        <v>A</v>
      </c>
      <c r="N18" s="15" t="str">
        <f>IF(M18="A","100% LTT",IF(M18="B","90% LTT",IF(M18="C","80% LTT","60% LTT")))</f>
        <v>100% LTT</v>
      </c>
    </row>
    <row r="19" spans="1:14" ht="19.5" customHeight="1" x14ac:dyDescent="0.3">
      <c r="A19" s="15">
        <f t="shared" ref="A19:A25" si="16">A18+1</f>
        <v>11</v>
      </c>
      <c r="B19" s="16" t="s">
        <v>14</v>
      </c>
      <c r="C19" s="15" t="s">
        <v>19</v>
      </c>
      <c r="D19" s="15">
        <v>6</v>
      </c>
      <c r="E19" s="15"/>
      <c r="F19" s="15">
        <v>1</v>
      </c>
      <c r="G19" s="15">
        <f t="shared" si="12"/>
        <v>2</v>
      </c>
      <c r="H19" s="15">
        <f t="shared" si="12"/>
        <v>0</v>
      </c>
      <c r="I19" s="15">
        <f t="shared" si="13"/>
        <v>0</v>
      </c>
      <c r="J19" s="15">
        <f t="shared" si="14"/>
        <v>2</v>
      </c>
      <c r="K19" s="15">
        <v>3</v>
      </c>
      <c r="L19" s="15">
        <f t="shared" ref="L19:L25" si="17">100-J19-K19</f>
        <v>95</v>
      </c>
      <c r="M19" s="15" t="str">
        <f t="shared" si="15"/>
        <v>A</v>
      </c>
      <c r="N19" s="15" t="str">
        <f t="shared" ref="N19:N25" si="18">IF(M19="A","100% LTT",IF(M19="B","90% LTT",IF(M19="C","80% LTT","60% LTT")))</f>
        <v>100% LTT</v>
      </c>
    </row>
    <row r="20" spans="1:14" ht="19.5" customHeight="1" x14ac:dyDescent="0.3">
      <c r="A20" s="15">
        <f t="shared" si="16"/>
        <v>12</v>
      </c>
      <c r="B20" s="16" t="s">
        <v>40</v>
      </c>
      <c r="C20" s="15" t="s">
        <v>19</v>
      </c>
      <c r="D20" s="15"/>
      <c r="E20" s="15"/>
      <c r="F20" s="15"/>
      <c r="G20" s="15">
        <f t="shared" si="12"/>
        <v>0</v>
      </c>
      <c r="H20" s="15">
        <f t="shared" si="12"/>
        <v>0</v>
      </c>
      <c r="I20" s="15">
        <f t="shared" si="13"/>
        <v>0</v>
      </c>
      <c r="J20" s="15">
        <f t="shared" si="14"/>
        <v>0</v>
      </c>
      <c r="K20" s="15">
        <v>4</v>
      </c>
      <c r="L20" s="15">
        <f>100-J20-K20</f>
        <v>96</v>
      </c>
      <c r="M20" s="15" t="str">
        <f t="shared" si="15"/>
        <v>A</v>
      </c>
      <c r="N20" s="15" t="str">
        <f t="shared" si="18"/>
        <v>100% LTT</v>
      </c>
    </row>
    <row r="21" spans="1:14" ht="19.5" customHeight="1" x14ac:dyDescent="0.3">
      <c r="A21" s="15">
        <f t="shared" si="16"/>
        <v>13</v>
      </c>
      <c r="B21" s="16" t="s">
        <v>130</v>
      </c>
      <c r="C21" s="15" t="s">
        <v>131</v>
      </c>
      <c r="D21" s="15"/>
      <c r="E21" s="15"/>
      <c r="F21" s="15"/>
      <c r="G21" s="15">
        <f t="shared" si="12"/>
        <v>0</v>
      </c>
      <c r="H21" s="15">
        <f t="shared" si="12"/>
        <v>0</v>
      </c>
      <c r="I21" s="15">
        <f t="shared" si="13"/>
        <v>0</v>
      </c>
      <c r="J21" s="15">
        <f t="shared" si="14"/>
        <v>0</v>
      </c>
      <c r="K21" s="15">
        <v>5</v>
      </c>
      <c r="L21" s="15">
        <f t="shared" ref="L21:L22" si="19">100-J21-K21</f>
        <v>95</v>
      </c>
      <c r="M21" s="15" t="str">
        <f t="shared" si="15"/>
        <v>A</v>
      </c>
      <c r="N21" s="15" t="str">
        <f t="shared" si="18"/>
        <v>100% LTT</v>
      </c>
    </row>
    <row r="22" spans="1:14" ht="19.5" customHeight="1" x14ac:dyDescent="0.3">
      <c r="A22" s="15">
        <f t="shared" si="16"/>
        <v>14</v>
      </c>
      <c r="B22" s="16" t="s">
        <v>98</v>
      </c>
      <c r="C22" s="15" t="s">
        <v>102</v>
      </c>
      <c r="D22" s="15"/>
      <c r="E22" s="15"/>
      <c r="F22" s="15"/>
      <c r="G22" s="15">
        <f t="shared" si="12"/>
        <v>0</v>
      </c>
      <c r="H22" s="15">
        <f t="shared" si="12"/>
        <v>0</v>
      </c>
      <c r="I22" s="15">
        <f t="shared" si="13"/>
        <v>0</v>
      </c>
      <c r="J22" s="15">
        <f t="shared" si="14"/>
        <v>0</v>
      </c>
      <c r="K22" s="15">
        <v>8</v>
      </c>
      <c r="L22" s="15">
        <f t="shared" si="19"/>
        <v>92</v>
      </c>
      <c r="M22" s="15" t="str">
        <f t="shared" si="15"/>
        <v>A</v>
      </c>
      <c r="N22" s="15" t="str">
        <f t="shared" si="18"/>
        <v>100% LTT</v>
      </c>
    </row>
    <row r="23" spans="1:14" ht="19.5" customHeight="1" x14ac:dyDescent="0.3">
      <c r="A23" s="15">
        <f t="shared" si="16"/>
        <v>15</v>
      </c>
      <c r="B23" s="16" t="s">
        <v>99</v>
      </c>
      <c r="C23" s="15" t="s">
        <v>102</v>
      </c>
      <c r="D23" s="15"/>
      <c r="E23" s="15"/>
      <c r="F23" s="15"/>
      <c r="G23" s="15">
        <f t="shared" si="12"/>
        <v>0</v>
      </c>
      <c r="H23" s="15">
        <f t="shared" si="12"/>
        <v>0</v>
      </c>
      <c r="I23" s="15">
        <f t="shared" si="13"/>
        <v>0</v>
      </c>
      <c r="J23" s="15">
        <f t="shared" si="14"/>
        <v>0</v>
      </c>
      <c r="K23" s="15">
        <v>6</v>
      </c>
      <c r="L23" s="15">
        <f t="shared" si="17"/>
        <v>94</v>
      </c>
      <c r="M23" s="15" t="str">
        <f t="shared" si="15"/>
        <v>A</v>
      </c>
      <c r="N23" s="15" t="str">
        <f t="shared" si="18"/>
        <v>100% LTT</v>
      </c>
    </row>
    <row r="24" spans="1:14" ht="19.5" customHeight="1" x14ac:dyDescent="0.3">
      <c r="A24" s="15">
        <f t="shared" si="16"/>
        <v>16</v>
      </c>
      <c r="B24" s="16" t="s">
        <v>100</v>
      </c>
      <c r="C24" s="15" t="s">
        <v>102</v>
      </c>
      <c r="D24" s="15"/>
      <c r="E24" s="15"/>
      <c r="F24" s="15"/>
      <c r="G24" s="15">
        <f t="shared" si="12"/>
        <v>0</v>
      </c>
      <c r="H24" s="15">
        <f t="shared" si="12"/>
        <v>0</v>
      </c>
      <c r="I24" s="15">
        <f t="shared" si="13"/>
        <v>0</v>
      </c>
      <c r="J24" s="15">
        <f t="shared" si="14"/>
        <v>0</v>
      </c>
      <c r="K24" s="15">
        <v>5</v>
      </c>
      <c r="L24" s="15">
        <f t="shared" si="17"/>
        <v>95</v>
      </c>
      <c r="M24" s="15" t="str">
        <f t="shared" si="15"/>
        <v>A</v>
      </c>
      <c r="N24" s="15" t="str">
        <f t="shared" si="18"/>
        <v>100% LTT</v>
      </c>
    </row>
    <row r="25" spans="1:14" ht="19.5" customHeight="1" x14ac:dyDescent="0.3">
      <c r="A25" s="15">
        <f t="shared" si="16"/>
        <v>17</v>
      </c>
      <c r="B25" s="18" t="s">
        <v>116</v>
      </c>
      <c r="C25" s="17" t="s">
        <v>107</v>
      </c>
      <c r="D25" s="17"/>
      <c r="E25" s="17"/>
      <c r="F25" s="17"/>
      <c r="G25" s="15">
        <f t="shared" si="12"/>
        <v>0</v>
      </c>
      <c r="H25" s="15">
        <f t="shared" si="12"/>
        <v>0</v>
      </c>
      <c r="I25" s="15">
        <f t="shared" si="13"/>
        <v>0</v>
      </c>
      <c r="J25" s="15">
        <f t="shared" si="14"/>
        <v>0</v>
      </c>
      <c r="K25" s="17">
        <v>8</v>
      </c>
      <c r="L25" s="15">
        <f t="shared" si="17"/>
        <v>92</v>
      </c>
      <c r="M25" s="15" t="str">
        <f t="shared" si="15"/>
        <v>A</v>
      </c>
      <c r="N25" s="17" t="str">
        <f t="shared" si="18"/>
        <v>100% LTT</v>
      </c>
    </row>
    <row r="26" spans="1:14" ht="22.5" customHeight="1" x14ac:dyDescent="0.3">
      <c r="A26" s="180" t="s">
        <v>60</v>
      </c>
      <c r="B26" s="180"/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0"/>
      <c r="N26" s="180"/>
    </row>
    <row r="27" spans="1:14" ht="22.5" customHeight="1" x14ac:dyDescent="0.3">
      <c r="J27" s="185" t="s">
        <v>144</v>
      </c>
      <c r="K27" s="185"/>
      <c r="L27" s="185"/>
      <c r="M27" s="185"/>
      <c r="N27" s="185"/>
    </row>
    <row r="28" spans="1:14" ht="22.5" customHeight="1" x14ac:dyDescent="0.3">
      <c r="B28" s="178" t="s">
        <v>22</v>
      </c>
      <c r="C28" s="178"/>
      <c r="D28" s="178"/>
      <c r="L28" s="178" t="s">
        <v>25</v>
      </c>
      <c r="M28" s="178"/>
      <c r="N28" s="178"/>
    </row>
    <row r="29" spans="1:14" ht="22.5" customHeight="1" x14ac:dyDescent="0.3">
      <c r="L29" s="127"/>
      <c r="M29" s="127"/>
    </row>
    <row r="30" spans="1:14" ht="22.5" customHeight="1" x14ac:dyDescent="0.3">
      <c r="L30" s="127"/>
      <c r="M30" s="127"/>
    </row>
    <row r="31" spans="1:14" ht="22.5" customHeight="1" x14ac:dyDescent="0.3">
      <c r="L31" s="127"/>
      <c r="M31" s="127"/>
    </row>
    <row r="32" spans="1:14" ht="22.5" customHeight="1" x14ac:dyDescent="0.3">
      <c r="B32" s="178" t="s">
        <v>28</v>
      </c>
      <c r="C32" s="178"/>
      <c r="D32" s="178"/>
      <c r="L32" s="178" t="s">
        <v>27</v>
      </c>
      <c r="M32" s="178"/>
      <c r="N32" s="178"/>
    </row>
    <row r="33" spans="3:4" ht="22.5" customHeight="1" x14ac:dyDescent="0.3">
      <c r="C33" s="1"/>
      <c r="D33" s="1"/>
    </row>
  </sheetData>
  <mergeCells count="25">
    <mergeCell ref="B32:D32"/>
    <mergeCell ref="L32:N32"/>
    <mergeCell ref="A6:C6"/>
    <mergeCell ref="A15:C15"/>
    <mergeCell ref="A17:C17"/>
    <mergeCell ref="A26:N26"/>
    <mergeCell ref="J27:N27"/>
    <mergeCell ref="B28:D28"/>
    <mergeCell ref="L28:N28"/>
    <mergeCell ref="O4:O5"/>
    <mergeCell ref="A1:N1"/>
    <mergeCell ref="A2:N2"/>
    <mergeCell ref="A3:N3"/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L4:L5"/>
    <mergeCell ref="M4:M5"/>
    <mergeCell ref="N4:N5"/>
  </mergeCells>
  <pageMargins left="0.28999999999999998" right="0.2" top="0.36" bottom="0.21" header="0.3" footer="0.3"/>
  <pageSetup scale="70" orientation="landscape" verticalDpi="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zoomScale="80" zoomScaleNormal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 sqref="A1:XFD1048576"/>
    </sheetView>
  </sheetViews>
  <sheetFormatPr defaultColWidth="9.109375" defaultRowHeight="16.8" x14ac:dyDescent="0.3"/>
  <cols>
    <col min="1" max="1" width="6.109375" style="2" customWidth="1"/>
    <col min="2" max="2" width="27.5546875" style="1" customWidth="1"/>
    <col min="3" max="3" width="22" style="2" customWidth="1"/>
    <col min="4" max="6" width="11.33203125" style="2" customWidth="1"/>
    <col min="7" max="9" width="12.33203125" style="2" customWidth="1"/>
    <col min="10" max="10" width="12.44140625" style="2" customWidth="1"/>
    <col min="11" max="11" width="11.33203125" style="2" customWidth="1"/>
    <col min="12" max="12" width="12.109375" style="2" customWidth="1"/>
    <col min="13" max="13" width="9.44140625" style="2" customWidth="1"/>
    <col min="14" max="14" width="15" style="2" customWidth="1"/>
    <col min="15" max="15" width="53.88671875" style="2" customWidth="1"/>
    <col min="16" max="16384" width="9.109375" style="1"/>
  </cols>
  <sheetData>
    <row r="1" spans="1:15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5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</row>
    <row r="3" spans="1:15" ht="22.5" customHeight="1" x14ac:dyDescent="0.3">
      <c r="A3" s="179" t="s">
        <v>150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</row>
    <row r="4" spans="1:15" s="3" customFormat="1" ht="22.5" customHeight="1" x14ac:dyDescent="0.3">
      <c r="A4" s="180" t="s">
        <v>0</v>
      </c>
      <c r="B4" s="180" t="s">
        <v>1</v>
      </c>
      <c r="C4" s="180" t="s">
        <v>2</v>
      </c>
      <c r="D4" s="180" t="s">
        <v>23</v>
      </c>
      <c r="E4" s="180"/>
      <c r="F4" s="180"/>
      <c r="G4" s="181" t="s">
        <v>29</v>
      </c>
      <c r="H4" s="181" t="s">
        <v>30</v>
      </c>
      <c r="I4" s="181" t="s">
        <v>31</v>
      </c>
      <c r="J4" s="181" t="s">
        <v>96</v>
      </c>
      <c r="K4" s="181" t="s">
        <v>97</v>
      </c>
      <c r="L4" s="180" t="s">
        <v>6</v>
      </c>
      <c r="M4" s="180" t="s">
        <v>7</v>
      </c>
      <c r="N4" s="180" t="s">
        <v>8</v>
      </c>
      <c r="O4" s="183"/>
    </row>
    <row r="5" spans="1:15" s="3" customFormat="1" ht="49.8" customHeight="1" x14ac:dyDescent="0.3">
      <c r="A5" s="180"/>
      <c r="B5" s="180"/>
      <c r="C5" s="180"/>
      <c r="D5" s="130" t="s">
        <v>3</v>
      </c>
      <c r="E5" s="130" t="s">
        <v>4</v>
      </c>
      <c r="F5" s="130" t="s">
        <v>5</v>
      </c>
      <c r="G5" s="182"/>
      <c r="H5" s="182"/>
      <c r="I5" s="182"/>
      <c r="J5" s="182"/>
      <c r="K5" s="182"/>
      <c r="L5" s="180"/>
      <c r="M5" s="180"/>
      <c r="N5" s="180"/>
      <c r="O5" s="183"/>
    </row>
    <row r="6" spans="1:15" ht="19.5" customHeight="1" x14ac:dyDescent="0.3">
      <c r="A6" s="184" t="s">
        <v>15</v>
      </c>
      <c r="B6" s="184"/>
      <c r="C6" s="18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5" ht="19.5" customHeight="1" x14ac:dyDescent="0.3">
      <c r="A7" s="15">
        <v>1</v>
      </c>
      <c r="B7" s="16" t="s">
        <v>49</v>
      </c>
      <c r="C7" s="15" t="s">
        <v>19</v>
      </c>
      <c r="D7" s="15"/>
      <c r="E7" s="15"/>
      <c r="F7" s="15"/>
      <c r="G7" s="15">
        <f t="shared" ref="G7:H13" si="0">IF(D7&gt;5,(D7-5)*2,0)</f>
        <v>0</v>
      </c>
      <c r="H7" s="15">
        <f t="shared" si="0"/>
        <v>0</v>
      </c>
      <c r="I7" s="15">
        <f t="shared" ref="I7:I13" si="1">IF(F7&gt;2,(F7-2)*1,0)</f>
        <v>0</v>
      </c>
      <c r="J7" s="15">
        <f>SUM(G7:I7)</f>
        <v>0</v>
      </c>
      <c r="K7" s="15">
        <v>3</v>
      </c>
      <c r="L7" s="15">
        <f t="shared" ref="L7:L13" si="2">100-J7-K7</f>
        <v>97</v>
      </c>
      <c r="M7" s="15" t="str">
        <f>IF(L7&lt;71,"KL",IF(AND(L7&gt;=71,L7&lt;81),"C",IF(AND(L7&gt;=81,L7&lt;91),"B","A")))</f>
        <v>A</v>
      </c>
      <c r="N7" s="15" t="str">
        <f>IF(M7="A","100% LTT",IF(M7="B","90% LTT",IF(M7="C","80% LTT","60% LTT")))</f>
        <v>100% LTT</v>
      </c>
      <c r="O7" s="11" t="s">
        <v>33</v>
      </c>
    </row>
    <row r="8" spans="1:15" ht="19.5" customHeight="1" x14ac:dyDescent="0.3">
      <c r="A8" s="15">
        <f t="shared" ref="A8:A13" si="3">A7+1</f>
        <v>2</v>
      </c>
      <c r="B8" s="16" t="s">
        <v>52</v>
      </c>
      <c r="C8" s="15" t="s">
        <v>19</v>
      </c>
      <c r="D8" s="15"/>
      <c r="E8" s="15"/>
      <c r="F8" s="15"/>
      <c r="G8" s="15">
        <f t="shared" si="0"/>
        <v>0</v>
      </c>
      <c r="H8" s="15">
        <f t="shared" si="0"/>
        <v>0</v>
      </c>
      <c r="I8" s="15">
        <f t="shared" si="1"/>
        <v>0</v>
      </c>
      <c r="J8" s="15">
        <f t="shared" ref="J8:J13" si="4">SUM(G8:I8)</f>
        <v>0</v>
      </c>
      <c r="K8" s="15"/>
      <c r="L8" s="15">
        <f t="shared" si="2"/>
        <v>100</v>
      </c>
      <c r="M8" s="15" t="str">
        <f t="shared" ref="M8:M13" si="5">IF(L8&lt;71,"KL",IF(AND(L8&gt;=71,L8&lt;81),"C",IF(AND(L8&gt;=81,L8&lt;91),"B","A")))</f>
        <v>A</v>
      </c>
      <c r="N8" s="15" t="str">
        <f t="shared" ref="N8:N13" si="6">IF(M8="A","100% LTT",IF(M8="B","90% LTT",IF(M8="C","80% LTT","60% LTT")))</f>
        <v>100% LTT</v>
      </c>
      <c r="O8" s="34"/>
    </row>
    <row r="9" spans="1:15" ht="19.5" customHeight="1" x14ac:dyDescent="0.3">
      <c r="A9" s="15">
        <f t="shared" si="3"/>
        <v>3</v>
      </c>
      <c r="B9" s="16" t="s">
        <v>57</v>
      </c>
      <c r="C9" s="15" t="s">
        <v>19</v>
      </c>
      <c r="D9" s="15"/>
      <c r="E9" s="15"/>
      <c r="F9" s="15"/>
      <c r="G9" s="15">
        <f t="shared" si="0"/>
        <v>0</v>
      </c>
      <c r="H9" s="15">
        <f t="shared" si="0"/>
        <v>0</v>
      </c>
      <c r="I9" s="15">
        <f t="shared" si="1"/>
        <v>0</v>
      </c>
      <c r="J9" s="15">
        <f t="shared" si="4"/>
        <v>0</v>
      </c>
      <c r="K9" s="15"/>
      <c r="L9" s="15">
        <f t="shared" si="2"/>
        <v>100</v>
      </c>
      <c r="M9" s="15" t="str">
        <f t="shared" si="5"/>
        <v>A</v>
      </c>
      <c r="N9" s="15" t="str">
        <f t="shared" si="6"/>
        <v>100% LTT</v>
      </c>
      <c r="O9" s="35"/>
    </row>
    <row r="10" spans="1:15" ht="19.5" customHeight="1" x14ac:dyDescent="0.3">
      <c r="A10" s="15">
        <f t="shared" si="3"/>
        <v>4</v>
      </c>
      <c r="B10" s="16" t="s">
        <v>59</v>
      </c>
      <c r="C10" s="15" t="s">
        <v>19</v>
      </c>
      <c r="D10" s="15"/>
      <c r="E10" s="15"/>
      <c r="F10" s="15"/>
      <c r="G10" s="15">
        <f t="shared" si="0"/>
        <v>0</v>
      </c>
      <c r="H10" s="15">
        <f t="shared" si="0"/>
        <v>0</v>
      </c>
      <c r="I10" s="15">
        <f t="shared" si="1"/>
        <v>0</v>
      </c>
      <c r="J10" s="15">
        <f t="shared" si="4"/>
        <v>0</v>
      </c>
      <c r="K10" s="15"/>
      <c r="L10" s="15">
        <f t="shared" si="2"/>
        <v>100</v>
      </c>
      <c r="M10" s="15" t="str">
        <f t="shared" si="5"/>
        <v>A</v>
      </c>
      <c r="N10" s="15" t="str">
        <f t="shared" si="6"/>
        <v>100% LTT</v>
      </c>
      <c r="O10" s="35"/>
    </row>
    <row r="11" spans="1:15" ht="19.5" customHeight="1" x14ac:dyDescent="0.3">
      <c r="A11" s="15">
        <f t="shared" si="3"/>
        <v>5</v>
      </c>
      <c r="B11" s="16" t="s">
        <v>53</v>
      </c>
      <c r="C11" s="15" t="s">
        <v>19</v>
      </c>
      <c r="D11" s="15"/>
      <c r="E11" s="15"/>
      <c r="F11" s="15"/>
      <c r="G11" s="15">
        <f t="shared" si="0"/>
        <v>0</v>
      </c>
      <c r="H11" s="15">
        <f t="shared" si="0"/>
        <v>0</v>
      </c>
      <c r="I11" s="15">
        <f t="shared" si="1"/>
        <v>0</v>
      </c>
      <c r="J11" s="15">
        <f t="shared" si="4"/>
        <v>0</v>
      </c>
      <c r="K11" s="15"/>
      <c r="L11" s="15">
        <f t="shared" si="2"/>
        <v>100</v>
      </c>
      <c r="M11" s="15" t="str">
        <f t="shared" si="5"/>
        <v>A</v>
      </c>
      <c r="N11" s="15" t="str">
        <f t="shared" si="6"/>
        <v>100% LTT</v>
      </c>
      <c r="O11" s="35"/>
    </row>
    <row r="12" spans="1:15" ht="19.5" customHeight="1" x14ac:dyDescent="0.3">
      <c r="A12" s="15">
        <f t="shared" si="3"/>
        <v>6</v>
      </c>
      <c r="B12" s="16" t="s">
        <v>54</v>
      </c>
      <c r="C12" s="15" t="s">
        <v>19</v>
      </c>
      <c r="D12" s="15"/>
      <c r="E12" s="15"/>
      <c r="F12" s="15"/>
      <c r="G12" s="15">
        <f t="shared" si="0"/>
        <v>0</v>
      </c>
      <c r="H12" s="15">
        <f t="shared" si="0"/>
        <v>0</v>
      </c>
      <c r="I12" s="15">
        <f t="shared" si="1"/>
        <v>0</v>
      </c>
      <c r="J12" s="15">
        <f t="shared" si="4"/>
        <v>0</v>
      </c>
      <c r="K12" s="15"/>
      <c r="L12" s="15">
        <f t="shared" si="2"/>
        <v>100</v>
      </c>
      <c r="M12" s="15" t="str">
        <f t="shared" si="5"/>
        <v>A</v>
      </c>
      <c r="N12" s="15" t="str">
        <f t="shared" si="6"/>
        <v>100% LTT</v>
      </c>
      <c r="O12" s="35"/>
    </row>
    <row r="13" spans="1:15" ht="19.5" customHeight="1" x14ac:dyDescent="0.3">
      <c r="A13" s="15">
        <f t="shared" si="3"/>
        <v>7</v>
      </c>
      <c r="B13" s="18" t="s">
        <v>11</v>
      </c>
      <c r="C13" s="17" t="s">
        <v>51</v>
      </c>
      <c r="D13" s="17">
        <v>1</v>
      </c>
      <c r="E13" s="17"/>
      <c r="F13" s="17">
        <v>1</v>
      </c>
      <c r="G13" s="17">
        <f t="shared" si="0"/>
        <v>0</v>
      </c>
      <c r="H13" s="17">
        <f t="shared" si="0"/>
        <v>0</v>
      </c>
      <c r="I13" s="17">
        <f t="shared" si="1"/>
        <v>0</v>
      </c>
      <c r="J13" s="17">
        <f t="shared" si="4"/>
        <v>0</v>
      </c>
      <c r="K13" s="17">
        <v>1</v>
      </c>
      <c r="L13" s="15">
        <f t="shared" si="2"/>
        <v>99</v>
      </c>
      <c r="M13" s="17" t="str">
        <f t="shared" si="5"/>
        <v>A</v>
      </c>
      <c r="N13" s="17" t="str">
        <f t="shared" si="6"/>
        <v>100% LTT</v>
      </c>
      <c r="O13" s="35"/>
    </row>
    <row r="14" spans="1:15" ht="19.5" customHeight="1" x14ac:dyDescent="0.3">
      <c r="A14" s="184" t="s">
        <v>16</v>
      </c>
      <c r="B14" s="184"/>
      <c r="C14" s="18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5" ht="19.5" customHeight="1" x14ac:dyDescent="0.3">
      <c r="A15" s="17">
        <f>A13+1</f>
        <v>8</v>
      </c>
      <c r="B15" s="18" t="s">
        <v>28</v>
      </c>
      <c r="C15" s="17" t="s">
        <v>121</v>
      </c>
      <c r="D15" s="4"/>
      <c r="E15" s="17"/>
      <c r="F15" s="17"/>
      <c r="G15" s="17">
        <f t="shared" ref="G15:H15" si="7">IF(D15&gt;5,(D15-5)*2,0)</f>
        <v>0</v>
      </c>
      <c r="H15" s="17">
        <f t="shared" si="7"/>
        <v>0</v>
      </c>
      <c r="I15" s="17">
        <f t="shared" ref="I15" si="8">IF(F15&gt;2,(F15-2)*1,0)</f>
        <v>0</v>
      </c>
      <c r="J15" s="17">
        <f t="shared" ref="J15" si="9">SUM(G15:I15)</f>
        <v>0</v>
      </c>
      <c r="K15" s="17"/>
      <c r="L15" s="17">
        <f>100-J15-K15</f>
        <v>100</v>
      </c>
      <c r="M15" s="17" t="str">
        <f t="shared" ref="M15" si="10">IF(L15&lt;71,"KL",IF(AND(L15&gt;=71,L15&lt;81),"C",IF(AND(L15&gt;=81,L15&lt;91),"B","A")))</f>
        <v>A</v>
      </c>
      <c r="N15" s="17" t="str">
        <f t="shared" ref="N15" si="11">IF(M15="A","100% LTT",IF(M15="B","90% LTT",IF(M15="C","80% LTT","60% LTT")))</f>
        <v>100% LTT</v>
      </c>
    </row>
    <row r="16" spans="1:15" ht="19.5" customHeight="1" x14ac:dyDescent="0.3">
      <c r="A16" s="184" t="s">
        <v>17</v>
      </c>
      <c r="B16" s="184"/>
      <c r="C16" s="18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ht="19.5" customHeight="1" x14ac:dyDescent="0.3">
      <c r="A17" s="15">
        <f>A15+1</f>
        <v>9</v>
      </c>
      <c r="B17" s="16" t="s">
        <v>13</v>
      </c>
      <c r="C17" s="15" t="s">
        <v>101</v>
      </c>
      <c r="D17" s="15"/>
      <c r="E17" s="15"/>
      <c r="F17" s="15"/>
      <c r="G17" s="15">
        <f t="shared" ref="G17:H24" si="12">IF(D17&gt;5,(D17-5)*2,0)</f>
        <v>0</v>
      </c>
      <c r="H17" s="15">
        <f t="shared" si="12"/>
        <v>0</v>
      </c>
      <c r="I17" s="15">
        <f t="shared" ref="I17:I24" si="13">IF(F17&gt;2,(F17-2)*1,0)</f>
        <v>0</v>
      </c>
      <c r="J17" s="15">
        <f t="shared" ref="J17:J24" si="14">SUM(G17:I17)</f>
        <v>0</v>
      </c>
      <c r="K17" s="15"/>
      <c r="L17" s="15">
        <f>100-J17-K17</f>
        <v>100</v>
      </c>
      <c r="M17" s="15" t="str">
        <f t="shared" ref="M17:M24" si="15">IF(L17&lt;71,"KL",IF(AND(L17&gt;=71,L17&lt;81),"C",IF(AND(L17&gt;=81,L17&lt;91),"B","A")))</f>
        <v>A</v>
      </c>
      <c r="N17" s="15" t="str">
        <f>IF(M17="A","100% LTT",IF(M17="B","90% LTT",IF(M17="C","80% LTT","60% LTT")))</f>
        <v>100% LTT</v>
      </c>
    </row>
    <row r="18" spans="1:14" ht="19.5" customHeight="1" x14ac:dyDescent="0.3">
      <c r="A18" s="15">
        <f t="shared" ref="A18:A24" si="16">A17+1</f>
        <v>10</v>
      </c>
      <c r="B18" s="16" t="s">
        <v>14</v>
      </c>
      <c r="C18" s="15" t="s">
        <v>19</v>
      </c>
      <c r="D18" s="15">
        <v>5</v>
      </c>
      <c r="E18" s="15"/>
      <c r="F18" s="15"/>
      <c r="G18" s="15">
        <f t="shared" si="12"/>
        <v>0</v>
      </c>
      <c r="H18" s="15">
        <f t="shared" si="12"/>
        <v>0</v>
      </c>
      <c r="I18" s="15">
        <f t="shared" si="13"/>
        <v>0</v>
      </c>
      <c r="J18" s="15">
        <f t="shared" si="14"/>
        <v>0</v>
      </c>
      <c r="K18" s="15">
        <v>4</v>
      </c>
      <c r="L18" s="15">
        <f t="shared" ref="L18:L24" si="17">100-J18-K18</f>
        <v>96</v>
      </c>
      <c r="M18" s="15" t="str">
        <f t="shared" si="15"/>
        <v>A</v>
      </c>
      <c r="N18" s="15" t="str">
        <f t="shared" ref="N18:N24" si="18">IF(M18="A","100% LTT",IF(M18="B","90% LTT",IF(M18="C","80% LTT","60% LTT")))</f>
        <v>100% LTT</v>
      </c>
    </row>
    <row r="19" spans="1:14" ht="19.5" customHeight="1" x14ac:dyDescent="0.3">
      <c r="A19" s="15">
        <f t="shared" si="16"/>
        <v>11</v>
      </c>
      <c r="B19" s="16" t="s">
        <v>40</v>
      </c>
      <c r="C19" s="15" t="s">
        <v>19</v>
      </c>
      <c r="D19" s="15"/>
      <c r="E19" s="15"/>
      <c r="F19" s="15"/>
      <c r="G19" s="15">
        <f t="shared" si="12"/>
        <v>0</v>
      </c>
      <c r="H19" s="15">
        <f t="shared" si="12"/>
        <v>0</v>
      </c>
      <c r="I19" s="15">
        <f t="shared" si="13"/>
        <v>0</v>
      </c>
      <c r="J19" s="15">
        <f t="shared" si="14"/>
        <v>0</v>
      </c>
      <c r="K19" s="15">
        <v>4</v>
      </c>
      <c r="L19" s="15">
        <f>100-J19-K19</f>
        <v>96</v>
      </c>
      <c r="M19" s="15" t="str">
        <f t="shared" si="15"/>
        <v>A</v>
      </c>
      <c r="N19" s="15" t="str">
        <f t="shared" si="18"/>
        <v>100% LTT</v>
      </c>
    </row>
    <row r="20" spans="1:14" ht="19.5" customHeight="1" x14ac:dyDescent="0.3">
      <c r="A20" s="15">
        <f t="shared" si="16"/>
        <v>12</v>
      </c>
      <c r="B20" s="16" t="s">
        <v>130</v>
      </c>
      <c r="C20" s="15" t="s">
        <v>131</v>
      </c>
      <c r="D20" s="15"/>
      <c r="E20" s="15"/>
      <c r="F20" s="15"/>
      <c r="G20" s="15">
        <f t="shared" si="12"/>
        <v>0</v>
      </c>
      <c r="H20" s="15">
        <f t="shared" si="12"/>
        <v>0</v>
      </c>
      <c r="I20" s="15">
        <f t="shared" si="13"/>
        <v>0</v>
      </c>
      <c r="J20" s="15">
        <f t="shared" si="14"/>
        <v>0</v>
      </c>
      <c r="K20" s="15">
        <v>5</v>
      </c>
      <c r="L20" s="15">
        <f t="shared" ref="L20:L21" si="19">100-J20-K20</f>
        <v>95</v>
      </c>
      <c r="M20" s="15" t="str">
        <f t="shared" si="15"/>
        <v>A</v>
      </c>
      <c r="N20" s="15" t="str">
        <f t="shared" si="18"/>
        <v>100% LTT</v>
      </c>
    </row>
    <row r="21" spans="1:14" ht="19.5" customHeight="1" x14ac:dyDescent="0.3">
      <c r="A21" s="15">
        <f t="shared" si="16"/>
        <v>13</v>
      </c>
      <c r="B21" s="16" t="s">
        <v>98</v>
      </c>
      <c r="C21" s="15" t="s">
        <v>102</v>
      </c>
      <c r="D21" s="15"/>
      <c r="E21" s="15"/>
      <c r="F21" s="15"/>
      <c r="G21" s="15">
        <f t="shared" si="12"/>
        <v>0</v>
      </c>
      <c r="H21" s="15">
        <f t="shared" si="12"/>
        <v>0</v>
      </c>
      <c r="I21" s="15">
        <f t="shared" si="13"/>
        <v>0</v>
      </c>
      <c r="J21" s="15">
        <f t="shared" si="14"/>
        <v>0</v>
      </c>
      <c r="K21" s="15">
        <v>8</v>
      </c>
      <c r="L21" s="15">
        <f t="shared" si="19"/>
        <v>92</v>
      </c>
      <c r="M21" s="15" t="str">
        <f t="shared" si="15"/>
        <v>A</v>
      </c>
      <c r="N21" s="15" t="str">
        <f t="shared" si="18"/>
        <v>100% LTT</v>
      </c>
    </row>
    <row r="22" spans="1:14" ht="19.5" customHeight="1" x14ac:dyDescent="0.3">
      <c r="A22" s="15">
        <f t="shared" si="16"/>
        <v>14</v>
      </c>
      <c r="B22" s="16" t="s">
        <v>99</v>
      </c>
      <c r="C22" s="15" t="s">
        <v>102</v>
      </c>
      <c r="D22" s="15"/>
      <c r="E22" s="15"/>
      <c r="F22" s="15"/>
      <c r="G22" s="15">
        <f t="shared" si="12"/>
        <v>0</v>
      </c>
      <c r="H22" s="15">
        <f t="shared" si="12"/>
        <v>0</v>
      </c>
      <c r="I22" s="15">
        <f t="shared" si="13"/>
        <v>0</v>
      </c>
      <c r="J22" s="15">
        <f t="shared" si="14"/>
        <v>0</v>
      </c>
      <c r="K22" s="15">
        <v>6</v>
      </c>
      <c r="L22" s="15">
        <f t="shared" si="17"/>
        <v>94</v>
      </c>
      <c r="M22" s="15" t="str">
        <f t="shared" si="15"/>
        <v>A</v>
      </c>
      <c r="N22" s="15" t="str">
        <f t="shared" si="18"/>
        <v>100% LTT</v>
      </c>
    </row>
    <row r="23" spans="1:14" ht="19.5" customHeight="1" x14ac:dyDescent="0.3">
      <c r="A23" s="15">
        <f t="shared" si="16"/>
        <v>15</v>
      </c>
      <c r="B23" s="16" t="s">
        <v>100</v>
      </c>
      <c r="C23" s="15" t="s">
        <v>102</v>
      </c>
      <c r="D23" s="15"/>
      <c r="E23" s="15"/>
      <c r="F23" s="15"/>
      <c r="G23" s="15">
        <f t="shared" si="12"/>
        <v>0</v>
      </c>
      <c r="H23" s="15">
        <f t="shared" si="12"/>
        <v>0</v>
      </c>
      <c r="I23" s="15">
        <f t="shared" si="13"/>
        <v>0</v>
      </c>
      <c r="J23" s="15">
        <f t="shared" si="14"/>
        <v>0</v>
      </c>
      <c r="K23" s="15">
        <v>5</v>
      </c>
      <c r="L23" s="15">
        <f t="shared" si="17"/>
        <v>95</v>
      </c>
      <c r="M23" s="15" t="str">
        <f t="shared" si="15"/>
        <v>A</v>
      </c>
      <c r="N23" s="15" t="str">
        <f t="shared" si="18"/>
        <v>100% LTT</v>
      </c>
    </row>
    <row r="24" spans="1:14" ht="19.5" customHeight="1" x14ac:dyDescent="0.3">
      <c r="A24" s="15">
        <f t="shared" si="16"/>
        <v>16</v>
      </c>
      <c r="B24" s="18" t="s">
        <v>116</v>
      </c>
      <c r="C24" s="17" t="s">
        <v>107</v>
      </c>
      <c r="D24" s="17"/>
      <c r="E24" s="17"/>
      <c r="F24" s="17"/>
      <c r="G24" s="15">
        <f t="shared" si="12"/>
        <v>0</v>
      </c>
      <c r="H24" s="15">
        <f t="shared" si="12"/>
        <v>0</v>
      </c>
      <c r="I24" s="15">
        <f t="shared" si="13"/>
        <v>0</v>
      </c>
      <c r="J24" s="15">
        <f t="shared" si="14"/>
        <v>0</v>
      </c>
      <c r="K24" s="17">
        <v>8</v>
      </c>
      <c r="L24" s="15">
        <f t="shared" si="17"/>
        <v>92</v>
      </c>
      <c r="M24" s="15" t="str">
        <f t="shared" si="15"/>
        <v>A</v>
      </c>
      <c r="N24" s="17" t="str">
        <f t="shared" si="18"/>
        <v>100% LTT</v>
      </c>
    </row>
    <row r="25" spans="1:14" ht="22.5" customHeight="1" x14ac:dyDescent="0.3">
      <c r="A25" s="180" t="s">
        <v>62</v>
      </c>
      <c r="B25" s="180"/>
      <c r="C25" s="180"/>
      <c r="D25" s="180"/>
      <c r="E25" s="180"/>
      <c r="F25" s="180"/>
      <c r="G25" s="180"/>
      <c r="H25" s="180"/>
      <c r="I25" s="180"/>
      <c r="J25" s="180"/>
      <c r="K25" s="180"/>
      <c r="L25" s="180"/>
      <c r="M25" s="180"/>
      <c r="N25" s="180"/>
    </row>
    <row r="26" spans="1:14" ht="22.5" customHeight="1" x14ac:dyDescent="0.3">
      <c r="J26" s="185" t="s">
        <v>144</v>
      </c>
      <c r="K26" s="185"/>
      <c r="L26" s="185"/>
      <c r="M26" s="185"/>
      <c r="N26" s="185"/>
    </row>
    <row r="27" spans="1:14" ht="22.5" customHeight="1" x14ac:dyDescent="0.3">
      <c r="B27" s="178" t="s">
        <v>22</v>
      </c>
      <c r="C27" s="178"/>
      <c r="D27" s="178"/>
      <c r="L27" s="178" t="s">
        <v>25</v>
      </c>
      <c r="M27" s="178"/>
      <c r="N27" s="178"/>
    </row>
    <row r="28" spans="1:14" ht="22.5" customHeight="1" x14ac:dyDescent="0.3">
      <c r="L28" s="129"/>
      <c r="M28" s="129"/>
    </row>
    <row r="29" spans="1:14" ht="22.5" customHeight="1" x14ac:dyDescent="0.3">
      <c r="L29" s="129"/>
      <c r="M29" s="129"/>
    </row>
    <row r="30" spans="1:14" ht="22.5" customHeight="1" x14ac:dyDescent="0.3">
      <c r="L30" s="129"/>
      <c r="M30" s="129"/>
    </row>
    <row r="31" spans="1:14" ht="22.5" customHeight="1" x14ac:dyDescent="0.3">
      <c r="B31" s="178" t="s">
        <v>28</v>
      </c>
      <c r="C31" s="178"/>
      <c r="D31" s="178"/>
      <c r="L31" s="178" t="s">
        <v>27</v>
      </c>
      <c r="M31" s="178"/>
      <c r="N31" s="178"/>
    </row>
    <row r="32" spans="1:14" ht="22.5" customHeight="1" x14ac:dyDescent="0.3">
      <c r="C32" s="1"/>
      <c r="D32" s="1"/>
    </row>
  </sheetData>
  <mergeCells count="25">
    <mergeCell ref="B31:D31"/>
    <mergeCell ref="L31:N31"/>
    <mergeCell ref="A6:C6"/>
    <mergeCell ref="A14:C14"/>
    <mergeCell ref="A16:C16"/>
    <mergeCell ref="A25:N25"/>
    <mergeCell ref="J26:N26"/>
    <mergeCell ref="B27:D27"/>
    <mergeCell ref="L27:N27"/>
    <mergeCell ref="O4:O5"/>
    <mergeCell ref="A1:N1"/>
    <mergeCell ref="A2:N2"/>
    <mergeCell ref="A3:N3"/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L4:L5"/>
    <mergeCell ref="M4:M5"/>
    <mergeCell ref="N4:N5"/>
  </mergeCells>
  <pageMargins left="0.26" right="0.2" top="0.39" bottom="0.33" header="0.3" footer="0.3"/>
  <pageSetup scale="70" orientation="landscape" verticalDpi="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zoomScaleNormal="100" workbookViewId="0">
      <pane xSplit="2" ySplit="6" topLeftCell="D7" activePane="bottomRight" state="frozen"/>
      <selection pane="topRight" activeCell="C1" sqref="C1"/>
      <selection pane="bottomLeft" activeCell="A7" sqref="A7"/>
      <selection pane="bottomRight" sqref="A1:XFD1048576"/>
    </sheetView>
  </sheetViews>
  <sheetFormatPr defaultColWidth="9.109375" defaultRowHeight="16.8" x14ac:dyDescent="0.3"/>
  <cols>
    <col min="1" max="1" width="6.109375" style="2" customWidth="1"/>
    <col min="2" max="2" width="27.5546875" style="1" customWidth="1"/>
    <col min="3" max="3" width="22" style="2" customWidth="1"/>
    <col min="4" max="6" width="11.33203125" style="2" customWidth="1"/>
    <col min="7" max="9" width="12.33203125" style="2" customWidth="1"/>
    <col min="10" max="10" width="12.44140625" style="2" customWidth="1"/>
    <col min="11" max="11" width="11.33203125" style="2" customWidth="1"/>
    <col min="12" max="12" width="12.109375" style="2" customWidth="1"/>
    <col min="13" max="13" width="9.44140625" style="2" customWidth="1"/>
    <col min="14" max="14" width="15" style="2" customWidth="1"/>
    <col min="15" max="15" width="53.88671875" style="2" customWidth="1"/>
    <col min="16" max="16384" width="9.109375" style="1"/>
  </cols>
  <sheetData>
    <row r="1" spans="1:15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5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</row>
    <row r="3" spans="1:15" ht="22.5" customHeight="1" x14ac:dyDescent="0.3">
      <c r="A3" s="179" t="s">
        <v>151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</row>
    <row r="4" spans="1:15" s="3" customFormat="1" ht="22.5" customHeight="1" x14ac:dyDescent="0.3">
      <c r="A4" s="180" t="s">
        <v>0</v>
      </c>
      <c r="B4" s="180" t="s">
        <v>1</v>
      </c>
      <c r="C4" s="180" t="s">
        <v>2</v>
      </c>
      <c r="D4" s="180" t="s">
        <v>23</v>
      </c>
      <c r="E4" s="180"/>
      <c r="F4" s="180"/>
      <c r="G4" s="181" t="s">
        <v>29</v>
      </c>
      <c r="H4" s="181" t="s">
        <v>30</v>
      </c>
      <c r="I4" s="181" t="s">
        <v>31</v>
      </c>
      <c r="J4" s="181" t="s">
        <v>96</v>
      </c>
      <c r="K4" s="181" t="s">
        <v>97</v>
      </c>
      <c r="L4" s="180" t="s">
        <v>6</v>
      </c>
      <c r="M4" s="180" t="s">
        <v>7</v>
      </c>
      <c r="N4" s="180" t="s">
        <v>8</v>
      </c>
      <c r="O4" s="183"/>
    </row>
    <row r="5" spans="1:15" s="3" customFormat="1" ht="49.8" customHeight="1" x14ac:dyDescent="0.3">
      <c r="A5" s="180"/>
      <c r="B5" s="180"/>
      <c r="C5" s="180"/>
      <c r="D5" s="132" t="s">
        <v>3</v>
      </c>
      <c r="E5" s="132" t="s">
        <v>4</v>
      </c>
      <c r="F5" s="132" t="s">
        <v>5</v>
      </c>
      <c r="G5" s="182"/>
      <c r="H5" s="182"/>
      <c r="I5" s="182"/>
      <c r="J5" s="182"/>
      <c r="K5" s="182"/>
      <c r="L5" s="180"/>
      <c r="M5" s="180"/>
      <c r="N5" s="180"/>
      <c r="O5" s="183"/>
    </row>
    <row r="6" spans="1:15" ht="19.5" customHeight="1" x14ac:dyDescent="0.3">
      <c r="A6" s="184" t="s">
        <v>15</v>
      </c>
      <c r="B6" s="184"/>
      <c r="C6" s="18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5" ht="19.5" customHeight="1" x14ac:dyDescent="0.3">
      <c r="A7" s="15">
        <v>1</v>
      </c>
      <c r="B7" s="16" t="s">
        <v>49</v>
      </c>
      <c r="C7" s="15" t="s">
        <v>19</v>
      </c>
      <c r="D7" s="15"/>
      <c r="E7" s="15"/>
      <c r="F7" s="15">
        <v>1</v>
      </c>
      <c r="G7" s="15">
        <f t="shared" ref="G7:H13" si="0">IF(D7&gt;5,(D7-5)*2,0)</f>
        <v>0</v>
      </c>
      <c r="H7" s="15">
        <f t="shared" si="0"/>
        <v>0</v>
      </c>
      <c r="I7" s="15">
        <f t="shared" ref="I7:I13" si="1">IF(F7&gt;2,(F7-2)*1,0)</f>
        <v>0</v>
      </c>
      <c r="J7" s="15">
        <f>SUM(G7:I7)</f>
        <v>0</v>
      </c>
      <c r="K7" s="15">
        <v>3</v>
      </c>
      <c r="L7" s="15">
        <f t="shared" ref="L7:L13" si="2">100-J7-K7</f>
        <v>97</v>
      </c>
      <c r="M7" s="15" t="str">
        <f>IF(L7&lt;71,"KL",IF(AND(L7&gt;=71,L7&lt;81),"C",IF(AND(L7&gt;=81,L7&lt;91),"B","A")))</f>
        <v>A</v>
      </c>
      <c r="N7" s="15" t="str">
        <f>IF(M7="A","100% LTT",IF(M7="B","90% LTT",IF(M7="C","80% LTT","60% LTT")))</f>
        <v>100% LTT</v>
      </c>
      <c r="O7" s="11" t="s">
        <v>33</v>
      </c>
    </row>
    <row r="8" spans="1:15" ht="19.5" customHeight="1" x14ac:dyDescent="0.3">
      <c r="A8" s="15">
        <f t="shared" ref="A8:A13" si="3">A7+1</f>
        <v>2</v>
      </c>
      <c r="B8" s="16" t="s">
        <v>52</v>
      </c>
      <c r="C8" s="15" t="s">
        <v>19</v>
      </c>
      <c r="D8" s="15"/>
      <c r="E8" s="15"/>
      <c r="F8" s="15"/>
      <c r="G8" s="15">
        <f t="shared" si="0"/>
        <v>0</v>
      </c>
      <c r="H8" s="15">
        <f t="shared" si="0"/>
        <v>0</v>
      </c>
      <c r="I8" s="15">
        <f t="shared" si="1"/>
        <v>0</v>
      </c>
      <c r="J8" s="15">
        <f t="shared" ref="J8:J13" si="4">SUM(G8:I8)</f>
        <v>0</v>
      </c>
      <c r="K8" s="15"/>
      <c r="L8" s="15">
        <f t="shared" si="2"/>
        <v>100</v>
      </c>
      <c r="M8" s="15" t="str">
        <f t="shared" ref="M8:M13" si="5">IF(L8&lt;71,"KL",IF(AND(L8&gt;=71,L8&lt;81),"C",IF(AND(L8&gt;=81,L8&lt;91),"B","A")))</f>
        <v>A</v>
      </c>
      <c r="N8" s="15" t="str">
        <f t="shared" ref="N8:N13" si="6">IF(M8="A","100% LTT",IF(M8="B","90% LTT",IF(M8="C","80% LTT","60% LTT")))</f>
        <v>100% LTT</v>
      </c>
      <c r="O8" s="34"/>
    </row>
    <row r="9" spans="1:15" ht="19.5" customHeight="1" x14ac:dyDescent="0.3">
      <c r="A9" s="15">
        <f t="shared" si="3"/>
        <v>3</v>
      </c>
      <c r="B9" s="16" t="s">
        <v>57</v>
      </c>
      <c r="C9" s="15" t="s">
        <v>19</v>
      </c>
      <c r="D9" s="15"/>
      <c r="E9" s="15"/>
      <c r="F9" s="15"/>
      <c r="G9" s="15">
        <f t="shared" si="0"/>
        <v>0</v>
      </c>
      <c r="H9" s="15">
        <f t="shared" si="0"/>
        <v>0</v>
      </c>
      <c r="I9" s="15">
        <f t="shared" si="1"/>
        <v>0</v>
      </c>
      <c r="J9" s="15">
        <f t="shared" si="4"/>
        <v>0</v>
      </c>
      <c r="K9" s="15"/>
      <c r="L9" s="15">
        <f t="shared" si="2"/>
        <v>100</v>
      </c>
      <c r="M9" s="15" t="str">
        <f t="shared" si="5"/>
        <v>A</v>
      </c>
      <c r="N9" s="15" t="str">
        <f t="shared" si="6"/>
        <v>100% LTT</v>
      </c>
      <c r="O9" s="35"/>
    </row>
    <row r="10" spans="1:15" ht="19.5" customHeight="1" x14ac:dyDescent="0.3">
      <c r="A10" s="15">
        <f t="shared" si="3"/>
        <v>4</v>
      </c>
      <c r="B10" s="16" t="s">
        <v>59</v>
      </c>
      <c r="C10" s="15" t="s">
        <v>19</v>
      </c>
      <c r="D10" s="15"/>
      <c r="E10" s="15"/>
      <c r="F10" s="15"/>
      <c r="G10" s="15">
        <f t="shared" si="0"/>
        <v>0</v>
      </c>
      <c r="H10" s="15">
        <f t="shared" si="0"/>
        <v>0</v>
      </c>
      <c r="I10" s="15">
        <f t="shared" si="1"/>
        <v>0</v>
      </c>
      <c r="J10" s="15">
        <f t="shared" si="4"/>
        <v>0</v>
      </c>
      <c r="K10" s="15"/>
      <c r="L10" s="15">
        <f t="shared" si="2"/>
        <v>100</v>
      </c>
      <c r="M10" s="15" t="str">
        <f t="shared" si="5"/>
        <v>A</v>
      </c>
      <c r="N10" s="15" t="str">
        <f t="shared" si="6"/>
        <v>100% LTT</v>
      </c>
      <c r="O10" s="35"/>
    </row>
    <row r="11" spans="1:15" ht="19.5" customHeight="1" x14ac:dyDescent="0.3">
      <c r="A11" s="15">
        <f t="shared" si="3"/>
        <v>5</v>
      </c>
      <c r="B11" s="16" t="s">
        <v>53</v>
      </c>
      <c r="C11" s="15" t="s">
        <v>19</v>
      </c>
      <c r="D11" s="15"/>
      <c r="E11" s="15"/>
      <c r="F11" s="15"/>
      <c r="G11" s="15">
        <f t="shared" si="0"/>
        <v>0</v>
      </c>
      <c r="H11" s="15">
        <f t="shared" si="0"/>
        <v>0</v>
      </c>
      <c r="I11" s="15">
        <f t="shared" si="1"/>
        <v>0</v>
      </c>
      <c r="J11" s="15">
        <f t="shared" si="4"/>
        <v>0</v>
      </c>
      <c r="K11" s="15"/>
      <c r="L11" s="15">
        <f t="shared" si="2"/>
        <v>100</v>
      </c>
      <c r="M11" s="15" t="str">
        <f t="shared" si="5"/>
        <v>A</v>
      </c>
      <c r="N11" s="15" t="str">
        <f t="shared" si="6"/>
        <v>100% LTT</v>
      </c>
      <c r="O11" s="35"/>
    </row>
    <row r="12" spans="1:15" ht="19.5" customHeight="1" x14ac:dyDescent="0.3">
      <c r="A12" s="15">
        <f t="shared" si="3"/>
        <v>6</v>
      </c>
      <c r="B12" s="16" t="s">
        <v>54</v>
      </c>
      <c r="C12" s="15" t="s">
        <v>19</v>
      </c>
      <c r="D12" s="15"/>
      <c r="E12" s="15"/>
      <c r="F12" s="15"/>
      <c r="G12" s="15">
        <f t="shared" si="0"/>
        <v>0</v>
      </c>
      <c r="H12" s="15">
        <f t="shared" si="0"/>
        <v>0</v>
      </c>
      <c r="I12" s="15">
        <f t="shared" si="1"/>
        <v>0</v>
      </c>
      <c r="J12" s="15">
        <f t="shared" si="4"/>
        <v>0</v>
      </c>
      <c r="K12" s="15"/>
      <c r="L12" s="15">
        <f t="shared" si="2"/>
        <v>100</v>
      </c>
      <c r="M12" s="15" t="str">
        <f t="shared" si="5"/>
        <v>A</v>
      </c>
      <c r="N12" s="15" t="str">
        <f t="shared" si="6"/>
        <v>100% LTT</v>
      </c>
      <c r="O12" s="35"/>
    </row>
    <row r="13" spans="1:15" ht="19.5" customHeight="1" x14ac:dyDescent="0.3">
      <c r="A13" s="15">
        <f t="shared" si="3"/>
        <v>7</v>
      </c>
      <c r="B13" s="18" t="s">
        <v>11</v>
      </c>
      <c r="C13" s="17" t="s">
        <v>51</v>
      </c>
      <c r="D13" s="17">
        <v>5</v>
      </c>
      <c r="E13" s="17"/>
      <c r="F13" s="17"/>
      <c r="G13" s="17">
        <f t="shared" si="0"/>
        <v>0</v>
      </c>
      <c r="H13" s="17">
        <f t="shared" si="0"/>
        <v>0</v>
      </c>
      <c r="I13" s="17">
        <f t="shared" si="1"/>
        <v>0</v>
      </c>
      <c r="J13" s="17">
        <f t="shared" si="4"/>
        <v>0</v>
      </c>
      <c r="K13" s="17">
        <v>2</v>
      </c>
      <c r="L13" s="15">
        <f t="shared" si="2"/>
        <v>98</v>
      </c>
      <c r="M13" s="17" t="str">
        <f t="shared" si="5"/>
        <v>A</v>
      </c>
      <c r="N13" s="17" t="str">
        <f t="shared" si="6"/>
        <v>100% LTT</v>
      </c>
      <c r="O13" s="35"/>
    </row>
    <row r="14" spans="1:15" ht="19.5" customHeight="1" x14ac:dyDescent="0.3">
      <c r="A14" s="184" t="s">
        <v>16</v>
      </c>
      <c r="B14" s="184"/>
      <c r="C14" s="18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5" ht="19.5" customHeight="1" x14ac:dyDescent="0.3">
      <c r="A15" s="17">
        <f>A13+1</f>
        <v>8</v>
      </c>
      <c r="B15" s="18" t="s">
        <v>28</v>
      </c>
      <c r="C15" s="17" t="s">
        <v>121</v>
      </c>
      <c r="D15" s="4"/>
      <c r="E15" s="17"/>
      <c r="F15" s="17">
        <v>3</v>
      </c>
      <c r="G15" s="17">
        <f t="shared" ref="G15:H15" si="7">IF(D15&gt;5,(D15-5)*2,0)</f>
        <v>0</v>
      </c>
      <c r="H15" s="17">
        <f t="shared" si="7"/>
        <v>0</v>
      </c>
      <c r="I15" s="17">
        <f t="shared" ref="I15" si="8">IF(F15&gt;2,(F15-2)*1,0)</f>
        <v>1</v>
      </c>
      <c r="J15" s="17">
        <f t="shared" ref="J15" si="9">SUM(G15:I15)</f>
        <v>1</v>
      </c>
      <c r="K15" s="17"/>
      <c r="L15" s="17">
        <f>100-J15-K15</f>
        <v>99</v>
      </c>
      <c r="M15" s="17" t="str">
        <f t="shared" ref="M15" si="10">IF(L15&lt;71,"KL",IF(AND(L15&gt;=71,L15&lt;81),"C",IF(AND(L15&gt;=81,L15&lt;91),"B","A")))</f>
        <v>A</v>
      </c>
      <c r="N15" s="17" t="str">
        <f t="shared" ref="N15" si="11">IF(M15="A","100% LTT",IF(M15="B","90% LTT",IF(M15="C","80% LTT","60% LTT")))</f>
        <v>100% LTT</v>
      </c>
    </row>
    <row r="16" spans="1:15" ht="19.5" customHeight="1" x14ac:dyDescent="0.3">
      <c r="A16" s="184" t="s">
        <v>17</v>
      </c>
      <c r="B16" s="184"/>
      <c r="C16" s="18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ht="19.5" customHeight="1" x14ac:dyDescent="0.3">
      <c r="A17" s="15">
        <f>A15+1</f>
        <v>9</v>
      </c>
      <c r="B17" s="16" t="s">
        <v>13</v>
      </c>
      <c r="C17" s="15" t="s">
        <v>101</v>
      </c>
      <c r="D17" s="15"/>
      <c r="E17" s="15"/>
      <c r="F17" s="15"/>
      <c r="G17" s="15">
        <f t="shared" ref="G17:H25" si="12">IF(D17&gt;5,(D17-5)*2,0)</f>
        <v>0</v>
      </c>
      <c r="H17" s="15">
        <f t="shared" si="12"/>
        <v>0</v>
      </c>
      <c r="I17" s="15">
        <f t="shared" ref="I17:I25" si="13">IF(F17&gt;2,(F17-2)*1,0)</f>
        <v>0</v>
      </c>
      <c r="J17" s="15">
        <f t="shared" ref="J17:J25" si="14">SUM(G17:I17)</f>
        <v>0</v>
      </c>
      <c r="K17" s="15"/>
      <c r="L17" s="15">
        <f>100-J17-K17</f>
        <v>100</v>
      </c>
      <c r="M17" s="15" t="str">
        <f t="shared" ref="M17:M25" si="15">IF(L17&lt;71,"KL",IF(AND(L17&gt;=71,L17&lt;81),"C",IF(AND(L17&gt;=81,L17&lt;91),"B","A")))</f>
        <v>A</v>
      </c>
      <c r="N17" s="15" t="str">
        <f>IF(M17="A","100% LTT",IF(M17="B","90% LTT",IF(M17="C","80% LTT","60% LTT")))</f>
        <v>100% LTT</v>
      </c>
    </row>
    <row r="18" spans="1:14" ht="19.5" customHeight="1" x14ac:dyDescent="0.3">
      <c r="A18" s="15">
        <f t="shared" ref="A18:A25" si="16">A17+1</f>
        <v>10</v>
      </c>
      <c r="B18" s="16" t="s">
        <v>14</v>
      </c>
      <c r="C18" s="15" t="s">
        <v>19</v>
      </c>
      <c r="D18" s="15">
        <v>1</v>
      </c>
      <c r="E18" s="15"/>
      <c r="F18" s="15">
        <v>2</v>
      </c>
      <c r="G18" s="15">
        <f t="shared" si="12"/>
        <v>0</v>
      </c>
      <c r="H18" s="15">
        <f t="shared" si="12"/>
        <v>0</v>
      </c>
      <c r="I18" s="15">
        <f t="shared" si="13"/>
        <v>0</v>
      </c>
      <c r="J18" s="15">
        <f t="shared" si="14"/>
        <v>0</v>
      </c>
      <c r="K18" s="15">
        <v>4</v>
      </c>
      <c r="L18" s="15">
        <f t="shared" ref="L18:L25" si="17">100-J18-K18</f>
        <v>96</v>
      </c>
      <c r="M18" s="15" t="str">
        <f t="shared" si="15"/>
        <v>A</v>
      </c>
      <c r="N18" s="15" t="str">
        <f t="shared" ref="N18:N25" si="18">IF(M18="A","100% LTT",IF(M18="B","90% LTT",IF(M18="C","80% LTT","60% LTT")))</f>
        <v>100% LTT</v>
      </c>
    </row>
    <row r="19" spans="1:14" ht="19.5" customHeight="1" x14ac:dyDescent="0.3">
      <c r="A19" s="15">
        <f t="shared" si="16"/>
        <v>11</v>
      </c>
      <c r="B19" s="16" t="s">
        <v>40</v>
      </c>
      <c r="C19" s="15" t="s">
        <v>19</v>
      </c>
      <c r="D19" s="15"/>
      <c r="E19" s="15"/>
      <c r="F19" s="15"/>
      <c r="G19" s="15">
        <f t="shared" si="12"/>
        <v>0</v>
      </c>
      <c r="H19" s="15">
        <f t="shared" si="12"/>
        <v>0</v>
      </c>
      <c r="I19" s="15">
        <f t="shared" si="13"/>
        <v>0</v>
      </c>
      <c r="J19" s="15">
        <f t="shared" si="14"/>
        <v>0</v>
      </c>
      <c r="K19" s="15">
        <v>4</v>
      </c>
      <c r="L19" s="15">
        <f>100-J19-K19</f>
        <v>96</v>
      </c>
      <c r="M19" s="15" t="str">
        <f t="shared" si="15"/>
        <v>A</v>
      </c>
      <c r="N19" s="15" t="str">
        <f t="shared" si="18"/>
        <v>100% LTT</v>
      </c>
    </row>
    <row r="20" spans="1:14" ht="19.5" customHeight="1" x14ac:dyDescent="0.3">
      <c r="A20" s="15">
        <f t="shared" si="16"/>
        <v>12</v>
      </c>
      <c r="B20" s="16" t="s">
        <v>130</v>
      </c>
      <c r="C20" s="15" t="s">
        <v>131</v>
      </c>
      <c r="D20" s="15"/>
      <c r="E20" s="15"/>
      <c r="F20" s="15"/>
      <c r="G20" s="15">
        <f t="shared" si="12"/>
        <v>0</v>
      </c>
      <c r="H20" s="15">
        <f t="shared" si="12"/>
        <v>0</v>
      </c>
      <c r="I20" s="15">
        <f t="shared" si="13"/>
        <v>0</v>
      </c>
      <c r="J20" s="15">
        <f t="shared" si="14"/>
        <v>0</v>
      </c>
      <c r="K20" s="15">
        <v>5</v>
      </c>
      <c r="L20" s="15">
        <f t="shared" ref="L20:L21" si="19">100-J20-K20</f>
        <v>95</v>
      </c>
      <c r="M20" s="15" t="str">
        <f t="shared" si="15"/>
        <v>A</v>
      </c>
      <c r="N20" s="15" t="str">
        <f t="shared" si="18"/>
        <v>100% LTT</v>
      </c>
    </row>
    <row r="21" spans="1:14" ht="19.5" customHeight="1" x14ac:dyDescent="0.3">
      <c r="A21" s="15">
        <f t="shared" si="16"/>
        <v>13</v>
      </c>
      <c r="B21" s="16" t="s">
        <v>98</v>
      </c>
      <c r="C21" s="15" t="s">
        <v>102</v>
      </c>
      <c r="D21" s="15"/>
      <c r="E21" s="15"/>
      <c r="F21" s="15"/>
      <c r="G21" s="15">
        <f t="shared" si="12"/>
        <v>0</v>
      </c>
      <c r="H21" s="15">
        <f t="shared" si="12"/>
        <v>0</v>
      </c>
      <c r="I21" s="15">
        <f t="shared" si="13"/>
        <v>0</v>
      </c>
      <c r="J21" s="15">
        <f t="shared" si="14"/>
        <v>0</v>
      </c>
      <c r="K21" s="15">
        <v>8</v>
      </c>
      <c r="L21" s="15">
        <f t="shared" si="19"/>
        <v>92</v>
      </c>
      <c r="M21" s="15" t="str">
        <f t="shared" si="15"/>
        <v>A</v>
      </c>
      <c r="N21" s="15" t="str">
        <f t="shared" si="18"/>
        <v>100% LTT</v>
      </c>
    </row>
    <row r="22" spans="1:14" ht="19.5" customHeight="1" x14ac:dyDescent="0.3">
      <c r="A22" s="15">
        <f t="shared" si="16"/>
        <v>14</v>
      </c>
      <c r="B22" s="16" t="s">
        <v>99</v>
      </c>
      <c r="C22" s="15" t="s">
        <v>102</v>
      </c>
      <c r="D22" s="15"/>
      <c r="E22" s="15"/>
      <c r="F22" s="15"/>
      <c r="G22" s="15">
        <f t="shared" si="12"/>
        <v>0</v>
      </c>
      <c r="H22" s="15">
        <f t="shared" si="12"/>
        <v>0</v>
      </c>
      <c r="I22" s="15">
        <f t="shared" si="13"/>
        <v>0</v>
      </c>
      <c r="J22" s="15">
        <f t="shared" si="14"/>
        <v>0</v>
      </c>
      <c r="K22" s="15">
        <v>5</v>
      </c>
      <c r="L22" s="15">
        <f t="shared" si="17"/>
        <v>95</v>
      </c>
      <c r="M22" s="15" t="str">
        <f t="shared" si="15"/>
        <v>A</v>
      </c>
      <c r="N22" s="15" t="str">
        <f t="shared" si="18"/>
        <v>100% LTT</v>
      </c>
    </row>
    <row r="23" spans="1:14" ht="19.5" customHeight="1" x14ac:dyDescent="0.3">
      <c r="A23" s="15">
        <f t="shared" si="16"/>
        <v>15</v>
      </c>
      <c r="B23" s="16" t="s">
        <v>152</v>
      </c>
      <c r="C23" s="15" t="s">
        <v>153</v>
      </c>
      <c r="D23" s="15"/>
      <c r="E23" s="15"/>
      <c r="F23" s="15"/>
      <c r="G23" s="15">
        <f t="shared" si="12"/>
        <v>0</v>
      </c>
      <c r="H23" s="15">
        <f t="shared" si="12"/>
        <v>0</v>
      </c>
      <c r="I23" s="15">
        <f t="shared" si="13"/>
        <v>0</v>
      </c>
      <c r="J23" s="15">
        <f t="shared" si="14"/>
        <v>0</v>
      </c>
      <c r="K23" s="15">
        <v>8</v>
      </c>
      <c r="L23" s="15">
        <f t="shared" si="17"/>
        <v>92</v>
      </c>
      <c r="M23" s="15" t="str">
        <f t="shared" si="15"/>
        <v>A</v>
      </c>
      <c r="N23" s="15" t="str">
        <f t="shared" si="18"/>
        <v>100% LTT</v>
      </c>
    </row>
    <row r="24" spans="1:14" ht="19.5" customHeight="1" x14ac:dyDescent="0.3">
      <c r="A24" s="15">
        <f t="shared" si="16"/>
        <v>16</v>
      </c>
      <c r="B24" s="16" t="s">
        <v>100</v>
      </c>
      <c r="C24" s="15" t="s">
        <v>102</v>
      </c>
      <c r="D24" s="15"/>
      <c r="E24" s="15"/>
      <c r="F24" s="15"/>
      <c r="G24" s="15">
        <f t="shared" si="12"/>
        <v>0</v>
      </c>
      <c r="H24" s="15">
        <f t="shared" si="12"/>
        <v>0</v>
      </c>
      <c r="I24" s="15">
        <f t="shared" si="13"/>
        <v>0</v>
      </c>
      <c r="J24" s="15">
        <f t="shared" si="14"/>
        <v>0</v>
      </c>
      <c r="K24" s="15">
        <v>4</v>
      </c>
      <c r="L24" s="15">
        <f t="shared" si="17"/>
        <v>96</v>
      </c>
      <c r="M24" s="15" t="str">
        <f t="shared" si="15"/>
        <v>A</v>
      </c>
      <c r="N24" s="15" t="str">
        <f t="shared" si="18"/>
        <v>100% LTT</v>
      </c>
    </row>
    <row r="25" spans="1:14" ht="19.5" customHeight="1" x14ac:dyDescent="0.3">
      <c r="A25" s="15">
        <f t="shared" si="16"/>
        <v>17</v>
      </c>
      <c r="B25" s="18" t="s">
        <v>116</v>
      </c>
      <c r="C25" s="17" t="s">
        <v>107</v>
      </c>
      <c r="D25" s="17"/>
      <c r="E25" s="17"/>
      <c r="F25" s="17"/>
      <c r="G25" s="15">
        <f t="shared" si="12"/>
        <v>0</v>
      </c>
      <c r="H25" s="15">
        <f t="shared" si="12"/>
        <v>0</v>
      </c>
      <c r="I25" s="15">
        <f t="shared" si="13"/>
        <v>0</v>
      </c>
      <c r="J25" s="15">
        <f t="shared" si="14"/>
        <v>0</v>
      </c>
      <c r="K25" s="17">
        <v>8</v>
      </c>
      <c r="L25" s="15">
        <f t="shared" si="17"/>
        <v>92</v>
      </c>
      <c r="M25" s="15" t="str">
        <f t="shared" si="15"/>
        <v>A</v>
      </c>
      <c r="N25" s="17" t="str">
        <f t="shared" si="18"/>
        <v>100% LTT</v>
      </c>
    </row>
    <row r="26" spans="1:14" ht="22.5" customHeight="1" x14ac:dyDescent="0.3">
      <c r="A26" s="180" t="s">
        <v>60</v>
      </c>
      <c r="B26" s="180"/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0"/>
      <c r="N26" s="180"/>
    </row>
    <row r="27" spans="1:14" ht="22.5" customHeight="1" x14ac:dyDescent="0.3">
      <c r="J27" s="185" t="s">
        <v>144</v>
      </c>
      <c r="K27" s="185"/>
      <c r="L27" s="185"/>
      <c r="M27" s="185"/>
      <c r="N27" s="185"/>
    </row>
    <row r="28" spans="1:14" ht="22.5" customHeight="1" x14ac:dyDescent="0.3">
      <c r="B28" s="178" t="s">
        <v>22</v>
      </c>
      <c r="C28" s="178"/>
      <c r="D28" s="178"/>
      <c r="L28" s="178" t="s">
        <v>25</v>
      </c>
      <c r="M28" s="178"/>
      <c r="N28" s="178"/>
    </row>
    <row r="29" spans="1:14" ht="22.5" customHeight="1" x14ac:dyDescent="0.3">
      <c r="L29" s="131"/>
      <c r="M29" s="131"/>
    </row>
    <row r="30" spans="1:14" ht="22.5" customHeight="1" x14ac:dyDescent="0.3">
      <c r="L30" s="131"/>
      <c r="M30" s="131"/>
    </row>
    <row r="31" spans="1:14" ht="22.5" customHeight="1" x14ac:dyDescent="0.3">
      <c r="L31" s="131"/>
      <c r="M31" s="131"/>
    </row>
    <row r="32" spans="1:14" ht="22.5" customHeight="1" x14ac:dyDescent="0.3">
      <c r="B32" s="178" t="s">
        <v>28</v>
      </c>
      <c r="C32" s="178"/>
      <c r="D32" s="178"/>
      <c r="L32" s="178" t="s">
        <v>27</v>
      </c>
      <c r="M32" s="178"/>
      <c r="N32" s="178"/>
    </row>
    <row r="33" spans="3:4" ht="22.5" customHeight="1" x14ac:dyDescent="0.3">
      <c r="C33" s="1"/>
      <c r="D33" s="1"/>
    </row>
  </sheetData>
  <mergeCells count="25">
    <mergeCell ref="O4:O5"/>
    <mergeCell ref="A1:N1"/>
    <mergeCell ref="A2:N2"/>
    <mergeCell ref="A3:N3"/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L4:L5"/>
    <mergeCell ref="M4:M5"/>
    <mergeCell ref="N4:N5"/>
    <mergeCell ref="B32:D32"/>
    <mergeCell ref="L32:N32"/>
    <mergeCell ref="A6:C6"/>
    <mergeCell ref="A14:C14"/>
    <mergeCell ref="A16:C16"/>
    <mergeCell ref="A26:N26"/>
    <mergeCell ref="J27:N27"/>
    <mergeCell ref="B28:D28"/>
    <mergeCell ref="L28:N28"/>
  </mergeCells>
  <pageMargins left="0.24" right="0.31" top="0.44" bottom="0.33" header="0.3" footer="0.3"/>
  <pageSetup scale="70" orientation="landscape" verticalDpi="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zoomScale="90" zoomScaleNormal="90" workbookViewId="0">
      <pane xSplit="2" ySplit="6" topLeftCell="C7" activePane="bottomRight" state="frozen"/>
      <selection pane="topRight" activeCell="C1" sqref="C1"/>
      <selection pane="bottomLeft" activeCell="A7" sqref="A7"/>
      <selection pane="bottomRight" sqref="A1:XFD1048576"/>
    </sheetView>
  </sheetViews>
  <sheetFormatPr defaultColWidth="9.109375" defaultRowHeight="16.8" x14ac:dyDescent="0.3"/>
  <cols>
    <col min="1" max="1" width="6.109375" style="2" customWidth="1"/>
    <col min="2" max="2" width="27.5546875" style="1" customWidth="1"/>
    <col min="3" max="3" width="22" style="2" customWidth="1"/>
    <col min="4" max="6" width="11.33203125" style="2" customWidth="1"/>
    <col min="7" max="9" width="12.33203125" style="2" customWidth="1"/>
    <col min="10" max="10" width="12.44140625" style="2" customWidth="1"/>
    <col min="11" max="11" width="11.33203125" style="2" customWidth="1"/>
    <col min="12" max="12" width="12.109375" style="2" customWidth="1"/>
    <col min="13" max="13" width="9.44140625" style="2" customWidth="1"/>
    <col min="14" max="14" width="15" style="2" customWidth="1"/>
    <col min="15" max="15" width="53.88671875" style="2" customWidth="1"/>
    <col min="16" max="16384" width="9.109375" style="1"/>
  </cols>
  <sheetData>
    <row r="1" spans="1:15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5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</row>
    <row r="3" spans="1:15" ht="22.5" customHeight="1" x14ac:dyDescent="0.3">
      <c r="A3" s="179" t="s">
        <v>154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</row>
    <row r="4" spans="1:15" s="3" customFormat="1" ht="22.5" customHeight="1" x14ac:dyDescent="0.3">
      <c r="A4" s="180" t="s">
        <v>0</v>
      </c>
      <c r="B4" s="180" t="s">
        <v>1</v>
      </c>
      <c r="C4" s="180" t="s">
        <v>2</v>
      </c>
      <c r="D4" s="180" t="s">
        <v>23</v>
      </c>
      <c r="E4" s="180"/>
      <c r="F4" s="180"/>
      <c r="G4" s="181" t="s">
        <v>29</v>
      </c>
      <c r="H4" s="181" t="s">
        <v>30</v>
      </c>
      <c r="I4" s="181" t="s">
        <v>31</v>
      </c>
      <c r="J4" s="181" t="s">
        <v>96</v>
      </c>
      <c r="K4" s="181" t="s">
        <v>97</v>
      </c>
      <c r="L4" s="180" t="s">
        <v>6</v>
      </c>
      <c r="M4" s="180" t="s">
        <v>7</v>
      </c>
      <c r="N4" s="180" t="s">
        <v>8</v>
      </c>
      <c r="O4" s="183"/>
    </row>
    <row r="5" spans="1:15" s="3" customFormat="1" ht="49.8" customHeight="1" x14ac:dyDescent="0.3">
      <c r="A5" s="180"/>
      <c r="B5" s="180"/>
      <c r="C5" s="180"/>
      <c r="D5" s="134" t="s">
        <v>3</v>
      </c>
      <c r="E5" s="134" t="s">
        <v>4</v>
      </c>
      <c r="F5" s="134" t="s">
        <v>5</v>
      </c>
      <c r="G5" s="182"/>
      <c r="H5" s="182"/>
      <c r="I5" s="182"/>
      <c r="J5" s="182"/>
      <c r="K5" s="182"/>
      <c r="L5" s="180"/>
      <c r="M5" s="180"/>
      <c r="N5" s="180"/>
      <c r="O5" s="183"/>
    </row>
    <row r="6" spans="1:15" ht="19.5" customHeight="1" x14ac:dyDescent="0.3">
      <c r="A6" s="184" t="s">
        <v>15</v>
      </c>
      <c r="B6" s="184"/>
      <c r="C6" s="18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5" ht="19.5" customHeight="1" x14ac:dyDescent="0.3">
      <c r="A7" s="15">
        <v>1</v>
      </c>
      <c r="B7" s="16" t="s">
        <v>49</v>
      </c>
      <c r="C7" s="15" t="s">
        <v>19</v>
      </c>
      <c r="D7" s="15">
        <v>6</v>
      </c>
      <c r="E7" s="15"/>
      <c r="F7" s="15">
        <v>3</v>
      </c>
      <c r="G7" s="15">
        <f t="shared" ref="G7:H13" si="0">IF(D7&gt;5,(D7-5)*2,0)</f>
        <v>2</v>
      </c>
      <c r="H7" s="15">
        <f t="shared" si="0"/>
        <v>0</v>
      </c>
      <c r="I7" s="15">
        <f t="shared" ref="I7:I13" si="1">IF(F7&gt;2,(F7-2)*1,0)</f>
        <v>1</v>
      </c>
      <c r="J7" s="15">
        <f>SUM(G7:I7)</f>
        <v>3</v>
      </c>
      <c r="K7" s="15">
        <v>3</v>
      </c>
      <c r="L7" s="15">
        <f t="shared" ref="L7:L13" si="2">100-J7-K7</f>
        <v>94</v>
      </c>
      <c r="M7" s="15" t="str">
        <f>IF(L7&lt;71,"KL",IF(AND(L7&gt;=71,L7&lt;81),"C",IF(AND(L7&gt;=81,L7&lt;91),"B","A")))</f>
        <v>A</v>
      </c>
      <c r="N7" s="15" t="str">
        <f>IF(M7="A","100% LTT",IF(M7="B","90% LTT",IF(M7="C","80% LTT","60% LTT")))</f>
        <v>100% LTT</v>
      </c>
      <c r="O7" s="11" t="s">
        <v>33</v>
      </c>
    </row>
    <row r="8" spans="1:15" ht="19.5" customHeight="1" x14ac:dyDescent="0.3">
      <c r="A8" s="15">
        <f t="shared" ref="A8:A13" si="3">A7+1</f>
        <v>2</v>
      </c>
      <c r="B8" s="16" t="s">
        <v>52</v>
      </c>
      <c r="C8" s="15" t="s">
        <v>19</v>
      </c>
      <c r="D8" s="15"/>
      <c r="E8" s="15"/>
      <c r="F8" s="15"/>
      <c r="G8" s="15">
        <f t="shared" si="0"/>
        <v>0</v>
      </c>
      <c r="H8" s="15">
        <f t="shared" si="0"/>
        <v>0</v>
      </c>
      <c r="I8" s="15">
        <f t="shared" si="1"/>
        <v>0</v>
      </c>
      <c r="J8" s="15">
        <f t="shared" ref="J8:J13" si="4">SUM(G8:I8)</f>
        <v>0</v>
      </c>
      <c r="K8" s="15"/>
      <c r="L8" s="15">
        <f t="shared" si="2"/>
        <v>100</v>
      </c>
      <c r="M8" s="15" t="str">
        <f t="shared" ref="M8:M13" si="5">IF(L8&lt;71,"KL",IF(AND(L8&gt;=71,L8&lt;81),"C",IF(AND(L8&gt;=81,L8&lt;91),"B","A")))</f>
        <v>A</v>
      </c>
      <c r="N8" s="15" t="str">
        <f t="shared" ref="N8:N13" si="6">IF(M8="A","100% LTT",IF(M8="B","90% LTT",IF(M8="C","80% LTT","60% LTT")))</f>
        <v>100% LTT</v>
      </c>
      <c r="O8" s="34"/>
    </row>
    <row r="9" spans="1:15" ht="19.5" customHeight="1" x14ac:dyDescent="0.3">
      <c r="A9" s="15">
        <f t="shared" si="3"/>
        <v>3</v>
      </c>
      <c r="B9" s="16" t="s">
        <v>57</v>
      </c>
      <c r="C9" s="15" t="s">
        <v>19</v>
      </c>
      <c r="D9" s="15"/>
      <c r="E9" s="15"/>
      <c r="F9" s="15"/>
      <c r="G9" s="15">
        <f t="shared" si="0"/>
        <v>0</v>
      </c>
      <c r="H9" s="15">
        <f t="shared" si="0"/>
        <v>0</v>
      </c>
      <c r="I9" s="15">
        <f t="shared" si="1"/>
        <v>0</v>
      </c>
      <c r="J9" s="15">
        <f t="shared" si="4"/>
        <v>0</v>
      </c>
      <c r="K9" s="15"/>
      <c r="L9" s="15">
        <f t="shared" si="2"/>
        <v>100</v>
      </c>
      <c r="M9" s="15" t="str">
        <f t="shared" si="5"/>
        <v>A</v>
      </c>
      <c r="N9" s="15" t="str">
        <f t="shared" si="6"/>
        <v>100% LTT</v>
      </c>
      <c r="O9" s="35"/>
    </row>
    <row r="10" spans="1:15" ht="19.5" customHeight="1" x14ac:dyDescent="0.3">
      <c r="A10" s="15">
        <f t="shared" si="3"/>
        <v>4</v>
      </c>
      <c r="B10" s="16" t="s">
        <v>59</v>
      </c>
      <c r="C10" s="15" t="s">
        <v>19</v>
      </c>
      <c r="D10" s="15"/>
      <c r="E10" s="15"/>
      <c r="F10" s="15"/>
      <c r="G10" s="15">
        <f t="shared" si="0"/>
        <v>0</v>
      </c>
      <c r="H10" s="15">
        <f t="shared" si="0"/>
        <v>0</v>
      </c>
      <c r="I10" s="15">
        <f t="shared" si="1"/>
        <v>0</v>
      </c>
      <c r="J10" s="15">
        <f t="shared" si="4"/>
        <v>0</v>
      </c>
      <c r="K10" s="15"/>
      <c r="L10" s="15">
        <f t="shared" si="2"/>
        <v>100</v>
      </c>
      <c r="M10" s="15" t="str">
        <f t="shared" si="5"/>
        <v>A</v>
      </c>
      <c r="N10" s="15" t="str">
        <f t="shared" si="6"/>
        <v>100% LTT</v>
      </c>
      <c r="O10" s="35"/>
    </row>
    <row r="11" spans="1:15" ht="19.5" customHeight="1" x14ac:dyDescent="0.3">
      <c r="A11" s="15">
        <f t="shared" si="3"/>
        <v>5</v>
      </c>
      <c r="B11" s="16" t="s">
        <v>53</v>
      </c>
      <c r="C11" s="15" t="s">
        <v>19</v>
      </c>
      <c r="D11" s="15"/>
      <c r="E11" s="15"/>
      <c r="F11" s="15"/>
      <c r="G11" s="15">
        <f t="shared" si="0"/>
        <v>0</v>
      </c>
      <c r="H11" s="15">
        <f t="shared" si="0"/>
        <v>0</v>
      </c>
      <c r="I11" s="15">
        <f t="shared" si="1"/>
        <v>0</v>
      </c>
      <c r="J11" s="15">
        <f t="shared" si="4"/>
        <v>0</v>
      </c>
      <c r="K11" s="15"/>
      <c r="L11" s="15">
        <f t="shared" si="2"/>
        <v>100</v>
      </c>
      <c r="M11" s="15" t="str">
        <f t="shared" si="5"/>
        <v>A</v>
      </c>
      <c r="N11" s="15" t="str">
        <f t="shared" si="6"/>
        <v>100% LTT</v>
      </c>
      <c r="O11" s="35"/>
    </row>
    <row r="12" spans="1:15" ht="19.5" customHeight="1" x14ac:dyDescent="0.3">
      <c r="A12" s="15">
        <f t="shared" si="3"/>
        <v>6</v>
      </c>
      <c r="B12" s="16" t="s">
        <v>54</v>
      </c>
      <c r="C12" s="15" t="s">
        <v>19</v>
      </c>
      <c r="D12" s="15"/>
      <c r="E12" s="15"/>
      <c r="F12" s="15"/>
      <c r="G12" s="15">
        <f t="shared" si="0"/>
        <v>0</v>
      </c>
      <c r="H12" s="15">
        <f t="shared" si="0"/>
        <v>0</v>
      </c>
      <c r="I12" s="15">
        <f t="shared" si="1"/>
        <v>0</v>
      </c>
      <c r="J12" s="15">
        <f t="shared" si="4"/>
        <v>0</v>
      </c>
      <c r="K12" s="15"/>
      <c r="L12" s="15">
        <f t="shared" si="2"/>
        <v>100</v>
      </c>
      <c r="M12" s="15" t="str">
        <f t="shared" si="5"/>
        <v>A</v>
      </c>
      <c r="N12" s="15" t="str">
        <f t="shared" si="6"/>
        <v>100% LTT</v>
      </c>
      <c r="O12" s="35"/>
    </row>
    <row r="13" spans="1:15" ht="19.5" customHeight="1" x14ac:dyDescent="0.3">
      <c r="A13" s="15">
        <f t="shared" si="3"/>
        <v>7</v>
      </c>
      <c r="B13" s="18" t="s">
        <v>11</v>
      </c>
      <c r="C13" s="17" t="s">
        <v>51</v>
      </c>
      <c r="D13" s="17">
        <v>6</v>
      </c>
      <c r="E13" s="17"/>
      <c r="F13" s="17"/>
      <c r="G13" s="17">
        <f t="shared" si="0"/>
        <v>2</v>
      </c>
      <c r="H13" s="17">
        <f t="shared" si="0"/>
        <v>0</v>
      </c>
      <c r="I13" s="17">
        <f t="shared" si="1"/>
        <v>0</v>
      </c>
      <c r="J13" s="17">
        <f t="shared" si="4"/>
        <v>2</v>
      </c>
      <c r="K13" s="17">
        <v>2</v>
      </c>
      <c r="L13" s="15">
        <f t="shared" si="2"/>
        <v>96</v>
      </c>
      <c r="M13" s="17" t="str">
        <f t="shared" si="5"/>
        <v>A</v>
      </c>
      <c r="N13" s="17" t="str">
        <f t="shared" si="6"/>
        <v>100% LTT</v>
      </c>
      <c r="O13" s="35"/>
    </row>
    <row r="14" spans="1:15" ht="19.5" customHeight="1" x14ac:dyDescent="0.3">
      <c r="A14" s="184" t="s">
        <v>16</v>
      </c>
      <c r="B14" s="184"/>
      <c r="C14" s="18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5" ht="19.5" customHeight="1" x14ac:dyDescent="0.3">
      <c r="A15" s="17">
        <f>A13+1</f>
        <v>8</v>
      </c>
      <c r="B15" s="18" t="s">
        <v>28</v>
      </c>
      <c r="C15" s="17" t="s">
        <v>121</v>
      </c>
      <c r="D15" s="4"/>
      <c r="E15" s="17"/>
      <c r="F15" s="17"/>
      <c r="G15" s="17">
        <f t="shared" ref="G15:H15" si="7">IF(D15&gt;5,(D15-5)*2,0)</f>
        <v>0</v>
      </c>
      <c r="H15" s="17">
        <f t="shared" si="7"/>
        <v>0</v>
      </c>
      <c r="I15" s="17">
        <f t="shared" ref="I15" si="8">IF(F15&gt;2,(F15-2)*1,0)</f>
        <v>0</v>
      </c>
      <c r="J15" s="17">
        <f t="shared" ref="J15" si="9">SUM(G15:I15)</f>
        <v>0</v>
      </c>
      <c r="K15" s="17"/>
      <c r="L15" s="17">
        <f>100-J15-K15</f>
        <v>100</v>
      </c>
      <c r="M15" s="17" t="str">
        <f t="shared" ref="M15" si="10">IF(L15&lt;71,"KL",IF(AND(L15&gt;=71,L15&lt;81),"C",IF(AND(L15&gt;=81,L15&lt;91),"B","A")))</f>
        <v>A</v>
      </c>
      <c r="N15" s="17" t="str">
        <f t="shared" ref="N15" si="11">IF(M15="A","100% LTT",IF(M15="B","90% LTT",IF(M15="C","80% LTT","60% LTT")))</f>
        <v>100% LTT</v>
      </c>
    </row>
    <row r="16" spans="1:15" ht="19.5" customHeight="1" x14ac:dyDescent="0.3">
      <c r="A16" s="184" t="s">
        <v>17</v>
      </c>
      <c r="B16" s="184"/>
      <c r="C16" s="18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ht="19.5" customHeight="1" x14ac:dyDescent="0.3">
      <c r="A17" s="15">
        <f>A15+1</f>
        <v>9</v>
      </c>
      <c r="B17" s="16" t="s">
        <v>13</v>
      </c>
      <c r="C17" s="15" t="s">
        <v>101</v>
      </c>
      <c r="D17" s="15"/>
      <c r="E17" s="15"/>
      <c r="F17" s="15"/>
      <c r="G17" s="15">
        <f t="shared" ref="G17:H25" si="12">IF(D17&gt;5,(D17-5)*2,0)</f>
        <v>0</v>
      </c>
      <c r="H17" s="15">
        <f t="shared" si="12"/>
        <v>0</v>
      </c>
      <c r="I17" s="15">
        <f t="shared" ref="I17:I25" si="13">IF(F17&gt;2,(F17-2)*1,0)</f>
        <v>0</v>
      </c>
      <c r="J17" s="15">
        <f t="shared" ref="J17:J25" si="14">SUM(G17:I17)</f>
        <v>0</v>
      </c>
      <c r="K17" s="15"/>
      <c r="L17" s="15">
        <f>100-J17-K17</f>
        <v>100</v>
      </c>
      <c r="M17" s="15"/>
      <c r="N17" s="15" t="s">
        <v>155</v>
      </c>
    </row>
    <row r="18" spans="1:14" ht="19.5" customHeight="1" x14ac:dyDescent="0.3">
      <c r="A18" s="15">
        <f t="shared" ref="A18:A25" si="15">A17+1</f>
        <v>10</v>
      </c>
      <c r="B18" s="16" t="s">
        <v>14</v>
      </c>
      <c r="C18" s="15" t="s">
        <v>19</v>
      </c>
      <c r="D18" s="15">
        <v>2</v>
      </c>
      <c r="E18" s="15"/>
      <c r="F18" s="15">
        <v>1</v>
      </c>
      <c r="G18" s="15">
        <f t="shared" si="12"/>
        <v>0</v>
      </c>
      <c r="H18" s="15">
        <f t="shared" si="12"/>
        <v>0</v>
      </c>
      <c r="I18" s="15">
        <f t="shared" si="13"/>
        <v>0</v>
      </c>
      <c r="J18" s="15">
        <f t="shared" si="14"/>
        <v>0</v>
      </c>
      <c r="K18" s="15">
        <v>5</v>
      </c>
      <c r="L18" s="15">
        <f t="shared" ref="L18:L25" si="16">100-J18-K18</f>
        <v>95</v>
      </c>
      <c r="M18" s="15" t="str">
        <f t="shared" ref="M18:M25" si="17">IF(L18&lt;71,"KL",IF(AND(L18&gt;=71,L18&lt;81),"C",IF(AND(L18&gt;=81,L18&lt;91),"B","A")))</f>
        <v>A</v>
      </c>
      <c r="N18" s="15" t="str">
        <f t="shared" ref="N18:N25" si="18">IF(M18="A","100% LTT",IF(M18="B","90% LTT",IF(M18="C","80% LTT","60% LTT")))</f>
        <v>100% LTT</v>
      </c>
    </row>
    <row r="19" spans="1:14" ht="19.5" customHeight="1" x14ac:dyDescent="0.3">
      <c r="A19" s="15">
        <f t="shared" si="15"/>
        <v>11</v>
      </c>
      <c r="B19" s="16" t="s">
        <v>40</v>
      </c>
      <c r="C19" s="15" t="s">
        <v>19</v>
      </c>
      <c r="D19" s="15"/>
      <c r="E19" s="15"/>
      <c r="F19" s="15"/>
      <c r="G19" s="15">
        <f t="shared" si="12"/>
        <v>0</v>
      </c>
      <c r="H19" s="15">
        <f t="shared" si="12"/>
        <v>0</v>
      </c>
      <c r="I19" s="15">
        <f t="shared" si="13"/>
        <v>0</v>
      </c>
      <c r="J19" s="15">
        <f t="shared" si="14"/>
        <v>0</v>
      </c>
      <c r="K19" s="15">
        <v>4</v>
      </c>
      <c r="L19" s="15">
        <f>100-J19-K19</f>
        <v>96</v>
      </c>
      <c r="M19" s="15" t="str">
        <f t="shared" si="17"/>
        <v>A</v>
      </c>
      <c r="N19" s="15" t="str">
        <f t="shared" si="18"/>
        <v>100% LTT</v>
      </c>
    </row>
    <row r="20" spans="1:14" ht="19.5" customHeight="1" x14ac:dyDescent="0.3">
      <c r="A20" s="15">
        <f t="shared" si="15"/>
        <v>12</v>
      </c>
      <c r="B20" s="16" t="s">
        <v>130</v>
      </c>
      <c r="C20" s="15" t="s">
        <v>131</v>
      </c>
      <c r="D20" s="15"/>
      <c r="E20" s="15"/>
      <c r="F20" s="15"/>
      <c r="G20" s="15">
        <f t="shared" si="12"/>
        <v>0</v>
      </c>
      <c r="H20" s="15">
        <f t="shared" si="12"/>
        <v>0</v>
      </c>
      <c r="I20" s="15">
        <f t="shared" si="13"/>
        <v>0</v>
      </c>
      <c r="J20" s="15">
        <f t="shared" si="14"/>
        <v>0</v>
      </c>
      <c r="K20" s="15">
        <v>5</v>
      </c>
      <c r="L20" s="15">
        <f t="shared" ref="L20:L21" si="19">100-J20-K20</f>
        <v>95</v>
      </c>
      <c r="M20" s="15" t="str">
        <f t="shared" si="17"/>
        <v>A</v>
      </c>
      <c r="N20" s="15" t="str">
        <f t="shared" si="18"/>
        <v>100% LTT</v>
      </c>
    </row>
    <row r="21" spans="1:14" ht="19.5" customHeight="1" x14ac:dyDescent="0.3">
      <c r="A21" s="15">
        <f t="shared" si="15"/>
        <v>13</v>
      </c>
      <c r="B21" s="16" t="s">
        <v>98</v>
      </c>
      <c r="C21" s="15" t="s">
        <v>102</v>
      </c>
      <c r="D21" s="15"/>
      <c r="E21" s="15"/>
      <c r="F21" s="15"/>
      <c r="G21" s="15">
        <f t="shared" si="12"/>
        <v>0</v>
      </c>
      <c r="H21" s="15">
        <f t="shared" si="12"/>
        <v>0</v>
      </c>
      <c r="I21" s="15">
        <f t="shared" si="13"/>
        <v>0</v>
      </c>
      <c r="J21" s="15">
        <f t="shared" si="14"/>
        <v>0</v>
      </c>
      <c r="K21" s="15">
        <v>8</v>
      </c>
      <c r="L21" s="15">
        <f t="shared" si="19"/>
        <v>92</v>
      </c>
      <c r="M21" s="15" t="str">
        <f t="shared" si="17"/>
        <v>A</v>
      </c>
      <c r="N21" s="15" t="str">
        <f t="shared" si="18"/>
        <v>100% LTT</v>
      </c>
    </row>
    <row r="22" spans="1:14" ht="19.5" customHeight="1" x14ac:dyDescent="0.3">
      <c r="A22" s="15">
        <f t="shared" si="15"/>
        <v>14</v>
      </c>
      <c r="B22" s="16" t="s">
        <v>99</v>
      </c>
      <c r="C22" s="15" t="s">
        <v>102</v>
      </c>
      <c r="D22" s="15"/>
      <c r="E22" s="15"/>
      <c r="F22" s="15"/>
      <c r="G22" s="15">
        <f t="shared" si="12"/>
        <v>0</v>
      </c>
      <c r="H22" s="15">
        <f t="shared" si="12"/>
        <v>0</v>
      </c>
      <c r="I22" s="15">
        <f t="shared" si="13"/>
        <v>0</v>
      </c>
      <c r="J22" s="15">
        <f t="shared" si="14"/>
        <v>0</v>
      </c>
      <c r="K22" s="15">
        <v>2</v>
      </c>
      <c r="L22" s="15">
        <f t="shared" si="16"/>
        <v>98</v>
      </c>
      <c r="M22" s="15" t="str">
        <f t="shared" si="17"/>
        <v>A</v>
      </c>
      <c r="N22" s="15" t="str">
        <f t="shared" si="18"/>
        <v>100% LTT</v>
      </c>
    </row>
    <row r="23" spans="1:14" ht="19.5" customHeight="1" x14ac:dyDescent="0.3">
      <c r="A23" s="15">
        <f t="shared" si="15"/>
        <v>15</v>
      </c>
      <c r="B23" s="16" t="s">
        <v>152</v>
      </c>
      <c r="C23" s="15" t="s">
        <v>153</v>
      </c>
      <c r="D23" s="15"/>
      <c r="E23" s="15"/>
      <c r="F23" s="15"/>
      <c r="G23" s="15">
        <f t="shared" si="12"/>
        <v>0</v>
      </c>
      <c r="H23" s="15">
        <f t="shared" si="12"/>
        <v>0</v>
      </c>
      <c r="I23" s="15">
        <f t="shared" si="13"/>
        <v>0</v>
      </c>
      <c r="J23" s="15">
        <f t="shared" si="14"/>
        <v>0</v>
      </c>
      <c r="K23" s="15">
        <v>8</v>
      </c>
      <c r="L23" s="15">
        <f t="shared" si="16"/>
        <v>92</v>
      </c>
      <c r="M23" s="15" t="str">
        <f t="shared" si="17"/>
        <v>A</v>
      </c>
      <c r="N23" s="15" t="str">
        <f t="shared" si="18"/>
        <v>100% LTT</v>
      </c>
    </row>
    <row r="24" spans="1:14" ht="19.5" customHeight="1" x14ac:dyDescent="0.3">
      <c r="A24" s="15">
        <f t="shared" si="15"/>
        <v>16</v>
      </c>
      <c r="B24" s="16" t="s">
        <v>100</v>
      </c>
      <c r="C24" s="15" t="s">
        <v>102</v>
      </c>
      <c r="D24" s="15"/>
      <c r="E24" s="15"/>
      <c r="F24" s="15"/>
      <c r="G24" s="15">
        <f t="shared" si="12"/>
        <v>0</v>
      </c>
      <c r="H24" s="15">
        <f t="shared" si="12"/>
        <v>0</v>
      </c>
      <c r="I24" s="15">
        <f t="shared" si="13"/>
        <v>0</v>
      </c>
      <c r="J24" s="15">
        <f t="shared" si="14"/>
        <v>0</v>
      </c>
      <c r="K24" s="15">
        <v>5</v>
      </c>
      <c r="L24" s="15">
        <f t="shared" si="16"/>
        <v>95</v>
      </c>
      <c r="M24" s="15" t="str">
        <f t="shared" si="17"/>
        <v>A</v>
      </c>
      <c r="N24" s="15" t="str">
        <f t="shared" si="18"/>
        <v>100% LTT</v>
      </c>
    </row>
    <row r="25" spans="1:14" ht="19.5" customHeight="1" x14ac:dyDescent="0.3">
      <c r="A25" s="15">
        <f t="shared" si="15"/>
        <v>17</v>
      </c>
      <c r="B25" s="18" t="s">
        <v>116</v>
      </c>
      <c r="C25" s="17" t="s">
        <v>107</v>
      </c>
      <c r="D25" s="17"/>
      <c r="E25" s="17"/>
      <c r="F25" s="17"/>
      <c r="G25" s="15">
        <f t="shared" si="12"/>
        <v>0</v>
      </c>
      <c r="H25" s="15">
        <f t="shared" si="12"/>
        <v>0</v>
      </c>
      <c r="I25" s="15">
        <f t="shared" si="13"/>
        <v>0</v>
      </c>
      <c r="J25" s="15">
        <f t="shared" si="14"/>
        <v>0</v>
      </c>
      <c r="K25" s="17">
        <v>8</v>
      </c>
      <c r="L25" s="15">
        <f t="shared" si="16"/>
        <v>92</v>
      </c>
      <c r="M25" s="15" t="str">
        <f t="shared" si="17"/>
        <v>A</v>
      </c>
      <c r="N25" s="17" t="str">
        <f t="shared" si="18"/>
        <v>100% LTT</v>
      </c>
    </row>
    <row r="26" spans="1:14" ht="22.5" customHeight="1" x14ac:dyDescent="0.3">
      <c r="A26" s="180" t="s">
        <v>60</v>
      </c>
      <c r="B26" s="180"/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0"/>
      <c r="N26" s="180"/>
    </row>
    <row r="27" spans="1:14" ht="22.5" customHeight="1" x14ac:dyDescent="0.3">
      <c r="J27" s="185" t="s">
        <v>144</v>
      </c>
      <c r="K27" s="185"/>
      <c r="L27" s="185"/>
      <c r="M27" s="185"/>
      <c r="N27" s="185"/>
    </row>
    <row r="28" spans="1:14" ht="22.5" customHeight="1" x14ac:dyDescent="0.3">
      <c r="B28" s="178" t="s">
        <v>22</v>
      </c>
      <c r="C28" s="178"/>
      <c r="D28" s="178"/>
      <c r="L28" s="178" t="s">
        <v>25</v>
      </c>
      <c r="M28" s="178"/>
      <c r="N28" s="178"/>
    </row>
    <row r="29" spans="1:14" ht="22.5" customHeight="1" x14ac:dyDescent="0.3">
      <c r="L29" s="133"/>
      <c r="M29" s="133"/>
    </row>
    <row r="30" spans="1:14" ht="22.5" customHeight="1" x14ac:dyDescent="0.3">
      <c r="L30" s="133"/>
      <c r="M30" s="133"/>
    </row>
    <row r="31" spans="1:14" ht="22.5" customHeight="1" x14ac:dyDescent="0.3">
      <c r="L31" s="133"/>
      <c r="M31" s="133"/>
    </row>
    <row r="32" spans="1:14" ht="22.5" customHeight="1" x14ac:dyDescent="0.3">
      <c r="B32" s="178" t="s">
        <v>28</v>
      </c>
      <c r="C32" s="178"/>
      <c r="D32" s="178"/>
      <c r="L32" s="178" t="s">
        <v>27</v>
      </c>
      <c r="M32" s="178"/>
      <c r="N32" s="178"/>
    </row>
    <row r="33" spans="3:4" ht="22.5" customHeight="1" x14ac:dyDescent="0.3">
      <c r="C33" s="1"/>
      <c r="D33" s="1"/>
    </row>
  </sheetData>
  <mergeCells count="25">
    <mergeCell ref="B32:D32"/>
    <mergeCell ref="L32:N32"/>
    <mergeCell ref="A6:C6"/>
    <mergeCell ref="A14:C14"/>
    <mergeCell ref="A16:C16"/>
    <mergeCell ref="A26:N26"/>
    <mergeCell ref="J27:N27"/>
    <mergeCell ref="B28:D28"/>
    <mergeCell ref="L28:N28"/>
    <mergeCell ref="O4:O5"/>
    <mergeCell ref="A1:N1"/>
    <mergeCell ref="A2:N2"/>
    <mergeCell ref="A3:N3"/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L4:L5"/>
    <mergeCell ref="M4:M5"/>
    <mergeCell ref="N4:N5"/>
  </mergeCells>
  <pageMargins left="0.2" right="0.26" top="0.36" bottom="0.33" header="0.3" footer="0.3"/>
  <pageSetup scale="70" orientation="landscape" verticalDpi="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zoomScale="70" zoomScaleNormal="70" workbookViewId="0">
      <pane xSplit="2" ySplit="6" topLeftCell="C7" activePane="bottomRight" state="frozen"/>
      <selection pane="topRight" activeCell="C1" sqref="C1"/>
      <selection pane="bottomLeft" activeCell="A7" sqref="A7"/>
      <selection pane="bottomRight" sqref="A1:XFD1048576"/>
    </sheetView>
  </sheetViews>
  <sheetFormatPr defaultColWidth="9.109375" defaultRowHeight="16.8" x14ac:dyDescent="0.3"/>
  <cols>
    <col min="1" max="1" width="6.109375" style="2" customWidth="1"/>
    <col min="2" max="2" width="27.5546875" style="1" customWidth="1"/>
    <col min="3" max="3" width="22" style="2" customWidth="1"/>
    <col min="4" max="6" width="11.33203125" style="2" customWidth="1"/>
    <col min="7" max="9" width="12.33203125" style="2" customWidth="1"/>
    <col min="10" max="10" width="12.44140625" style="2" customWidth="1"/>
    <col min="11" max="11" width="11.33203125" style="2" customWidth="1"/>
    <col min="12" max="12" width="12.109375" style="2" customWidth="1"/>
    <col min="13" max="13" width="9.44140625" style="2" customWidth="1"/>
    <col min="14" max="14" width="15" style="2" customWidth="1"/>
    <col min="15" max="15" width="53.88671875" style="2" customWidth="1"/>
    <col min="16" max="16384" width="9.109375" style="1"/>
  </cols>
  <sheetData>
    <row r="1" spans="1:15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5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</row>
    <row r="3" spans="1:15" ht="22.5" customHeight="1" x14ac:dyDescent="0.3">
      <c r="A3" s="179" t="s">
        <v>156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</row>
    <row r="4" spans="1:15" s="3" customFormat="1" ht="22.5" customHeight="1" x14ac:dyDescent="0.3">
      <c r="A4" s="180" t="s">
        <v>0</v>
      </c>
      <c r="B4" s="180" t="s">
        <v>1</v>
      </c>
      <c r="C4" s="180" t="s">
        <v>2</v>
      </c>
      <c r="D4" s="180" t="s">
        <v>23</v>
      </c>
      <c r="E4" s="180"/>
      <c r="F4" s="180"/>
      <c r="G4" s="181" t="s">
        <v>29</v>
      </c>
      <c r="H4" s="181" t="s">
        <v>30</v>
      </c>
      <c r="I4" s="181" t="s">
        <v>31</v>
      </c>
      <c r="J4" s="181" t="s">
        <v>96</v>
      </c>
      <c r="K4" s="181" t="s">
        <v>97</v>
      </c>
      <c r="L4" s="180" t="s">
        <v>6</v>
      </c>
      <c r="M4" s="180" t="s">
        <v>7</v>
      </c>
      <c r="N4" s="180" t="s">
        <v>8</v>
      </c>
      <c r="O4" s="183"/>
    </row>
    <row r="5" spans="1:15" s="3" customFormat="1" ht="49.8" customHeight="1" x14ac:dyDescent="0.3">
      <c r="A5" s="180"/>
      <c r="B5" s="180"/>
      <c r="C5" s="180"/>
      <c r="D5" s="136" t="s">
        <v>3</v>
      </c>
      <c r="E5" s="136" t="s">
        <v>4</v>
      </c>
      <c r="F5" s="136" t="s">
        <v>5</v>
      </c>
      <c r="G5" s="182"/>
      <c r="H5" s="182"/>
      <c r="I5" s="182"/>
      <c r="J5" s="182"/>
      <c r="K5" s="182"/>
      <c r="L5" s="180"/>
      <c r="M5" s="180"/>
      <c r="N5" s="180"/>
      <c r="O5" s="183"/>
    </row>
    <row r="6" spans="1:15" ht="19.5" customHeight="1" x14ac:dyDescent="0.3">
      <c r="A6" s="184" t="s">
        <v>15</v>
      </c>
      <c r="B6" s="184"/>
      <c r="C6" s="18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5" ht="19.5" customHeight="1" x14ac:dyDescent="0.3">
      <c r="A7" s="15">
        <v>1</v>
      </c>
      <c r="B7" s="16" t="s">
        <v>49</v>
      </c>
      <c r="C7" s="15" t="s">
        <v>19</v>
      </c>
      <c r="D7" s="15">
        <v>2</v>
      </c>
      <c r="E7" s="15"/>
      <c r="F7" s="15">
        <v>3</v>
      </c>
      <c r="G7" s="15">
        <f t="shared" ref="G7:H13" si="0">IF(D7&gt;5,(D7-5)*2,0)</f>
        <v>0</v>
      </c>
      <c r="H7" s="15">
        <f t="shared" si="0"/>
        <v>0</v>
      </c>
      <c r="I7" s="15">
        <f t="shared" ref="I7:I13" si="1">IF(F7&gt;2,(F7-2)*1,0)</f>
        <v>1</v>
      </c>
      <c r="J7" s="15">
        <f>SUM(G7:I7)</f>
        <v>1</v>
      </c>
      <c r="K7" s="15"/>
      <c r="L7" s="15">
        <f t="shared" ref="L7:L13" si="2">100-J7-K7</f>
        <v>99</v>
      </c>
      <c r="M7" s="15" t="str">
        <f>IF(L7&lt;71,"KL",IF(AND(L7&gt;=71,L7&lt;81),"C",IF(AND(L7&gt;=81,L7&lt;91),"B","A")))</f>
        <v>A</v>
      </c>
      <c r="N7" s="15" t="str">
        <f>IF(M7="A","100% LTT",IF(M7="B","90% LTT",IF(M7="C","80% LTT","60% LTT")))</f>
        <v>100% LTT</v>
      </c>
      <c r="O7" s="11" t="s">
        <v>33</v>
      </c>
    </row>
    <row r="8" spans="1:15" ht="19.5" customHeight="1" x14ac:dyDescent="0.3">
      <c r="A8" s="15">
        <f t="shared" ref="A8:A13" si="3">A7+1</f>
        <v>2</v>
      </c>
      <c r="B8" s="16" t="s">
        <v>52</v>
      </c>
      <c r="C8" s="15" t="s">
        <v>19</v>
      </c>
      <c r="D8" s="15"/>
      <c r="E8" s="15"/>
      <c r="F8" s="15"/>
      <c r="G8" s="15">
        <f t="shared" si="0"/>
        <v>0</v>
      </c>
      <c r="H8" s="15">
        <f t="shared" si="0"/>
        <v>0</v>
      </c>
      <c r="I8" s="15">
        <f t="shared" si="1"/>
        <v>0</v>
      </c>
      <c r="J8" s="15">
        <f t="shared" ref="J8:J13" si="4">SUM(G8:I8)</f>
        <v>0</v>
      </c>
      <c r="K8" s="15"/>
      <c r="L8" s="15">
        <f t="shared" si="2"/>
        <v>100</v>
      </c>
      <c r="M8" s="15" t="str">
        <f t="shared" ref="M8:M13" si="5">IF(L8&lt;71,"KL",IF(AND(L8&gt;=71,L8&lt;81),"C",IF(AND(L8&gt;=81,L8&lt;91),"B","A")))</f>
        <v>A</v>
      </c>
      <c r="N8" s="15" t="str">
        <f t="shared" ref="N8:N13" si="6">IF(M8="A","100% LTT",IF(M8="B","90% LTT",IF(M8="C","80% LTT","60% LTT")))</f>
        <v>100% LTT</v>
      </c>
      <c r="O8" s="34"/>
    </row>
    <row r="9" spans="1:15" ht="19.5" customHeight="1" x14ac:dyDescent="0.3">
      <c r="A9" s="15">
        <f t="shared" si="3"/>
        <v>3</v>
      </c>
      <c r="B9" s="16" t="s">
        <v>57</v>
      </c>
      <c r="C9" s="15" t="s">
        <v>19</v>
      </c>
      <c r="D9" s="15"/>
      <c r="E9" s="15"/>
      <c r="F9" s="15"/>
      <c r="G9" s="15">
        <f t="shared" si="0"/>
        <v>0</v>
      </c>
      <c r="H9" s="15">
        <f t="shared" si="0"/>
        <v>0</v>
      </c>
      <c r="I9" s="15">
        <f t="shared" si="1"/>
        <v>0</v>
      </c>
      <c r="J9" s="15">
        <f t="shared" si="4"/>
        <v>0</v>
      </c>
      <c r="K9" s="15"/>
      <c r="L9" s="15">
        <f t="shared" si="2"/>
        <v>100</v>
      </c>
      <c r="M9" s="15" t="str">
        <f t="shared" si="5"/>
        <v>A</v>
      </c>
      <c r="N9" s="15" t="str">
        <f t="shared" si="6"/>
        <v>100% LTT</v>
      </c>
      <c r="O9" s="35"/>
    </row>
    <row r="10" spans="1:15" ht="19.5" customHeight="1" x14ac:dyDescent="0.3">
      <c r="A10" s="15">
        <f t="shared" si="3"/>
        <v>4</v>
      </c>
      <c r="B10" s="16" t="s">
        <v>59</v>
      </c>
      <c r="C10" s="15" t="s">
        <v>19</v>
      </c>
      <c r="D10" s="15"/>
      <c r="E10" s="15"/>
      <c r="F10" s="15"/>
      <c r="G10" s="15">
        <f t="shared" si="0"/>
        <v>0</v>
      </c>
      <c r="H10" s="15">
        <f t="shared" si="0"/>
        <v>0</v>
      </c>
      <c r="I10" s="15">
        <f t="shared" si="1"/>
        <v>0</v>
      </c>
      <c r="J10" s="15">
        <f t="shared" si="4"/>
        <v>0</v>
      </c>
      <c r="K10" s="15"/>
      <c r="L10" s="15">
        <f t="shared" si="2"/>
        <v>100</v>
      </c>
      <c r="M10" s="15" t="str">
        <f t="shared" si="5"/>
        <v>A</v>
      </c>
      <c r="N10" s="15" t="str">
        <f t="shared" si="6"/>
        <v>100% LTT</v>
      </c>
      <c r="O10" s="35"/>
    </row>
    <row r="11" spans="1:15" ht="19.5" customHeight="1" x14ac:dyDescent="0.3">
      <c r="A11" s="15">
        <f t="shared" si="3"/>
        <v>5</v>
      </c>
      <c r="B11" s="16" t="s">
        <v>53</v>
      </c>
      <c r="C11" s="15" t="s">
        <v>19</v>
      </c>
      <c r="D11" s="15"/>
      <c r="E11" s="15"/>
      <c r="F11" s="15"/>
      <c r="G11" s="15">
        <f t="shared" si="0"/>
        <v>0</v>
      </c>
      <c r="H11" s="15">
        <f t="shared" si="0"/>
        <v>0</v>
      </c>
      <c r="I11" s="15">
        <f t="shared" si="1"/>
        <v>0</v>
      </c>
      <c r="J11" s="15">
        <f t="shared" si="4"/>
        <v>0</v>
      </c>
      <c r="K11" s="15"/>
      <c r="L11" s="15">
        <f t="shared" si="2"/>
        <v>100</v>
      </c>
      <c r="M11" s="15" t="str">
        <f t="shared" si="5"/>
        <v>A</v>
      </c>
      <c r="N11" s="15" t="str">
        <f t="shared" si="6"/>
        <v>100% LTT</v>
      </c>
      <c r="O11" s="35"/>
    </row>
    <row r="12" spans="1:15" ht="19.5" customHeight="1" x14ac:dyDescent="0.3">
      <c r="A12" s="15">
        <f t="shared" si="3"/>
        <v>6</v>
      </c>
      <c r="B12" s="16" t="s">
        <v>54</v>
      </c>
      <c r="C12" s="15" t="s">
        <v>19</v>
      </c>
      <c r="D12" s="15"/>
      <c r="E12" s="15"/>
      <c r="F12" s="15"/>
      <c r="G12" s="15">
        <f t="shared" si="0"/>
        <v>0</v>
      </c>
      <c r="H12" s="15">
        <f t="shared" si="0"/>
        <v>0</v>
      </c>
      <c r="I12" s="15">
        <f t="shared" si="1"/>
        <v>0</v>
      </c>
      <c r="J12" s="15">
        <f t="shared" si="4"/>
        <v>0</v>
      </c>
      <c r="K12" s="15"/>
      <c r="L12" s="15">
        <f t="shared" si="2"/>
        <v>100</v>
      </c>
      <c r="M12" s="15" t="str">
        <f t="shared" si="5"/>
        <v>A</v>
      </c>
      <c r="N12" s="15" t="str">
        <f t="shared" si="6"/>
        <v>100% LTT</v>
      </c>
      <c r="O12" s="35"/>
    </row>
    <row r="13" spans="1:15" ht="19.5" customHeight="1" x14ac:dyDescent="0.3">
      <c r="A13" s="15">
        <f t="shared" si="3"/>
        <v>7</v>
      </c>
      <c r="B13" s="18" t="s">
        <v>11</v>
      </c>
      <c r="C13" s="17" t="s">
        <v>51</v>
      </c>
      <c r="D13" s="17">
        <v>5</v>
      </c>
      <c r="E13" s="17"/>
      <c r="F13" s="17">
        <v>3</v>
      </c>
      <c r="G13" s="17">
        <f t="shared" si="0"/>
        <v>0</v>
      </c>
      <c r="H13" s="17">
        <f t="shared" si="0"/>
        <v>0</v>
      </c>
      <c r="I13" s="17">
        <f t="shared" si="1"/>
        <v>1</v>
      </c>
      <c r="J13" s="17">
        <f t="shared" si="4"/>
        <v>1</v>
      </c>
      <c r="K13" s="17">
        <v>2</v>
      </c>
      <c r="L13" s="15">
        <f t="shared" si="2"/>
        <v>97</v>
      </c>
      <c r="M13" s="17" t="str">
        <f t="shared" si="5"/>
        <v>A</v>
      </c>
      <c r="N13" s="17" t="str">
        <f t="shared" si="6"/>
        <v>100% LTT</v>
      </c>
      <c r="O13" s="35"/>
    </row>
    <row r="14" spans="1:15" ht="19.5" customHeight="1" x14ac:dyDescent="0.3">
      <c r="A14" s="184" t="s">
        <v>16</v>
      </c>
      <c r="B14" s="184"/>
      <c r="C14" s="18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5" ht="19.5" customHeight="1" x14ac:dyDescent="0.3">
      <c r="A15" s="17">
        <f>A13+1</f>
        <v>8</v>
      </c>
      <c r="B15" s="18" t="s">
        <v>28</v>
      </c>
      <c r="C15" s="17" t="s">
        <v>121</v>
      </c>
      <c r="D15" s="4"/>
      <c r="E15" s="17"/>
      <c r="F15" s="17"/>
      <c r="G15" s="17">
        <f t="shared" ref="G15:H15" si="7">IF(D15&gt;5,(D15-5)*2,0)</f>
        <v>0</v>
      </c>
      <c r="H15" s="17">
        <f t="shared" si="7"/>
        <v>0</v>
      </c>
      <c r="I15" s="17">
        <f t="shared" ref="I15" si="8">IF(F15&gt;2,(F15-2)*1,0)</f>
        <v>0</v>
      </c>
      <c r="J15" s="17">
        <f t="shared" ref="J15" si="9">SUM(G15:I15)</f>
        <v>0</v>
      </c>
      <c r="K15" s="17"/>
      <c r="L15" s="17">
        <f>100-J15-K15</f>
        <v>100</v>
      </c>
      <c r="M15" s="17" t="str">
        <f t="shared" ref="M15" si="10">IF(L15&lt;71,"KL",IF(AND(L15&gt;=71,L15&lt;81),"C",IF(AND(L15&gt;=81,L15&lt;91),"B","A")))</f>
        <v>A</v>
      </c>
      <c r="N15" s="17" t="str">
        <f t="shared" ref="N15" si="11">IF(M15="A","100% LTT",IF(M15="B","90% LTT",IF(M15="C","80% LTT","60% LTT")))</f>
        <v>100% LTT</v>
      </c>
    </row>
    <row r="16" spans="1:15" ht="19.5" customHeight="1" x14ac:dyDescent="0.3">
      <c r="A16" s="184" t="s">
        <v>17</v>
      </c>
      <c r="B16" s="184"/>
      <c r="C16" s="18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ht="19.5" customHeight="1" x14ac:dyDescent="0.3">
      <c r="A17" s="15">
        <f>A15+1</f>
        <v>9</v>
      </c>
      <c r="B17" s="16" t="s">
        <v>13</v>
      </c>
      <c r="C17" s="15" t="s">
        <v>101</v>
      </c>
      <c r="D17" s="15"/>
      <c r="E17" s="15"/>
      <c r="F17" s="15"/>
      <c r="G17" s="15">
        <f t="shared" ref="G17:H25" si="12">IF(D17&gt;5,(D17-5)*2,0)</f>
        <v>0</v>
      </c>
      <c r="H17" s="15">
        <f t="shared" si="12"/>
        <v>0</v>
      </c>
      <c r="I17" s="15">
        <f t="shared" ref="I17:I25" si="13">IF(F17&gt;2,(F17-2)*1,0)</f>
        <v>0</v>
      </c>
      <c r="J17" s="15">
        <f t="shared" ref="J17:J25" si="14">SUM(G17:I17)</f>
        <v>0</v>
      </c>
      <c r="K17" s="15"/>
      <c r="L17" s="15">
        <f>100-J17-K17</f>
        <v>100</v>
      </c>
      <c r="M17" s="15"/>
      <c r="N17" s="15" t="s">
        <v>155</v>
      </c>
    </row>
    <row r="18" spans="1:14" ht="19.5" customHeight="1" x14ac:dyDescent="0.3">
      <c r="A18" s="15">
        <f t="shared" ref="A18:A25" si="15">A17+1</f>
        <v>10</v>
      </c>
      <c r="B18" s="16" t="s">
        <v>14</v>
      </c>
      <c r="C18" s="15" t="s">
        <v>19</v>
      </c>
      <c r="D18" s="15">
        <v>6</v>
      </c>
      <c r="E18" s="15"/>
      <c r="F18" s="15">
        <v>2</v>
      </c>
      <c r="G18" s="15">
        <f t="shared" si="12"/>
        <v>2</v>
      </c>
      <c r="H18" s="15">
        <f t="shared" si="12"/>
        <v>0</v>
      </c>
      <c r="I18" s="15">
        <f t="shared" si="13"/>
        <v>0</v>
      </c>
      <c r="J18" s="15">
        <f t="shared" si="14"/>
        <v>2</v>
      </c>
      <c r="K18" s="15">
        <v>5</v>
      </c>
      <c r="L18" s="15">
        <f t="shared" ref="L18:L25" si="16">100-J18-K18</f>
        <v>93</v>
      </c>
      <c r="M18" s="15" t="str">
        <f t="shared" ref="M18:M25" si="17">IF(L18&lt;71,"KL",IF(AND(L18&gt;=71,L18&lt;81),"C",IF(AND(L18&gt;=81,L18&lt;91),"B","A")))</f>
        <v>A</v>
      </c>
      <c r="N18" s="15" t="str">
        <f t="shared" ref="N18:N25" si="18">IF(M18="A","100% LTT",IF(M18="B","90% LTT",IF(M18="C","80% LTT","60% LTT")))</f>
        <v>100% LTT</v>
      </c>
    </row>
    <row r="19" spans="1:14" ht="19.5" customHeight="1" x14ac:dyDescent="0.3">
      <c r="A19" s="15">
        <f t="shared" si="15"/>
        <v>11</v>
      </c>
      <c r="B19" s="16" t="s">
        <v>40</v>
      </c>
      <c r="C19" s="15" t="s">
        <v>19</v>
      </c>
      <c r="D19" s="15"/>
      <c r="E19" s="15"/>
      <c r="F19" s="15"/>
      <c r="G19" s="15">
        <f t="shared" si="12"/>
        <v>0</v>
      </c>
      <c r="H19" s="15">
        <f t="shared" si="12"/>
        <v>0</v>
      </c>
      <c r="I19" s="15">
        <f t="shared" si="13"/>
        <v>0</v>
      </c>
      <c r="J19" s="15">
        <f t="shared" si="14"/>
        <v>0</v>
      </c>
      <c r="K19" s="15">
        <v>4</v>
      </c>
      <c r="L19" s="15">
        <f>100-J19-K19</f>
        <v>96</v>
      </c>
      <c r="M19" s="15" t="str">
        <f t="shared" si="17"/>
        <v>A</v>
      </c>
      <c r="N19" s="15" t="str">
        <f t="shared" si="18"/>
        <v>100% LTT</v>
      </c>
    </row>
    <row r="20" spans="1:14" ht="19.5" customHeight="1" x14ac:dyDescent="0.3">
      <c r="A20" s="15">
        <f t="shared" si="15"/>
        <v>12</v>
      </c>
      <c r="B20" s="16" t="s">
        <v>130</v>
      </c>
      <c r="C20" s="15" t="s">
        <v>131</v>
      </c>
      <c r="D20" s="15"/>
      <c r="E20" s="15"/>
      <c r="F20" s="15"/>
      <c r="G20" s="15">
        <f t="shared" si="12"/>
        <v>0</v>
      </c>
      <c r="H20" s="15">
        <f t="shared" si="12"/>
        <v>0</v>
      </c>
      <c r="I20" s="15">
        <f t="shared" si="13"/>
        <v>0</v>
      </c>
      <c r="J20" s="15">
        <f t="shared" si="14"/>
        <v>0</v>
      </c>
      <c r="K20" s="15">
        <v>5</v>
      </c>
      <c r="L20" s="15">
        <f t="shared" ref="L20:L21" si="19">100-J20-K20</f>
        <v>95</v>
      </c>
      <c r="M20" s="15" t="str">
        <f t="shared" si="17"/>
        <v>A</v>
      </c>
      <c r="N20" s="15" t="str">
        <f t="shared" si="18"/>
        <v>100% LTT</v>
      </c>
    </row>
    <row r="21" spans="1:14" ht="19.5" customHeight="1" x14ac:dyDescent="0.3">
      <c r="A21" s="15">
        <f t="shared" si="15"/>
        <v>13</v>
      </c>
      <c r="B21" s="16" t="s">
        <v>98</v>
      </c>
      <c r="C21" s="15" t="s">
        <v>102</v>
      </c>
      <c r="D21" s="15"/>
      <c r="E21" s="15"/>
      <c r="F21" s="15"/>
      <c r="G21" s="15">
        <f t="shared" si="12"/>
        <v>0</v>
      </c>
      <c r="H21" s="15">
        <f t="shared" si="12"/>
        <v>0</v>
      </c>
      <c r="I21" s="15">
        <f t="shared" si="13"/>
        <v>0</v>
      </c>
      <c r="J21" s="15">
        <f t="shared" si="14"/>
        <v>0</v>
      </c>
      <c r="K21" s="15">
        <v>8</v>
      </c>
      <c r="L21" s="15">
        <f t="shared" si="19"/>
        <v>92</v>
      </c>
      <c r="M21" s="15" t="str">
        <f t="shared" si="17"/>
        <v>A</v>
      </c>
      <c r="N21" s="15" t="str">
        <f t="shared" si="18"/>
        <v>100% LTT</v>
      </c>
    </row>
    <row r="22" spans="1:14" ht="19.5" customHeight="1" x14ac:dyDescent="0.3">
      <c r="A22" s="15">
        <f t="shared" si="15"/>
        <v>14</v>
      </c>
      <c r="B22" s="16" t="s">
        <v>99</v>
      </c>
      <c r="C22" s="15" t="s">
        <v>102</v>
      </c>
      <c r="D22" s="15"/>
      <c r="E22" s="15"/>
      <c r="F22" s="15"/>
      <c r="G22" s="15">
        <f t="shared" si="12"/>
        <v>0</v>
      </c>
      <c r="H22" s="15">
        <f t="shared" si="12"/>
        <v>0</v>
      </c>
      <c r="I22" s="15">
        <f t="shared" si="13"/>
        <v>0</v>
      </c>
      <c r="J22" s="15">
        <f t="shared" si="14"/>
        <v>0</v>
      </c>
      <c r="K22" s="15">
        <v>6</v>
      </c>
      <c r="L22" s="15">
        <f t="shared" si="16"/>
        <v>94</v>
      </c>
      <c r="M22" s="15" t="str">
        <f t="shared" si="17"/>
        <v>A</v>
      </c>
      <c r="N22" s="15" t="str">
        <f t="shared" si="18"/>
        <v>100% LTT</v>
      </c>
    </row>
    <row r="23" spans="1:14" ht="19.5" customHeight="1" x14ac:dyDescent="0.3">
      <c r="A23" s="15">
        <f t="shared" si="15"/>
        <v>15</v>
      </c>
      <c r="B23" s="16" t="s">
        <v>152</v>
      </c>
      <c r="C23" s="15" t="s">
        <v>153</v>
      </c>
      <c r="D23" s="15"/>
      <c r="E23" s="15"/>
      <c r="F23" s="15"/>
      <c r="G23" s="15">
        <f t="shared" si="12"/>
        <v>0</v>
      </c>
      <c r="H23" s="15">
        <f t="shared" si="12"/>
        <v>0</v>
      </c>
      <c r="I23" s="15">
        <f t="shared" si="13"/>
        <v>0</v>
      </c>
      <c r="J23" s="15">
        <f t="shared" si="14"/>
        <v>0</v>
      </c>
      <c r="K23" s="15">
        <v>8</v>
      </c>
      <c r="L23" s="15">
        <f t="shared" si="16"/>
        <v>92</v>
      </c>
      <c r="M23" s="15" t="str">
        <f t="shared" si="17"/>
        <v>A</v>
      </c>
      <c r="N23" s="15" t="str">
        <f t="shared" si="18"/>
        <v>100% LTT</v>
      </c>
    </row>
    <row r="24" spans="1:14" ht="19.5" customHeight="1" x14ac:dyDescent="0.3">
      <c r="A24" s="15">
        <f t="shared" si="15"/>
        <v>16</v>
      </c>
      <c r="B24" s="16" t="s">
        <v>100</v>
      </c>
      <c r="C24" s="15" t="s">
        <v>102</v>
      </c>
      <c r="D24" s="15"/>
      <c r="E24" s="15"/>
      <c r="F24" s="15"/>
      <c r="G24" s="15">
        <f t="shared" si="12"/>
        <v>0</v>
      </c>
      <c r="H24" s="15">
        <f t="shared" si="12"/>
        <v>0</v>
      </c>
      <c r="I24" s="15">
        <f t="shared" si="13"/>
        <v>0</v>
      </c>
      <c r="J24" s="15">
        <f t="shared" si="14"/>
        <v>0</v>
      </c>
      <c r="K24" s="15">
        <v>4</v>
      </c>
      <c r="L24" s="15">
        <f t="shared" si="16"/>
        <v>96</v>
      </c>
      <c r="M24" s="15" t="str">
        <f t="shared" si="17"/>
        <v>A</v>
      </c>
      <c r="N24" s="15" t="str">
        <f t="shared" si="18"/>
        <v>100% LTT</v>
      </c>
    </row>
    <row r="25" spans="1:14" ht="19.5" customHeight="1" x14ac:dyDescent="0.3">
      <c r="A25" s="15">
        <f t="shared" si="15"/>
        <v>17</v>
      </c>
      <c r="B25" s="18" t="s">
        <v>116</v>
      </c>
      <c r="C25" s="17" t="s">
        <v>107</v>
      </c>
      <c r="D25" s="17"/>
      <c r="E25" s="17"/>
      <c r="F25" s="17"/>
      <c r="G25" s="15">
        <f t="shared" si="12"/>
        <v>0</v>
      </c>
      <c r="H25" s="15">
        <f t="shared" si="12"/>
        <v>0</v>
      </c>
      <c r="I25" s="15">
        <f t="shared" si="13"/>
        <v>0</v>
      </c>
      <c r="J25" s="15">
        <f t="shared" si="14"/>
        <v>0</v>
      </c>
      <c r="K25" s="17">
        <v>8</v>
      </c>
      <c r="L25" s="15">
        <f t="shared" si="16"/>
        <v>92</v>
      </c>
      <c r="M25" s="15" t="str">
        <f t="shared" si="17"/>
        <v>A</v>
      </c>
      <c r="N25" s="17" t="str">
        <f t="shared" si="18"/>
        <v>100% LTT</v>
      </c>
    </row>
    <row r="26" spans="1:14" ht="22.5" customHeight="1" x14ac:dyDescent="0.3">
      <c r="A26" s="180" t="s">
        <v>60</v>
      </c>
      <c r="B26" s="180"/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0"/>
      <c r="N26" s="180"/>
    </row>
    <row r="27" spans="1:14" ht="22.5" customHeight="1" x14ac:dyDescent="0.3">
      <c r="J27" s="185" t="s">
        <v>144</v>
      </c>
      <c r="K27" s="185"/>
      <c r="L27" s="185"/>
      <c r="M27" s="185"/>
      <c r="N27" s="185"/>
    </row>
    <row r="28" spans="1:14" ht="22.5" customHeight="1" x14ac:dyDescent="0.3">
      <c r="B28" s="178" t="s">
        <v>22</v>
      </c>
      <c r="C28" s="178"/>
      <c r="D28" s="178"/>
      <c r="L28" s="178" t="s">
        <v>25</v>
      </c>
      <c r="M28" s="178"/>
      <c r="N28" s="178"/>
    </row>
    <row r="29" spans="1:14" ht="22.5" customHeight="1" x14ac:dyDescent="0.3">
      <c r="L29" s="135"/>
      <c r="M29" s="135"/>
    </row>
    <row r="30" spans="1:14" ht="22.5" customHeight="1" x14ac:dyDescent="0.3">
      <c r="L30" s="135"/>
      <c r="M30" s="135"/>
    </row>
    <row r="31" spans="1:14" ht="22.5" customHeight="1" x14ac:dyDescent="0.3">
      <c r="L31" s="135"/>
      <c r="M31" s="135"/>
    </row>
    <row r="32" spans="1:14" ht="22.5" customHeight="1" x14ac:dyDescent="0.3">
      <c r="B32" s="178" t="s">
        <v>28</v>
      </c>
      <c r="C32" s="178"/>
      <c r="D32" s="178"/>
      <c r="L32" s="178" t="s">
        <v>27</v>
      </c>
      <c r="M32" s="178"/>
      <c r="N32" s="178"/>
    </row>
    <row r="33" spans="3:4" ht="22.5" customHeight="1" x14ac:dyDescent="0.3">
      <c r="C33" s="1"/>
      <c r="D33" s="1"/>
    </row>
  </sheetData>
  <mergeCells count="25">
    <mergeCell ref="O4:O5"/>
    <mergeCell ref="A1:N1"/>
    <mergeCell ref="A2:N2"/>
    <mergeCell ref="A3:N3"/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L4:L5"/>
    <mergeCell ref="M4:M5"/>
    <mergeCell ref="N4:N5"/>
    <mergeCell ref="B32:D32"/>
    <mergeCell ref="L32:N32"/>
    <mergeCell ref="A6:C6"/>
    <mergeCell ref="A14:C14"/>
    <mergeCell ref="A16:C16"/>
    <mergeCell ref="A26:N26"/>
    <mergeCell ref="J27:N27"/>
    <mergeCell ref="B28:D28"/>
    <mergeCell ref="L28:N28"/>
  </mergeCells>
  <pageMargins left="0.31" right="0.26" top="0.38" bottom="0.37" header="0.3" footer="0.3"/>
  <pageSetup scale="70" orientation="landscape" verticalDpi="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workbookViewId="0">
      <pane xSplit="2" ySplit="6" topLeftCell="D43" activePane="bottomRight" state="frozen"/>
      <selection pane="topRight" activeCell="C1" sqref="C1"/>
      <selection pane="bottomLeft" activeCell="A7" sqref="A7"/>
      <selection pane="bottomRight" sqref="A1:XFD1048576"/>
    </sheetView>
  </sheetViews>
  <sheetFormatPr defaultColWidth="9.109375" defaultRowHeight="16.8" x14ac:dyDescent="0.3"/>
  <cols>
    <col min="1" max="1" width="6.109375" style="2" customWidth="1"/>
    <col min="2" max="2" width="27.5546875" style="1" customWidth="1"/>
    <col min="3" max="3" width="22" style="2" customWidth="1"/>
    <col min="4" max="6" width="11.33203125" style="2" customWidth="1"/>
    <col min="7" max="9" width="12.33203125" style="2" customWidth="1"/>
    <col min="10" max="10" width="12.44140625" style="2" customWidth="1"/>
    <col min="11" max="11" width="11.33203125" style="2" customWidth="1"/>
    <col min="12" max="12" width="12.109375" style="2" customWidth="1"/>
    <col min="13" max="13" width="9.44140625" style="2" customWidth="1"/>
    <col min="14" max="14" width="15" style="2" customWidth="1"/>
    <col min="15" max="15" width="53.88671875" style="2" customWidth="1"/>
    <col min="16" max="16384" width="9.109375" style="1"/>
  </cols>
  <sheetData>
    <row r="1" spans="1:15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5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</row>
    <row r="3" spans="1:15" ht="22.5" customHeight="1" x14ac:dyDescent="0.3">
      <c r="A3" s="179" t="s">
        <v>157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</row>
    <row r="4" spans="1:15" s="3" customFormat="1" ht="22.5" customHeight="1" x14ac:dyDescent="0.3">
      <c r="A4" s="180" t="s">
        <v>0</v>
      </c>
      <c r="B4" s="180" t="s">
        <v>1</v>
      </c>
      <c r="C4" s="180" t="s">
        <v>2</v>
      </c>
      <c r="D4" s="180" t="s">
        <v>23</v>
      </c>
      <c r="E4" s="180"/>
      <c r="F4" s="180"/>
      <c r="G4" s="181" t="s">
        <v>29</v>
      </c>
      <c r="H4" s="181" t="s">
        <v>30</v>
      </c>
      <c r="I4" s="181" t="s">
        <v>31</v>
      </c>
      <c r="J4" s="181" t="s">
        <v>96</v>
      </c>
      <c r="K4" s="181" t="s">
        <v>97</v>
      </c>
      <c r="L4" s="180" t="s">
        <v>6</v>
      </c>
      <c r="M4" s="180" t="s">
        <v>7</v>
      </c>
      <c r="N4" s="180" t="s">
        <v>8</v>
      </c>
      <c r="O4" s="183"/>
    </row>
    <row r="5" spans="1:15" s="3" customFormat="1" ht="49.8" customHeight="1" x14ac:dyDescent="0.3">
      <c r="A5" s="180"/>
      <c r="B5" s="180"/>
      <c r="C5" s="180"/>
      <c r="D5" s="138" t="s">
        <v>3</v>
      </c>
      <c r="E5" s="138" t="s">
        <v>4</v>
      </c>
      <c r="F5" s="138" t="s">
        <v>5</v>
      </c>
      <c r="G5" s="182"/>
      <c r="H5" s="182"/>
      <c r="I5" s="182"/>
      <c r="J5" s="182"/>
      <c r="K5" s="182"/>
      <c r="L5" s="180"/>
      <c r="M5" s="180"/>
      <c r="N5" s="180"/>
      <c r="O5" s="183"/>
    </row>
    <row r="6" spans="1:15" ht="19.5" customHeight="1" x14ac:dyDescent="0.3">
      <c r="A6" s="184" t="s">
        <v>15</v>
      </c>
      <c r="B6" s="184"/>
      <c r="C6" s="18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5" ht="19.5" customHeight="1" x14ac:dyDescent="0.3">
      <c r="A7" s="15">
        <v>1</v>
      </c>
      <c r="B7" s="16" t="s">
        <v>49</v>
      </c>
      <c r="C7" s="15" t="s">
        <v>19</v>
      </c>
      <c r="D7" s="15">
        <v>3</v>
      </c>
      <c r="E7" s="15"/>
      <c r="F7" s="15">
        <v>3</v>
      </c>
      <c r="G7" s="15">
        <f t="shared" ref="G7:H13" si="0">IF(D7&gt;5,(D7-5)*2,0)</f>
        <v>0</v>
      </c>
      <c r="H7" s="15">
        <f t="shared" si="0"/>
        <v>0</v>
      </c>
      <c r="I7" s="15">
        <f t="shared" ref="I7:I13" si="1">IF(F7&gt;2,(F7-2)*1,0)</f>
        <v>1</v>
      </c>
      <c r="J7" s="15">
        <f>SUM(G7:I7)</f>
        <v>1</v>
      </c>
      <c r="K7" s="15">
        <v>3</v>
      </c>
      <c r="L7" s="15">
        <f t="shared" ref="L7:L13" si="2">100-J7-K7</f>
        <v>96</v>
      </c>
      <c r="M7" s="15" t="str">
        <f>IF(L7&lt;71,"KL",IF(AND(L7&gt;=71,L7&lt;81),"C",IF(AND(L7&gt;=81,L7&lt;91),"B","A")))</f>
        <v>A</v>
      </c>
      <c r="N7" s="15" t="str">
        <f>IF(M7="A","100% LTT",IF(M7="B","90% LTT",IF(M7="C","80% LTT","60% LTT")))</f>
        <v>100% LTT</v>
      </c>
      <c r="O7" s="11" t="s">
        <v>33</v>
      </c>
    </row>
    <row r="8" spans="1:15" ht="19.5" customHeight="1" x14ac:dyDescent="0.3">
      <c r="A8" s="15">
        <f t="shared" ref="A8:A13" si="3">A7+1</f>
        <v>2</v>
      </c>
      <c r="B8" s="16" t="s">
        <v>52</v>
      </c>
      <c r="C8" s="15" t="s">
        <v>19</v>
      </c>
      <c r="D8" s="15"/>
      <c r="E8" s="15"/>
      <c r="F8" s="15"/>
      <c r="G8" s="15">
        <f t="shared" si="0"/>
        <v>0</v>
      </c>
      <c r="H8" s="15">
        <f t="shared" si="0"/>
        <v>0</v>
      </c>
      <c r="I8" s="15">
        <f t="shared" si="1"/>
        <v>0</v>
      </c>
      <c r="J8" s="15">
        <f t="shared" ref="J8:J13" si="4">SUM(G8:I8)</f>
        <v>0</v>
      </c>
      <c r="K8" s="15"/>
      <c r="L8" s="15">
        <f t="shared" si="2"/>
        <v>100</v>
      </c>
      <c r="M8" s="15" t="str">
        <f t="shared" ref="M8:M13" si="5">IF(L8&lt;71,"KL",IF(AND(L8&gt;=71,L8&lt;81),"C",IF(AND(L8&gt;=81,L8&lt;91),"B","A")))</f>
        <v>A</v>
      </c>
      <c r="N8" s="15" t="str">
        <f t="shared" ref="N8:N13" si="6">IF(M8="A","100% LTT",IF(M8="B","90% LTT",IF(M8="C","80% LTT","60% LTT")))</f>
        <v>100% LTT</v>
      </c>
      <c r="O8" s="34"/>
    </row>
    <row r="9" spans="1:15" ht="19.5" customHeight="1" x14ac:dyDescent="0.3">
      <c r="A9" s="15">
        <f t="shared" si="3"/>
        <v>3</v>
      </c>
      <c r="B9" s="16" t="s">
        <v>57</v>
      </c>
      <c r="C9" s="15" t="s">
        <v>19</v>
      </c>
      <c r="D9" s="15"/>
      <c r="E9" s="15"/>
      <c r="F9" s="15"/>
      <c r="G9" s="15">
        <f t="shared" si="0"/>
        <v>0</v>
      </c>
      <c r="H9" s="15">
        <f t="shared" si="0"/>
        <v>0</v>
      </c>
      <c r="I9" s="15">
        <f t="shared" si="1"/>
        <v>0</v>
      </c>
      <c r="J9" s="15">
        <f t="shared" si="4"/>
        <v>0</v>
      </c>
      <c r="K9" s="15"/>
      <c r="L9" s="15">
        <f t="shared" si="2"/>
        <v>100</v>
      </c>
      <c r="M9" s="15" t="str">
        <f t="shared" si="5"/>
        <v>A</v>
      </c>
      <c r="N9" s="15" t="str">
        <f t="shared" si="6"/>
        <v>100% LTT</v>
      </c>
      <c r="O9" s="35"/>
    </row>
    <row r="10" spans="1:15" ht="19.5" customHeight="1" x14ac:dyDescent="0.3">
      <c r="A10" s="15">
        <f t="shared" si="3"/>
        <v>4</v>
      </c>
      <c r="B10" s="16" t="s">
        <v>59</v>
      </c>
      <c r="C10" s="15" t="s">
        <v>19</v>
      </c>
      <c r="D10" s="15"/>
      <c r="E10" s="15"/>
      <c r="F10" s="15"/>
      <c r="G10" s="15">
        <f t="shared" si="0"/>
        <v>0</v>
      </c>
      <c r="H10" s="15">
        <f t="shared" si="0"/>
        <v>0</v>
      </c>
      <c r="I10" s="15">
        <f t="shared" si="1"/>
        <v>0</v>
      </c>
      <c r="J10" s="15">
        <f t="shared" si="4"/>
        <v>0</v>
      </c>
      <c r="K10" s="15"/>
      <c r="L10" s="15">
        <f t="shared" si="2"/>
        <v>100</v>
      </c>
      <c r="M10" s="15" t="str">
        <f t="shared" si="5"/>
        <v>A</v>
      </c>
      <c r="N10" s="15" t="str">
        <f t="shared" si="6"/>
        <v>100% LTT</v>
      </c>
      <c r="O10" s="35"/>
    </row>
    <row r="11" spans="1:15" ht="19.5" customHeight="1" x14ac:dyDescent="0.3">
      <c r="A11" s="15">
        <f t="shared" si="3"/>
        <v>5</v>
      </c>
      <c r="B11" s="16" t="s">
        <v>53</v>
      </c>
      <c r="C11" s="15" t="s">
        <v>19</v>
      </c>
      <c r="D11" s="15"/>
      <c r="E11" s="15"/>
      <c r="F11" s="15"/>
      <c r="G11" s="15">
        <f t="shared" si="0"/>
        <v>0</v>
      </c>
      <c r="H11" s="15">
        <f t="shared" si="0"/>
        <v>0</v>
      </c>
      <c r="I11" s="15">
        <f t="shared" si="1"/>
        <v>0</v>
      </c>
      <c r="J11" s="15">
        <f t="shared" si="4"/>
        <v>0</v>
      </c>
      <c r="K11" s="15"/>
      <c r="L11" s="15">
        <f t="shared" si="2"/>
        <v>100</v>
      </c>
      <c r="M11" s="15" t="str">
        <f t="shared" si="5"/>
        <v>A</v>
      </c>
      <c r="N11" s="15" t="str">
        <f t="shared" si="6"/>
        <v>100% LTT</v>
      </c>
      <c r="O11" s="35"/>
    </row>
    <row r="12" spans="1:15" ht="19.5" customHeight="1" x14ac:dyDescent="0.3">
      <c r="A12" s="15">
        <f t="shared" si="3"/>
        <v>6</v>
      </c>
      <c r="B12" s="16" t="s">
        <v>54</v>
      </c>
      <c r="C12" s="15" t="s">
        <v>19</v>
      </c>
      <c r="D12" s="15"/>
      <c r="E12" s="15"/>
      <c r="F12" s="15"/>
      <c r="G12" s="15">
        <f t="shared" si="0"/>
        <v>0</v>
      </c>
      <c r="H12" s="15">
        <f t="shared" si="0"/>
        <v>0</v>
      </c>
      <c r="I12" s="15">
        <f t="shared" si="1"/>
        <v>0</v>
      </c>
      <c r="J12" s="15">
        <f t="shared" si="4"/>
        <v>0</v>
      </c>
      <c r="K12" s="15"/>
      <c r="L12" s="15">
        <f t="shared" si="2"/>
        <v>100</v>
      </c>
      <c r="M12" s="15" t="str">
        <f t="shared" si="5"/>
        <v>A</v>
      </c>
      <c r="N12" s="15" t="str">
        <f t="shared" si="6"/>
        <v>100% LTT</v>
      </c>
      <c r="O12" s="35"/>
    </row>
    <row r="13" spans="1:15" ht="19.5" customHeight="1" x14ac:dyDescent="0.3">
      <c r="A13" s="15">
        <f t="shared" si="3"/>
        <v>7</v>
      </c>
      <c r="B13" s="18" t="s">
        <v>11</v>
      </c>
      <c r="C13" s="17" t="s">
        <v>51</v>
      </c>
      <c r="D13" s="17">
        <v>8</v>
      </c>
      <c r="E13" s="17"/>
      <c r="F13" s="17">
        <v>1</v>
      </c>
      <c r="G13" s="17">
        <f t="shared" si="0"/>
        <v>6</v>
      </c>
      <c r="H13" s="17">
        <f t="shared" si="0"/>
        <v>0</v>
      </c>
      <c r="I13" s="17">
        <f t="shared" si="1"/>
        <v>0</v>
      </c>
      <c r="J13" s="17">
        <f t="shared" si="4"/>
        <v>6</v>
      </c>
      <c r="K13" s="17">
        <v>2</v>
      </c>
      <c r="L13" s="15">
        <f t="shared" si="2"/>
        <v>92</v>
      </c>
      <c r="M13" s="17" t="str">
        <f t="shared" si="5"/>
        <v>A</v>
      </c>
      <c r="N13" s="17" t="str">
        <f t="shared" si="6"/>
        <v>100% LTT</v>
      </c>
      <c r="O13" s="35"/>
    </row>
    <row r="14" spans="1:15" ht="19.5" customHeight="1" x14ac:dyDescent="0.3">
      <c r="A14" s="184" t="s">
        <v>16</v>
      </c>
      <c r="B14" s="184"/>
      <c r="C14" s="18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5" ht="19.5" customHeight="1" x14ac:dyDescent="0.3">
      <c r="A15" s="17">
        <f>A13+1</f>
        <v>8</v>
      </c>
      <c r="B15" s="18" t="s">
        <v>28</v>
      </c>
      <c r="C15" s="17" t="s">
        <v>121</v>
      </c>
      <c r="D15" s="4"/>
      <c r="E15" s="17"/>
      <c r="F15" s="17">
        <v>2</v>
      </c>
      <c r="G15" s="17">
        <f t="shared" ref="G15:H15" si="7">IF(D15&gt;5,(D15-5)*2,0)</f>
        <v>0</v>
      </c>
      <c r="H15" s="17">
        <f t="shared" si="7"/>
        <v>0</v>
      </c>
      <c r="I15" s="17">
        <f t="shared" ref="I15" si="8">IF(F15&gt;2,(F15-2)*1,0)</f>
        <v>0</v>
      </c>
      <c r="J15" s="17">
        <f t="shared" ref="J15" si="9">SUM(G15:I15)</f>
        <v>0</v>
      </c>
      <c r="K15" s="17"/>
      <c r="L15" s="17">
        <f>100-J15-K15</f>
        <v>100</v>
      </c>
      <c r="M15" s="17" t="str">
        <f t="shared" ref="M15" si="10">IF(L15&lt;71,"KL",IF(AND(L15&gt;=71,L15&lt;81),"C",IF(AND(L15&gt;=81,L15&lt;91),"B","A")))</f>
        <v>A</v>
      </c>
      <c r="N15" s="17" t="str">
        <f t="shared" ref="N15" si="11">IF(M15="A","100% LTT",IF(M15="B","90% LTT",IF(M15="C","80% LTT","60% LTT")))</f>
        <v>100% LTT</v>
      </c>
    </row>
    <row r="16" spans="1:15" ht="19.5" customHeight="1" x14ac:dyDescent="0.3">
      <c r="A16" s="184" t="s">
        <v>17</v>
      </c>
      <c r="B16" s="184"/>
      <c r="C16" s="18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ht="19.5" customHeight="1" x14ac:dyDescent="0.3">
      <c r="A17" s="15">
        <f>A15+1</f>
        <v>9</v>
      </c>
      <c r="B17" s="16" t="s">
        <v>13</v>
      </c>
      <c r="C17" s="15" t="s">
        <v>101</v>
      </c>
      <c r="D17" s="15"/>
      <c r="E17" s="15"/>
      <c r="F17" s="15"/>
      <c r="G17" s="15">
        <f t="shared" ref="G17:H25" si="12">IF(D17&gt;5,(D17-5)*2,0)</f>
        <v>0</v>
      </c>
      <c r="H17" s="15">
        <f t="shared" si="12"/>
        <v>0</v>
      </c>
      <c r="I17" s="15">
        <f t="shared" ref="I17:I25" si="13">IF(F17&gt;2,(F17-2)*1,0)</f>
        <v>0</v>
      </c>
      <c r="J17" s="15">
        <f t="shared" ref="J17:J25" si="14">SUM(G17:I17)</f>
        <v>0</v>
      </c>
      <c r="K17" s="15"/>
      <c r="L17" s="15">
        <f>100-J17-K17</f>
        <v>100</v>
      </c>
      <c r="M17" s="15"/>
      <c r="N17" s="15" t="s">
        <v>155</v>
      </c>
    </row>
    <row r="18" spans="1:14" ht="19.5" customHeight="1" x14ac:dyDescent="0.3">
      <c r="A18" s="15">
        <f t="shared" ref="A18:A25" si="15">A17+1</f>
        <v>10</v>
      </c>
      <c r="B18" s="16" t="s">
        <v>14</v>
      </c>
      <c r="C18" s="15" t="s">
        <v>19</v>
      </c>
      <c r="D18" s="15">
        <v>2</v>
      </c>
      <c r="E18" s="15"/>
      <c r="F18" s="15">
        <v>1</v>
      </c>
      <c r="G18" s="15">
        <f t="shared" si="12"/>
        <v>0</v>
      </c>
      <c r="H18" s="15">
        <f t="shared" si="12"/>
        <v>0</v>
      </c>
      <c r="I18" s="15">
        <f t="shared" si="13"/>
        <v>0</v>
      </c>
      <c r="J18" s="15">
        <f t="shared" si="14"/>
        <v>0</v>
      </c>
      <c r="K18" s="15">
        <v>4</v>
      </c>
      <c r="L18" s="15">
        <f t="shared" ref="L18:L25" si="16">100-J18-K18</f>
        <v>96</v>
      </c>
      <c r="M18" s="15" t="str">
        <f t="shared" ref="M18:M25" si="17">IF(L18&lt;71,"KL",IF(AND(L18&gt;=71,L18&lt;81),"C",IF(AND(L18&gt;=81,L18&lt;91),"B","A")))</f>
        <v>A</v>
      </c>
      <c r="N18" s="15" t="str">
        <f t="shared" ref="N18:N25" si="18">IF(M18="A","100% LTT",IF(M18="B","90% LTT",IF(M18="C","80% LTT","60% LTT")))</f>
        <v>100% LTT</v>
      </c>
    </row>
    <row r="19" spans="1:14" ht="19.5" customHeight="1" x14ac:dyDescent="0.3">
      <c r="A19" s="15">
        <f t="shared" si="15"/>
        <v>11</v>
      </c>
      <c r="B19" s="16" t="s">
        <v>40</v>
      </c>
      <c r="C19" s="15" t="s">
        <v>19</v>
      </c>
      <c r="D19" s="15"/>
      <c r="E19" s="15"/>
      <c r="F19" s="15"/>
      <c r="G19" s="15">
        <f t="shared" si="12"/>
        <v>0</v>
      </c>
      <c r="H19" s="15">
        <f t="shared" si="12"/>
        <v>0</v>
      </c>
      <c r="I19" s="15">
        <f t="shared" si="13"/>
        <v>0</v>
      </c>
      <c r="J19" s="15">
        <f t="shared" si="14"/>
        <v>0</v>
      </c>
      <c r="K19" s="15">
        <v>4</v>
      </c>
      <c r="L19" s="15">
        <f>100-J19-K19</f>
        <v>96</v>
      </c>
      <c r="M19" s="15" t="str">
        <f t="shared" si="17"/>
        <v>A</v>
      </c>
      <c r="N19" s="15" t="str">
        <f t="shared" si="18"/>
        <v>100% LTT</v>
      </c>
    </row>
    <row r="20" spans="1:14" ht="19.5" customHeight="1" x14ac:dyDescent="0.3">
      <c r="A20" s="15">
        <f t="shared" si="15"/>
        <v>12</v>
      </c>
      <c r="B20" s="16" t="s">
        <v>130</v>
      </c>
      <c r="C20" s="15" t="s">
        <v>131</v>
      </c>
      <c r="D20" s="15"/>
      <c r="E20" s="15"/>
      <c r="F20" s="15"/>
      <c r="G20" s="15">
        <f t="shared" si="12"/>
        <v>0</v>
      </c>
      <c r="H20" s="15">
        <f t="shared" si="12"/>
        <v>0</v>
      </c>
      <c r="I20" s="15">
        <f t="shared" si="13"/>
        <v>0</v>
      </c>
      <c r="J20" s="15">
        <f t="shared" si="14"/>
        <v>0</v>
      </c>
      <c r="K20" s="15">
        <v>5</v>
      </c>
      <c r="L20" s="15">
        <f t="shared" ref="L20:L21" si="19">100-J20-K20</f>
        <v>95</v>
      </c>
      <c r="M20" s="15" t="str">
        <f t="shared" si="17"/>
        <v>A</v>
      </c>
      <c r="N20" s="15" t="str">
        <f t="shared" si="18"/>
        <v>100% LTT</v>
      </c>
    </row>
    <row r="21" spans="1:14" ht="19.5" customHeight="1" x14ac:dyDescent="0.3">
      <c r="A21" s="15">
        <f t="shared" si="15"/>
        <v>13</v>
      </c>
      <c r="B21" s="16" t="s">
        <v>98</v>
      </c>
      <c r="C21" s="15" t="s">
        <v>102</v>
      </c>
      <c r="D21" s="15"/>
      <c r="E21" s="15"/>
      <c r="F21" s="15"/>
      <c r="G21" s="15">
        <f t="shared" si="12"/>
        <v>0</v>
      </c>
      <c r="H21" s="15">
        <f t="shared" si="12"/>
        <v>0</v>
      </c>
      <c r="I21" s="15">
        <f t="shared" si="13"/>
        <v>0</v>
      </c>
      <c r="J21" s="15">
        <f t="shared" si="14"/>
        <v>0</v>
      </c>
      <c r="K21" s="15">
        <v>8</v>
      </c>
      <c r="L21" s="15">
        <f t="shared" si="19"/>
        <v>92</v>
      </c>
      <c r="M21" s="15" t="str">
        <f t="shared" si="17"/>
        <v>A</v>
      </c>
      <c r="N21" s="15" t="str">
        <f t="shared" si="18"/>
        <v>100% LTT</v>
      </c>
    </row>
    <row r="22" spans="1:14" ht="19.5" customHeight="1" x14ac:dyDescent="0.3">
      <c r="A22" s="15">
        <f t="shared" si="15"/>
        <v>14</v>
      </c>
      <c r="B22" s="16" t="s">
        <v>99</v>
      </c>
      <c r="C22" s="15" t="s">
        <v>102</v>
      </c>
      <c r="D22" s="15"/>
      <c r="E22" s="15"/>
      <c r="F22" s="15"/>
      <c r="G22" s="15">
        <f t="shared" si="12"/>
        <v>0</v>
      </c>
      <c r="H22" s="15">
        <f t="shared" si="12"/>
        <v>0</v>
      </c>
      <c r="I22" s="15">
        <f t="shared" si="13"/>
        <v>0</v>
      </c>
      <c r="J22" s="15">
        <f t="shared" si="14"/>
        <v>0</v>
      </c>
      <c r="K22" s="15">
        <v>5</v>
      </c>
      <c r="L22" s="15">
        <f t="shared" si="16"/>
        <v>95</v>
      </c>
      <c r="M22" s="15" t="str">
        <f t="shared" si="17"/>
        <v>A</v>
      </c>
      <c r="N22" s="15" t="str">
        <f t="shared" si="18"/>
        <v>100% LTT</v>
      </c>
    </row>
    <row r="23" spans="1:14" ht="19.5" customHeight="1" x14ac:dyDescent="0.3">
      <c r="A23" s="15">
        <f t="shared" si="15"/>
        <v>15</v>
      </c>
      <c r="B23" s="16" t="s">
        <v>152</v>
      </c>
      <c r="C23" s="15" t="s">
        <v>153</v>
      </c>
      <c r="D23" s="15"/>
      <c r="E23" s="15"/>
      <c r="F23" s="15"/>
      <c r="G23" s="15">
        <f t="shared" si="12"/>
        <v>0</v>
      </c>
      <c r="H23" s="15">
        <f t="shared" si="12"/>
        <v>0</v>
      </c>
      <c r="I23" s="15">
        <f t="shared" si="13"/>
        <v>0</v>
      </c>
      <c r="J23" s="15">
        <f t="shared" si="14"/>
        <v>0</v>
      </c>
      <c r="K23" s="15">
        <v>8</v>
      </c>
      <c r="L23" s="15">
        <f t="shared" si="16"/>
        <v>92</v>
      </c>
      <c r="M23" s="15" t="str">
        <f t="shared" si="17"/>
        <v>A</v>
      </c>
      <c r="N23" s="15" t="str">
        <f t="shared" si="18"/>
        <v>100% LTT</v>
      </c>
    </row>
    <row r="24" spans="1:14" ht="19.5" customHeight="1" x14ac:dyDescent="0.3">
      <c r="A24" s="15">
        <f t="shared" si="15"/>
        <v>16</v>
      </c>
      <c r="B24" s="16" t="s">
        <v>100</v>
      </c>
      <c r="C24" s="15" t="s">
        <v>102</v>
      </c>
      <c r="D24" s="15"/>
      <c r="E24" s="15"/>
      <c r="F24" s="15"/>
      <c r="G24" s="15">
        <f t="shared" si="12"/>
        <v>0</v>
      </c>
      <c r="H24" s="15">
        <f t="shared" si="12"/>
        <v>0</v>
      </c>
      <c r="I24" s="15">
        <f t="shared" si="13"/>
        <v>0</v>
      </c>
      <c r="J24" s="15">
        <f t="shared" si="14"/>
        <v>0</v>
      </c>
      <c r="K24" s="15">
        <v>5</v>
      </c>
      <c r="L24" s="15">
        <f t="shared" si="16"/>
        <v>95</v>
      </c>
      <c r="M24" s="15" t="str">
        <f t="shared" si="17"/>
        <v>A</v>
      </c>
      <c r="N24" s="15" t="str">
        <f t="shared" si="18"/>
        <v>100% LTT</v>
      </c>
    </row>
    <row r="25" spans="1:14" ht="19.5" customHeight="1" x14ac:dyDescent="0.3">
      <c r="A25" s="15">
        <f t="shared" si="15"/>
        <v>17</v>
      </c>
      <c r="B25" s="18" t="s">
        <v>116</v>
      </c>
      <c r="C25" s="17" t="s">
        <v>107</v>
      </c>
      <c r="D25" s="17"/>
      <c r="E25" s="17"/>
      <c r="F25" s="17"/>
      <c r="G25" s="15">
        <f t="shared" si="12"/>
        <v>0</v>
      </c>
      <c r="H25" s="15">
        <f t="shared" si="12"/>
        <v>0</v>
      </c>
      <c r="I25" s="15">
        <f t="shared" si="13"/>
        <v>0</v>
      </c>
      <c r="J25" s="15">
        <f t="shared" si="14"/>
        <v>0</v>
      </c>
      <c r="K25" s="17">
        <v>8</v>
      </c>
      <c r="L25" s="15">
        <f t="shared" si="16"/>
        <v>92</v>
      </c>
      <c r="M25" s="15" t="str">
        <f t="shared" si="17"/>
        <v>A</v>
      </c>
      <c r="N25" s="17" t="str">
        <f t="shared" si="18"/>
        <v>100% LTT</v>
      </c>
    </row>
    <row r="26" spans="1:14" ht="22.5" customHeight="1" x14ac:dyDescent="0.3">
      <c r="A26" s="180" t="s">
        <v>60</v>
      </c>
      <c r="B26" s="180"/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0"/>
      <c r="N26" s="180"/>
    </row>
    <row r="27" spans="1:14" ht="22.5" customHeight="1" x14ac:dyDescent="0.3">
      <c r="J27" s="185" t="s">
        <v>144</v>
      </c>
      <c r="K27" s="185"/>
      <c r="L27" s="185"/>
      <c r="M27" s="185"/>
      <c r="N27" s="185"/>
    </row>
    <row r="28" spans="1:14" ht="22.5" customHeight="1" x14ac:dyDescent="0.3">
      <c r="B28" s="178" t="s">
        <v>22</v>
      </c>
      <c r="C28" s="178"/>
      <c r="D28" s="178"/>
      <c r="L28" s="178" t="s">
        <v>25</v>
      </c>
      <c r="M28" s="178"/>
      <c r="N28" s="178"/>
    </row>
    <row r="29" spans="1:14" ht="22.5" customHeight="1" x14ac:dyDescent="0.3">
      <c r="L29" s="137"/>
      <c r="M29" s="137"/>
    </row>
    <row r="30" spans="1:14" ht="22.5" customHeight="1" x14ac:dyDescent="0.3">
      <c r="L30" s="137"/>
      <c r="M30" s="137"/>
    </row>
    <row r="31" spans="1:14" ht="22.5" customHeight="1" x14ac:dyDescent="0.3">
      <c r="L31" s="137"/>
      <c r="M31" s="137"/>
    </row>
    <row r="32" spans="1:14" ht="22.5" customHeight="1" x14ac:dyDescent="0.3">
      <c r="B32" s="178" t="s">
        <v>28</v>
      </c>
      <c r="C32" s="178"/>
      <c r="D32" s="178"/>
      <c r="L32" s="178" t="s">
        <v>27</v>
      </c>
      <c r="M32" s="178"/>
      <c r="N32" s="178"/>
    </row>
    <row r="33" spans="3:4" ht="22.5" customHeight="1" x14ac:dyDescent="0.3">
      <c r="C33" s="1"/>
      <c r="D33" s="1"/>
    </row>
  </sheetData>
  <mergeCells count="25">
    <mergeCell ref="B32:D32"/>
    <mergeCell ref="L32:N32"/>
    <mergeCell ref="A6:C6"/>
    <mergeCell ref="A14:C14"/>
    <mergeCell ref="A16:C16"/>
    <mergeCell ref="A26:N26"/>
    <mergeCell ref="J27:N27"/>
    <mergeCell ref="B28:D28"/>
    <mergeCell ref="L28:N28"/>
    <mergeCell ref="O4:O5"/>
    <mergeCell ref="A1:N1"/>
    <mergeCell ref="A2:N2"/>
    <mergeCell ref="A3:N3"/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L4:L5"/>
    <mergeCell ref="M4:M5"/>
    <mergeCell ref="N4:N5"/>
  </mergeCells>
  <pageMargins left="0.2" right="0.2" top="0.38" bottom="0.33" header="0.3" footer="0.3"/>
  <pageSetup scale="70" orientation="landscape" verticalDpi="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zoomScale="80" zoomScaleNormal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 sqref="A1:XFD1048576"/>
    </sheetView>
  </sheetViews>
  <sheetFormatPr defaultColWidth="9.109375" defaultRowHeight="16.8" x14ac:dyDescent="0.3"/>
  <cols>
    <col min="1" max="1" width="6.109375" style="2" customWidth="1"/>
    <col min="2" max="2" width="27.5546875" style="1" customWidth="1"/>
    <col min="3" max="3" width="22" style="2" customWidth="1"/>
    <col min="4" max="6" width="11.33203125" style="2" customWidth="1"/>
    <col min="7" max="9" width="12.33203125" style="2" customWidth="1"/>
    <col min="10" max="10" width="12.44140625" style="2" customWidth="1"/>
    <col min="11" max="11" width="11.33203125" style="2" customWidth="1"/>
    <col min="12" max="12" width="12.109375" style="2" customWidth="1"/>
    <col min="13" max="13" width="9.44140625" style="2" customWidth="1"/>
    <col min="14" max="14" width="15" style="2" customWidth="1"/>
    <col min="15" max="15" width="53.88671875" style="2" customWidth="1"/>
    <col min="16" max="16384" width="9.109375" style="1"/>
  </cols>
  <sheetData>
    <row r="1" spans="1:15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5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</row>
    <row r="3" spans="1:15" ht="22.5" customHeight="1" x14ac:dyDescent="0.3">
      <c r="A3" s="179" t="s">
        <v>158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</row>
    <row r="4" spans="1:15" s="3" customFormat="1" ht="22.5" customHeight="1" x14ac:dyDescent="0.3">
      <c r="A4" s="180" t="s">
        <v>0</v>
      </c>
      <c r="B4" s="180" t="s">
        <v>1</v>
      </c>
      <c r="C4" s="180" t="s">
        <v>2</v>
      </c>
      <c r="D4" s="180" t="s">
        <v>23</v>
      </c>
      <c r="E4" s="180"/>
      <c r="F4" s="180"/>
      <c r="G4" s="181" t="s">
        <v>29</v>
      </c>
      <c r="H4" s="181" t="s">
        <v>30</v>
      </c>
      <c r="I4" s="181" t="s">
        <v>31</v>
      </c>
      <c r="J4" s="181" t="s">
        <v>96</v>
      </c>
      <c r="K4" s="181" t="s">
        <v>97</v>
      </c>
      <c r="L4" s="180" t="s">
        <v>6</v>
      </c>
      <c r="M4" s="180" t="s">
        <v>7</v>
      </c>
      <c r="N4" s="180" t="s">
        <v>8</v>
      </c>
      <c r="O4" s="183"/>
    </row>
    <row r="5" spans="1:15" s="3" customFormat="1" ht="49.8" customHeight="1" x14ac:dyDescent="0.3">
      <c r="A5" s="180"/>
      <c r="B5" s="180"/>
      <c r="C5" s="180"/>
      <c r="D5" s="140" t="s">
        <v>3</v>
      </c>
      <c r="E5" s="140" t="s">
        <v>4</v>
      </c>
      <c r="F5" s="140" t="s">
        <v>5</v>
      </c>
      <c r="G5" s="182"/>
      <c r="H5" s="182"/>
      <c r="I5" s="182"/>
      <c r="J5" s="182"/>
      <c r="K5" s="182"/>
      <c r="L5" s="180"/>
      <c r="M5" s="180"/>
      <c r="N5" s="180"/>
      <c r="O5" s="183"/>
    </row>
    <row r="6" spans="1:15" ht="19.5" customHeight="1" x14ac:dyDescent="0.3">
      <c r="A6" s="184" t="s">
        <v>15</v>
      </c>
      <c r="B6" s="184"/>
      <c r="C6" s="18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5" ht="19.5" customHeight="1" x14ac:dyDescent="0.3">
      <c r="A7" s="15">
        <v>1</v>
      </c>
      <c r="B7" s="16" t="s">
        <v>49</v>
      </c>
      <c r="C7" s="15" t="s">
        <v>19</v>
      </c>
      <c r="D7" s="15">
        <v>3</v>
      </c>
      <c r="E7" s="15"/>
      <c r="F7" s="15">
        <v>2</v>
      </c>
      <c r="G7" s="15">
        <f t="shared" ref="G7:H13" si="0">IF(D7&gt;5,(D7-5)*2,0)</f>
        <v>0</v>
      </c>
      <c r="H7" s="15">
        <f t="shared" si="0"/>
        <v>0</v>
      </c>
      <c r="I7" s="15">
        <f t="shared" ref="I7:I13" si="1">IF(F7&gt;2,(F7-2)*1,0)</f>
        <v>0</v>
      </c>
      <c r="J7" s="15">
        <f>SUM(G7:I7)</f>
        <v>0</v>
      </c>
      <c r="K7" s="15">
        <v>2</v>
      </c>
      <c r="L7" s="15">
        <f t="shared" ref="L7:L13" si="2">100-J7-K7</f>
        <v>98</v>
      </c>
      <c r="M7" s="15" t="str">
        <f>IF(L7&lt;71,"KL",IF(AND(L7&gt;=71,L7&lt;81),"C",IF(AND(L7&gt;=81,L7&lt;91),"B","A")))</f>
        <v>A</v>
      </c>
      <c r="N7" s="15" t="str">
        <f>IF(M7="A","100% LTT",IF(M7="B","90% LTT",IF(M7="C","80% LTT","60% LTT")))</f>
        <v>100% LTT</v>
      </c>
      <c r="O7" s="11" t="s">
        <v>33</v>
      </c>
    </row>
    <row r="8" spans="1:15" ht="19.5" customHeight="1" x14ac:dyDescent="0.3">
      <c r="A8" s="15">
        <f t="shared" ref="A8:A13" si="3">A7+1</f>
        <v>2</v>
      </c>
      <c r="B8" s="16" t="s">
        <v>52</v>
      </c>
      <c r="C8" s="15" t="s">
        <v>19</v>
      </c>
      <c r="D8" s="15"/>
      <c r="E8" s="15"/>
      <c r="F8" s="15"/>
      <c r="G8" s="15">
        <f t="shared" si="0"/>
        <v>0</v>
      </c>
      <c r="H8" s="15">
        <f t="shared" si="0"/>
        <v>0</v>
      </c>
      <c r="I8" s="15">
        <f t="shared" si="1"/>
        <v>0</v>
      </c>
      <c r="J8" s="15">
        <f t="shared" ref="J8:J13" si="4">SUM(G8:I8)</f>
        <v>0</v>
      </c>
      <c r="K8" s="15"/>
      <c r="L8" s="15">
        <f t="shared" si="2"/>
        <v>100</v>
      </c>
      <c r="M8" s="15" t="str">
        <f t="shared" ref="M8:M13" si="5">IF(L8&lt;71,"KL",IF(AND(L8&gt;=71,L8&lt;81),"C",IF(AND(L8&gt;=81,L8&lt;91),"B","A")))</f>
        <v>A</v>
      </c>
      <c r="N8" s="15" t="str">
        <f t="shared" ref="N8:N13" si="6">IF(M8="A","100% LTT",IF(M8="B","90% LTT",IF(M8="C","80% LTT","60% LTT")))</f>
        <v>100% LTT</v>
      </c>
      <c r="O8" s="34"/>
    </row>
    <row r="9" spans="1:15" ht="19.5" customHeight="1" x14ac:dyDescent="0.3">
      <c r="A9" s="15">
        <f t="shared" si="3"/>
        <v>3</v>
      </c>
      <c r="B9" s="16" t="s">
        <v>57</v>
      </c>
      <c r="C9" s="15" t="s">
        <v>19</v>
      </c>
      <c r="D9" s="15"/>
      <c r="E9" s="15"/>
      <c r="F9" s="15"/>
      <c r="G9" s="15">
        <f t="shared" si="0"/>
        <v>0</v>
      </c>
      <c r="H9" s="15">
        <f t="shared" si="0"/>
        <v>0</v>
      </c>
      <c r="I9" s="15">
        <f t="shared" si="1"/>
        <v>0</v>
      </c>
      <c r="J9" s="15">
        <f t="shared" si="4"/>
        <v>0</v>
      </c>
      <c r="K9" s="15"/>
      <c r="L9" s="15">
        <f t="shared" si="2"/>
        <v>100</v>
      </c>
      <c r="M9" s="15" t="str">
        <f t="shared" si="5"/>
        <v>A</v>
      </c>
      <c r="N9" s="15" t="str">
        <f t="shared" si="6"/>
        <v>100% LTT</v>
      </c>
      <c r="O9" s="35"/>
    </row>
    <row r="10" spans="1:15" ht="19.5" customHeight="1" x14ac:dyDescent="0.3">
      <c r="A10" s="15">
        <f t="shared" si="3"/>
        <v>4</v>
      </c>
      <c r="B10" s="16" t="s">
        <v>59</v>
      </c>
      <c r="C10" s="15" t="s">
        <v>19</v>
      </c>
      <c r="D10" s="15"/>
      <c r="E10" s="15"/>
      <c r="F10" s="15"/>
      <c r="G10" s="15">
        <f t="shared" si="0"/>
        <v>0</v>
      </c>
      <c r="H10" s="15">
        <f t="shared" si="0"/>
        <v>0</v>
      </c>
      <c r="I10" s="15">
        <f t="shared" si="1"/>
        <v>0</v>
      </c>
      <c r="J10" s="15">
        <f t="shared" si="4"/>
        <v>0</v>
      </c>
      <c r="K10" s="15"/>
      <c r="L10" s="15">
        <f t="shared" si="2"/>
        <v>100</v>
      </c>
      <c r="M10" s="15" t="str">
        <f t="shared" si="5"/>
        <v>A</v>
      </c>
      <c r="N10" s="15" t="str">
        <f t="shared" si="6"/>
        <v>100% LTT</v>
      </c>
      <c r="O10" s="35"/>
    </row>
    <row r="11" spans="1:15" ht="19.5" customHeight="1" x14ac:dyDescent="0.3">
      <c r="A11" s="15">
        <f t="shared" si="3"/>
        <v>5</v>
      </c>
      <c r="B11" s="16" t="s">
        <v>53</v>
      </c>
      <c r="C11" s="15" t="s">
        <v>19</v>
      </c>
      <c r="D11" s="15"/>
      <c r="E11" s="15"/>
      <c r="F11" s="15"/>
      <c r="G11" s="15">
        <f t="shared" si="0"/>
        <v>0</v>
      </c>
      <c r="H11" s="15">
        <f t="shared" si="0"/>
        <v>0</v>
      </c>
      <c r="I11" s="15">
        <f t="shared" si="1"/>
        <v>0</v>
      </c>
      <c r="J11" s="15">
        <f t="shared" si="4"/>
        <v>0</v>
      </c>
      <c r="K11" s="15"/>
      <c r="L11" s="15">
        <f t="shared" si="2"/>
        <v>100</v>
      </c>
      <c r="M11" s="15" t="str">
        <f t="shared" si="5"/>
        <v>A</v>
      </c>
      <c r="N11" s="15" t="str">
        <f t="shared" si="6"/>
        <v>100% LTT</v>
      </c>
      <c r="O11" s="35"/>
    </row>
    <row r="12" spans="1:15" ht="19.5" customHeight="1" x14ac:dyDescent="0.3">
      <c r="A12" s="15">
        <f t="shared" si="3"/>
        <v>6</v>
      </c>
      <c r="B12" s="16" t="s">
        <v>54</v>
      </c>
      <c r="C12" s="15" t="s">
        <v>19</v>
      </c>
      <c r="D12" s="15"/>
      <c r="E12" s="15"/>
      <c r="F12" s="15"/>
      <c r="G12" s="15">
        <f t="shared" si="0"/>
        <v>0</v>
      </c>
      <c r="H12" s="15">
        <f t="shared" si="0"/>
        <v>0</v>
      </c>
      <c r="I12" s="15">
        <f t="shared" si="1"/>
        <v>0</v>
      </c>
      <c r="J12" s="15">
        <f t="shared" si="4"/>
        <v>0</v>
      </c>
      <c r="K12" s="15"/>
      <c r="L12" s="15">
        <f t="shared" si="2"/>
        <v>100</v>
      </c>
      <c r="M12" s="15" t="str">
        <f t="shared" si="5"/>
        <v>A</v>
      </c>
      <c r="N12" s="15" t="str">
        <f t="shared" si="6"/>
        <v>100% LTT</v>
      </c>
      <c r="O12" s="35"/>
    </row>
    <row r="13" spans="1:15" ht="19.5" customHeight="1" x14ac:dyDescent="0.3">
      <c r="A13" s="15">
        <f t="shared" si="3"/>
        <v>7</v>
      </c>
      <c r="B13" s="18" t="s">
        <v>11</v>
      </c>
      <c r="C13" s="17" t="s">
        <v>51</v>
      </c>
      <c r="D13" s="17">
        <v>7</v>
      </c>
      <c r="E13" s="17"/>
      <c r="F13" s="17"/>
      <c r="G13" s="17">
        <f t="shared" si="0"/>
        <v>4</v>
      </c>
      <c r="H13" s="17">
        <f t="shared" si="0"/>
        <v>0</v>
      </c>
      <c r="I13" s="17">
        <f t="shared" si="1"/>
        <v>0</v>
      </c>
      <c r="J13" s="17">
        <f t="shared" si="4"/>
        <v>4</v>
      </c>
      <c r="K13" s="17">
        <v>3</v>
      </c>
      <c r="L13" s="15">
        <f t="shared" si="2"/>
        <v>93</v>
      </c>
      <c r="M13" s="17" t="str">
        <f t="shared" si="5"/>
        <v>A</v>
      </c>
      <c r="N13" s="17" t="str">
        <f t="shared" si="6"/>
        <v>100% LTT</v>
      </c>
      <c r="O13" s="35"/>
    </row>
    <row r="14" spans="1:15" ht="19.5" customHeight="1" x14ac:dyDescent="0.3">
      <c r="A14" s="184" t="s">
        <v>16</v>
      </c>
      <c r="B14" s="184"/>
      <c r="C14" s="18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5" ht="19.5" customHeight="1" x14ac:dyDescent="0.3">
      <c r="A15" s="17">
        <f>A13+1</f>
        <v>8</v>
      </c>
      <c r="B15" s="18" t="s">
        <v>28</v>
      </c>
      <c r="C15" s="17" t="s">
        <v>121</v>
      </c>
      <c r="D15" s="4"/>
      <c r="E15" s="17"/>
      <c r="F15" s="17">
        <v>2</v>
      </c>
      <c r="G15" s="17">
        <f t="shared" ref="G15:H15" si="7">IF(D15&gt;5,(D15-5)*2,0)</f>
        <v>0</v>
      </c>
      <c r="H15" s="17">
        <f t="shared" si="7"/>
        <v>0</v>
      </c>
      <c r="I15" s="17">
        <f t="shared" ref="I15" si="8">IF(F15&gt;2,(F15-2)*1,0)</f>
        <v>0</v>
      </c>
      <c r="J15" s="17">
        <f t="shared" ref="J15" si="9">SUM(G15:I15)</f>
        <v>0</v>
      </c>
      <c r="K15" s="17"/>
      <c r="L15" s="17">
        <f>100-J15-K15</f>
        <v>100</v>
      </c>
      <c r="M15" s="17" t="str">
        <f t="shared" ref="M15" si="10">IF(L15&lt;71,"KL",IF(AND(L15&gt;=71,L15&lt;81),"C",IF(AND(L15&gt;=81,L15&lt;91),"B","A")))</f>
        <v>A</v>
      </c>
      <c r="N15" s="17" t="str">
        <f t="shared" ref="N15" si="11">IF(M15="A","100% LTT",IF(M15="B","90% LTT",IF(M15="C","80% LTT","60% LTT")))</f>
        <v>100% LTT</v>
      </c>
    </row>
    <row r="16" spans="1:15" ht="19.5" customHeight="1" x14ac:dyDescent="0.3">
      <c r="A16" s="184" t="s">
        <v>17</v>
      </c>
      <c r="B16" s="184"/>
      <c r="C16" s="18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ht="19.5" customHeight="1" x14ac:dyDescent="0.3">
      <c r="A17" s="15">
        <f>A15+1</f>
        <v>9</v>
      </c>
      <c r="B17" s="16" t="s">
        <v>13</v>
      </c>
      <c r="C17" s="15" t="s">
        <v>101</v>
      </c>
      <c r="D17" s="15"/>
      <c r="E17" s="15"/>
      <c r="F17" s="15"/>
      <c r="G17" s="15">
        <f t="shared" ref="G17:H25" si="12">IF(D17&gt;5,(D17-5)*2,0)</f>
        <v>0</v>
      </c>
      <c r="H17" s="15">
        <f t="shared" si="12"/>
        <v>0</v>
      </c>
      <c r="I17" s="15">
        <f t="shared" ref="I17:I25" si="13">IF(F17&gt;2,(F17-2)*1,0)</f>
        <v>0</v>
      </c>
      <c r="J17" s="15">
        <f t="shared" ref="J17:J25" si="14">SUM(G17:I17)</f>
        <v>0</v>
      </c>
      <c r="K17" s="15"/>
      <c r="L17" s="15">
        <f>100-J17-K17</f>
        <v>100</v>
      </c>
      <c r="M17" s="15" t="str">
        <f t="shared" ref="M17:M25" si="15">IF(L17&lt;71,"KL",IF(AND(L17&gt;=71,L17&lt;81),"C",IF(AND(L17&gt;=81,L17&lt;91),"B","A")))</f>
        <v>A</v>
      </c>
      <c r="N17" s="17" t="str">
        <f>IF(M17="A","100% LTT",IF(M17="B","90% LTT",IF(M17="C","80% LTT","60% LTT")))</f>
        <v>100% LTT</v>
      </c>
    </row>
    <row r="18" spans="1:14" ht="19.5" customHeight="1" x14ac:dyDescent="0.3">
      <c r="A18" s="15">
        <f t="shared" ref="A18:A25" si="16">A17+1</f>
        <v>10</v>
      </c>
      <c r="B18" s="16" t="s">
        <v>14</v>
      </c>
      <c r="C18" s="15" t="s">
        <v>19</v>
      </c>
      <c r="D18" s="15">
        <v>5</v>
      </c>
      <c r="E18" s="15"/>
      <c r="F18" s="15">
        <v>2</v>
      </c>
      <c r="G18" s="15">
        <f t="shared" si="12"/>
        <v>0</v>
      </c>
      <c r="H18" s="15">
        <f t="shared" si="12"/>
        <v>0</v>
      </c>
      <c r="I18" s="15">
        <f t="shared" si="13"/>
        <v>0</v>
      </c>
      <c r="J18" s="15">
        <f t="shared" si="14"/>
        <v>0</v>
      </c>
      <c r="K18" s="15">
        <v>3</v>
      </c>
      <c r="L18" s="15">
        <f t="shared" ref="L18:L25" si="17">100-J18-K18</f>
        <v>97</v>
      </c>
      <c r="M18" s="15" t="str">
        <f t="shared" si="15"/>
        <v>A</v>
      </c>
      <c r="N18" s="15" t="str">
        <f t="shared" ref="N18:N25" si="18">IF(M18="A","100% LTT",IF(M18="B","90% LTT",IF(M18="C","80% LTT","60% LTT")))</f>
        <v>100% LTT</v>
      </c>
    </row>
    <row r="19" spans="1:14" ht="19.5" customHeight="1" x14ac:dyDescent="0.3">
      <c r="A19" s="15">
        <f t="shared" si="16"/>
        <v>11</v>
      </c>
      <c r="B19" s="16" t="s">
        <v>40</v>
      </c>
      <c r="C19" s="15" t="s">
        <v>19</v>
      </c>
      <c r="D19" s="15"/>
      <c r="E19" s="15"/>
      <c r="F19" s="15"/>
      <c r="G19" s="15">
        <f t="shared" si="12"/>
        <v>0</v>
      </c>
      <c r="H19" s="15">
        <f t="shared" si="12"/>
        <v>0</v>
      </c>
      <c r="I19" s="15">
        <f t="shared" si="13"/>
        <v>0</v>
      </c>
      <c r="J19" s="15">
        <f t="shared" si="14"/>
        <v>0</v>
      </c>
      <c r="K19" s="15">
        <v>4</v>
      </c>
      <c r="L19" s="15">
        <f>100-J19-K19</f>
        <v>96</v>
      </c>
      <c r="M19" s="15" t="str">
        <f t="shared" si="15"/>
        <v>A</v>
      </c>
      <c r="N19" s="15" t="str">
        <f t="shared" si="18"/>
        <v>100% LTT</v>
      </c>
    </row>
    <row r="20" spans="1:14" ht="19.5" customHeight="1" x14ac:dyDescent="0.3">
      <c r="A20" s="15">
        <f t="shared" si="16"/>
        <v>12</v>
      </c>
      <c r="B20" s="16" t="s">
        <v>130</v>
      </c>
      <c r="C20" s="15" t="s">
        <v>131</v>
      </c>
      <c r="D20" s="15"/>
      <c r="E20" s="15"/>
      <c r="F20" s="15"/>
      <c r="G20" s="15">
        <f t="shared" si="12"/>
        <v>0</v>
      </c>
      <c r="H20" s="15">
        <f t="shared" si="12"/>
        <v>0</v>
      </c>
      <c r="I20" s="15">
        <f t="shared" si="13"/>
        <v>0</v>
      </c>
      <c r="J20" s="15">
        <f t="shared" si="14"/>
        <v>0</v>
      </c>
      <c r="K20" s="15">
        <v>5</v>
      </c>
      <c r="L20" s="15">
        <f t="shared" ref="L20:L21" si="19">100-J20-K20</f>
        <v>95</v>
      </c>
      <c r="M20" s="15" t="str">
        <f t="shared" si="15"/>
        <v>A</v>
      </c>
      <c r="N20" s="15" t="str">
        <f t="shared" si="18"/>
        <v>100% LTT</v>
      </c>
    </row>
    <row r="21" spans="1:14" ht="19.5" customHeight="1" x14ac:dyDescent="0.3">
      <c r="A21" s="15">
        <f t="shared" si="16"/>
        <v>13</v>
      </c>
      <c r="B21" s="16" t="s">
        <v>98</v>
      </c>
      <c r="C21" s="15" t="s">
        <v>102</v>
      </c>
      <c r="D21" s="15"/>
      <c r="E21" s="15"/>
      <c r="F21" s="15"/>
      <c r="G21" s="15">
        <f t="shared" si="12"/>
        <v>0</v>
      </c>
      <c r="H21" s="15">
        <f t="shared" si="12"/>
        <v>0</v>
      </c>
      <c r="I21" s="15">
        <f t="shared" si="13"/>
        <v>0</v>
      </c>
      <c r="J21" s="15">
        <f t="shared" si="14"/>
        <v>0</v>
      </c>
      <c r="K21" s="15">
        <v>7</v>
      </c>
      <c r="L21" s="15">
        <f t="shared" si="19"/>
        <v>93</v>
      </c>
      <c r="M21" s="15" t="str">
        <f t="shared" si="15"/>
        <v>A</v>
      </c>
      <c r="N21" s="15" t="str">
        <f t="shared" si="18"/>
        <v>100% LTT</v>
      </c>
    </row>
    <row r="22" spans="1:14" ht="19.5" customHeight="1" x14ac:dyDescent="0.3">
      <c r="A22" s="15">
        <f t="shared" si="16"/>
        <v>14</v>
      </c>
      <c r="B22" s="16" t="s">
        <v>99</v>
      </c>
      <c r="C22" s="15" t="s">
        <v>102</v>
      </c>
      <c r="D22" s="15"/>
      <c r="E22" s="15"/>
      <c r="F22" s="15"/>
      <c r="G22" s="15">
        <f t="shared" si="12"/>
        <v>0</v>
      </c>
      <c r="H22" s="15">
        <f t="shared" si="12"/>
        <v>0</v>
      </c>
      <c r="I22" s="15">
        <f t="shared" si="13"/>
        <v>0</v>
      </c>
      <c r="J22" s="15">
        <f t="shared" si="14"/>
        <v>0</v>
      </c>
      <c r="K22" s="15">
        <v>5</v>
      </c>
      <c r="L22" s="15">
        <f t="shared" si="17"/>
        <v>95</v>
      </c>
      <c r="M22" s="15" t="str">
        <f t="shared" si="15"/>
        <v>A</v>
      </c>
      <c r="N22" s="15" t="str">
        <f t="shared" si="18"/>
        <v>100% LTT</v>
      </c>
    </row>
    <row r="23" spans="1:14" ht="19.5" customHeight="1" x14ac:dyDescent="0.3">
      <c r="A23" s="15">
        <f t="shared" si="16"/>
        <v>15</v>
      </c>
      <c r="B23" s="16" t="s">
        <v>152</v>
      </c>
      <c r="C23" s="15" t="s">
        <v>153</v>
      </c>
      <c r="D23" s="15"/>
      <c r="E23" s="15"/>
      <c r="F23" s="15"/>
      <c r="G23" s="15">
        <f t="shared" si="12"/>
        <v>0</v>
      </c>
      <c r="H23" s="15">
        <f t="shared" si="12"/>
        <v>0</v>
      </c>
      <c r="I23" s="15">
        <f t="shared" si="13"/>
        <v>0</v>
      </c>
      <c r="J23" s="15">
        <f t="shared" si="14"/>
        <v>0</v>
      </c>
      <c r="K23" s="15">
        <v>8</v>
      </c>
      <c r="L23" s="15">
        <f t="shared" si="17"/>
        <v>92</v>
      </c>
      <c r="M23" s="15" t="str">
        <f t="shared" si="15"/>
        <v>A</v>
      </c>
      <c r="N23" s="15" t="str">
        <f t="shared" si="18"/>
        <v>100% LTT</v>
      </c>
    </row>
    <row r="24" spans="1:14" ht="19.5" customHeight="1" x14ac:dyDescent="0.3">
      <c r="A24" s="15">
        <f t="shared" si="16"/>
        <v>16</v>
      </c>
      <c r="B24" s="16" t="s">
        <v>100</v>
      </c>
      <c r="C24" s="15" t="s">
        <v>102</v>
      </c>
      <c r="D24" s="15"/>
      <c r="E24" s="15"/>
      <c r="F24" s="15"/>
      <c r="G24" s="15">
        <f t="shared" si="12"/>
        <v>0</v>
      </c>
      <c r="H24" s="15">
        <f t="shared" si="12"/>
        <v>0</v>
      </c>
      <c r="I24" s="15">
        <f t="shared" si="13"/>
        <v>0</v>
      </c>
      <c r="J24" s="15">
        <f t="shared" si="14"/>
        <v>0</v>
      </c>
      <c r="K24" s="15">
        <v>4</v>
      </c>
      <c r="L24" s="15">
        <f t="shared" si="17"/>
        <v>96</v>
      </c>
      <c r="M24" s="15" t="str">
        <f t="shared" si="15"/>
        <v>A</v>
      </c>
      <c r="N24" s="15" t="str">
        <f t="shared" si="18"/>
        <v>100% LTT</v>
      </c>
    </row>
    <row r="25" spans="1:14" ht="19.5" customHeight="1" x14ac:dyDescent="0.3">
      <c r="A25" s="15">
        <f t="shared" si="16"/>
        <v>17</v>
      </c>
      <c r="B25" s="18" t="s">
        <v>116</v>
      </c>
      <c r="C25" s="17" t="s">
        <v>107</v>
      </c>
      <c r="D25" s="17"/>
      <c r="E25" s="17"/>
      <c r="F25" s="17"/>
      <c r="G25" s="15">
        <f t="shared" si="12"/>
        <v>0</v>
      </c>
      <c r="H25" s="15">
        <f t="shared" si="12"/>
        <v>0</v>
      </c>
      <c r="I25" s="15">
        <f t="shared" si="13"/>
        <v>0</v>
      </c>
      <c r="J25" s="15">
        <f t="shared" si="14"/>
        <v>0</v>
      </c>
      <c r="K25" s="17">
        <v>8</v>
      </c>
      <c r="L25" s="15">
        <f t="shared" si="17"/>
        <v>92</v>
      </c>
      <c r="M25" s="15" t="str">
        <f t="shared" si="15"/>
        <v>A</v>
      </c>
      <c r="N25" s="17" t="str">
        <f t="shared" si="18"/>
        <v>100% LTT</v>
      </c>
    </row>
    <row r="26" spans="1:14" ht="22.5" customHeight="1" x14ac:dyDescent="0.3">
      <c r="A26" s="180" t="s">
        <v>60</v>
      </c>
      <c r="B26" s="180"/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0"/>
      <c r="N26" s="180"/>
    </row>
    <row r="27" spans="1:14" ht="22.5" customHeight="1" x14ac:dyDescent="0.3">
      <c r="J27" s="185" t="s">
        <v>144</v>
      </c>
      <c r="K27" s="185"/>
      <c r="L27" s="185"/>
      <c r="M27" s="185"/>
      <c r="N27" s="185"/>
    </row>
    <row r="28" spans="1:14" ht="22.5" customHeight="1" x14ac:dyDescent="0.3">
      <c r="B28" s="178" t="s">
        <v>22</v>
      </c>
      <c r="C28" s="178"/>
      <c r="D28" s="178"/>
      <c r="L28" s="178" t="s">
        <v>25</v>
      </c>
      <c r="M28" s="178"/>
      <c r="N28" s="178"/>
    </row>
    <row r="29" spans="1:14" ht="22.5" customHeight="1" x14ac:dyDescent="0.3">
      <c r="L29" s="139"/>
      <c r="M29" s="139"/>
    </row>
    <row r="30" spans="1:14" ht="22.5" customHeight="1" x14ac:dyDescent="0.3">
      <c r="L30" s="139"/>
      <c r="M30" s="139"/>
    </row>
    <row r="31" spans="1:14" ht="22.5" customHeight="1" x14ac:dyDescent="0.3">
      <c r="L31" s="139"/>
      <c r="M31" s="139"/>
    </row>
    <row r="32" spans="1:14" ht="22.5" customHeight="1" x14ac:dyDescent="0.3">
      <c r="B32" s="178" t="s">
        <v>28</v>
      </c>
      <c r="C32" s="178"/>
      <c r="D32" s="178"/>
      <c r="L32" s="178" t="s">
        <v>27</v>
      </c>
      <c r="M32" s="178"/>
      <c r="N32" s="178"/>
    </row>
    <row r="33" spans="3:4" ht="22.5" customHeight="1" x14ac:dyDescent="0.3">
      <c r="C33" s="1"/>
      <c r="D33" s="1"/>
    </row>
  </sheetData>
  <mergeCells count="25">
    <mergeCell ref="O4:O5"/>
    <mergeCell ref="A1:N1"/>
    <mergeCell ref="A2:N2"/>
    <mergeCell ref="A3:N3"/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L4:L5"/>
    <mergeCell ref="M4:M5"/>
    <mergeCell ref="N4:N5"/>
    <mergeCell ref="B32:D32"/>
    <mergeCell ref="L32:N32"/>
    <mergeCell ref="A6:C6"/>
    <mergeCell ref="A14:C14"/>
    <mergeCell ref="A16:C16"/>
    <mergeCell ref="A26:N26"/>
    <mergeCell ref="J27:N27"/>
    <mergeCell ref="B28:D28"/>
    <mergeCell ref="L28:N28"/>
  </mergeCells>
  <pageMargins left="0.26" right="0.28000000000000003" top="0.47" bottom="0.34" header="0.3" footer="0.3"/>
  <pageSetup scale="70" orientation="landscape" verticalDpi="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sqref="A1:XFD1048576"/>
    </sheetView>
  </sheetViews>
  <sheetFormatPr defaultColWidth="9.109375" defaultRowHeight="16.8" x14ac:dyDescent="0.3"/>
  <cols>
    <col min="1" max="1" width="6.109375" style="2" customWidth="1"/>
    <col min="2" max="2" width="27.5546875" style="1" customWidth="1"/>
    <col min="3" max="3" width="22" style="2" customWidth="1"/>
    <col min="4" max="6" width="11.33203125" style="2" customWidth="1"/>
    <col min="7" max="9" width="12.33203125" style="2" customWidth="1"/>
    <col min="10" max="10" width="12.44140625" style="2" customWidth="1"/>
    <col min="11" max="11" width="11.33203125" style="2" customWidth="1"/>
    <col min="12" max="12" width="12.109375" style="2" customWidth="1"/>
    <col min="13" max="13" width="9.44140625" style="2" customWidth="1"/>
    <col min="14" max="14" width="15" style="2" customWidth="1"/>
    <col min="15" max="15" width="53.88671875" style="2" customWidth="1"/>
    <col min="16" max="16384" width="9.109375" style="1"/>
  </cols>
  <sheetData>
    <row r="1" spans="1:15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5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</row>
    <row r="3" spans="1:15" ht="22.5" customHeight="1" x14ac:dyDescent="0.3">
      <c r="A3" s="179" t="s">
        <v>159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</row>
    <row r="4" spans="1:15" s="3" customFormat="1" ht="22.5" customHeight="1" x14ac:dyDescent="0.3">
      <c r="A4" s="180" t="s">
        <v>0</v>
      </c>
      <c r="B4" s="180" t="s">
        <v>1</v>
      </c>
      <c r="C4" s="180" t="s">
        <v>2</v>
      </c>
      <c r="D4" s="180" t="s">
        <v>23</v>
      </c>
      <c r="E4" s="180"/>
      <c r="F4" s="180"/>
      <c r="G4" s="181" t="s">
        <v>29</v>
      </c>
      <c r="H4" s="181" t="s">
        <v>30</v>
      </c>
      <c r="I4" s="181" t="s">
        <v>31</v>
      </c>
      <c r="J4" s="181" t="s">
        <v>96</v>
      </c>
      <c r="K4" s="181" t="s">
        <v>97</v>
      </c>
      <c r="L4" s="180" t="s">
        <v>6</v>
      </c>
      <c r="M4" s="180" t="s">
        <v>7</v>
      </c>
      <c r="N4" s="180" t="s">
        <v>8</v>
      </c>
      <c r="O4" s="183"/>
    </row>
    <row r="5" spans="1:15" s="3" customFormat="1" ht="49.8" customHeight="1" x14ac:dyDescent="0.3">
      <c r="A5" s="180"/>
      <c r="B5" s="180"/>
      <c r="C5" s="180"/>
      <c r="D5" s="142" t="s">
        <v>3</v>
      </c>
      <c r="E5" s="142" t="s">
        <v>4</v>
      </c>
      <c r="F5" s="142" t="s">
        <v>5</v>
      </c>
      <c r="G5" s="182"/>
      <c r="H5" s="182"/>
      <c r="I5" s="182"/>
      <c r="J5" s="182"/>
      <c r="K5" s="182"/>
      <c r="L5" s="180"/>
      <c r="M5" s="180"/>
      <c r="N5" s="180"/>
      <c r="O5" s="183"/>
    </row>
    <row r="6" spans="1:15" ht="19.5" customHeight="1" x14ac:dyDescent="0.3">
      <c r="A6" s="184" t="s">
        <v>15</v>
      </c>
      <c r="B6" s="184"/>
      <c r="C6" s="18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5" ht="19.5" customHeight="1" x14ac:dyDescent="0.3">
      <c r="A7" s="15">
        <v>1</v>
      </c>
      <c r="B7" s="16" t="s">
        <v>49</v>
      </c>
      <c r="C7" s="15" t="s">
        <v>19</v>
      </c>
      <c r="D7" s="15">
        <v>4</v>
      </c>
      <c r="E7" s="15"/>
      <c r="F7" s="15">
        <v>3</v>
      </c>
      <c r="G7" s="15">
        <f t="shared" ref="G7:H13" si="0">IF(D7&gt;5,(D7-5)*2,0)</f>
        <v>0</v>
      </c>
      <c r="H7" s="15">
        <f t="shared" si="0"/>
        <v>0</v>
      </c>
      <c r="I7" s="15">
        <f t="shared" ref="I7:I13" si="1">IF(F7&gt;2,(F7-2)*1,0)</f>
        <v>1</v>
      </c>
      <c r="J7" s="15">
        <f>SUM(G7:I7)</f>
        <v>1</v>
      </c>
      <c r="K7" s="15">
        <v>2</v>
      </c>
      <c r="L7" s="15">
        <f t="shared" ref="L7:L13" si="2">100-J7-K7</f>
        <v>97</v>
      </c>
      <c r="M7" s="15" t="str">
        <f>IF(L7&lt;71,"KL",IF(AND(L7&gt;=71,L7&lt;81),"C",IF(AND(L7&gt;=81,L7&lt;91),"B","A")))</f>
        <v>A</v>
      </c>
      <c r="N7" s="15" t="str">
        <f>IF(M7="A","100% LTT",IF(M7="B","90% LTT",IF(M7="C","80% LTT","60% LTT")))</f>
        <v>100% LTT</v>
      </c>
      <c r="O7" s="11" t="s">
        <v>33</v>
      </c>
    </row>
    <row r="8" spans="1:15" ht="19.5" customHeight="1" x14ac:dyDescent="0.3">
      <c r="A8" s="15">
        <f t="shared" ref="A8:A13" si="3">A7+1</f>
        <v>2</v>
      </c>
      <c r="B8" s="16" t="s">
        <v>52</v>
      </c>
      <c r="C8" s="15" t="s">
        <v>19</v>
      </c>
      <c r="D8" s="15"/>
      <c r="E8" s="15"/>
      <c r="F8" s="15"/>
      <c r="G8" s="15">
        <f t="shared" si="0"/>
        <v>0</v>
      </c>
      <c r="H8" s="15">
        <f t="shared" si="0"/>
        <v>0</v>
      </c>
      <c r="I8" s="15">
        <f t="shared" si="1"/>
        <v>0</v>
      </c>
      <c r="J8" s="15">
        <f t="shared" ref="J8:J13" si="4">SUM(G8:I8)</f>
        <v>0</v>
      </c>
      <c r="K8" s="15"/>
      <c r="L8" s="15">
        <f t="shared" si="2"/>
        <v>100</v>
      </c>
      <c r="M8" s="15" t="str">
        <f t="shared" ref="M8:M13" si="5">IF(L8&lt;71,"KL",IF(AND(L8&gt;=71,L8&lt;81),"C",IF(AND(L8&gt;=81,L8&lt;91),"B","A")))</f>
        <v>A</v>
      </c>
      <c r="N8" s="15" t="str">
        <f t="shared" ref="N8:N13" si="6">IF(M8="A","100% LTT",IF(M8="B","90% LTT",IF(M8="C","80% LTT","60% LTT")))</f>
        <v>100% LTT</v>
      </c>
      <c r="O8" s="34"/>
    </row>
    <row r="9" spans="1:15" ht="19.5" customHeight="1" x14ac:dyDescent="0.3">
      <c r="A9" s="15">
        <f t="shared" si="3"/>
        <v>3</v>
      </c>
      <c r="B9" s="16" t="s">
        <v>57</v>
      </c>
      <c r="C9" s="15" t="s">
        <v>19</v>
      </c>
      <c r="D9" s="15"/>
      <c r="E9" s="15"/>
      <c r="F9" s="15"/>
      <c r="G9" s="15">
        <f t="shared" si="0"/>
        <v>0</v>
      </c>
      <c r="H9" s="15">
        <f t="shared" si="0"/>
        <v>0</v>
      </c>
      <c r="I9" s="15">
        <f t="shared" si="1"/>
        <v>0</v>
      </c>
      <c r="J9" s="15">
        <f t="shared" si="4"/>
        <v>0</v>
      </c>
      <c r="K9" s="15"/>
      <c r="L9" s="15">
        <f t="shared" si="2"/>
        <v>100</v>
      </c>
      <c r="M9" s="15" t="str">
        <f t="shared" si="5"/>
        <v>A</v>
      </c>
      <c r="N9" s="15" t="str">
        <f t="shared" si="6"/>
        <v>100% LTT</v>
      </c>
      <c r="O9" s="35"/>
    </row>
    <row r="10" spans="1:15" ht="19.5" customHeight="1" x14ac:dyDescent="0.3">
      <c r="A10" s="15">
        <f t="shared" si="3"/>
        <v>4</v>
      </c>
      <c r="B10" s="16" t="s">
        <v>59</v>
      </c>
      <c r="C10" s="15" t="s">
        <v>19</v>
      </c>
      <c r="D10" s="15"/>
      <c r="E10" s="15"/>
      <c r="F10" s="15"/>
      <c r="G10" s="15">
        <f t="shared" si="0"/>
        <v>0</v>
      </c>
      <c r="H10" s="15">
        <f t="shared" si="0"/>
        <v>0</v>
      </c>
      <c r="I10" s="15">
        <f t="shared" si="1"/>
        <v>0</v>
      </c>
      <c r="J10" s="15">
        <f t="shared" si="4"/>
        <v>0</v>
      </c>
      <c r="K10" s="15"/>
      <c r="L10" s="15">
        <f t="shared" si="2"/>
        <v>100</v>
      </c>
      <c r="M10" s="15" t="str">
        <f t="shared" si="5"/>
        <v>A</v>
      </c>
      <c r="N10" s="15" t="str">
        <f t="shared" si="6"/>
        <v>100% LTT</v>
      </c>
      <c r="O10" s="35"/>
    </row>
    <row r="11" spans="1:15" ht="19.5" customHeight="1" x14ac:dyDescent="0.3">
      <c r="A11" s="15">
        <f t="shared" si="3"/>
        <v>5</v>
      </c>
      <c r="B11" s="16" t="s">
        <v>53</v>
      </c>
      <c r="C11" s="15" t="s">
        <v>19</v>
      </c>
      <c r="D11" s="15"/>
      <c r="E11" s="15"/>
      <c r="F11" s="15"/>
      <c r="G11" s="15">
        <f t="shared" si="0"/>
        <v>0</v>
      </c>
      <c r="H11" s="15">
        <f t="shared" si="0"/>
        <v>0</v>
      </c>
      <c r="I11" s="15">
        <f t="shared" si="1"/>
        <v>0</v>
      </c>
      <c r="J11" s="15">
        <f t="shared" si="4"/>
        <v>0</v>
      </c>
      <c r="K11" s="15"/>
      <c r="L11" s="15">
        <f t="shared" si="2"/>
        <v>100</v>
      </c>
      <c r="M11" s="15" t="str">
        <f t="shared" si="5"/>
        <v>A</v>
      </c>
      <c r="N11" s="15" t="str">
        <f t="shared" si="6"/>
        <v>100% LTT</v>
      </c>
      <c r="O11" s="35"/>
    </row>
    <row r="12" spans="1:15" ht="19.5" customHeight="1" x14ac:dyDescent="0.3">
      <c r="A12" s="15">
        <f t="shared" si="3"/>
        <v>6</v>
      </c>
      <c r="B12" s="16" t="s">
        <v>54</v>
      </c>
      <c r="C12" s="15" t="s">
        <v>19</v>
      </c>
      <c r="D12" s="15"/>
      <c r="E12" s="15"/>
      <c r="F12" s="15"/>
      <c r="G12" s="15">
        <f t="shared" si="0"/>
        <v>0</v>
      </c>
      <c r="H12" s="15">
        <f t="shared" si="0"/>
        <v>0</v>
      </c>
      <c r="I12" s="15">
        <f t="shared" si="1"/>
        <v>0</v>
      </c>
      <c r="J12" s="15">
        <f t="shared" si="4"/>
        <v>0</v>
      </c>
      <c r="K12" s="15"/>
      <c r="L12" s="15">
        <f t="shared" si="2"/>
        <v>100</v>
      </c>
      <c r="M12" s="15" t="str">
        <f t="shared" si="5"/>
        <v>A</v>
      </c>
      <c r="N12" s="15" t="str">
        <f t="shared" si="6"/>
        <v>100% LTT</v>
      </c>
      <c r="O12" s="35"/>
    </row>
    <row r="13" spans="1:15" ht="19.5" customHeight="1" x14ac:dyDescent="0.3">
      <c r="A13" s="15">
        <f t="shared" si="3"/>
        <v>7</v>
      </c>
      <c r="B13" s="18" t="s">
        <v>11</v>
      </c>
      <c r="C13" s="17" t="s">
        <v>51</v>
      </c>
      <c r="D13" s="17">
        <v>8</v>
      </c>
      <c r="E13" s="17"/>
      <c r="F13" s="17"/>
      <c r="G13" s="17">
        <f t="shared" si="0"/>
        <v>6</v>
      </c>
      <c r="H13" s="17">
        <f t="shared" si="0"/>
        <v>0</v>
      </c>
      <c r="I13" s="17">
        <f t="shared" si="1"/>
        <v>0</v>
      </c>
      <c r="J13" s="17">
        <f t="shared" si="4"/>
        <v>6</v>
      </c>
      <c r="K13" s="17">
        <v>1</v>
      </c>
      <c r="L13" s="15">
        <f t="shared" si="2"/>
        <v>93</v>
      </c>
      <c r="M13" s="17" t="str">
        <f t="shared" si="5"/>
        <v>A</v>
      </c>
      <c r="N13" s="17" t="str">
        <f t="shared" si="6"/>
        <v>100% LTT</v>
      </c>
      <c r="O13" s="35"/>
    </row>
    <row r="14" spans="1:15" ht="19.5" customHeight="1" x14ac:dyDescent="0.3">
      <c r="A14" s="184" t="s">
        <v>16</v>
      </c>
      <c r="B14" s="184"/>
      <c r="C14" s="18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5" ht="19.5" customHeight="1" x14ac:dyDescent="0.3">
      <c r="A15" s="17">
        <f>A13+1</f>
        <v>8</v>
      </c>
      <c r="B15" s="18" t="s">
        <v>28</v>
      </c>
      <c r="C15" s="17" t="s">
        <v>121</v>
      </c>
      <c r="D15" s="4"/>
      <c r="E15" s="17"/>
      <c r="F15" s="17"/>
      <c r="G15" s="17">
        <f t="shared" ref="G15:H15" si="7">IF(D15&gt;5,(D15-5)*2,0)</f>
        <v>0</v>
      </c>
      <c r="H15" s="17">
        <f t="shared" si="7"/>
        <v>0</v>
      </c>
      <c r="I15" s="17">
        <f t="shared" ref="I15" si="8">IF(F15&gt;2,(F15-2)*1,0)</f>
        <v>0</v>
      </c>
      <c r="J15" s="17">
        <f t="shared" ref="J15" si="9">SUM(G15:I15)</f>
        <v>0</v>
      </c>
      <c r="K15" s="17"/>
      <c r="L15" s="17">
        <f>100-J15-K15</f>
        <v>100</v>
      </c>
      <c r="M15" s="17" t="str">
        <f t="shared" ref="M15" si="10">IF(L15&lt;71,"KL",IF(AND(L15&gt;=71,L15&lt;81),"C",IF(AND(L15&gt;=81,L15&lt;91),"B","A")))</f>
        <v>A</v>
      </c>
      <c r="N15" s="17" t="str">
        <f t="shared" ref="N15" si="11">IF(M15="A","100% LTT",IF(M15="B","90% LTT",IF(M15="C","80% LTT","60% LTT")))</f>
        <v>100% LTT</v>
      </c>
    </row>
    <row r="16" spans="1:15" ht="19.5" customHeight="1" x14ac:dyDescent="0.3">
      <c r="A16" s="184" t="s">
        <v>17</v>
      </c>
      <c r="B16" s="184"/>
      <c r="C16" s="18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ht="19.5" customHeight="1" x14ac:dyDescent="0.3">
      <c r="A17" s="15">
        <f>A15+1</f>
        <v>9</v>
      </c>
      <c r="B17" s="16" t="s">
        <v>13</v>
      </c>
      <c r="C17" s="15" t="s">
        <v>101</v>
      </c>
      <c r="D17" s="15"/>
      <c r="E17" s="15"/>
      <c r="F17" s="15"/>
      <c r="G17" s="15">
        <f t="shared" ref="G17:H25" si="12">IF(D17&gt;5,(D17-5)*2,0)</f>
        <v>0</v>
      </c>
      <c r="H17" s="15">
        <f t="shared" si="12"/>
        <v>0</v>
      </c>
      <c r="I17" s="15">
        <f t="shared" ref="I17:I25" si="13">IF(F17&gt;2,(F17-2)*1,0)</f>
        <v>0</v>
      </c>
      <c r="J17" s="15">
        <f t="shared" ref="J17:J25" si="14">SUM(G17:I17)</f>
        <v>0</v>
      </c>
      <c r="K17" s="15"/>
      <c r="L17" s="15">
        <f>100-J17-K17</f>
        <v>100</v>
      </c>
      <c r="M17" s="15" t="str">
        <f t="shared" ref="M17:M25" si="15">IF(L17&lt;71,"KL",IF(AND(L17&gt;=71,L17&lt;81),"C",IF(AND(L17&gt;=81,L17&lt;91),"B","A")))</f>
        <v>A</v>
      </c>
      <c r="N17" s="17" t="str">
        <f>IF(M17="A","100% LTT",IF(M17="B","90% LTT",IF(M17="C","80% LTT","60% LTT")))</f>
        <v>100% LTT</v>
      </c>
    </row>
    <row r="18" spans="1:14" ht="19.5" customHeight="1" x14ac:dyDescent="0.3">
      <c r="A18" s="15">
        <f t="shared" ref="A18:A25" si="16">A17+1</f>
        <v>10</v>
      </c>
      <c r="B18" s="16" t="s">
        <v>14</v>
      </c>
      <c r="C18" s="15" t="s">
        <v>19</v>
      </c>
      <c r="D18" s="15">
        <v>3</v>
      </c>
      <c r="E18" s="15"/>
      <c r="F18" s="15"/>
      <c r="G18" s="15">
        <f t="shared" si="12"/>
        <v>0</v>
      </c>
      <c r="H18" s="15">
        <f t="shared" si="12"/>
        <v>0</v>
      </c>
      <c r="I18" s="15">
        <f t="shared" si="13"/>
        <v>0</v>
      </c>
      <c r="J18" s="15">
        <f t="shared" si="14"/>
        <v>0</v>
      </c>
      <c r="K18" s="15">
        <v>3</v>
      </c>
      <c r="L18" s="15">
        <f t="shared" ref="L18:L25" si="17">100-J18-K18</f>
        <v>97</v>
      </c>
      <c r="M18" s="15" t="str">
        <f t="shared" si="15"/>
        <v>A</v>
      </c>
      <c r="N18" s="15" t="str">
        <f t="shared" ref="N18:N25" si="18">IF(M18="A","100% LTT",IF(M18="B","90% LTT",IF(M18="C","80% LTT","60% LTT")))</f>
        <v>100% LTT</v>
      </c>
    </row>
    <row r="19" spans="1:14" ht="19.5" customHeight="1" x14ac:dyDescent="0.3">
      <c r="A19" s="15">
        <f t="shared" si="16"/>
        <v>11</v>
      </c>
      <c r="B19" s="16" t="s">
        <v>40</v>
      </c>
      <c r="C19" s="15" t="s">
        <v>19</v>
      </c>
      <c r="D19" s="15"/>
      <c r="E19" s="15"/>
      <c r="F19" s="15"/>
      <c r="G19" s="15">
        <f t="shared" si="12"/>
        <v>0</v>
      </c>
      <c r="H19" s="15">
        <f t="shared" si="12"/>
        <v>0</v>
      </c>
      <c r="I19" s="15">
        <f t="shared" si="13"/>
        <v>0</v>
      </c>
      <c r="J19" s="15">
        <f t="shared" si="14"/>
        <v>0</v>
      </c>
      <c r="K19" s="15">
        <v>4</v>
      </c>
      <c r="L19" s="15">
        <f>100-J19-K19</f>
        <v>96</v>
      </c>
      <c r="M19" s="15" t="str">
        <f t="shared" si="15"/>
        <v>A</v>
      </c>
      <c r="N19" s="15" t="str">
        <f t="shared" si="18"/>
        <v>100% LTT</v>
      </c>
    </row>
    <row r="20" spans="1:14" ht="19.5" customHeight="1" x14ac:dyDescent="0.3">
      <c r="A20" s="15">
        <f t="shared" si="16"/>
        <v>12</v>
      </c>
      <c r="B20" s="16" t="s">
        <v>130</v>
      </c>
      <c r="C20" s="15" t="s">
        <v>131</v>
      </c>
      <c r="D20" s="15"/>
      <c r="E20" s="15"/>
      <c r="F20" s="15"/>
      <c r="G20" s="15">
        <f t="shared" si="12"/>
        <v>0</v>
      </c>
      <c r="H20" s="15">
        <f t="shared" si="12"/>
        <v>0</v>
      </c>
      <c r="I20" s="15">
        <f t="shared" si="13"/>
        <v>0</v>
      </c>
      <c r="J20" s="15">
        <f t="shared" si="14"/>
        <v>0</v>
      </c>
      <c r="K20" s="15">
        <v>5</v>
      </c>
      <c r="L20" s="15">
        <f t="shared" ref="L20:L21" si="19">100-J20-K20</f>
        <v>95</v>
      </c>
      <c r="M20" s="15" t="str">
        <f t="shared" si="15"/>
        <v>A</v>
      </c>
      <c r="N20" s="15" t="str">
        <f t="shared" si="18"/>
        <v>100% LTT</v>
      </c>
    </row>
    <row r="21" spans="1:14" ht="19.5" customHeight="1" x14ac:dyDescent="0.3">
      <c r="A21" s="15">
        <f t="shared" si="16"/>
        <v>13</v>
      </c>
      <c r="B21" s="16" t="s">
        <v>98</v>
      </c>
      <c r="C21" s="15" t="s">
        <v>102</v>
      </c>
      <c r="D21" s="15"/>
      <c r="E21" s="15"/>
      <c r="F21" s="15"/>
      <c r="G21" s="15">
        <f t="shared" si="12"/>
        <v>0</v>
      </c>
      <c r="H21" s="15">
        <f t="shared" si="12"/>
        <v>0</v>
      </c>
      <c r="I21" s="15">
        <f t="shared" si="13"/>
        <v>0</v>
      </c>
      <c r="J21" s="15">
        <f t="shared" si="14"/>
        <v>0</v>
      </c>
      <c r="K21" s="15">
        <v>8</v>
      </c>
      <c r="L21" s="15">
        <f t="shared" si="19"/>
        <v>92</v>
      </c>
      <c r="M21" s="15" t="str">
        <f t="shared" si="15"/>
        <v>A</v>
      </c>
      <c r="N21" s="15" t="str">
        <f t="shared" si="18"/>
        <v>100% LTT</v>
      </c>
    </row>
    <row r="22" spans="1:14" ht="19.5" customHeight="1" x14ac:dyDescent="0.3">
      <c r="A22" s="15">
        <f t="shared" si="16"/>
        <v>14</v>
      </c>
      <c r="B22" s="16" t="s">
        <v>99</v>
      </c>
      <c r="C22" s="15" t="s">
        <v>102</v>
      </c>
      <c r="D22" s="15"/>
      <c r="E22" s="15"/>
      <c r="F22" s="15"/>
      <c r="G22" s="15">
        <f t="shared" si="12"/>
        <v>0</v>
      </c>
      <c r="H22" s="15">
        <f t="shared" si="12"/>
        <v>0</v>
      </c>
      <c r="I22" s="15">
        <f t="shared" si="13"/>
        <v>0</v>
      </c>
      <c r="J22" s="15">
        <f t="shared" si="14"/>
        <v>0</v>
      </c>
      <c r="K22" s="15">
        <v>8</v>
      </c>
      <c r="L22" s="15">
        <f t="shared" si="17"/>
        <v>92</v>
      </c>
      <c r="M22" s="15" t="str">
        <f t="shared" si="15"/>
        <v>A</v>
      </c>
      <c r="N22" s="15" t="str">
        <f t="shared" si="18"/>
        <v>100% LTT</v>
      </c>
    </row>
    <row r="23" spans="1:14" ht="19.5" customHeight="1" x14ac:dyDescent="0.3">
      <c r="A23" s="15">
        <f t="shared" si="16"/>
        <v>15</v>
      </c>
      <c r="B23" s="16" t="s">
        <v>152</v>
      </c>
      <c r="C23" s="15" t="s">
        <v>153</v>
      </c>
      <c r="D23" s="15"/>
      <c r="E23" s="15"/>
      <c r="F23" s="15"/>
      <c r="G23" s="15">
        <f t="shared" si="12"/>
        <v>0</v>
      </c>
      <c r="H23" s="15">
        <f t="shared" si="12"/>
        <v>0</v>
      </c>
      <c r="I23" s="15">
        <f t="shared" si="13"/>
        <v>0</v>
      </c>
      <c r="J23" s="15">
        <f t="shared" si="14"/>
        <v>0</v>
      </c>
      <c r="K23" s="15">
        <v>8</v>
      </c>
      <c r="L23" s="15">
        <f t="shared" si="17"/>
        <v>92</v>
      </c>
      <c r="M23" s="15" t="str">
        <f t="shared" si="15"/>
        <v>A</v>
      </c>
      <c r="N23" s="15" t="str">
        <f t="shared" si="18"/>
        <v>100% LTT</v>
      </c>
    </row>
    <row r="24" spans="1:14" ht="19.5" customHeight="1" x14ac:dyDescent="0.3">
      <c r="A24" s="15">
        <f t="shared" si="16"/>
        <v>16</v>
      </c>
      <c r="B24" s="16" t="s">
        <v>100</v>
      </c>
      <c r="C24" s="15" t="s">
        <v>102</v>
      </c>
      <c r="D24" s="15"/>
      <c r="E24" s="15"/>
      <c r="F24" s="15"/>
      <c r="G24" s="15">
        <f t="shared" si="12"/>
        <v>0</v>
      </c>
      <c r="H24" s="15">
        <f t="shared" si="12"/>
        <v>0</v>
      </c>
      <c r="I24" s="15">
        <f t="shared" si="13"/>
        <v>0</v>
      </c>
      <c r="J24" s="15">
        <f t="shared" si="14"/>
        <v>0</v>
      </c>
      <c r="K24" s="15">
        <v>4</v>
      </c>
      <c r="L24" s="15">
        <f t="shared" si="17"/>
        <v>96</v>
      </c>
      <c r="M24" s="15" t="str">
        <f t="shared" si="15"/>
        <v>A</v>
      </c>
      <c r="N24" s="15" t="str">
        <f t="shared" si="18"/>
        <v>100% LTT</v>
      </c>
    </row>
    <row r="25" spans="1:14" ht="19.5" customHeight="1" x14ac:dyDescent="0.3">
      <c r="A25" s="15">
        <f t="shared" si="16"/>
        <v>17</v>
      </c>
      <c r="B25" s="18" t="s">
        <v>116</v>
      </c>
      <c r="C25" s="17" t="s">
        <v>107</v>
      </c>
      <c r="D25" s="17"/>
      <c r="E25" s="17"/>
      <c r="F25" s="17"/>
      <c r="G25" s="15">
        <f t="shared" si="12"/>
        <v>0</v>
      </c>
      <c r="H25" s="15">
        <f t="shared" si="12"/>
        <v>0</v>
      </c>
      <c r="I25" s="15">
        <f t="shared" si="13"/>
        <v>0</v>
      </c>
      <c r="J25" s="15">
        <f t="shared" si="14"/>
        <v>0</v>
      </c>
      <c r="K25" s="17">
        <v>8</v>
      </c>
      <c r="L25" s="15">
        <f t="shared" si="17"/>
        <v>92</v>
      </c>
      <c r="M25" s="15" t="str">
        <f t="shared" si="15"/>
        <v>A</v>
      </c>
      <c r="N25" s="17" t="str">
        <f t="shared" si="18"/>
        <v>100% LTT</v>
      </c>
    </row>
    <row r="26" spans="1:14" ht="22.5" customHeight="1" x14ac:dyDescent="0.3">
      <c r="A26" s="180" t="s">
        <v>60</v>
      </c>
      <c r="B26" s="180"/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0"/>
      <c r="N26" s="180"/>
    </row>
    <row r="27" spans="1:14" ht="22.5" customHeight="1" x14ac:dyDescent="0.3">
      <c r="J27" s="185" t="s">
        <v>144</v>
      </c>
      <c r="K27" s="185"/>
      <c r="L27" s="185"/>
      <c r="M27" s="185"/>
      <c r="N27" s="185"/>
    </row>
    <row r="28" spans="1:14" ht="22.5" customHeight="1" x14ac:dyDescent="0.3">
      <c r="B28" s="178" t="s">
        <v>22</v>
      </c>
      <c r="C28" s="178"/>
      <c r="D28" s="178"/>
      <c r="L28" s="178" t="s">
        <v>25</v>
      </c>
      <c r="M28" s="178"/>
      <c r="N28" s="178"/>
    </row>
    <row r="29" spans="1:14" ht="22.5" customHeight="1" x14ac:dyDescent="0.3">
      <c r="L29" s="141"/>
      <c r="M29" s="141"/>
    </row>
    <row r="30" spans="1:14" ht="22.5" customHeight="1" x14ac:dyDescent="0.3">
      <c r="L30" s="141"/>
      <c r="M30" s="141"/>
    </row>
    <row r="31" spans="1:14" ht="22.5" customHeight="1" x14ac:dyDescent="0.3">
      <c r="L31" s="141"/>
      <c r="M31" s="141"/>
    </row>
    <row r="32" spans="1:14" ht="22.5" customHeight="1" x14ac:dyDescent="0.3">
      <c r="B32" s="178" t="s">
        <v>28</v>
      </c>
      <c r="C32" s="178"/>
      <c r="D32" s="178"/>
      <c r="L32" s="178" t="s">
        <v>27</v>
      </c>
      <c r="M32" s="178"/>
      <c r="N32" s="178"/>
    </row>
    <row r="33" spans="3:4" ht="22.5" customHeight="1" x14ac:dyDescent="0.3">
      <c r="C33" s="1"/>
      <c r="D33" s="1"/>
    </row>
  </sheetData>
  <mergeCells count="25">
    <mergeCell ref="O4:O5"/>
    <mergeCell ref="A1:N1"/>
    <mergeCell ref="A2:N2"/>
    <mergeCell ref="A3:N3"/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L4:L5"/>
    <mergeCell ref="M4:M5"/>
    <mergeCell ref="N4:N5"/>
    <mergeCell ref="B32:D32"/>
    <mergeCell ref="L32:N32"/>
    <mergeCell ref="A6:C6"/>
    <mergeCell ref="A14:C14"/>
    <mergeCell ref="A16:C16"/>
    <mergeCell ref="A26:N26"/>
    <mergeCell ref="J27:N27"/>
    <mergeCell ref="B28:D28"/>
    <mergeCell ref="L28:N28"/>
  </mergeCells>
  <pageMargins left="0.21" right="0.21" top="0.39" bottom="0.36" header="0.3" footer="0.3"/>
  <pageSetup scale="70" orientation="landscape" verticalDpi="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zoomScale="70" zoomScaleNormal="70" workbookViewId="0">
      <pane xSplit="2" ySplit="6" topLeftCell="C7" activePane="bottomRight" state="frozen"/>
      <selection pane="topRight" activeCell="C1" sqref="C1"/>
      <selection pane="bottomLeft" activeCell="A7" sqref="A7"/>
      <selection pane="bottomRight" sqref="A1:XFD1048576"/>
    </sheetView>
  </sheetViews>
  <sheetFormatPr defaultColWidth="9.109375" defaultRowHeight="16.8" x14ac:dyDescent="0.3"/>
  <cols>
    <col min="1" max="1" width="6.109375" style="2" customWidth="1"/>
    <col min="2" max="2" width="27.5546875" style="1" customWidth="1"/>
    <col min="3" max="3" width="22" style="2" customWidth="1"/>
    <col min="4" max="6" width="11.33203125" style="2" customWidth="1"/>
    <col min="7" max="9" width="12.33203125" style="2" customWidth="1"/>
    <col min="10" max="10" width="12.44140625" style="2" customWidth="1"/>
    <col min="11" max="11" width="11.33203125" style="2" customWidth="1"/>
    <col min="12" max="12" width="12.109375" style="2" customWidth="1"/>
    <col min="13" max="13" width="9.44140625" style="2" customWidth="1"/>
    <col min="14" max="14" width="15" style="2" customWidth="1"/>
    <col min="15" max="15" width="53.88671875" style="2" customWidth="1"/>
    <col min="16" max="16384" width="9.109375" style="1"/>
  </cols>
  <sheetData>
    <row r="1" spans="1:15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5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</row>
    <row r="3" spans="1:15" ht="22.5" customHeight="1" x14ac:dyDescent="0.3">
      <c r="A3" s="179" t="s">
        <v>160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</row>
    <row r="4" spans="1:15" s="3" customFormat="1" ht="22.5" customHeight="1" x14ac:dyDescent="0.3">
      <c r="A4" s="180" t="s">
        <v>0</v>
      </c>
      <c r="B4" s="180" t="s">
        <v>1</v>
      </c>
      <c r="C4" s="180" t="s">
        <v>2</v>
      </c>
      <c r="D4" s="180" t="s">
        <v>23</v>
      </c>
      <c r="E4" s="180"/>
      <c r="F4" s="180"/>
      <c r="G4" s="181" t="s">
        <v>29</v>
      </c>
      <c r="H4" s="181" t="s">
        <v>30</v>
      </c>
      <c r="I4" s="181" t="s">
        <v>31</v>
      </c>
      <c r="J4" s="181" t="s">
        <v>96</v>
      </c>
      <c r="K4" s="181" t="s">
        <v>97</v>
      </c>
      <c r="L4" s="180" t="s">
        <v>6</v>
      </c>
      <c r="M4" s="180" t="s">
        <v>7</v>
      </c>
      <c r="N4" s="180" t="s">
        <v>8</v>
      </c>
      <c r="O4" s="183"/>
    </row>
    <row r="5" spans="1:15" s="3" customFormat="1" ht="49.8" customHeight="1" x14ac:dyDescent="0.3">
      <c r="A5" s="180"/>
      <c r="B5" s="180"/>
      <c r="C5" s="180"/>
      <c r="D5" s="144" t="s">
        <v>3</v>
      </c>
      <c r="E5" s="144" t="s">
        <v>4</v>
      </c>
      <c r="F5" s="144" t="s">
        <v>5</v>
      </c>
      <c r="G5" s="182"/>
      <c r="H5" s="182"/>
      <c r="I5" s="182"/>
      <c r="J5" s="182"/>
      <c r="K5" s="182"/>
      <c r="L5" s="180"/>
      <c r="M5" s="180"/>
      <c r="N5" s="180"/>
      <c r="O5" s="183"/>
    </row>
    <row r="6" spans="1:15" ht="19.5" customHeight="1" x14ac:dyDescent="0.3">
      <c r="A6" s="184" t="s">
        <v>15</v>
      </c>
      <c r="B6" s="184"/>
      <c r="C6" s="18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5" ht="19.5" customHeight="1" x14ac:dyDescent="0.3">
      <c r="A7" s="15">
        <v>1</v>
      </c>
      <c r="B7" s="16" t="s">
        <v>49</v>
      </c>
      <c r="C7" s="15" t="s">
        <v>19</v>
      </c>
      <c r="D7" s="15">
        <v>7</v>
      </c>
      <c r="E7" s="15"/>
      <c r="F7" s="15">
        <v>3</v>
      </c>
      <c r="G7" s="15">
        <f t="shared" ref="G7:H11" si="0">IF(D7&gt;5,(D7-5)*2,0)</f>
        <v>4</v>
      </c>
      <c r="H7" s="15">
        <f t="shared" si="0"/>
        <v>0</v>
      </c>
      <c r="I7" s="15">
        <f t="shared" ref="I7:I11" si="1">IF(F7&gt;2,(F7-2)*1,0)</f>
        <v>1</v>
      </c>
      <c r="J7" s="15">
        <f>SUM(G7:I7)</f>
        <v>5</v>
      </c>
      <c r="K7" s="15">
        <v>3</v>
      </c>
      <c r="L7" s="147">
        <f t="shared" ref="L7:L11" si="2">100-J7-K7</f>
        <v>92</v>
      </c>
      <c r="M7" s="147" t="str">
        <f>IF(L7&lt;71,"KL",IF(AND(L7&gt;=71,L7&lt;81),"C",IF(AND(L7&gt;=81,L7&lt;91),"B","A")))</f>
        <v>A</v>
      </c>
      <c r="N7" s="15" t="str">
        <f>IF(M7="A","100% LTT",IF(M7="B","90% LTT",IF(M7="C","80% LTT","60% LTT")))</f>
        <v>100% LTT</v>
      </c>
      <c r="O7" s="11" t="s">
        <v>33</v>
      </c>
    </row>
    <row r="8" spans="1:15" ht="19.5" customHeight="1" x14ac:dyDescent="0.3">
      <c r="A8" s="15">
        <f t="shared" ref="A8:A11" si="3">A7+1</f>
        <v>2</v>
      </c>
      <c r="B8" s="16" t="s">
        <v>52</v>
      </c>
      <c r="C8" s="15" t="s">
        <v>19</v>
      </c>
      <c r="D8" s="15"/>
      <c r="E8" s="15"/>
      <c r="F8" s="15"/>
      <c r="G8" s="15">
        <f t="shared" si="0"/>
        <v>0</v>
      </c>
      <c r="H8" s="15">
        <f t="shared" si="0"/>
        <v>0</v>
      </c>
      <c r="I8" s="15">
        <f t="shared" si="1"/>
        <v>0</v>
      </c>
      <c r="J8" s="15">
        <f t="shared" ref="J8:J11" si="4">SUM(G8:I8)</f>
        <v>0</v>
      </c>
      <c r="K8" s="15"/>
      <c r="L8" s="15">
        <f t="shared" si="2"/>
        <v>100</v>
      </c>
      <c r="M8" s="15" t="str">
        <f t="shared" ref="M8:M11" si="5">IF(L8&lt;71,"KL",IF(AND(L8&gt;=71,L8&lt;81),"C",IF(AND(L8&gt;=81,L8&lt;91),"B","A")))</f>
        <v>A</v>
      </c>
      <c r="N8" s="15" t="str">
        <f t="shared" ref="N8:N11" si="6">IF(M8="A","100% LTT",IF(M8="B","90% LTT",IF(M8="C","80% LTT","60% LTT")))</f>
        <v>100% LTT</v>
      </c>
      <c r="O8" s="34"/>
    </row>
    <row r="9" spans="1:15" ht="19.5" customHeight="1" x14ac:dyDescent="0.3">
      <c r="A9" s="15">
        <f t="shared" si="3"/>
        <v>3</v>
      </c>
      <c r="B9" s="16" t="s">
        <v>59</v>
      </c>
      <c r="C9" s="15" t="s">
        <v>19</v>
      </c>
      <c r="D9" s="15"/>
      <c r="E9" s="15"/>
      <c r="F9" s="15"/>
      <c r="G9" s="15">
        <f t="shared" si="0"/>
        <v>0</v>
      </c>
      <c r="H9" s="15">
        <f t="shared" si="0"/>
        <v>0</v>
      </c>
      <c r="I9" s="15">
        <f t="shared" si="1"/>
        <v>0</v>
      </c>
      <c r="J9" s="15">
        <f t="shared" si="4"/>
        <v>0</v>
      </c>
      <c r="K9" s="15"/>
      <c r="L9" s="15">
        <f t="shared" si="2"/>
        <v>100</v>
      </c>
      <c r="M9" s="15" t="str">
        <f t="shared" si="5"/>
        <v>A</v>
      </c>
      <c r="N9" s="15" t="str">
        <f t="shared" si="6"/>
        <v>100% LTT</v>
      </c>
      <c r="O9" s="35"/>
    </row>
    <row r="10" spans="1:15" ht="19.5" customHeight="1" x14ac:dyDescent="0.3">
      <c r="A10" s="15">
        <f t="shared" si="3"/>
        <v>4</v>
      </c>
      <c r="B10" s="16" t="s">
        <v>161</v>
      </c>
      <c r="C10" s="15" t="s">
        <v>19</v>
      </c>
      <c r="D10" s="15"/>
      <c r="E10" s="15"/>
      <c r="F10" s="15"/>
      <c r="G10" s="15">
        <f t="shared" si="0"/>
        <v>0</v>
      </c>
      <c r="H10" s="15">
        <f t="shared" si="0"/>
        <v>0</v>
      </c>
      <c r="I10" s="15">
        <f t="shared" si="1"/>
        <v>0</v>
      </c>
      <c r="J10" s="15">
        <f t="shared" si="4"/>
        <v>0</v>
      </c>
      <c r="K10" s="15"/>
      <c r="L10" s="15">
        <f t="shared" si="2"/>
        <v>100</v>
      </c>
      <c r="M10" s="15" t="str">
        <f t="shared" si="5"/>
        <v>A</v>
      </c>
      <c r="N10" s="15" t="str">
        <f t="shared" si="6"/>
        <v>100% LTT</v>
      </c>
      <c r="O10" s="35"/>
    </row>
    <row r="11" spans="1:15" ht="19.5" customHeight="1" x14ac:dyDescent="0.3">
      <c r="A11" s="15">
        <f t="shared" si="3"/>
        <v>5</v>
      </c>
      <c r="B11" s="18" t="s">
        <v>11</v>
      </c>
      <c r="C11" s="17" t="s">
        <v>51</v>
      </c>
      <c r="D11" s="17">
        <v>8</v>
      </c>
      <c r="E11" s="17"/>
      <c r="F11" s="17">
        <v>3</v>
      </c>
      <c r="G11" s="17">
        <f t="shared" si="0"/>
        <v>6</v>
      </c>
      <c r="H11" s="17">
        <f t="shared" si="0"/>
        <v>0</v>
      </c>
      <c r="I11" s="17">
        <f t="shared" si="1"/>
        <v>1</v>
      </c>
      <c r="J11" s="17">
        <f t="shared" si="4"/>
        <v>7</v>
      </c>
      <c r="K11" s="17">
        <v>1</v>
      </c>
      <c r="L11" s="15">
        <f t="shared" si="2"/>
        <v>92</v>
      </c>
      <c r="M11" s="17" t="str">
        <f t="shared" si="5"/>
        <v>A</v>
      </c>
      <c r="N11" s="17" t="str">
        <f t="shared" si="6"/>
        <v>100% LTT</v>
      </c>
      <c r="O11" s="35"/>
    </row>
    <row r="12" spans="1:15" ht="19.5" customHeight="1" x14ac:dyDescent="0.3">
      <c r="A12" s="184" t="s">
        <v>16</v>
      </c>
      <c r="B12" s="184"/>
      <c r="C12" s="18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5" ht="19.5" customHeight="1" x14ac:dyDescent="0.3">
      <c r="A13" s="17">
        <f>A11+1</f>
        <v>6</v>
      </c>
      <c r="B13" s="18" t="s">
        <v>28</v>
      </c>
      <c r="C13" s="17" t="s">
        <v>121</v>
      </c>
      <c r="D13" s="4">
        <v>3</v>
      </c>
      <c r="E13" s="17"/>
      <c r="F13" s="17">
        <v>1</v>
      </c>
      <c r="G13" s="17">
        <f t="shared" ref="G13:H13" si="7">IF(D13&gt;5,(D13-5)*2,0)</f>
        <v>0</v>
      </c>
      <c r="H13" s="17">
        <f t="shared" si="7"/>
        <v>0</v>
      </c>
      <c r="I13" s="17">
        <f t="shared" ref="I13" si="8">IF(F13&gt;2,(F13-2)*1,0)</f>
        <v>0</v>
      </c>
      <c r="J13" s="17">
        <f t="shared" ref="J13" si="9">SUM(G13:I13)</f>
        <v>0</v>
      </c>
      <c r="K13" s="17"/>
      <c r="L13" s="17">
        <f>100-J13-K13</f>
        <v>100</v>
      </c>
      <c r="M13" s="17" t="str">
        <f t="shared" ref="M13" si="10">IF(L13&lt;71,"KL",IF(AND(L13&gt;=71,L13&lt;81),"C",IF(AND(L13&gt;=81,L13&lt;91),"B","A")))</f>
        <v>A</v>
      </c>
      <c r="N13" s="17" t="str">
        <f t="shared" ref="N13" si="11">IF(M13="A","100% LTT",IF(M13="B","90% LTT",IF(M13="C","80% LTT","60% LTT")))</f>
        <v>100% LTT</v>
      </c>
    </row>
    <row r="14" spans="1:15" ht="19.5" customHeight="1" x14ac:dyDescent="0.3">
      <c r="A14" s="184" t="s">
        <v>17</v>
      </c>
      <c r="B14" s="184"/>
      <c r="C14" s="18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5" ht="19.5" customHeight="1" x14ac:dyDescent="0.3">
      <c r="A15" s="15">
        <f>A13+1</f>
        <v>7</v>
      </c>
      <c r="B15" s="16" t="s">
        <v>13</v>
      </c>
      <c r="C15" s="15" t="s">
        <v>101</v>
      </c>
      <c r="D15" s="15"/>
      <c r="E15" s="15"/>
      <c r="F15" s="15"/>
      <c r="G15" s="15">
        <f t="shared" ref="G15:H23" si="12">IF(D15&gt;5,(D15-5)*2,0)</f>
        <v>0</v>
      </c>
      <c r="H15" s="15">
        <f t="shared" si="12"/>
        <v>0</v>
      </c>
      <c r="I15" s="15">
        <f t="shared" ref="I15:I23" si="13">IF(F15&gt;2,(F15-2)*1,0)</f>
        <v>0</v>
      </c>
      <c r="J15" s="15">
        <f t="shared" ref="J15:J23" si="14">SUM(G15:I15)</f>
        <v>0</v>
      </c>
      <c r="K15" s="15"/>
      <c r="L15" s="15">
        <f>100-J15-K15</f>
        <v>100</v>
      </c>
      <c r="M15" s="15" t="str">
        <f t="shared" ref="M15:M23" si="15">IF(L15&lt;71,"KL",IF(AND(L15&gt;=71,L15&lt;81),"C",IF(AND(L15&gt;=81,L15&lt;91),"B","A")))</f>
        <v>A</v>
      </c>
      <c r="N15" s="17" t="str">
        <f>IF(M15="A","100% LTT",IF(M15="B","90% LTT",IF(M15="C","80% LTT","60% LTT")))</f>
        <v>100% LTT</v>
      </c>
    </row>
    <row r="16" spans="1:15" ht="19.5" customHeight="1" x14ac:dyDescent="0.3">
      <c r="A16" s="15">
        <f t="shared" ref="A16:A23" si="16">A15+1</f>
        <v>8</v>
      </c>
      <c r="B16" s="16" t="s">
        <v>14</v>
      </c>
      <c r="C16" s="15" t="s">
        <v>19</v>
      </c>
      <c r="D16" s="15">
        <v>3</v>
      </c>
      <c r="E16" s="15"/>
      <c r="F16" s="15">
        <v>1</v>
      </c>
      <c r="G16" s="15">
        <f t="shared" si="12"/>
        <v>0</v>
      </c>
      <c r="H16" s="15">
        <f t="shared" si="12"/>
        <v>0</v>
      </c>
      <c r="I16" s="15">
        <f t="shared" si="13"/>
        <v>0</v>
      </c>
      <c r="J16" s="15">
        <f t="shared" si="14"/>
        <v>0</v>
      </c>
      <c r="K16" s="15">
        <v>3</v>
      </c>
      <c r="L16" s="15">
        <f t="shared" ref="L16:L23" si="17">100-J16-K16</f>
        <v>97</v>
      </c>
      <c r="M16" s="15" t="str">
        <f t="shared" si="15"/>
        <v>A</v>
      </c>
      <c r="N16" s="15" t="str">
        <f t="shared" ref="N16:N23" si="18">IF(M16="A","100% LTT",IF(M16="B","90% LTT",IF(M16="C","80% LTT","60% LTT")))</f>
        <v>100% LTT</v>
      </c>
    </row>
    <row r="17" spans="1:14" ht="19.5" customHeight="1" x14ac:dyDescent="0.3">
      <c r="A17" s="15">
        <f t="shared" si="16"/>
        <v>9</v>
      </c>
      <c r="B17" s="16" t="s">
        <v>40</v>
      </c>
      <c r="C17" s="15" t="s">
        <v>19</v>
      </c>
      <c r="D17" s="15"/>
      <c r="E17" s="15"/>
      <c r="F17" s="15"/>
      <c r="G17" s="15">
        <f t="shared" si="12"/>
        <v>0</v>
      </c>
      <c r="H17" s="15">
        <f t="shared" si="12"/>
        <v>0</v>
      </c>
      <c r="I17" s="15">
        <f t="shared" si="13"/>
        <v>0</v>
      </c>
      <c r="J17" s="15">
        <f t="shared" si="14"/>
        <v>0</v>
      </c>
      <c r="K17" s="15">
        <v>4</v>
      </c>
      <c r="L17" s="15">
        <f>100-J17-K17</f>
        <v>96</v>
      </c>
      <c r="M17" s="15" t="str">
        <f t="shared" si="15"/>
        <v>A</v>
      </c>
      <c r="N17" s="15" t="str">
        <f t="shared" si="18"/>
        <v>100% LTT</v>
      </c>
    </row>
    <row r="18" spans="1:14" ht="19.5" customHeight="1" x14ac:dyDescent="0.3">
      <c r="A18" s="15">
        <f t="shared" si="16"/>
        <v>10</v>
      </c>
      <c r="B18" s="16" t="s">
        <v>130</v>
      </c>
      <c r="C18" s="15" t="s">
        <v>131</v>
      </c>
      <c r="D18" s="15"/>
      <c r="E18" s="15"/>
      <c r="F18" s="15"/>
      <c r="G18" s="15">
        <f t="shared" si="12"/>
        <v>0</v>
      </c>
      <c r="H18" s="15">
        <f t="shared" si="12"/>
        <v>0</v>
      </c>
      <c r="I18" s="15">
        <f t="shared" si="13"/>
        <v>0</v>
      </c>
      <c r="J18" s="15">
        <f t="shared" si="14"/>
        <v>0</v>
      </c>
      <c r="K18" s="15">
        <v>5</v>
      </c>
      <c r="L18" s="15">
        <f t="shared" ref="L18:L19" si="19">100-J18-K18</f>
        <v>95</v>
      </c>
      <c r="M18" s="15" t="str">
        <f t="shared" si="15"/>
        <v>A</v>
      </c>
      <c r="N18" s="15" t="str">
        <f t="shared" si="18"/>
        <v>100% LTT</v>
      </c>
    </row>
    <row r="19" spans="1:14" ht="19.5" customHeight="1" x14ac:dyDescent="0.3">
      <c r="A19" s="15">
        <f t="shared" si="16"/>
        <v>11</v>
      </c>
      <c r="B19" s="16" t="s">
        <v>98</v>
      </c>
      <c r="C19" s="15" t="s">
        <v>102</v>
      </c>
      <c r="D19" s="15"/>
      <c r="E19" s="15"/>
      <c r="F19" s="15"/>
      <c r="G19" s="15">
        <f t="shared" si="12"/>
        <v>0</v>
      </c>
      <c r="H19" s="15">
        <f t="shared" si="12"/>
        <v>0</v>
      </c>
      <c r="I19" s="15">
        <f t="shared" si="13"/>
        <v>0</v>
      </c>
      <c r="J19" s="15">
        <f t="shared" si="14"/>
        <v>0</v>
      </c>
      <c r="K19" s="15">
        <v>8</v>
      </c>
      <c r="L19" s="15">
        <f t="shared" si="19"/>
        <v>92</v>
      </c>
      <c r="M19" s="15" t="str">
        <f t="shared" si="15"/>
        <v>A</v>
      </c>
      <c r="N19" s="15" t="str">
        <f t="shared" si="18"/>
        <v>100% LTT</v>
      </c>
    </row>
    <row r="20" spans="1:14" ht="19.5" customHeight="1" x14ac:dyDescent="0.3">
      <c r="A20" s="15">
        <f t="shared" si="16"/>
        <v>12</v>
      </c>
      <c r="B20" s="16" t="s">
        <v>99</v>
      </c>
      <c r="C20" s="15" t="s">
        <v>102</v>
      </c>
      <c r="D20" s="15"/>
      <c r="E20" s="15"/>
      <c r="F20" s="15"/>
      <c r="G20" s="15">
        <f t="shared" si="12"/>
        <v>0</v>
      </c>
      <c r="H20" s="15">
        <f t="shared" si="12"/>
        <v>0</v>
      </c>
      <c r="I20" s="15">
        <f t="shared" si="13"/>
        <v>0</v>
      </c>
      <c r="J20" s="15">
        <f t="shared" si="14"/>
        <v>0</v>
      </c>
      <c r="K20" s="15">
        <v>8</v>
      </c>
      <c r="L20" s="15">
        <f t="shared" si="17"/>
        <v>92</v>
      </c>
      <c r="M20" s="15" t="str">
        <f t="shared" si="15"/>
        <v>A</v>
      </c>
      <c r="N20" s="15" t="str">
        <f t="shared" si="18"/>
        <v>100% LTT</v>
      </c>
    </row>
    <row r="21" spans="1:14" ht="19.5" customHeight="1" x14ac:dyDescent="0.3">
      <c r="A21" s="15">
        <f t="shared" si="16"/>
        <v>13</v>
      </c>
      <c r="B21" s="16" t="s">
        <v>152</v>
      </c>
      <c r="C21" s="15" t="s">
        <v>153</v>
      </c>
      <c r="D21" s="15"/>
      <c r="E21" s="15"/>
      <c r="F21" s="15"/>
      <c r="G21" s="15">
        <f t="shared" si="12"/>
        <v>0</v>
      </c>
      <c r="H21" s="15">
        <f t="shared" si="12"/>
        <v>0</v>
      </c>
      <c r="I21" s="15">
        <f t="shared" si="13"/>
        <v>0</v>
      </c>
      <c r="J21" s="15">
        <f t="shared" si="14"/>
        <v>0</v>
      </c>
      <c r="K21" s="15">
        <v>8</v>
      </c>
      <c r="L21" s="15">
        <f t="shared" si="17"/>
        <v>92</v>
      </c>
      <c r="M21" s="15" t="str">
        <f t="shared" si="15"/>
        <v>A</v>
      </c>
      <c r="N21" s="15" t="str">
        <f t="shared" si="18"/>
        <v>100% LTT</v>
      </c>
    </row>
    <row r="22" spans="1:14" ht="19.5" customHeight="1" x14ac:dyDescent="0.3">
      <c r="A22" s="15">
        <f t="shared" si="16"/>
        <v>14</v>
      </c>
      <c r="B22" s="16" t="s">
        <v>100</v>
      </c>
      <c r="C22" s="15" t="s">
        <v>102</v>
      </c>
      <c r="D22" s="15"/>
      <c r="E22" s="15"/>
      <c r="F22" s="15"/>
      <c r="G22" s="15">
        <f t="shared" si="12"/>
        <v>0</v>
      </c>
      <c r="H22" s="15">
        <f t="shared" si="12"/>
        <v>0</v>
      </c>
      <c r="I22" s="15">
        <f t="shared" si="13"/>
        <v>0</v>
      </c>
      <c r="J22" s="15">
        <f t="shared" si="14"/>
        <v>0</v>
      </c>
      <c r="K22" s="15">
        <v>5</v>
      </c>
      <c r="L22" s="15">
        <f t="shared" si="17"/>
        <v>95</v>
      </c>
      <c r="M22" s="15" t="str">
        <f t="shared" si="15"/>
        <v>A</v>
      </c>
      <c r="N22" s="15" t="str">
        <f t="shared" si="18"/>
        <v>100% LTT</v>
      </c>
    </row>
    <row r="23" spans="1:14" ht="19.5" customHeight="1" x14ac:dyDescent="0.3">
      <c r="A23" s="15">
        <f t="shared" si="16"/>
        <v>15</v>
      </c>
      <c r="B23" s="18" t="s">
        <v>116</v>
      </c>
      <c r="C23" s="17" t="s">
        <v>107</v>
      </c>
      <c r="D23" s="17"/>
      <c r="E23" s="17"/>
      <c r="F23" s="17"/>
      <c r="G23" s="15">
        <f t="shared" si="12"/>
        <v>0</v>
      </c>
      <c r="H23" s="15">
        <f t="shared" si="12"/>
        <v>0</v>
      </c>
      <c r="I23" s="15">
        <f t="shared" si="13"/>
        <v>0</v>
      </c>
      <c r="J23" s="15">
        <f t="shared" si="14"/>
        <v>0</v>
      </c>
      <c r="K23" s="17">
        <v>8</v>
      </c>
      <c r="L23" s="15">
        <f t="shared" si="17"/>
        <v>92</v>
      </c>
      <c r="M23" s="15" t="str">
        <f t="shared" si="15"/>
        <v>A</v>
      </c>
      <c r="N23" s="17" t="str">
        <f t="shared" si="18"/>
        <v>100% LTT</v>
      </c>
    </row>
    <row r="24" spans="1:14" ht="22.5" customHeight="1" x14ac:dyDescent="0.3">
      <c r="A24" s="180" t="s">
        <v>163</v>
      </c>
      <c r="B24" s="180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  <c r="N24" s="180"/>
    </row>
    <row r="25" spans="1:14" ht="22.5" customHeight="1" x14ac:dyDescent="0.3">
      <c r="J25" s="185" t="s">
        <v>162</v>
      </c>
      <c r="K25" s="185"/>
      <c r="L25" s="185"/>
      <c r="M25" s="185"/>
      <c r="N25" s="185"/>
    </row>
    <row r="26" spans="1:14" ht="22.5" customHeight="1" x14ac:dyDescent="0.3">
      <c r="B26" s="178" t="s">
        <v>22</v>
      </c>
      <c r="C26" s="178"/>
      <c r="D26" s="178"/>
      <c r="L26" s="178" t="s">
        <v>25</v>
      </c>
      <c r="M26" s="178"/>
      <c r="N26" s="178"/>
    </row>
    <row r="27" spans="1:14" ht="22.5" customHeight="1" x14ac:dyDescent="0.3">
      <c r="L27" s="143"/>
      <c r="M27" s="143"/>
    </row>
    <row r="28" spans="1:14" ht="22.5" customHeight="1" x14ac:dyDescent="0.3">
      <c r="L28" s="143"/>
      <c r="M28" s="143"/>
    </row>
    <row r="29" spans="1:14" ht="22.5" customHeight="1" x14ac:dyDescent="0.3">
      <c r="L29" s="143"/>
      <c r="M29" s="143"/>
    </row>
    <row r="30" spans="1:14" ht="22.5" customHeight="1" x14ac:dyDescent="0.3">
      <c r="B30" s="178" t="s">
        <v>28</v>
      </c>
      <c r="C30" s="178"/>
      <c r="D30" s="178"/>
      <c r="L30" s="178" t="s">
        <v>27</v>
      </c>
      <c r="M30" s="178"/>
      <c r="N30" s="178"/>
    </row>
    <row r="31" spans="1:14" ht="22.5" customHeight="1" x14ac:dyDescent="0.3">
      <c r="C31" s="1"/>
      <c r="D31" s="1"/>
    </row>
  </sheetData>
  <mergeCells count="25">
    <mergeCell ref="B30:D30"/>
    <mergeCell ref="L30:N30"/>
    <mergeCell ref="A6:C6"/>
    <mergeCell ref="A12:C12"/>
    <mergeCell ref="A14:C14"/>
    <mergeCell ref="A24:N24"/>
    <mergeCell ref="J25:N25"/>
    <mergeCell ref="B26:D26"/>
    <mergeCell ref="L26:N26"/>
    <mergeCell ref="O4:O5"/>
    <mergeCell ref="A1:N1"/>
    <mergeCell ref="A2:N2"/>
    <mergeCell ref="A3:N3"/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L4:L5"/>
    <mergeCell ref="M4:M5"/>
    <mergeCell ref="N4:N5"/>
  </mergeCells>
  <pageMargins left="0.4" right="0.21" top="0.45" bottom="0.4" header="0.3" footer="0.3"/>
  <pageSetup paperSize="9" scale="75" orientation="landscape" verticalDpi="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zoomScale="70" zoomScaleNormal="70" workbookViewId="0">
      <pane xSplit="2" ySplit="6" topLeftCell="C7" activePane="bottomRight" state="frozen"/>
      <selection pane="topRight" activeCell="C1" sqref="C1"/>
      <selection pane="bottomLeft" activeCell="A7" sqref="A7"/>
      <selection pane="bottomRight" sqref="A1:XFD1048576"/>
    </sheetView>
  </sheetViews>
  <sheetFormatPr defaultColWidth="9.109375" defaultRowHeight="16.8" x14ac:dyDescent="0.3"/>
  <cols>
    <col min="1" max="1" width="6.109375" style="2" customWidth="1"/>
    <col min="2" max="2" width="27.5546875" style="1" customWidth="1"/>
    <col min="3" max="3" width="22" style="2" customWidth="1"/>
    <col min="4" max="6" width="11.33203125" style="2" customWidth="1"/>
    <col min="7" max="9" width="12.33203125" style="2" customWidth="1"/>
    <col min="10" max="10" width="12.44140625" style="2" customWidth="1"/>
    <col min="11" max="11" width="11.33203125" style="2" customWidth="1"/>
    <col min="12" max="12" width="12.109375" style="2" customWidth="1"/>
    <col min="13" max="13" width="9.44140625" style="2" customWidth="1"/>
    <col min="14" max="14" width="15" style="2" customWidth="1"/>
    <col min="15" max="15" width="53.88671875" style="2" customWidth="1"/>
    <col min="16" max="16384" width="9.109375" style="1"/>
  </cols>
  <sheetData>
    <row r="1" spans="1:15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5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</row>
    <row r="3" spans="1:15" ht="22.5" customHeight="1" x14ac:dyDescent="0.3">
      <c r="A3" s="179" t="s">
        <v>164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</row>
    <row r="4" spans="1:15" s="3" customFormat="1" ht="22.5" customHeight="1" x14ac:dyDescent="0.3">
      <c r="A4" s="180" t="s">
        <v>0</v>
      </c>
      <c r="B4" s="180" t="s">
        <v>1</v>
      </c>
      <c r="C4" s="180" t="s">
        <v>2</v>
      </c>
      <c r="D4" s="180" t="s">
        <v>23</v>
      </c>
      <c r="E4" s="180"/>
      <c r="F4" s="180"/>
      <c r="G4" s="181" t="s">
        <v>29</v>
      </c>
      <c r="H4" s="181" t="s">
        <v>30</v>
      </c>
      <c r="I4" s="181" t="s">
        <v>31</v>
      </c>
      <c r="J4" s="181" t="s">
        <v>96</v>
      </c>
      <c r="K4" s="181" t="s">
        <v>97</v>
      </c>
      <c r="L4" s="180" t="s">
        <v>6</v>
      </c>
      <c r="M4" s="180" t="s">
        <v>7</v>
      </c>
      <c r="N4" s="180" t="s">
        <v>8</v>
      </c>
      <c r="O4" s="183"/>
    </row>
    <row r="5" spans="1:15" s="3" customFormat="1" ht="49.8" customHeight="1" x14ac:dyDescent="0.3">
      <c r="A5" s="180"/>
      <c r="B5" s="180"/>
      <c r="C5" s="180"/>
      <c r="D5" s="146" t="s">
        <v>3</v>
      </c>
      <c r="E5" s="146" t="s">
        <v>4</v>
      </c>
      <c r="F5" s="146" t="s">
        <v>5</v>
      </c>
      <c r="G5" s="182"/>
      <c r="H5" s="182"/>
      <c r="I5" s="182"/>
      <c r="J5" s="182"/>
      <c r="K5" s="182"/>
      <c r="L5" s="180"/>
      <c r="M5" s="180"/>
      <c r="N5" s="180"/>
      <c r="O5" s="183"/>
    </row>
    <row r="6" spans="1:15" ht="19.5" customHeight="1" x14ac:dyDescent="0.3">
      <c r="A6" s="184" t="s">
        <v>15</v>
      </c>
      <c r="B6" s="184"/>
      <c r="C6" s="18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5" ht="19.5" customHeight="1" x14ac:dyDescent="0.3">
      <c r="A7" s="15">
        <v>1</v>
      </c>
      <c r="B7" s="16" t="s">
        <v>49</v>
      </c>
      <c r="C7" s="15" t="s">
        <v>19</v>
      </c>
      <c r="D7" s="15"/>
      <c r="E7" s="15"/>
      <c r="F7" s="15">
        <v>2</v>
      </c>
      <c r="G7" s="15">
        <f t="shared" ref="G7:H11" si="0">IF(D7&gt;5,(D7-5)*2,0)</f>
        <v>0</v>
      </c>
      <c r="H7" s="15">
        <f t="shared" si="0"/>
        <v>0</v>
      </c>
      <c r="I7" s="15">
        <f t="shared" ref="I7:I11" si="1">IF(F7&gt;2,(F7-2)*1,0)</f>
        <v>0</v>
      </c>
      <c r="J7" s="15">
        <f>SUM(G7:I7)</f>
        <v>0</v>
      </c>
      <c r="K7" s="15"/>
      <c r="L7" s="147">
        <f t="shared" ref="L7:L11" si="2">100-J7-K7</f>
        <v>100</v>
      </c>
      <c r="M7" s="147" t="str">
        <f>IF(L7&lt;71,"KL",IF(AND(L7&gt;=71,L7&lt;81),"C",IF(AND(L7&gt;=81,L7&lt;91),"B","A")))</f>
        <v>A</v>
      </c>
      <c r="N7" s="15" t="str">
        <f>IF(M7="A","100% LTT",IF(M7="B","90% LTT",IF(M7="C","80% LTT","60% LTT")))</f>
        <v>100% LTT</v>
      </c>
      <c r="O7" s="11" t="s">
        <v>33</v>
      </c>
    </row>
    <row r="8" spans="1:15" ht="19.5" customHeight="1" x14ac:dyDescent="0.3">
      <c r="A8" s="15">
        <f t="shared" ref="A8:A11" si="3">A7+1</f>
        <v>2</v>
      </c>
      <c r="B8" s="16" t="s">
        <v>52</v>
      </c>
      <c r="C8" s="15" t="s">
        <v>19</v>
      </c>
      <c r="D8" s="15"/>
      <c r="E8" s="15"/>
      <c r="F8" s="15"/>
      <c r="G8" s="15">
        <f t="shared" si="0"/>
        <v>0</v>
      </c>
      <c r="H8" s="15">
        <f t="shared" si="0"/>
        <v>0</v>
      </c>
      <c r="I8" s="15">
        <f t="shared" si="1"/>
        <v>0</v>
      </c>
      <c r="J8" s="15">
        <f t="shared" ref="J8:J11" si="4">SUM(G8:I8)</f>
        <v>0</v>
      </c>
      <c r="K8" s="15"/>
      <c r="L8" s="15">
        <f t="shared" si="2"/>
        <v>100</v>
      </c>
      <c r="M8" s="15" t="str">
        <f t="shared" ref="M8:M11" si="5">IF(L8&lt;71,"KL",IF(AND(L8&gt;=71,L8&lt;81),"C",IF(AND(L8&gt;=81,L8&lt;91),"B","A")))</f>
        <v>A</v>
      </c>
      <c r="N8" s="15" t="str">
        <f t="shared" ref="N8:N11" si="6">IF(M8="A","100% LTT",IF(M8="B","90% LTT",IF(M8="C","80% LTT","60% LTT")))</f>
        <v>100% LTT</v>
      </c>
      <c r="O8" s="34"/>
    </row>
    <row r="9" spans="1:15" ht="19.5" customHeight="1" x14ac:dyDescent="0.3">
      <c r="A9" s="15">
        <f t="shared" si="3"/>
        <v>3</v>
      </c>
      <c r="B9" s="16" t="s">
        <v>59</v>
      </c>
      <c r="C9" s="15" t="s">
        <v>19</v>
      </c>
      <c r="D9" s="15"/>
      <c r="E9" s="15"/>
      <c r="F9" s="15"/>
      <c r="G9" s="15">
        <f t="shared" si="0"/>
        <v>0</v>
      </c>
      <c r="H9" s="15">
        <f t="shared" si="0"/>
        <v>0</v>
      </c>
      <c r="I9" s="15">
        <f t="shared" si="1"/>
        <v>0</v>
      </c>
      <c r="J9" s="15">
        <f t="shared" si="4"/>
        <v>0</v>
      </c>
      <c r="K9" s="15"/>
      <c r="L9" s="15">
        <f t="shared" si="2"/>
        <v>100</v>
      </c>
      <c r="M9" s="15" t="str">
        <f t="shared" si="5"/>
        <v>A</v>
      </c>
      <c r="N9" s="15" t="str">
        <f t="shared" si="6"/>
        <v>100% LTT</v>
      </c>
      <c r="O9" s="35"/>
    </row>
    <row r="10" spans="1:15" ht="19.5" customHeight="1" x14ac:dyDescent="0.3">
      <c r="A10" s="15">
        <f t="shared" si="3"/>
        <v>4</v>
      </c>
      <c r="B10" s="16" t="s">
        <v>161</v>
      </c>
      <c r="C10" s="15" t="s">
        <v>19</v>
      </c>
      <c r="D10" s="15"/>
      <c r="E10" s="15"/>
      <c r="F10" s="15"/>
      <c r="G10" s="15">
        <f t="shared" si="0"/>
        <v>0</v>
      </c>
      <c r="H10" s="15">
        <f t="shared" si="0"/>
        <v>0</v>
      </c>
      <c r="I10" s="15">
        <f t="shared" si="1"/>
        <v>0</v>
      </c>
      <c r="J10" s="15">
        <f t="shared" si="4"/>
        <v>0</v>
      </c>
      <c r="K10" s="15"/>
      <c r="L10" s="15">
        <f t="shared" si="2"/>
        <v>100</v>
      </c>
      <c r="M10" s="15" t="str">
        <f t="shared" si="5"/>
        <v>A</v>
      </c>
      <c r="N10" s="15" t="str">
        <f t="shared" si="6"/>
        <v>100% LTT</v>
      </c>
      <c r="O10" s="35"/>
    </row>
    <row r="11" spans="1:15" ht="19.5" customHeight="1" x14ac:dyDescent="0.3">
      <c r="A11" s="15">
        <f t="shared" si="3"/>
        <v>5</v>
      </c>
      <c r="B11" s="18" t="s">
        <v>11</v>
      </c>
      <c r="C11" s="17" t="s">
        <v>51</v>
      </c>
      <c r="D11" s="17">
        <v>7</v>
      </c>
      <c r="E11" s="17"/>
      <c r="F11" s="17"/>
      <c r="G11" s="17">
        <f t="shared" si="0"/>
        <v>4</v>
      </c>
      <c r="H11" s="17">
        <f t="shared" si="0"/>
        <v>0</v>
      </c>
      <c r="I11" s="17">
        <f t="shared" si="1"/>
        <v>0</v>
      </c>
      <c r="J11" s="17">
        <f t="shared" si="4"/>
        <v>4</v>
      </c>
      <c r="K11" s="17">
        <v>2</v>
      </c>
      <c r="L11" s="15">
        <f t="shared" si="2"/>
        <v>94</v>
      </c>
      <c r="M11" s="17" t="str">
        <f t="shared" si="5"/>
        <v>A</v>
      </c>
      <c r="N11" s="17" t="str">
        <f t="shared" si="6"/>
        <v>100% LTT</v>
      </c>
      <c r="O11" s="35"/>
    </row>
    <row r="12" spans="1:15" ht="19.5" customHeight="1" x14ac:dyDescent="0.3">
      <c r="A12" s="184" t="s">
        <v>16</v>
      </c>
      <c r="B12" s="184"/>
      <c r="C12" s="18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5" ht="19.5" customHeight="1" x14ac:dyDescent="0.3">
      <c r="A13" s="17">
        <f>A11+1</f>
        <v>6</v>
      </c>
      <c r="B13" s="18" t="s">
        <v>28</v>
      </c>
      <c r="C13" s="17" t="s">
        <v>121</v>
      </c>
      <c r="D13" s="4"/>
      <c r="E13" s="17"/>
      <c r="F13" s="17">
        <v>1</v>
      </c>
      <c r="G13" s="17">
        <f t="shared" ref="G13:H13" si="7">IF(D13&gt;5,(D13-5)*2,0)</f>
        <v>0</v>
      </c>
      <c r="H13" s="17">
        <f t="shared" si="7"/>
        <v>0</v>
      </c>
      <c r="I13" s="17">
        <f t="shared" ref="I13" si="8">IF(F13&gt;2,(F13-2)*1,0)</f>
        <v>0</v>
      </c>
      <c r="J13" s="17">
        <f t="shared" ref="J13" si="9">SUM(G13:I13)</f>
        <v>0</v>
      </c>
      <c r="K13" s="17"/>
      <c r="L13" s="17">
        <f>100-J13-K13</f>
        <v>100</v>
      </c>
      <c r="M13" s="17" t="str">
        <f t="shared" ref="M13" si="10">IF(L13&lt;71,"KL",IF(AND(L13&gt;=71,L13&lt;81),"C",IF(AND(L13&gt;=81,L13&lt;91),"B","A")))</f>
        <v>A</v>
      </c>
      <c r="N13" s="17" t="str">
        <f t="shared" ref="N13" si="11">IF(M13="A","100% LTT",IF(M13="B","90% LTT",IF(M13="C","80% LTT","60% LTT")))</f>
        <v>100% LTT</v>
      </c>
    </row>
    <row r="14" spans="1:15" ht="19.5" customHeight="1" x14ac:dyDescent="0.3">
      <c r="A14" s="184" t="s">
        <v>17</v>
      </c>
      <c r="B14" s="184"/>
      <c r="C14" s="18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5" ht="19.5" customHeight="1" x14ac:dyDescent="0.3">
      <c r="A15" s="15">
        <f>A13+1</f>
        <v>7</v>
      </c>
      <c r="B15" s="16" t="s">
        <v>13</v>
      </c>
      <c r="C15" s="15" t="s">
        <v>101</v>
      </c>
      <c r="D15" s="15"/>
      <c r="E15" s="15"/>
      <c r="F15" s="15"/>
      <c r="G15" s="15">
        <f t="shared" ref="G15:H23" si="12">IF(D15&gt;5,(D15-5)*2,0)</f>
        <v>0</v>
      </c>
      <c r="H15" s="15">
        <f t="shared" si="12"/>
        <v>0</v>
      </c>
      <c r="I15" s="15">
        <f t="shared" ref="I15:I23" si="13">IF(F15&gt;2,(F15-2)*1,0)</f>
        <v>0</v>
      </c>
      <c r="J15" s="15">
        <f t="shared" ref="J15:J23" si="14">SUM(G15:I15)</f>
        <v>0</v>
      </c>
      <c r="K15" s="15">
        <v>2</v>
      </c>
      <c r="L15" s="15">
        <f>100-J15-K15</f>
        <v>98</v>
      </c>
      <c r="M15" s="15" t="str">
        <f t="shared" ref="M15:M23" si="15">IF(L15&lt;71,"KL",IF(AND(L15&gt;=71,L15&lt;81),"C",IF(AND(L15&gt;=81,L15&lt;91),"B","A")))</f>
        <v>A</v>
      </c>
      <c r="N15" s="17" t="str">
        <f>IF(M15="A","100% LTT",IF(M15="B","90% LTT",IF(M15="C","80% LTT","60% LTT")))</f>
        <v>100% LTT</v>
      </c>
    </row>
    <row r="16" spans="1:15" ht="19.5" customHeight="1" x14ac:dyDescent="0.3">
      <c r="A16" s="15">
        <f t="shared" ref="A16:A23" si="16">A15+1</f>
        <v>8</v>
      </c>
      <c r="B16" s="16" t="s">
        <v>14</v>
      </c>
      <c r="C16" s="15" t="s">
        <v>19</v>
      </c>
      <c r="D16" s="15">
        <v>6</v>
      </c>
      <c r="E16" s="15"/>
      <c r="F16" s="15"/>
      <c r="G16" s="15">
        <f t="shared" si="12"/>
        <v>2</v>
      </c>
      <c r="H16" s="15">
        <f t="shared" si="12"/>
        <v>0</v>
      </c>
      <c r="I16" s="15">
        <f t="shared" si="13"/>
        <v>0</v>
      </c>
      <c r="J16" s="15">
        <f t="shared" si="14"/>
        <v>2</v>
      </c>
      <c r="K16" s="15">
        <v>3</v>
      </c>
      <c r="L16" s="15">
        <f t="shared" ref="L16:L23" si="17">100-J16-K16</f>
        <v>95</v>
      </c>
      <c r="M16" s="15" t="str">
        <f t="shared" si="15"/>
        <v>A</v>
      </c>
      <c r="N16" s="15" t="str">
        <f t="shared" ref="N16:N23" si="18">IF(M16="A","100% LTT",IF(M16="B","90% LTT",IF(M16="C","80% LTT","60% LTT")))</f>
        <v>100% LTT</v>
      </c>
    </row>
    <row r="17" spans="1:14" ht="19.5" customHeight="1" x14ac:dyDescent="0.3">
      <c r="A17" s="15">
        <f t="shared" si="16"/>
        <v>9</v>
      </c>
      <c r="B17" s="16" t="s">
        <v>40</v>
      </c>
      <c r="C17" s="15" t="s">
        <v>19</v>
      </c>
      <c r="D17" s="15"/>
      <c r="E17" s="15"/>
      <c r="F17" s="15"/>
      <c r="G17" s="15">
        <f t="shared" si="12"/>
        <v>0</v>
      </c>
      <c r="H17" s="15">
        <f t="shared" si="12"/>
        <v>0</v>
      </c>
      <c r="I17" s="15">
        <f t="shared" si="13"/>
        <v>0</v>
      </c>
      <c r="J17" s="15">
        <f t="shared" si="14"/>
        <v>0</v>
      </c>
      <c r="K17" s="15">
        <v>4</v>
      </c>
      <c r="L17" s="15">
        <f>100-J17-K17</f>
        <v>96</v>
      </c>
      <c r="M17" s="15" t="str">
        <f t="shared" si="15"/>
        <v>A</v>
      </c>
      <c r="N17" s="15" t="str">
        <f t="shared" si="18"/>
        <v>100% LTT</v>
      </c>
    </row>
    <row r="18" spans="1:14" ht="19.5" customHeight="1" x14ac:dyDescent="0.3">
      <c r="A18" s="15">
        <f t="shared" si="16"/>
        <v>10</v>
      </c>
      <c r="B18" s="16" t="s">
        <v>130</v>
      </c>
      <c r="C18" s="15" t="s">
        <v>131</v>
      </c>
      <c r="D18" s="15"/>
      <c r="E18" s="15"/>
      <c r="F18" s="15"/>
      <c r="G18" s="15">
        <f t="shared" si="12"/>
        <v>0</v>
      </c>
      <c r="H18" s="15">
        <f t="shared" si="12"/>
        <v>0</v>
      </c>
      <c r="I18" s="15">
        <f t="shared" si="13"/>
        <v>0</v>
      </c>
      <c r="J18" s="15">
        <f t="shared" si="14"/>
        <v>0</v>
      </c>
      <c r="K18" s="15">
        <v>5</v>
      </c>
      <c r="L18" s="15">
        <f t="shared" ref="L18:L19" si="19">100-J18-K18</f>
        <v>95</v>
      </c>
      <c r="M18" s="15" t="str">
        <f t="shared" si="15"/>
        <v>A</v>
      </c>
      <c r="N18" s="15" t="str">
        <f t="shared" si="18"/>
        <v>100% LTT</v>
      </c>
    </row>
    <row r="19" spans="1:14" ht="19.5" customHeight="1" x14ac:dyDescent="0.3">
      <c r="A19" s="15">
        <f t="shared" si="16"/>
        <v>11</v>
      </c>
      <c r="B19" s="16" t="s">
        <v>98</v>
      </c>
      <c r="C19" s="15" t="s">
        <v>102</v>
      </c>
      <c r="D19" s="15"/>
      <c r="E19" s="15"/>
      <c r="F19" s="15"/>
      <c r="G19" s="15">
        <f t="shared" si="12"/>
        <v>0</v>
      </c>
      <c r="H19" s="15">
        <f t="shared" si="12"/>
        <v>0</v>
      </c>
      <c r="I19" s="15">
        <f t="shared" si="13"/>
        <v>0</v>
      </c>
      <c r="J19" s="15">
        <f t="shared" si="14"/>
        <v>0</v>
      </c>
      <c r="K19" s="15">
        <v>7</v>
      </c>
      <c r="L19" s="15">
        <f t="shared" si="19"/>
        <v>93</v>
      </c>
      <c r="M19" s="15" t="str">
        <f t="shared" si="15"/>
        <v>A</v>
      </c>
      <c r="N19" s="15" t="str">
        <f t="shared" si="18"/>
        <v>100% LTT</v>
      </c>
    </row>
    <row r="20" spans="1:14" ht="19.5" customHeight="1" x14ac:dyDescent="0.3">
      <c r="A20" s="15">
        <f t="shared" si="16"/>
        <v>12</v>
      </c>
      <c r="B20" s="16" t="s">
        <v>99</v>
      </c>
      <c r="C20" s="15" t="s">
        <v>102</v>
      </c>
      <c r="D20" s="15"/>
      <c r="E20" s="15"/>
      <c r="F20" s="15"/>
      <c r="G20" s="15">
        <f t="shared" si="12"/>
        <v>0</v>
      </c>
      <c r="H20" s="15">
        <f t="shared" si="12"/>
        <v>0</v>
      </c>
      <c r="I20" s="15">
        <f t="shared" si="13"/>
        <v>0</v>
      </c>
      <c r="J20" s="15">
        <f t="shared" si="14"/>
        <v>0</v>
      </c>
      <c r="K20" s="15">
        <v>8</v>
      </c>
      <c r="L20" s="15">
        <f t="shared" si="17"/>
        <v>92</v>
      </c>
      <c r="M20" s="15" t="str">
        <f t="shared" si="15"/>
        <v>A</v>
      </c>
      <c r="N20" s="15" t="str">
        <f t="shared" si="18"/>
        <v>100% LTT</v>
      </c>
    </row>
    <row r="21" spans="1:14" ht="19.5" customHeight="1" x14ac:dyDescent="0.3">
      <c r="A21" s="15">
        <f t="shared" si="16"/>
        <v>13</v>
      </c>
      <c r="B21" s="16" t="s">
        <v>152</v>
      </c>
      <c r="C21" s="15" t="s">
        <v>153</v>
      </c>
      <c r="D21" s="15"/>
      <c r="E21" s="15"/>
      <c r="F21" s="15"/>
      <c r="G21" s="15">
        <f t="shared" si="12"/>
        <v>0</v>
      </c>
      <c r="H21" s="15">
        <f t="shared" si="12"/>
        <v>0</v>
      </c>
      <c r="I21" s="15">
        <f t="shared" si="13"/>
        <v>0</v>
      </c>
      <c r="J21" s="15">
        <f t="shared" si="14"/>
        <v>0</v>
      </c>
      <c r="K21" s="15">
        <v>8</v>
      </c>
      <c r="L21" s="15">
        <f t="shared" si="17"/>
        <v>92</v>
      </c>
      <c r="M21" s="15" t="str">
        <f t="shared" si="15"/>
        <v>A</v>
      </c>
      <c r="N21" s="15" t="str">
        <f t="shared" si="18"/>
        <v>100% LTT</v>
      </c>
    </row>
    <row r="22" spans="1:14" ht="19.5" customHeight="1" x14ac:dyDescent="0.3">
      <c r="A22" s="15">
        <f t="shared" si="16"/>
        <v>14</v>
      </c>
      <c r="B22" s="16" t="s">
        <v>100</v>
      </c>
      <c r="C22" s="15" t="s">
        <v>102</v>
      </c>
      <c r="D22" s="15"/>
      <c r="E22" s="15"/>
      <c r="F22" s="15"/>
      <c r="G22" s="15">
        <f t="shared" si="12"/>
        <v>0</v>
      </c>
      <c r="H22" s="15">
        <f t="shared" si="12"/>
        <v>0</v>
      </c>
      <c r="I22" s="15">
        <f t="shared" si="13"/>
        <v>0</v>
      </c>
      <c r="J22" s="15">
        <f t="shared" si="14"/>
        <v>0</v>
      </c>
      <c r="K22" s="15">
        <v>4</v>
      </c>
      <c r="L22" s="15">
        <f t="shared" si="17"/>
        <v>96</v>
      </c>
      <c r="M22" s="15" t="str">
        <f t="shared" si="15"/>
        <v>A</v>
      </c>
      <c r="N22" s="15" t="str">
        <f t="shared" si="18"/>
        <v>100% LTT</v>
      </c>
    </row>
    <row r="23" spans="1:14" ht="19.5" customHeight="1" x14ac:dyDescent="0.3">
      <c r="A23" s="15">
        <f t="shared" si="16"/>
        <v>15</v>
      </c>
      <c r="B23" s="18" t="s">
        <v>116</v>
      </c>
      <c r="C23" s="17" t="s">
        <v>107</v>
      </c>
      <c r="D23" s="17"/>
      <c r="E23" s="17"/>
      <c r="F23" s="17"/>
      <c r="G23" s="15">
        <f t="shared" si="12"/>
        <v>0</v>
      </c>
      <c r="H23" s="15">
        <f t="shared" si="12"/>
        <v>0</v>
      </c>
      <c r="I23" s="15">
        <f t="shared" si="13"/>
        <v>0</v>
      </c>
      <c r="J23" s="15">
        <f t="shared" si="14"/>
        <v>0</v>
      </c>
      <c r="K23" s="17">
        <v>8</v>
      </c>
      <c r="L23" s="15">
        <f t="shared" si="17"/>
        <v>92</v>
      </c>
      <c r="M23" s="15" t="str">
        <f t="shared" si="15"/>
        <v>A</v>
      </c>
      <c r="N23" s="17" t="str">
        <f t="shared" si="18"/>
        <v>100% LTT</v>
      </c>
    </row>
    <row r="24" spans="1:14" ht="22.5" customHeight="1" x14ac:dyDescent="0.3">
      <c r="A24" s="180" t="s">
        <v>163</v>
      </c>
      <c r="B24" s="180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  <c r="N24" s="180"/>
    </row>
    <row r="25" spans="1:14" ht="22.5" customHeight="1" x14ac:dyDescent="0.3">
      <c r="J25" s="185" t="s">
        <v>162</v>
      </c>
      <c r="K25" s="185"/>
      <c r="L25" s="185"/>
      <c r="M25" s="185"/>
      <c r="N25" s="185"/>
    </row>
    <row r="26" spans="1:14" ht="22.5" customHeight="1" x14ac:dyDescent="0.3">
      <c r="B26" s="178" t="s">
        <v>22</v>
      </c>
      <c r="C26" s="178"/>
      <c r="D26" s="178"/>
      <c r="L26" s="178" t="s">
        <v>25</v>
      </c>
      <c r="M26" s="178"/>
      <c r="N26" s="178"/>
    </row>
    <row r="27" spans="1:14" ht="22.5" customHeight="1" x14ac:dyDescent="0.3">
      <c r="L27" s="145"/>
      <c r="M27" s="145"/>
    </row>
    <row r="28" spans="1:14" ht="22.5" customHeight="1" x14ac:dyDescent="0.3">
      <c r="L28" s="145"/>
      <c r="M28" s="145"/>
    </row>
    <row r="29" spans="1:14" ht="22.5" customHeight="1" x14ac:dyDescent="0.3">
      <c r="L29" s="145"/>
      <c r="M29" s="145"/>
    </row>
    <row r="30" spans="1:14" ht="22.5" customHeight="1" x14ac:dyDescent="0.3">
      <c r="B30" s="178" t="s">
        <v>28</v>
      </c>
      <c r="C30" s="178"/>
      <c r="D30" s="178"/>
      <c r="L30" s="178" t="s">
        <v>27</v>
      </c>
      <c r="M30" s="178"/>
      <c r="N30" s="178"/>
    </row>
    <row r="31" spans="1:14" ht="22.5" customHeight="1" x14ac:dyDescent="0.3">
      <c r="C31" s="1"/>
      <c r="D31" s="1"/>
    </row>
  </sheetData>
  <mergeCells count="25">
    <mergeCell ref="B30:D30"/>
    <mergeCell ref="L30:N30"/>
    <mergeCell ref="A6:C6"/>
    <mergeCell ref="A12:C12"/>
    <mergeCell ref="A14:C14"/>
    <mergeCell ref="A24:N24"/>
    <mergeCell ref="J25:N25"/>
    <mergeCell ref="B26:D26"/>
    <mergeCell ref="L26:N26"/>
    <mergeCell ref="O4:O5"/>
    <mergeCell ref="A1:N1"/>
    <mergeCell ref="A2:N2"/>
    <mergeCell ref="A3:N3"/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L4:L5"/>
    <mergeCell ref="M4:M5"/>
    <mergeCell ref="N4:N5"/>
  </mergeCells>
  <pageMargins left="0.23" right="0.2" top="0.42" bottom="0.36" header="0.3" footer="0.3"/>
  <pageSetup paperSize="9" scale="75" orientation="landscape" verticalDpi="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zoomScale="68" zoomScaleNormal="68" workbookViewId="0">
      <pane xSplit="2" ySplit="6" topLeftCell="C25" activePane="bottomRight" state="frozen"/>
      <selection pane="topRight" activeCell="C1" sqref="C1"/>
      <selection pane="bottomLeft" activeCell="A7" sqref="A7"/>
      <selection pane="bottomRight" sqref="A1:XFD1048576"/>
    </sheetView>
  </sheetViews>
  <sheetFormatPr defaultColWidth="9.109375" defaultRowHeight="16.8" x14ac:dyDescent="0.3"/>
  <cols>
    <col min="1" max="1" width="6.109375" style="2" customWidth="1"/>
    <col min="2" max="2" width="27.5546875" style="1" customWidth="1"/>
    <col min="3" max="3" width="22" style="2" customWidth="1"/>
    <col min="4" max="6" width="11.33203125" style="2" customWidth="1"/>
    <col min="7" max="9" width="12.33203125" style="2" customWidth="1"/>
    <col min="10" max="10" width="12.44140625" style="2" customWidth="1"/>
    <col min="11" max="11" width="11.33203125" style="2" customWidth="1"/>
    <col min="12" max="12" width="12.109375" style="2" customWidth="1"/>
    <col min="13" max="13" width="9.44140625" style="2" customWidth="1"/>
    <col min="14" max="14" width="15" style="2" customWidth="1"/>
    <col min="15" max="15" width="53.88671875" style="2" customWidth="1"/>
    <col min="16" max="16384" width="9.109375" style="1"/>
  </cols>
  <sheetData>
    <row r="1" spans="1:15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5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</row>
    <row r="3" spans="1:15" ht="22.5" customHeight="1" x14ac:dyDescent="0.3">
      <c r="A3" s="179" t="s">
        <v>165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</row>
    <row r="4" spans="1:15" s="3" customFormat="1" ht="22.5" customHeight="1" x14ac:dyDescent="0.3">
      <c r="A4" s="180" t="s">
        <v>0</v>
      </c>
      <c r="B4" s="180" t="s">
        <v>1</v>
      </c>
      <c r="C4" s="180" t="s">
        <v>2</v>
      </c>
      <c r="D4" s="180" t="s">
        <v>23</v>
      </c>
      <c r="E4" s="180"/>
      <c r="F4" s="180"/>
      <c r="G4" s="181" t="s">
        <v>29</v>
      </c>
      <c r="H4" s="181" t="s">
        <v>30</v>
      </c>
      <c r="I4" s="181" t="s">
        <v>31</v>
      </c>
      <c r="J4" s="181" t="s">
        <v>96</v>
      </c>
      <c r="K4" s="181" t="s">
        <v>97</v>
      </c>
      <c r="L4" s="180" t="s">
        <v>6</v>
      </c>
      <c r="M4" s="180" t="s">
        <v>7</v>
      </c>
      <c r="N4" s="180" t="s">
        <v>8</v>
      </c>
      <c r="O4" s="183"/>
    </row>
    <row r="5" spans="1:15" s="3" customFormat="1" ht="49.8" customHeight="1" x14ac:dyDescent="0.3">
      <c r="A5" s="180"/>
      <c r="B5" s="180"/>
      <c r="C5" s="180"/>
      <c r="D5" s="149" t="s">
        <v>3</v>
      </c>
      <c r="E5" s="149" t="s">
        <v>4</v>
      </c>
      <c r="F5" s="149" t="s">
        <v>5</v>
      </c>
      <c r="G5" s="182"/>
      <c r="H5" s="182"/>
      <c r="I5" s="182"/>
      <c r="J5" s="182"/>
      <c r="K5" s="182"/>
      <c r="L5" s="180"/>
      <c r="M5" s="180"/>
      <c r="N5" s="180"/>
      <c r="O5" s="183"/>
    </row>
    <row r="6" spans="1:15" ht="19.5" customHeight="1" x14ac:dyDescent="0.3">
      <c r="A6" s="184" t="s">
        <v>15</v>
      </c>
      <c r="B6" s="184"/>
      <c r="C6" s="18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5" ht="19.5" customHeight="1" x14ac:dyDescent="0.3">
      <c r="A7" s="15">
        <v>1</v>
      </c>
      <c r="B7" s="16" t="s">
        <v>49</v>
      </c>
      <c r="C7" s="15" t="s">
        <v>19</v>
      </c>
      <c r="D7" s="15"/>
      <c r="E7" s="15"/>
      <c r="F7" s="15"/>
      <c r="G7" s="15">
        <f t="shared" ref="G7:H11" si="0">IF(D7&gt;5,(D7-5)*2,0)</f>
        <v>0</v>
      </c>
      <c r="H7" s="15">
        <f t="shared" si="0"/>
        <v>0</v>
      </c>
      <c r="I7" s="15">
        <f t="shared" ref="I7:I11" si="1">IF(F7&gt;2,(F7-2)*1,0)</f>
        <v>0</v>
      </c>
      <c r="J7" s="15">
        <f>SUM(G7:I7)</f>
        <v>0</v>
      </c>
      <c r="K7" s="15"/>
      <c r="L7" s="147"/>
      <c r="M7" s="147"/>
      <c r="N7" s="15" t="s">
        <v>155</v>
      </c>
      <c r="O7" s="11" t="s">
        <v>33</v>
      </c>
    </row>
    <row r="8" spans="1:15" ht="19.5" customHeight="1" x14ac:dyDescent="0.3">
      <c r="A8" s="15">
        <f t="shared" ref="A8:A11" si="2">A7+1</f>
        <v>2</v>
      </c>
      <c r="B8" s="16" t="s">
        <v>52</v>
      </c>
      <c r="C8" s="15" t="s">
        <v>19</v>
      </c>
      <c r="D8" s="15"/>
      <c r="E8" s="15"/>
      <c r="F8" s="15"/>
      <c r="G8" s="15">
        <f t="shared" si="0"/>
        <v>0</v>
      </c>
      <c r="H8" s="15">
        <f t="shared" si="0"/>
        <v>0</v>
      </c>
      <c r="I8" s="15">
        <f t="shared" si="1"/>
        <v>0</v>
      </c>
      <c r="J8" s="15">
        <f t="shared" ref="J8:J11" si="3">SUM(G8:I8)</f>
        <v>0</v>
      </c>
      <c r="K8" s="15"/>
      <c r="L8" s="15">
        <f t="shared" ref="L8:L11" si="4">100-J8-K8</f>
        <v>100</v>
      </c>
      <c r="M8" s="15" t="str">
        <f t="shared" ref="M8:M11" si="5">IF(L8&lt;71,"KL",IF(AND(L8&gt;=71,L8&lt;81),"C",IF(AND(L8&gt;=81,L8&lt;91),"B","A")))</f>
        <v>A</v>
      </c>
      <c r="N8" s="15" t="str">
        <f t="shared" ref="N8:N11" si="6">IF(M8="A","100% LTT",IF(M8="B","90% LTT",IF(M8="C","80% LTT","60% LTT")))</f>
        <v>100% LTT</v>
      </c>
      <c r="O8" s="34"/>
    </row>
    <row r="9" spans="1:15" ht="19.5" customHeight="1" x14ac:dyDescent="0.3">
      <c r="A9" s="15">
        <f t="shared" si="2"/>
        <v>3</v>
      </c>
      <c r="B9" s="16" t="s">
        <v>59</v>
      </c>
      <c r="C9" s="15" t="s">
        <v>19</v>
      </c>
      <c r="D9" s="15"/>
      <c r="E9" s="15"/>
      <c r="F9" s="15"/>
      <c r="G9" s="15">
        <f t="shared" si="0"/>
        <v>0</v>
      </c>
      <c r="H9" s="15">
        <f t="shared" si="0"/>
        <v>0</v>
      </c>
      <c r="I9" s="15">
        <f t="shared" si="1"/>
        <v>0</v>
      </c>
      <c r="J9" s="15">
        <f t="shared" si="3"/>
        <v>0</v>
      </c>
      <c r="K9" s="15"/>
      <c r="L9" s="15">
        <f t="shared" si="4"/>
        <v>100</v>
      </c>
      <c r="M9" s="15" t="str">
        <f t="shared" si="5"/>
        <v>A</v>
      </c>
      <c r="N9" s="15" t="str">
        <f t="shared" si="6"/>
        <v>100% LTT</v>
      </c>
      <c r="O9" s="35"/>
    </row>
    <row r="10" spans="1:15" ht="19.5" customHeight="1" x14ac:dyDescent="0.3">
      <c r="A10" s="15">
        <f t="shared" si="2"/>
        <v>4</v>
      </c>
      <c r="B10" s="16" t="s">
        <v>161</v>
      </c>
      <c r="C10" s="15" t="s">
        <v>19</v>
      </c>
      <c r="D10" s="15"/>
      <c r="E10" s="15"/>
      <c r="F10" s="15"/>
      <c r="G10" s="15">
        <f t="shared" si="0"/>
        <v>0</v>
      </c>
      <c r="H10" s="15">
        <f t="shared" si="0"/>
        <v>0</v>
      </c>
      <c r="I10" s="15">
        <f t="shared" si="1"/>
        <v>0</v>
      </c>
      <c r="J10" s="15">
        <f t="shared" si="3"/>
        <v>0</v>
      </c>
      <c r="K10" s="15"/>
      <c r="L10" s="15">
        <f t="shared" si="4"/>
        <v>100</v>
      </c>
      <c r="M10" s="15" t="str">
        <f t="shared" si="5"/>
        <v>A</v>
      </c>
      <c r="N10" s="15" t="str">
        <f t="shared" si="6"/>
        <v>100% LTT</v>
      </c>
      <c r="O10" s="35"/>
    </row>
    <row r="11" spans="1:15" ht="19.5" customHeight="1" x14ac:dyDescent="0.3">
      <c r="A11" s="15">
        <f t="shared" si="2"/>
        <v>5</v>
      </c>
      <c r="B11" s="18" t="s">
        <v>11</v>
      </c>
      <c r="C11" s="17" t="s">
        <v>51</v>
      </c>
      <c r="D11" s="17">
        <v>4</v>
      </c>
      <c r="E11" s="17"/>
      <c r="F11" s="17">
        <v>1</v>
      </c>
      <c r="G11" s="17">
        <f t="shared" si="0"/>
        <v>0</v>
      </c>
      <c r="H11" s="17">
        <f t="shared" si="0"/>
        <v>0</v>
      </c>
      <c r="I11" s="17">
        <f t="shared" si="1"/>
        <v>0</v>
      </c>
      <c r="J11" s="17">
        <f t="shared" si="3"/>
        <v>0</v>
      </c>
      <c r="K11" s="17">
        <v>1</v>
      </c>
      <c r="L11" s="15">
        <f t="shared" si="4"/>
        <v>99</v>
      </c>
      <c r="M11" s="17" t="str">
        <f t="shared" si="5"/>
        <v>A</v>
      </c>
      <c r="N11" s="17" t="str">
        <f t="shared" si="6"/>
        <v>100% LTT</v>
      </c>
      <c r="O11" s="35"/>
    </row>
    <row r="12" spans="1:15" ht="19.5" customHeight="1" x14ac:dyDescent="0.3">
      <c r="A12" s="184" t="s">
        <v>16</v>
      </c>
      <c r="B12" s="184"/>
      <c r="C12" s="18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5" ht="19.5" customHeight="1" x14ac:dyDescent="0.3">
      <c r="A13" s="17">
        <f>A11+1</f>
        <v>6</v>
      </c>
      <c r="B13" s="18" t="s">
        <v>28</v>
      </c>
      <c r="C13" s="17" t="s">
        <v>121</v>
      </c>
      <c r="D13" s="4"/>
      <c r="E13" s="17"/>
      <c r="F13" s="17"/>
      <c r="G13" s="17">
        <f t="shared" ref="G13:H13" si="7">IF(D13&gt;5,(D13-5)*2,0)</f>
        <v>0</v>
      </c>
      <c r="H13" s="17">
        <f t="shared" si="7"/>
        <v>0</v>
      </c>
      <c r="I13" s="17">
        <f t="shared" ref="I13" si="8">IF(F13&gt;2,(F13-2)*1,0)</f>
        <v>0</v>
      </c>
      <c r="J13" s="17">
        <f t="shared" ref="J13" si="9">SUM(G13:I13)</f>
        <v>0</v>
      </c>
      <c r="K13" s="17"/>
      <c r="L13" s="17">
        <f>100-J13-K13</f>
        <v>100</v>
      </c>
      <c r="M13" s="17" t="str">
        <f t="shared" ref="M13" si="10">IF(L13&lt;71,"KL",IF(AND(L13&gt;=71,L13&lt;81),"C",IF(AND(L13&gt;=81,L13&lt;91),"B","A")))</f>
        <v>A</v>
      </c>
      <c r="N13" s="17" t="str">
        <f t="shared" ref="N13" si="11">IF(M13="A","100% LTT",IF(M13="B","90% LTT",IF(M13="C","80% LTT","60% LTT")))</f>
        <v>100% LTT</v>
      </c>
    </row>
    <row r="14" spans="1:15" ht="19.5" customHeight="1" x14ac:dyDescent="0.3">
      <c r="A14" s="184" t="s">
        <v>17</v>
      </c>
      <c r="B14" s="184"/>
      <c r="C14" s="18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5" ht="19.5" customHeight="1" x14ac:dyDescent="0.3">
      <c r="A15" s="15">
        <f>A13+1</f>
        <v>7</v>
      </c>
      <c r="B15" s="16" t="s">
        <v>13</v>
      </c>
      <c r="C15" s="15" t="s">
        <v>101</v>
      </c>
      <c r="D15" s="15"/>
      <c r="E15" s="15"/>
      <c r="F15" s="15"/>
      <c r="G15" s="15">
        <f t="shared" ref="G15:H23" si="12">IF(D15&gt;5,(D15-5)*2,0)</f>
        <v>0</v>
      </c>
      <c r="H15" s="15">
        <f t="shared" si="12"/>
        <v>0</v>
      </c>
      <c r="I15" s="15">
        <f t="shared" ref="I15:I23" si="13">IF(F15&gt;2,(F15-2)*1,0)</f>
        <v>0</v>
      </c>
      <c r="J15" s="15">
        <f t="shared" ref="J15:J23" si="14">SUM(G15:I15)</f>
        <v>0</v>
      </c>
      <c r="K15" s="15"/>
      <c r="L15" s="15">
        <f>100-J15-K15</f>
        <v>100</v>
      </c>
      <c r="M15" s="15" t="str">
        <f t="shared" ref="M15:M23" si="15">IF(L15&lt;71,"KL",IF(AND(L15&gt;=71,L15&lt;81),"C",IF(AND(L15&gt;=81,L15&lt;91),"B","A")))</f>
        <v>A</v>
      </c>
      <c r="N15" s="17" t="str">
        <f>IF(M15="A","100% LTT",IF(M15="B","90% LTT",IF(M15="C","80% LTT","60% LTT")))</f>
        <v>100% LTT</v>
      </c>
    </row>
    <row r="16" spans="1:15" ht="19.5" customHeight="1" x14ac:dyDescent="0.3">
      <c r="A16" s="15">
        <f t="shared" ref="A16:A23" si="16">A15+1</f>
        <v>8</v>
      </c>
      <c r="B16" s="16" t="s">
        <v>14</v>
      </c>
      <c r="C16" s="15" t="s">
        <v>19</v>
      </c>
      <c r="D16" s="15"/>
      <c r="E16" s="15"/>
      <c r="F16" s="15"/>
      <c r="G16" s="15">
        <f t="shared" si="12"/>
        <v>0</v>
      </c>
      <c r="H16" s="15">
        <f t="shared" si="12"/>
        <v>0</v>
      </c>
      <c r="I16" s="15">
        <f t="shared" si="13"/>
        <v>0</v>
      </c>
      <c r="J16" s="15">
        <f t="shared" si="14"/>
        <v>0</v>
      </c>
      <c r="K16" s="15">
        <v>2</v>
      </c>
      <c r="L16" s="15">
        <f t="shared" ref="L16:L23" si="17">100-J16-K16</f>
        <v>98</v>
      </c>
      <c r="M16" s="15" t="str">
        <f t="shared" si="15"/>
        <v>A</v>
      </c>
      <c r="N16" s="15" t="str">
        <f t="shared" ref="N16:N23" si="18">IF(M16="A","100% LTT",IF(M16="B","90% LTT",IF(M16="C","80% LTT","60% LTT")))</f>
        <v>100% LTT</v>
      </c>
    </row>
    <row r="17" spans="1:14" ht="19.5" customHeight="1" x14ac:dyDescent="0.3">
      <c r="A17" s="15">
        <f t="shared" si="16"/>
        <v>9</v>
      </c>
      <c r="B17" s="16" t="s">
        <v>40</v>
      </c>
      <c r="C17" s="15" t="s">
        <v>19</v>
      </c>
      <c r="D17" s="15"/>
      <c r="E17" s="15"/>
      <c r="F17" s="15"/>
      <c r="G17" s="15">
        <f t="shared" si="12"/>
        <v>0</v>
      </c>
      <c r="H17" s="15">
        <f t="shared" si="12"/>
        <v>0</v>
      </c>
      <c r="I17" s="15">
        <f t="shared" si="13"/>
        <v>0</v>
      </c>
      <c r="J17" s="15">
        <f t="shared" si="14"/>
        <v>0</v>
      </c>
      <c r="K17" s="15">
        <v>4</v>
      </c>
      <c r="L17" s="15">
        <f>100-J17-K17</f>
        <v>96</v>
      </c>
      <c r="M17" s="15" t="str">
        <f t="shared" si="15"/>
        <v>A</v>
      </c>
      <c r="N17" s="15" t="str">
        <f t="shared" si="18"/>
        <v>100% LTT</v>
      </c>
    </row>
    <row r="18" spans="1:14" ht="19.5" customHeight="1" x14ac:dyDescent="0.3">
      <c r="A18" s="15">
        <f t="shared" si="16"/>
        <v>10</v>
      </c>
      <c r="B18" s="16" t="s">
        <v>130</v>
      </c>
      <c r="C18" s="15" t="s">
        <v>131</v>
      </c>
      <c r="D18" s="15"/>
      <c r="E18" s="15"/>
      <c r="F18" s="15"/>
      <c r="G18" s="15">
        <f t="shared" si="12"/>
        <v>0</v>
      </c>
      <c r="H18" s="15">
        <f t="shared" si="12"/>
        <v>0</v>
      </c>
      <c r="I18" s="15">
        <f t="shared" si="13"/>
        <v>0</v>
      </c>
      <c r="J18" s="15">
        <f t="shared" si="14"/>
        <v>0</v>
      </c>
      <c r="K18" s="15">
        <v>5</v>
      </c>
      <c r="L18" s="15">
        <f t="shared" ref="L18:L19" si="19">100-J18-K18</f>
        <v>95</v>
      </c>
      <c r="M18" s="15" t="str">
        <f t="shared" si="15"/>
        <v>A</v>
      </c>
      <c r="N18" s="15" t="str">
        <f t="shared" si="18"/>
        <v>100% LTT</v>
      </c>
    </row>
    <row r="19" spans="1:14" ht="19.5" customHeight="1" x14ac:dyDescent="0.3">
      <c r="A19" s="15">
        <f t="shared" si="16"/>
        <v>11</v>
      </c>
      <c r="B19" s="16" t="s">
        <v>98</v>
      </c>
      <c r="C19" s="15" t="s">
        <v>102</v>
      </c>
      <c r="D19" s="15"/>
      <c r="E19" s="15"/>
      <c r="F19" s="15"/>
      <c r="G19" s="15">
        <f t="shared" si="12"/>
        <v>0</v>
      </c>
      <c r="H19" s="15">
        <f t="shared" si="12"/>
        <v>0</v>
      </c>
      <c r="I19" s="15">
        <f t="shared" si="13"/>
        <v>0</v>
      </c>
      <c r="J19" s="15">
        <f t="shared" si="14"/>
        <v>0</v>
      </c>
      <c r="K19" s="15">
        <v>7</v>
      </c>
      <c r="L19" s="15">
        <f t="shared" si="19"/>
        <v>93</v>
      </c>
      <c r="M19" s="15" t="str">
        <f t="shared" si="15"/>
        <v>A</v>
      </c>
      <c r="N19" s="15" t="str">
        <f t="shared" si="18"/>
        <v>100% LTT</v>
      </c>
    </row>
    <row r="20" spans="1:14" ht="19.5" customHeight="1" x14ac:dyDescent="0.3">
      <c r="A20" s="15">
        <f t="shared" si="16"/>
        <v>12</v>
      </c>
      <c r="B20" s="16" t="s">
        <v>99</v>
      </c>
      <c r="C20" s="15" t="s">
        <v>102</v>
      </c>
      <c r="D20" s="15"/>
      <c r="E20" s="15"/>
      <c r="F20" s="15"/>
      <c r="G20" s="15">
        <f t="shared" si="12"/>
        <v>0</v>
      </c>
      <c r="H20" s="15">
        <f t="shared" si="12"/>
        <v>0</v>
      </c>
      <c r="I20" s="15">
        <f t="shared" si="13"/>
        <v>0</v>
      </c>
      <c r="J20" s="15">
        <f t="shared" si="14"/>
        <v>0</v>
      </c>
      <c r="K20" s="15">
        <v>5</v>
      </c>
      <c r="L20" s="15">
        <f t="shared" si="17"/>
        <v>95</v>
      </c>
      <c r="M20" s="15" t="str">
        <f t="shared" si="15"/>
        <v>A</v>
      </c>
      <c r="N20" s="15" t="str">
        <f t="shared" si="18"/>
        <v>100% LTT</v>
      </c>
    </row>
    <row r="21" spans="1:14" ht="19.5" customHeight="1" x14ac:dyDescent="0.3">
      <c r="A21" s="15">
        <f t="shared" si="16"/>
        <v>13</v>
      </c>
      <c r="B21" s="16" t="s">
        <v>152</v>
      </c>
      <c r="C21" s="15" t="s">
        <v>153</v>
      </c>
      <c r="D21" s="15"/>
      <c r="E21" s="15"/>
      <c r="F21" s="15"/>
      <c r="G21" s="15">
        <f t="shared" si="12"/>
        <v>0</v>
      </c>
      <c r="H21" s="15">
        <f t="shared" si="12"/>
        <v>0</v>
      </c>
      <c r="I21" s="15">
        <f t="shared" si="13"/>
        <v>0</v>
      </c>
      <c r="J21" s="15">
        <f t="shared" si="14"/>
        <v>0</v>
      </c>
      <c r="K21" s="15">
        <v>8</v>
      </c>
      <c r="L21" s="15">
        <f t="shared" si="17"/>
        <v>92</v>
      </c>
      <c r="M21" s="15" t="str">
        <f t="shared" si="15"/>
        <v>A</v>
      </c>
      <c r="N21" s="15" t="str">
        <f t="shared" si="18"/>
        <v>100% LTT</v>
      </c>
    </row>
    <row r="22" spans="1:14" ht="19.5" customHeight="1" x14ac:dyDescent="0.3">
      <c r="A22" s="15">
        <f t="shared" si="16"/>
        <v>14</v>
      </c>
      <c r="B22" s="16" t="s">
        <v>100</v>
      </c>
      <c r="C22" s="15" t="s">
        <v>102</v>
      </c>
      <c r="D22" s="15"/>
      <c r="E22" s="15"/>
      <c r="F22" s="15"/>
      <c r="G22" s="15">
        <f t="shared" si="12"/>
        <v>0</v>
      </c>
      <c r="H22" s="15">
        <f t="shared" si="12"/>
        <v>0</v>
      </c>
      <c r="I22" s="15">
        <f t="shared" si="13"/>
        <v>0</v>
      </c>
      <c r="J22" s="15">
        <f t="shared" si="14"/>
        <v>0</v>
      </c>
      <c r="K22" s="15">
        <v>5</v>
      </c>
      <c r="L22" s="15">
        <f t="shared" si="17"/>
        <v>95</v>
      </c>
      <c r="M22" s="15" t="str">
        <f t="shared" si="15"/>
        <v>A</v>
      </c>
      <c r="N22" s="15" t="str">
        <f t="shared" si="18"/>
        <v>100% LTT</v>
      </c>
    </row>
    <row r="23" spans="1:14" ht="19.5" customHeight="1" x14ac:dyDescent="0.3">
      <c r="A23" s="15">
        <f t="shared" si="16"/>
        <v>15</v>
      </c>
      <c r="B23" s="18" t="s">
        <v>116</v>
      </c>
      <c r="C23" s="17" t="s">
        <v>107</v>
      </c>
      <c r="D23" s="17"/>
      <c r="E23" s="17"/>
      <c r="F23" s="17"/>
      <c r="G23" s="15">
        <f t="shared" si="12"/>
        <v>0</v>
      </c>
      <c r="H23" s="15">
        <f t="shared" si="12"/>
        <v>0</v>
      </c>
      <c r="I23" s="15">
        <f t="shared" si="13"/>
        <v>0</v>
      </c>
      <c r="J23" s="15">
        <f t="shared" si="14"/>
        <v>0</v>
      </c>
      <c r="K23" s="17">
        <v>8</v>
      </c>
      <c r="L23" s="15">
        <f t="shared" si="17"/>
        <v>92</v>
      </c>
      <c r="M23" s="15" t="str">
        <f t="shared" si="15"/>
        <v>A</v>
      </c>
      <c r="N23" s="17" t="str">
        <f t="shared" si="18"/>
        <v>100% LTT</v>
      </c>
    </row>
    <row r="24" spans="1:14" ht="22.5" customHeight="1" x14ac:dyDescent="0.3">
      <c r="A24" s="180" t="s">
        <v>163</v>
      </c>
      <c r="B24" s="180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  <c r="N24" s="180"/>
    </row>
    <row r="25" spans="1:14" ht="22.5" customHeight="1" x14ac:dyDescent="0.3">
      <c r="J25" s="185" t="s">
        <v>162</v>
      </c>
      <c r="K25" s="185"/>
      <c r="L25" s="185"/>
      <c r="M25" s="185"/>
      <c r="N25" s="185"/>
    </row>
    <row r="26" spans="1:14" ht="22.5" customHeight="1" x14ac:dyDescent="0.3">
      <c r="B26" s="178" t="s">
        <v>22</v>
      </c>
      <c r="C26" s="178"/>
      <c r="D26" s="178"/>
      <c r="L26" s="178" t="s">
        <v>25</v>
      </c>
      <c r="M26" s="178"/>
      <c r="N26" s="178"/>
    </row>
    <row r="27" spans="1:14" ht="22.5" customHeight="1" x14ac:dyDescent="0.3">
      <c r="L27" s="148"/>
      <c r="M27" s="148"/>
    </row>
    <row r="28" spans="1:14" ht="22.5" customHeight="1" x14ac:dyDescent="0.3">
      <c r="L28" s="148"/>
      <c r="M28" s="148"/>
    </row>
    <row r="29" spans="1:14" ht="22.5" customHeight="1" x14ac:dyDescent="0.3">
      <c r="L29" s="148"/>
      <c r="M29" s="148"/>
    </row>
    <row r="30" spans="1:14" ht="22.5" customHeight="1" x14ac:dyDescent="0.3">
      <c r="B30" s="178" t="s">
        <v>28</v>
      </c>
      <c r="C30" s="178"/>
      <c r="D30" s="178"/>
      <c r="L30" s="178" t="s">
        <v>27</v>
      </c>
      <c r="M30" s="178"/>
      <c r="N30" s="178"/>
    </row>
    <row r="31" spans="1:14" ht="22.5" customHeight="1" x14ac:dyDescent="0.3">
      <c r="C31" s="1"/>
      <c r="D31" s="1"/>
    </row>
  </sheetData>
  <mergeCells count="25">
    <mergeCell ref="O4:O5"/>
    <mergeCell ref="A1:N1"/>
    <mergeCell ref="A2:N2"/>
    <mergeCell ref="A3:N3"/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L4:L5"/>
    <mergeCell ref="M4:M5"/>
    <mergeCell ref="N4:N5"/>
    <mergeCell ref="B30:D30"/>
    <mergeCell ref="L30:N30"/>
    <mergeCell ref="A6:C6"/>
    <mergeCell ref="A12:C12"/>
    <mergeCell ref="A14:C14"/>
    <mergeCell ref="A24:N24"/>
    <mergeCell ref="J25:N25"/>
    <mergeCell ref="B26:D26"/>
    <mergeCell ref="L26:N26"/>
  </mergeCells>
  <pageMargins left="0.21" right="0.2" top="0.42" bottom="0.34" header="0.3" footer="0.3"/>
  <pageSetup paperSize="9" scale="75" orientation="landscape" verticalDpi="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workbookViewId="0">
      <selection sqref="A1:XFD1048576"/>
    </sheetView>
  </sheetViews>
  <sheetFormatPr defaultColWidth="9.109375" defaultRowHeight="16.8" x14ac:dyDescent="0.3"/>
  <cols>
    <col min="1" max="1" width="6.109375" style="2" customWidth="1"/>
    <col min="2" max="2" width="27.5546875" style="1" customWidth="1"/>
    <col min="3" max="3" width="22" style="2" customWidth="1"/>
    <col min="4" max="6" width="11.33203125" style="2" customWidth="1"/>
    <col min="7" max="9" width="12.33203125" style="2" customWidth="1"/>
    <col min="10" max="10" width="12.44140625" style="2" customWidth="1"/>
    <col min="11" max="11" width="11.33203125" style="2" customWidth="1"/>
    <col min="12" max="12" width="12.109375" style="2" customWidth="1"/>
    <col min="13" max="13" width="9.44140625" style="2" customWidth="1"/>
    <col min="14" max="14" width="15" style="2" customWidth="1"/>
    <col min="15" max="15" width="53.88671875" style="2" customWidth="1"/>
    <col min="16" max="16384" width="9.109375" style="1"/>
  </cols>
  <sheetData>
    <row r="1" spans="1:15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5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</row>
    <row r="3" spans="1:15" ht="22.5" customHeight="1" x14ac:dyDescent="0.3">
      <c r="A3" s="179" t="s">
        <v>166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</row>
    <row r="4" spans="1:15" s="3" customFormat="1" ht="22.5" customHeight="1" x14ac:dyDescent="0.3">
      <c r="A4" s="180" t="s">
        <v>0</v>
      </c>
      <c r="B4" s="180" t="s">
        <v>1</v>
      </c>
      <c r="C4" s="180" t="s">
        <v>2</v>
      </c>
      <c r="D4" s="180" t="s">
        <v>23</v>
      </c>
      <c r="E4" s="180"/>
      <c r="F4" s="180"/>
      <c r="G4" s="181" t="s">
        <v>29</v>
      </c>
      <c r="H4" s="181" t="s">
        <v>30</v>
      </c>
      <c r="I4" s="181" t="s">
        <v>31</v>
      </c>
      <c r="J4" s="181" t="s">
        <v>96</v>
      </c>
      <c r="K4" s="181" t="s">
        <v>97</v>
      </c>
      <c r="L4" s="180" t="s">
        <v>6</v>
      </c>
      <c r="M4" s="180" t="s">
        <v>7</v>
      </c>
      <c r="N4" s="180" t="s">
        <v>8</v>
      </c>
      <c r="O4" s="183"/>
    </row>
    <row r="5" spans="1:15" s="3" customFormat="1" ht="49.8" customHeight="1" x14ac:dyDescent="0.3">
      <c r="A5" s="180"/>
      <c r="B5" s="180"/>
      <c r="C5" s="180"/>
      <c r="D5" s="151" t="s">
        <v>3</v>
      </c>
      <c r="E5" s="151" t="s">
        <v>4</v>
      </c>
      <c r="F5" s="151" t="s">
        <v>5</v>
      </c>
      <c r="G5" s="182"/>
      <c r="H5" s="182"/>
      <c r="I5" s="182"/>
      <c r="J5" s="182"/>
      <c r="K5" s="182"/>
      <c r="L5" s="180"/>
      <c r="M5" s="180"/>
      <c r="N5" s="180"/>
      <c r="O5" s="183"/>
    </row>
    <row r="6" spans="1:15" ht="19.5" customHeight="1" x14ac:dyDescent="0.3">
      <c r="A6" s="184" t="s">
        <v>15</v>
      </c>
      <c r="B6" s="184"/>
      <c r="C6" s="18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5" ht="19.5" customHeight="1" x14ac:dyDescent="0.3">
      <c r="A7" s="15">
        <v>1</v>
      </c>
      <c r="B7" s="16" t="s">
        <v>52</v>
      </c>
      <c r="C7" s="15" t="s">
        <v>19</v>
      </c>
      <c r="D7" s="15"/>
      <c r="E7" s="15"/>
      <c r="F7" s="15"/>
      <c r="G7" s="15">
        <f t="shared" ref="G7:H10" si="0">IF(D7&gt;5,(D7-5)*2,0)</f>
        <v>0</v>
      </c>
      <c r="H7" s="15">
        <f t="shared" si="0"/>
        <v>0</v>
      </c>
      <c r="I7" s="15">
        <f t="shared" ref="I7:I10" si="1">IF(F7&gt;2,(F7-2)*1,0)</f>
        <v>0</v>
      </c>
      <c r="J7" s="15">
        <f t="shared" ref="J7:J10" si="2">SUM(G7:I7)</f>
        <v>0</v>
      </c>
      <c r="K7" s="15"/>
      <c r="L7" s="15">
        <f t="shared" ref="L7:L10" si="3">100-J7-K7</f>
        <v>100</v>
      </c>
      <c r="M7" s="15" t="str">
        <f t="shared" ref="M7:M10" si="4">IF(L7&lt;71,"KL",IF(AND(L7&gt;=71,L7&lt;81),"C",IF(AND(L7&gt;=81,L7&lt;91),"B","A")))</f>
        <v>A</v>
      </c>
      <c r="N7" s="15" t="str">
        <f t="shared" ref="N7:N10" si="5">IF(M7="A","100% LTT",IF(M7="B","90% LTT",IF(M7="C","80% LTT","60% LTT")))</f>
        <v>100% LTT</v>
      </c>
      <c r="O7" s="34"/>
    </row>
    <row r="8" spans="1:15" ht="19.5" customHeight="1" x14ac:dyDescent="0.3">
      <c r="A8" s="15">
        <f t="shared" ref="A8:A10" si="6">A7+1</f>
        <v>2</v>
      </c>
      <c r="B8" s="16" t="s">
        <v>59</v>
      </c>
      <c r="C8" s="15" t="s">
        <v>19</v>
      </c>
      <c r="D8" s="15"/>
      <c r="E8" s="15"/>
      <c r="F8" s="15"/>
      <c r="G8" s="15">
        <f t="shared" si="0"/>
        <v>0</v>
      </c>
      <c r="H8" s="15">
        <f t="shared" si="0"/>
        <v>0</v>
      </c>
      <c r="I8" s="15">
        <f t="shared" si="1"/>
        <v>0</v>
      </c>
      <c r="J8" s="15">
        <f t="shared" si="2"/>
        <v>0</v>
      </c>
      <c r="K8" s="15"/>
      <c r="L8" s="15">
        <f t="shared" si="3"/>
        <v>100</v>
      </c>
      <c r="M8" s="15" t="str">
        <f t="shared" si="4"/>
        <v>A</v>
      </c>
      <c r="N8" s="15" t="str">
        <f t="shared" si="5"/>
        <v>100% LTT</v>
      </c>
      <c r="O8" s="35"/>
    </row>
    <row r="9" spans="1:15" ht="19.5" customHeight="1" x14ac:dyDescent="0.3">
      <c r="A9" s="15">
        <f t="shared" si="6"/>
        <v>3</v>
      </c>
      <c r="B9" s="16" t="s">
        <v>161</v>
      </c>
      <c r="C9" s="15" t="s">
        <v>19</v>
      </c>
      <c r="D9" s="15"/>
      <c r="E9" s="15"/>
      <c r="F9" s="15"/>
      <c r="G9" s="15">
        <f t="shared" si="0"/>
        <v>0</v>
      </c>
      <c r="H9" s="15">
        <f t="shared" si="0"/>
        <v>0</v>
      </c>
      <c r="I9" s="15">
        <f t="shared" si="1"/>
        <v>0</v>
      </c>
      <c r="J9" s="15">
        <f t="shared" si="2"/>
        <v>0</v>
      </c>
      <c r="K9" s="15"/>
      <c r="L9" s="15">
        <f t="shared" si="3"/>
        <v>100</v>
      </c>
      <c r="M9" s="15" t="str">
        <f t="shared" si="4"/>
        <v>A</v>
      </c>
      <c r="N9" s="15" t="str">
        <f t="shared" si="5"/>
        <v>100% LTT</v>
      </c>
      <c r="O9" s="35"/>
    </row>
    <row r="10" spans="1:15" ht="19.5" customHeight="1" x14ac:dyDescent="0.3">
      <c r="A10" s="15">
        <f t="shared" si="6"/>
        <v>4</v>
      </c>
      <c r="B10" s="18" t="s">
        <v>11</v>
      </c>
      <c r="C10" s="17" t="s">
        <v>51</v>
      </c>
      <c r="D10" s="17">
        <v>1</v>
      </c>
      <c r="E10" s="17"/>
      <c r="F10" s="17">
        <v>1</v>
      </c>
      <c r="G10" s="17">
        <f t="shared" si="0"/>
        <v>0</v>
      </c>
      <c r="H10" s="17">
        <f t="shared" si="0"/>
        <v>0</v>
      </c>
      <c r="I10" s="17">
        <f t="shared" si="1"/>
        <v>0</v>
      </c>
      <c r="J10" s="17">
        <f t="shared" si="2"/>
        <v>0</v>
      </c>
      <c r="K10" s="17">
        <v>1</v>
      </c>
      <c r="L10" s="15">
        <f t="shared" si="3"/>
        <v>99</v>
      </c>
      <c r="M10" s="17" t="str">
        <f t="shared" si="4"/>
        <v>A</v>
      </c>
      <c r="N10" s="17" t="str">
        <f t="shared" si="5"/>
        <v>100% LTT</v>
      </c>
      <c r="O10" s="35"/>
    </row>
    <row r="11" spans="1:15" ht="19.5" customHeight="1" x14ac:dyDescent="0.3">
      <c r="A11" s="184" t="s">
        <v>16</v>
      </c>
      <c r="B11" s="184"/>
      <c r="C11" s="18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5" ht="19.5" customHeight="1" x14ac:dyDescent="0.3">
      <c r="A12" s="17">
        <f>A10+1</f>
        <v>5</v>
      </c>
      <c r="B12" s="18" t="s">
        <v>28</v>
      </c>
      <c r="C12" s="17" t="s">
        <v>121</v>
      </c>
      <c r="D12" s="4"/>
      <c r="E12" s="17"/>
      <c r="F12" s="17">
        <v>1</v>
      </c>
      <c r="G12" s="17">
        <f t="shared" ref="G12:H12" si="7">IF(D12&gt;5,(D12-5)*2,0)</f>
        <v>0</v>
      </c>
      <c r="H12" s="17">
        <f t="shared" si="7"/>
        <v>0</v>
      </c>
      <c r="I12" s="17">
        <f t="shared" ref="I12" si="8">IF(F12&gt;2,(F12-2)*1,0)</f>
        <v>0</v>
      </c>
      <c r="J12" s="17">
        <f t="shared" ref="J12" si="9">SUM(G12:I12)</f>
        <v>0</v>
      </c>
      <c r="K12" s="17"/>
      <c r="L12" s="17">
        <f>100-J12-K12</f>
        <v>100</v>
      </c>
      <c r="M12" s="17" t="str">
        <f t="shared" ref="M12" si="10">IF(L12&lt;71,"KL",IF(AND(L12&gt;=71,L12&lt;81),"C",IF(AND(L12&gt;=81,L12&lt;91),"B","A")))</f>
        <v>A</v>
      </c>
      <c r="N12" s="17" t="str">
        <f t="shared" ref="N12" si="11">IF(M12="A","100% LTT",IF(M12="B","90% LTT",IF(M12="C","80% LTT","60% LTT")))</f>
        <v>100% LTT</v>
      </c>
    </row>
    <row r="13" spans="1:15" ht="19.5" customHeight="1" x14ac:dyDescent="0.3">
      <c r="A13" s="184" t="s">
        <v>17</v>
      </c>
      <c r="B13" s="184"/>
      <c r="C13" s="18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5" ht="19.5" customHeight="1" x14ac:dyDescent="0.3">
      <c r="A14" s="15">
        <f>A12+1</f>
        <v>6</v>
      </c>
      <c r="B14" s="16" t="s">
        <v>13</v>
      </c>
      <c r="C14" s="15" t="s">
        <v>101</v>
      </c>
      <c r="D14" s="15"/>
      <c r="E14" s="15"/>
      <c r="F14" s="15"/>
      <c r="G14" s="15">
        <f t="shared" ref="G14:H22" si="12">IF(D14&gt;5,(D14-5)*2,0)</f>
        <v>0</v>
      </c>
      <c r="H14" s="15">
        <f t="shared" si="12"/>
        <v>0</v>
      </c>
      <c r="I14" s="15">
        <f t="shared" ref="I14:I22" si="13">IF(F14&gt;2,(F14-2)*1,0)</f>
        <v>0</v>
      </c>
      <c r="J14" s="15">
        <f t="shared" ref="J14:J22" si="14">SUM(G14:I14)</f>
        <v>0</v>
      </c>
      <c r="K14" s="15"/>
      <c r="L14" s="15">
        <f>100-J14-K14</f>
        <v>100</v>
      </c>
      <c r="M14" s="15" t="str">
        <f t="shared" ref="M14:M22" si="15">IF(L14&lt;71,"KL",IF(AND(L14&gt;=71,L14&lt;81),"C",IF(AND(L14&gt;=81,L14&lt;91),"B","A")))</f>
        <v>A</v>
      </c>
      <c r="N14" s="17" t="str">
        <f>IF(M14="A","100% LTT",IF(M14="B","90% LTT",IF(M14="C","80% LTT","60% LTT")))</f>
        <v>100% LTT</v>
      </c>
    </row>
    <row r="15" spans="1:15" ht="19.5" customHeight="1" x14ac:dyDescent="0.3">
      <c r="A15" s="15">
        <f t="shared" ref="A15:A22" si="16">A14+1</f>
        <v>7</v>
      </c>
      <c r="B15" s="16" t="s">
        <v>14</v>
      </c>
      <c r="C15" s="15" t="s">
        <v>19</v>
      </c>
      <c r="D15" s="15">
        <v>4</v>
      </c>
      <c r="E15" s="15"/>
      <c r="F15" s="15">
        <v>2</v>
      </c>
      <c r="G15" s="15">
        <f t="shared" si="12"/>
        <v>0</v>
      </c>
      <c r="H15" s="15">
        <f t="shared" si="12"/>
        <v>0</v>
      </c>
      <c r="I15" s="15">
        <f t="shared" si="13"/>
        <v>0</v>
      </c>
      <c r="J15" s="15">
        <f t="shared" si="14"/>
        <v>0</v>
      </c>
      <c r="K15" s="15">
        <v>3</v>
      </c>
      <c r="L15" s="15">
        <f t="shared" ref="L15:L22" si="17">100-J15-K15</f>
        <v>97</v>
      </c>
      <c r="M15" s="15" t="str">
        <f t="shared" si="15"/>
        <v>A</v>
      </c>
      <c r="N15" s="15" t="str">
        <f t="shared" ref="N15:N22" si="18">IF(M15="A","100% LTT",IF(M15="B","90% LTT",IF(M15="C","80% LTT","60% LTT")))</f>
        <v>100% LTT</v>
      </c>
    </row>
    <row r="16" spans="1:15" ht="19.5" customHeight="1" x14ac:dyDescent="0.3">
      <c r="A16" s="15">
        <f t="shared" si="16"/>
        <v>8</v>
      </c>
      <c r="B16" s="16" t="s">
        <v>40</v>
      </c>
      <c r="C16" s="15" t="s">
        <v>19</v>
      </c>
      <c r="D16" s="15"/>
      <c r="E16" s="15"/>
      <c r="F16" s="15"/>
      <c r="G16" s="15">
        <f t="shared" si="12"/>
        <v>0</v>
      </c>
      <c r="H16" s="15">
        <f t="shared" si="12"/>
        <v>0</v>
      </c>
      <c r="I16" s="15">
        <f t="shared" si="13"/>
        <v>0</v>
      </c>
      <c r="J16" s="15">
        <f t="shared" si="14"/>
        <v>0</v>
      </c>
      <c r="K16" s="15">
        <v>4</v>
      </c>
      <c r="L16" s="15">
        <f>100-J16-K16</f>
        <v>96</v>
      </c>
      <c r="M16" s="15" t="str">
        <f t="shared" si="15"/>
        <v>A</v>
      </c>
      <c r="N16" s="15" t="str">
        <f t="shared" si="18"/>
        <v>100% LTT</v>
      </c>
    </row>
    <row r="17" spans="1:14" ht="19.5" customHeight="1" x14ac:dyDescent="0.3">
      <c r="A17" s="15">
        <f t="shared" si="16"/>
        <v>9</v>
      </c>
      <c r="B17" s="16" t="s">
        <v>130</v>
      </c>
      <c r="C17" s="15" t="s">
        <v>131</v>
      </c>
      <c r="D17" s="15"/>
      <c r="E17" s="15"/>
      <c r="F17" s="15"/>
      <c r="G17" s="15">
        <f t="shared" si="12"/>
        <v>0</v>
      </c>
      <c r="H17" s="15">
        <f t="shared" si="12"/>
        <v>0</v>
      </c>
      <c r="I17" s="15">
        <f t="shared" si="13"/>
        <v>0</v>
      </c>
      <c r="J17" s="15">
        <f t="shared" si="14"/>
        <v>0</v>
      </c>
      <c r="K17" s="15">
        <v>5</v>
      </c>
      <c r="L17" s="15">
        <f t="shared" ref="L17:L18" si="19">100-J17-K17</f>
        <v>95</v>
      </c>
      <c r="M17" s="15" t="str">
        <f t="shared" si="15"/>
        <v>A</v>
      </c>
      <c r="N17" s="15" t="str">
        <f t="shared" si="18"/>
        <v>100% LTT</v>
      </c>
    </row>
    <row r="18" spans="1:14" ht="19.5" customHeight="1" x14ac:dyDescent="0.3">
      <c r="A18" s="15">
        <f t="shared" si="16"/>
        <v>10</v>
      </c>
      <c r="B18" s="16" t="s">
        <v>98</v>
      </c>
      <c r="C18" s="15" t="s">
        <v>102</v>
      </c>
      <c r="D18" s="15"/>
      <c r="E18" s="15"/>
      <c r="F18" s="15"/>
      <c r="G18" s="15">
        <f t="shared" si="12"/>
        <v>0</v>
      </c>
      <c r="H18" s="15">
        <f t="shared" si="12"/>
        <v>0</v>
      </c>
      <c r="I18" s="15">
        <f t="shared" si="13"/>
        <v>0</v>
      </c>
      <c r="J18" s="15">
        <f t="shared" si="14"/>
        <v>0</v>
      </c>
      <c r="K18" s="15">
        <v>8</v>
      </c>
      <c r="L18" s="15">
        <f t="shared" si="19"/>
        <v>92</v>
      </c>
      <c r="M18" s="15" t="str">
        <f t="shared" si="15"/>
        <v>A</v>
      </c>
      <c r="N18" s="15" t="str">
        <f t="shared" si="18"/>
        <v>100% LTT</v>
      </c>
    </row>
    <row r="19" spans="1:14" ht="19.5" customHeight="1" x14ac:dyDescent="0.3">
      <c r="A19" s="15">
        <f t="shared" si="16"/>
        <v>11</v>
      </c>
      <c r="B19" s="16" t="s">
        <v>99</v>
      </c>
      <c r="C19" s="15" t="s">
        <v>102</v>
      </c>
      <c r="D19" s="15"/>
      <c r="E19" s="15"/>
      <c r="F19" s="15"/>
      <c r="G19" s="15">
        <f t="shared" si="12"/>
        <v>0</v>
      </c>
      <c r="H19" s="15">
        <f t="shared" si="12"/>
        <v>0</v>
      </c>
      <c r="I19" s="15">
        <f t="shared" si="13"/>
        <v>0</v>
      </c>
      <c r="J19" s="15">
        <f t="shared" si="14"/>
        <v>0</v>
      </c>
      <c r="K19" s="15">
        <v>8</v>
      </c>
      <c r="L19" s="15">
        <f t="shared" si="17"/>
        <v>92</v>
      </c>
      <c r="M19" s="15" t="str">
        <f t="shared" si="15"/>
        <v>A</v>
      </c>
      <c r="N19" s="15" t="str">
        <f t="shared" si="18"/>
        <v>100% LTT</v>
      </c>
    </row>
    <row r="20" spans="1:14" ht="19.5" customHeight="1" x14ac:dyDescent="0.3">
      <c r="A20" s="15">
        <f t="shared" si="16"/>
        <v>12</v>
      </c>
      <c r="B20" s="16" t="s">
        <v>152</v>
      </c>
      <c r="C20" s="15" t="s">
        <v>153</v>
      </c>
      <c r="D20" s="15"/>
      <c r="E20" s="15"/>
      <c r="F20" s="15"/>
      <c r="G20" s="15">
        <f t="shared" si="12"/>
        <v>0</v>
      </c>
      <c r="H20" s="15">
        <f t="shared" si="12"/>
        <v>0</v>
      </c>
      <c r="I20" s="15">
        <f t="shared" si="13"/>
        <v>0</v>
      </c>
      <c r="J20" s="15">
        <f t="shared" si="14"/>
        <v>0</v>
      </c>
      <c r="K20" s="15">
        <v>8</v>
      </c>
      <c r="L20" s="15">
        <f t="shared" si="17"/>
        <v>92</v>
      </c>
      <c r="M20" s="15" t="str">
        <f t="shared" si="15"/>
        <v>A</v>
      </c>
      <c r="N20" s="15" t="str">
        <f t="shared" si="18"/>
        <v>100% LTT</v>
      </c>
    </row>
    <row r="21" spans="1:14" ht="19.5" customHeight="1" x14ac:dyDescent="0.3">
      <c r="A21" s="15">
        <f t="shared" si="16"/>
        <v>13</v>
      </c>
      <c r="B21" s="16" t="s">
        <v>100</v>
      </c>
      <c r="C21" s="15" t="s">
        <v>102</v>
      </c>
      <c r="D21" s="15"/>
      <c r="E21" s="15"/>
      <c r="F21" s="15"/>
      <c r="G21" s="15">
        <f t="shared" si="12"/>
        <v>0</v>
      </c>
      <c r="H21" s="15">
        <f t="shared" si="12"/>
        <v>0</v>
      </c>
      <c r="I21" s="15">
        <f t="shared" si="13"/>
        <v>0</v>
      </c>
      <c r="J21" s="15">
        <f t="shared" si="14"/>
        <v>0</v>
      </c>
      <c r="K21" s="15">
        <v>4</v>
      </c>
      <c r="L21" s="15">
        <f t="shared" si="17"/>
        <v>96</v>
      </c>
      <c r="M21" s="15" t="str">
        <f t="shared" si="15"/>
        <v>A</v>
      </c>
      <c r="N21" s="15" t="str">
        <f t="shared" si="18"/>
        <v>100% LTT</v>
      </c>
    </row>
    <row r="22" spans="1:14" ht="19.5" customHeight="1" x14ac:dyDescent="0.3">
      <c r="A22" s="15">
        <f t="shared" si="16"/>
        <v>14</v>
      </c>
      <c r="B22" s="18" t="s">
        <v>116</v>
      </c>
      <c r="C22" s="17" t="s">
        <v>107</v>
      </c>
      <c r="D22" s="17"/>
      <c r="E22" s="17"/>
      <c r="F22" s="17"/>
      <c r="G22" s="15">
        <f t="shared" si="12"/>
        <v>0</v>
      </c>
      <c r="H22" s="15">
        <f t="shared" si="12"/>
        <v>0</v>
      </c>
      <c r="I22" s="15">
        <f t="shared" si="13"/>
        <v>0</v>
      </c>
      <c r="J22" s="15">
        <f t="shared" si="14"/>
        <v>0</v>
      </c>
      <c r="K22" s="17">
        <v>8</v>
      </c>
      <c r="L22" s="15">
        <f t="shared" si="17"/>
        <v>92</v>
      </c>
      <c r="M22" s="15" t="str">
        <f t="shared" si="15"/>
        <v>A</v>
      </c>
      <c r="N22" s="17" t="str">
        <f t="shared" si="18"/>
        <v>100% LTT</v>
      </c>
    </row>
    <row r="23" spans="1:14" ht="22.5" customHeight="1" x14ac:dyDescent="0.3">
      <c r="A23" s="180" t="s">
        <v>163</v>
      </c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  <c r="N23" s="180"/>
    </row>
    <row r="24" spans="1:14" ht="22.5" customHeight="1" x14ac:dyDescent="0.3">
      <c r="J24" s="185" t="s">
        <v>162</v>
      </c>
      <c r="K24" s="185"/>
      <c r="L24" s="185"/>
      <c r="M24" s="185"/>
      <c r="N24" s="185"/>
    </row>
    <row r="25" spans="1:14" ht="22.5" customHeight="1" x14ac:dyDescent="0.3">
      <c r="B25" s="178" t="s">
        <v>22</v>
      </c>
      <c r="C25" s="178"/>
      <c r="D25" s="178"/>
      <c r="L25" s="178" t="s">
        <v>25</v>
      </c>
      <c r="M25" s="178"/>
      <c r="N25" s="178"/>
    </row>
    <row r="26" spans="1:14" ht="22.5" customHeight="1" x14ac:dyDescent="0.3">
      <c r="L26" s="150"/>
      <c r="M26" s="150"/>
    </row>
    <row r="27" spans="1:14" ht="22.5" customHeight="1" x14ac:dyDescent="0.3">
      <c r="L27" s="150"/>
      <c r="M27" s="150"/>
    </row>
    <row r="28" spans="1:14" ht="22.5" customHeight="1" x14ac:dyDescent="0.3">
      <c r="L28" s="150"/>
      <c r="M28" s="150"/>
    </row>
    <row r="29" spans="1:14" ht="22.5" customHeight="1" x14ac:dyDescent="0.3">
      <c r="B29" s="178" t="s">
        <v>28</v>
      </c>
      <c r="C29" s="178"/>
      <c r="D29" s="178"/>
      <c r="L29" s="178" t="s">
        <v>27</v>
      </c>
      <c r="M29" s="178"/>
      <c r="N29" s="178"/>
    </row>
    <row r="30" spans="1:14" ht="22.5" customHeight="1" x14ac:dyDescent="0.3">
      <c r="C30" s="1"/>
      <c r="D30" s="1"/>
    </row>
  </sheetData>
  <mergeCells count="25">
    <mergeCell ref="O4:O5"/>
    <mergeCell ref="A1:N1"/>
    <mergeCell ref="A2:N2"/>
    <mergeCell ref="A3:N3"/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L4:L5"/>
    <mergeCell ref="M4:M5"/>
    <mergeCell ref="N4:N5"/>
    <mergeCell ref="B29:D29"/>
    <mergeCell ref="L29:N29"/>
    <mergeCell ref="A6:C6"/>
    <mergeCell ref="A11:C11"/>
    <mergeCell ref="A13:C13"/>
    <mergeCell ref="A23:N23"/>
    <mergeCell ref="J24:N24"/>
    <mergeCell ref="B25:D25"/>
    <mergeCell ref="L25:N25"/>
  </mergeCells>
  <pageMargins left="0.2" right="0.2" top="0.5" bottom="0.75" header="0.3" footer="0.3"/>
  <pageSetup paperSize="9" scale="75" orientation="landscape" verticalDpi="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zoomScale="70" zoomScaleNormal="70" workbookViewId="0">
      <selection sqref="A1:XFD1048576"/>
    </sheetView>
  </sheetViews>
  <sheetFormatPr defaultColWidth="9.109375" defaultRowHeight="16.8" x14ac:dyDescent="0.3"/>
  <cols>
    <col min="1" max="1" width="6.109375" style="2" customWidth="1"/>
    <col min="2" max="2" width="27.5546875" style="1" customWidth="1"/>
    <col min="3" max="3" width="22" style="2" customWidth="1"/>
    <col min="4" max="6" width="11.33203125" style="2" customWidth="1"/>
    <col min="7" max="9" width="12.33203125" style="2" customWidth="1"/>
    <col min="10" max="10" width="12.44140625" style="2" customWidth="1"/>
    <col min="11" max="11" width="11.33203125" style="2" customWidth="1"/>
    <col min="12" max="12" width="12.109375" style="2" customWidth="1"/>
    <col min="13" max="13" width="9.44140625" style="2" customWidth="1"/>
    <col min="14" max="14" width="15" style="2" customWidth="1"/>
    <col min="15" max="15" width="53.88671875" style="2" customWidth="1"/>
    <col min="16" max="16384" width="9.109375" style="1"/>
  </cols>
  <sheetData>
    <row r="1" spans="1:15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5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</row>
    <row r="3" spans="1:15" ht="22.5" customHeight="1" x14ac:dyDescent="0.3">
      <c r="A3" s="179" t="s">
        <v>167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</row>
    <row r="4" spans="1:15" s="3" customFormat="1" ht="22.5" customHeight="1" x14ac:dyDescent="0.3">
      <c r="A4" s="180" t="s">
        <v>0</v>
      </c>
      <c r="B4" s="180" t="s">
        <v>1</v>
      </c>
      <c r="C4" s="180" t="s">
        <v>2</v>
      </c>
      <c r="D4" s="180" t="s">
        <v>23</v>
      </c>
      <c r="E4" s="180"/>
      <c r="F4" s="180"/>
      <c r="G4" s="181" t="s">
        <v>29</v>
      </c>
      <c r="H4" s="181" t="s">
        <v>30</v>
      </c>
      <c r="I4" s="181" t="s">
        <v>31</v>
      </c>
      <c r="J4" s="181" t="s">
        <v>96</v>
      </c>
      <c r="K4" s="181" t="s">
        <v>97</v>
      </c>
      <c r="L4" s="180" t="s">
        <v>6</v>
      </c>
      <c r="M4" s="180" t="s">
        <v>7</v>
      </c>
      <c r="N4" s="180" t="s">
        <v>8</v>
      </c>
      <c r="O4" s="183"/>
    </row>
    <row r="5" spans="1:15" s="3" customFormat="1" ht="49.8" customHeight="1" x14ac:dyDescent="0.3">
      <c r="A5" s="180"/>
      <c r="B5" s="180"/>
      <c r="C5" s="180"/>
      <c r="D5" s="153" t="s">
        <v>3</v>
      </c>
      <c r="E5" s="153" t="s">
        <v>4</v>
      </c>
      <c r="F5" s="153" t="s">
        <v>5</v>
      </c>
      <c r="G5" s="182"/>
      <c r="H5" s="182"/>
      <c r="I5" s="182"/>
      <c r="J5" s="182"/>
      <c r="K5" s="182"/>
      <c r="L5" s="180"/>
      <c r="M5" s="180"/>
      <c r="N5" s="180"/>
      <c r="O5" s="183"/>
    </row>
    <row r="6" spans="1:15" ht="19.5" customHeight="1" x14ac:dyDescent="0.3">
      <c r="A6" s="184" t="s">
        <v>15</v>
      </c>
      <c r="B6" s="184"/>
      <c r="C6" s="18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5" ht="19.5" customHeight="1" x14ac:dyDescent="0.3">
      <c r="A7" s="15">
        <v>1</v>
      </c>
      <c r="B7" s="16" t="s">
        <v>52</v>
      </c>
      <c r="C7" s="15" t="s">
        <v>19</v>
      </c>
      <c r="D7" s="15"/>
      <c r="E7" s="15"/>
      <c r="F7" s="15"/>
      <c r="G7" s="15">
        <f t="shared" ref="G7:H10" si="0">IF(D7&gt;5,(D7-5)*2,0)</f>
        <v>0</v>
      </c>
      <c r="H7" s="15">
        <f t="shared" si="0"/>
        <v>0</v>
      </c>
      <c r="I7" s="15">
        <f t="shared" ref="I7:I10" si="1">IF(F7&gt;2,(F7-2)*1,0)</f>
        <v>0</v>
      </c>
      <c r="J7" s="15">
        <f t="shared" ref="J7:J10" si="2">SUM(G7:I7)</f>
        <v>0</v>
      </c>
      <c r="K7" s="15"/>
      <c r="L7" s="15">
        <f t="shared" ref="L7:L10" si="3">100-J7-K7</f>
        <v>100</v>
      </c>
      <c r="M7" s="15" t="str">
        <f t="shared" ref="M7:M10" si="4">IF(L7&lt;71,"KL",IF(AND(L7&gt;=71,L7&lt;81),"C",IF(AND(L7&gt;=81,L7&lt;91),"B","A")))</f>
        <v>A</v>
      </c>
      <c r="N7" s="15" t="str">
        <f t="shared" ref="N7:N10" si="5">IF(M7="A","100% LTT",IF(M7="B","90% LTT",IF(M7="C","80% LTT","60% LTT")))</f>
        <v>100% LTT</v>
      </c>
      <c r="O7" s="34"/>
    </row>
    <row r="8" spans="1:15" ht="19.5" customHeight="1" x14ac:dyDescent="0.3">
      <c r="A8" s="15">
        <f t="shared" ref="A8:A10" si="6">A7+1</f>
        <v>2</v>
      </c>
      <c r="B8" s="16" t="s">
        <v>59</v>
      </c>
      <c r="C8" s="15" t="s">
        <v>19</v>
      </c>
      <c r="D8" s="15"/>
      <c r="E8" s="15"/>
      <c r="F8" s="15"/>
      <c r="G8" s="15">
        <f t="shared" si="0"/>
        <v>0</v>
      </c>
      <c r="H8" s="15">
        <f t="shared" si="0"/>
        <v>0</v>
      </c>
      <c r="I8" s="15">
        <f t="shared" si="1"/>
        <v>0</v>
      </c>
      <c r="J8" s="15">
        <f t="shared" si="2"/>
        <v>0</v>
      </c>
      <c r="K8" s="15"/>
      <c r="L8" s="15">
        <f t="shared" si="3"/>
        <v>100</v>
      </c>
      <c r="M8" s="15" t="str">
        <f t="shared" si="4"/>
        <v>A</v>
      </c>
      <c r="N8" s="15" t="str">
        <f t="shared" si="5"/>
        <v>100% LTT</v>
      </c>
      <c r="O8" s="35"/>
    </row>
    <row r="9" spans="1:15" ht="19.5" customHeight="1" x14ac:dyDescent="0.3">
      <c r="A9" s="15">
        <f t="shared" si="6"/>
        <v>3</v>
      </c>
      <c r="B9" s="16" t="s">
        <v>161</v>
      </c>
      <c r="C9" s="15" t="s">
        <v>19</v>
      </c>
      <c r="D9" s="15"/>
      <c r="E9" s="15"/>
      <c r="F9" s="15"/>
      <c r="G9" s="15">
        <f t="shared" si="0"/>
        <v>0</v>
      </c>
      <c r="H9" s="15">
        <f t="shared" si="0"/>
        <v>0</v>
      </c>
      <c r="I9" s="15">
        <f t="shared" si="1"/>
        <v>0</v>
      </c>
      <c r="J9" s="15">
        <f t="shared" si="2"/>
        <v>0</v>
      </c>
      <c r="K9" s="15"/>
      <c r="L9" s="15">
        <f t="shared" si="3"/>
        <v>100</v>
      </c>
      <c r="M9" s="15" t="str">
        <f t="shared" si="4"/>
        <v>A</v>
      </c>
      <c r="N9" s="15" t="str">
        <f t="shared" si="5"/>
        <v>100% LTT</v>
      </c>
      <c r="O9" s="35"/>
    </row>
    <row r="10" spans="1:15" ht="19.5" customHeight="1" x14ac:dyDescent="0.3">
      <c r="A10" s="15">
        <f t="shared" si="6"/>
        <v>4</v>
      </c>
      <c r="B10" s="18" t="s">
        <v>11</v>
      </c>
      <c r="C10" s="17" t="s">
        <v>51</v>
      </c>
      <c r="D10" s="17">
        <v>4</v>
      </c>
      <c r="E10" s="17"/>
      <c r="F10" s="17"/>
      <c r="G10" s="17">
        <f t="shared" si="0"/>
        <v>0</v>
      </c>
      <c r="H10" s="17">
        <f t="shared" si="0"/>
        <v>0</v>
      </c>
      <c r="I10" s="17">
        <f t="shared" si="1"/>
        <v>0</v>
      </c>
      <c r="J10" s="17">
        <f t="shared" si="2"/>
        <v>0</v>
      </c>
      <c r="K10" s="17">
        <v>1</v>
      </c>
      <c r="L10" s="15">
        <f t="shared" si="3"/>
        <v>99</v>
      </c>
      <c r="M10" s="17" t="str">
        <f t="shared" si="4"/>
        <v>A</v>
      </c>
      <c r="N10" s="17" t="str">
        <f t="shared" si="5"/>
        <v>100% LTT</v>
      </c>
      <c r="O10" s="35"/>
    </row>
    <row r="11" spans="1:15" ht="19.5" customHeight="1" x14ac:dyDescent="0.3">
      <c r="A11" s="184" t="s">
        <v>16</v>
      </c>
      <c r="B11" s="184"/>
      <c r="C11" s="18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5" ht="19.5" customHeight="1" x14ac:dyDescent="0.3">
      <c r="A12" s="17">
        <f>A10+1</f>
        <v>5</v>
      </c>
      <c r="B12" s="18" t="s">
        <v>28</v>
      </c>
      <c r="C12" s="17" t="s">
        <v>121</v>
      </c>
      <c r="D12" s="4"/>
      <c r="E12" s="17"/>
      <c r="F12" s="17">
        <v>2</v>
      </c>
      <c r="G12" s="17">
        <f t="shared" ref="G12:H12" si="7">IF(D12&gt;5,(D12-5)*2,0)</f>
        <v>0</v>
      </c>
      <c r="H12" s="17">
        <f t="shared" si="7"/>
        <v>0</v>
      </c>
      <c r="I12" s="17">
        <f t="shared" ref="I12" si="8">IF(F12&gt;2,(F12-2)*1,0)</f>
        <v>0</v>
      </c>
      <c r="J12" s="17">
        <f t="shared" ref="J12" si="9">SUM(G12:I12)</f>
        <v>0</v>
      </c>
      <c r="K12" s="17"/>
      <c r="L12" s="17">
        <f>100-J12-K12</f>
        <v>100</v>
      </c>
      <c r="M12" s="17" t="str">
        <f t="shared" ref="M12" si="10">IF(L12&lt;71,"KL",IF(AND(L12&gt;=71,L12&lt;81),"C",IF(AND(L12&gt;=81,L12&lt;91),"B","A")))</f>
        <v>A</v>
      </c>
      <c r="N12" s="17" t="str">
        <f t="shared" ref="N12" si="11">IF(M12="A","100% LTT",IF(M12="B","90% LTT",IF(M12="C","80% LTT","60% LTT")))</f>
        <v>100% LTT</v>
      </c>
    </row>
    <row r="13" spans="1:15" ht="19.5" customHeight="1" x14ac:dyDescent="0.3">
      <c r="A13" s="184" t="s">
        <v>17</v>
      </c>
      <c r="B13" s="184"/>
      <c r="C13" s="18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5" ht="19.5" customHeight="1" x14ac:dyDescent="0.3">
      <c r="A14" s="15">
        <f>A12+1</f>
        <v>6</v>
      </c>
      <c r="B14" s="16" t="s">
        <v>13</v>
      </c>
      <c r="C14" s="15" t="s">
        <v>101</v>
      </c>
      <c r="D14" s="15"/>
      <c r="E14" s="15"/>
      <c r="F14" s="15"/>
      <c r="G14" s="15">
        <f t="shared" ref="G14:H22" si="12">IF(D14&gt;5,(D14-5)*2,0)</f>
        <v>0</v>
      </c>
      <c r="H14" s="15">
        <f t="shared" si="12"/>
        <v>0</v>
      </c>
      <c r="I14" s="15">
        <f t="shared" ref="I14:I22" si="13">IF(F14&gt;2,(F14-2)*1,0)</f>
        <v>0</v>
      </c>
      <c r="J14" s="15">
        <f t="shared" ref="J14:J22" si="14">SUM(G14:I14)</f>
        <v>0</v>
      </c>
      <c r="K14" s="15"/>
      <c r="L14" s="15">
        <f>100-J14-K14</f>
        <v>100</v>
      </c>
      <c r="M14" s="15" t="str">
        <f t="shared" ref="M14:M22" si="15">IF(L14&lt;71,"KL",IF(AND(L14&gt;=71,L14&lt;81),"C",IF(AND(L14&gt;=81,L14&lt;91),"B","A")))</f>
        <v>A</v>
      </c>
      <c r="N14" s="17" t="str">
        <f>IF(M14="A","100% LTT",IF(M14="B","90% LTT",IF(M14="C","80% LTT","60% LTT")))</f>
        <v>100% LTT</v>
      </c>
    </row>
    <row r="15" spans="1:15" ht="19.5" customHeight="1" x14ac:dyDescent="0.3">
      <c r="A15" s="15">
        <f t="shared" ref="A15:A22" si="16">A14+1</f>
        <v>7</v>
      </c>
      <c r="B15" s="16" t="s">
        <v>14</v>
      </c>
      <c r="C15" s="15" t="s">
        <v>19</v>
      </c>
      <c r="D15" s="15">
        <v>1</v>
      </c>
      <c r="E15" s="15"/>
      <c r="F15" s="15">
        <v>1</v>
      </c>
      <c r="G15" s="15">
        <f t="shared" si="12"/>
        <v>0</v>
      </c>
      <c r="H15" s="15">
        <f t="shared" si="12"/>
        <v>0</v>
      </c>
      <c r="I15" s="15">
        <f t="shared" si="13"/>
        <v>0</v>
      </c>
      <c r="J15" s="15">
        <f t="shared" si="14"/>
        <v>0</v>
      </c>
      <c r="K15" s="15">
        <v>2</v>
      </c>
      <c r="L15" s="15">
        <f t="shared" ref="L15:L22" si="17">100-J15-K15</f>
        <v>98</v>
      </c>
      <c r="M15" s="15" t="str">
        <f t="shared" si="15"/>
        <v>A</v>
      </c>
      <c r="N15" s="15" t="str">
        <f t="shared" ref="N15:N22" si="18">IF(M15="A","100% LTT",IF(M15="B","90% LTT",IF(M15="C","80% LTT","60% LTT")))</f>
        <v>100% LTT</v>
      </c>
    </row>
    <row r="16" spans="1:15" ht="19.5" customHeight="1" x14ac:dyDescent="0.3">
      <c r="A16" s="15">
        <f t="shared" si="16"/>
        <v>8</v>
      </c>
      <c r="B16" s="16" t="s">
        <v>40</v>
      </c>
      <c r="C16" s="15" t="s">
        <v>19</v>
      </c>
      <c r="D16" s="15"/>
      <c r="E16" s="15"/>
      <c r="F16" s="15"/>
      <c r="G16" s="15">
        <f t="shared" si="12"/>
        <v>0</v>
      </c>
      <c r="H16" s="15">
        <f t="shared" si="12"/>
        <v>0</v>
      </c>
      <c r="I16" s="15">
        <f t="shared" si="13"/>
        <v>0</v>
      </c>
      <c r="J16" s="15">
        <f t="shared" si="14"/>
        <v>0</v>
      </c>
      <c r="K16" s="15">
        <v>4</v>
      </c>
      <c r="L16" s="15">
        <f>100-J16-K16</f>
        <v>96</v>
      </c>
      <c r="M16" s="15" t="str">
        <f t="shared" si="15"/>
        <v>A</v>
      </c>
      <c r="N16" s="15" t="str">
        <f t="shared" si="18"/>
        <v>100% LTT</v>
      </c>
    </row>
    <row r="17" spans="1:14" ht="19.5" customHeight="1" x14ac:dyDescent="0.3">
      <c r="A17" s="15">
        <f t="shared" si="16"/>
        <v>9</v>
      </c>
      <c r="B17" s="16" t="s">
        <v>130</v>
      </c>
      <c r="C17" s="15" t="s">
        <v>131</v>
      </c>
      <c r="D17" s="15"/>
      <c r="E17" s="15"/>
      <c r="F17" s="15"/>
      <c r="G17" s="15">
        <f t="shared" si="12"/>
        <v>0</v>
      </c>
      <c r="H17" s="15">
        <f t="shared" si="12"/>
        <v>0</v>
      </c>
      <c r="I17" s="15">
        <f t="shared" si="13"/>
        <v>0</v>
      </c>
      <c r="J17" s="15">
        <f t="shared" si="14"/>
        <v>0</v>
      </c>
      <c r="K17" s="15">
        <v>5</v>
      </c>
      <c r="L17" s="15">
        <f t="shared" ref="L17:L18" si="19">100-J17-K17</f>
        <v>95</v>
      </c>
      <c r="M17" s="15" t="str">
        <f t="shared" si="15"/>
        <v>A</v>
      </c>
      <c r="N17" s="15" t="str">
        <f t="shared" si="18"/>
        <v>100% LTT</v>
      </c>
    </row>
    <row r="18" spans="1:14" ht="19.5" customHeight="1" x14ac:dyDescent="0.3">
      <c r="A18" s="15">
        <f t="shared" si="16"/>
        <v>10</v>
      </c>
      <c r="B18" s="16" t="s">
        <v>98</v>
      </c>
      <c r="C18" s="15" t="s">
        <v>102</v>
      </c>
      <c r="D18" s="15"/>
      <c r="E18" s="15"/>
      <c r="F18" s="15"/>
      <c r="G18" s="15">
        <f t="shared" si="12"/>
        <v>0</v>
      </c>
      <c r="H18" s="15">
        <f t="shared" si="12"/>
        <v>0</v>
      </c>
      <c r="I18" s="15">
        <f t="shared" si="13"/>
        <v>0</v>
      </c>
      <c r="J18" s="15">
        <f t="shared" si="14"/>
        <v>0</v>
      </c>
      <c r="K18" s="15">
        <v>8</v>
      </c>
      <c r="L18" s="15">
        <f t="shared" si="19"/>
        <v>92</v>
      </c>
      <c r="M18" s="15" t="str">
        <f t="shared" si="15"/>
        <v>A</v>
      </c>
      <c r="N18" s="15" t="str">
        <f t="shared" si="18"/>
        <v>100% LTT</v>
      </c>
    </row>
    <row r="19" spans="1:14" ht="19.5" customHeight="1" x14ac:dyDescent="0.3">
      <c r="A19" s="15">
        <f t="shared" si="16"/>
        <v>11</v>
      </c>
      <c r="B19" s="16" t="s">
        <v>99</v>
      </c>
      <c r="C19" s="15" t="s">
        <v>102</v>
      </c>
      <c r="D19" s="15"/>
      <c r="E19" s="15"/>
      <c r="F19" s="15"/>
      <c r="G19" s="15">
        <f t="shared" si="12"/>
        <v>0</v>
      </c>
      <c r="H19" s="15">
        <f t="shared" si="12"/>
        <v>0</v>
      </c>
      <c r="I19" s="15">
        <f t="shared" si="13"/>
        <v>0</v>
      </c>
      <c r="J19" s="15">
        <f t="shared" si="14"/>
        <v>0</v>
      </c>
      <c r="K19" s="15">
        <v>6</v>
      </c>
      <c r="L19" s="15">
        <f t="shared" si="17"/>
        <v>94</v>
      </c>
      <c r="M19" s="15" t="str">
        <f t="shared" si="15"/>
        <v>A</v>
      </c>
      <c r="N19" s="15" t="str">
        <f t="shared" si="18"/>
        <v>100% LTT</v>
      </c>
    </row>
    <row r="20" spans="1:14" ht="19.5" customHeight="1" x14ac:dyDescent="0.3">
      <c r="A20" s="15">
        <f t="shared" si="16"/>
        <v>12</v>
      </c>
      <c r="B20" s="16" t="s">
        <v>152</v>
      </c>
      <c r="C20" s="15" t="s">
        <v>153</v>
      </c>
      <c r="D20" s="15"/>
      <c r="E20" s="15"/>
      <c r="F20" s="15"/>
      <c r="G20" s="15">
        <f t="shared" si="12"/>
        <v>0</v>
      </c>
      <c r="H20" s="15">
        <f t="shared" si="12"/>
        <v>0</v>
      </c>
      <c r="I20" s="15">
        <f t="shared" si="13"/>
        <v>0</v>
      </c>
      <c r="J20" s="15">
        <f t="shared" si="14"/>
        <v>0</v>
      </c>
      <c r="K20" s="15">
        <v>8</v>
      </c>
      <c r="L20" s="15">
        <f t="shared" si="17"/>
        <v>92</v>
      </c>
      <c r="M20" s="15" t="str">
        <f t="shared" si="15"/>
        <v>A</v>
      </c>
      <c r="N20" s="15" t="str">
        <f t="shared" si="18"/>
        <v>100% LTT</v>
      </c>
    </row>
    <row r="21" spans="1:14" ht="19.5" customHeight="1" x14ac:dyDescent="0.3">
      <c r="A21" s="15">
        <f t="shared" si="16"/>
        <v>13</v>
      </c>
      <c r="B21" s="16" t="s">
        <v>100</v>
      </c>
      <c r="C21" s="15" t="s">
        <v>102</v>
      </c>
      <c r="D21" s="15"/>
      <c r="E21" s="15"/>
      <c r="F21" s="15"/>
      <c r="G21" s="15">
        <f t="shared" si="12"/>
        <v>0</v>
      </c>
      <c r="H21" s="15">
        <f t="shared" si="12"/>
        <v>0</v>
      </c>
      <c r="I21" s="15">
        <f t="shared" si="13"/>
        <v>0</v>
      </c>
      <c r="J21" s="15">
        <f t="shared" si="14"/>
        <v>0</v>
      </c>
      <c r="K21" s="15">
        <v>5</v>
      </c>
      <c r="L21" s="15">
        <f t="shared" si="17"/>
        <v>95</v>
      </c>
      <c r="M21" s="15" t="str">
        <f t="shared" si="15"/>
        <v>A</v>
      </c>
      <c r="N21" s="15" t="str">
        <f t="shared" si="18"/>
        <v>100% LTT</v>
      </c>
    </row>
    <row r="22" spans="1:14" ht="19.5" customHeight="1" x14ac:dyDescent="0.3">
      <c r="A22" s="15">
        <f t="shared" si="16"/>
        <v>14</v>
      </c>
      <c r="B22" s="18" t="s">
        <v>116</v>
      </c>
      <c r="C22" s="17" t="s">
        <v>107</v>
      </c>
      <c r="D22" s="17"/>
      <c r="E22" s="17"/>
      <c r="F22" s="17"/>
      <c r="G22" s="15">
        <f t="shared" si="12"/>
        <v>0</v>
      </c>
      <c r="H22" s="15">
        <f t="shared" si="12"/>
        <v>0</v>
      </c>
      <c r="I22" s="15">
        <f t="shared" si="13"/>
        <v>0</v>
      </c>
      <c r="J22" s="15">
        <f t="shared" si="14"/>
        <v>0</v>
      </c>
      <c r="K22" s="17">
        <v>8</v>
      </c>
      <c r="L22" s="15">
        <f t="shared" si="17"/>
        <v>92</v>
      </c>
      <c r="M22" s="15" t="str">
        <f t="shared" si="15"/>
        <v>A</v>
      </c>
      <c r="N22" s="17" t="str">
        <f t="shared" si="18"/>
        <v>100% LTT</v>
      </c>
    </row>
    <row r="23" spans="1:14" ht="22.5" customHeight="1" x14ac:dyDescent="0.3">
      <c r="A23" s="180" t="s">
        <v>163</v>
      </c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  <c r="N23" s="180"/>
    </row>
    <row r="24" spans="1:14" ht="22.5" customHeight="1" x14ac:dyDescent="0.3">
      <c r="J24" s="185" t="s">
        <v>162</v>
      </c>
      <c r="K24" s="185"/>
      <c r="L24" s="185"/>
      <c r="M24" s="185"/>
      <c r="N24" s="185"/>
    </row>
    <row r="25" spans="1:14" ht="22.5" customHeight="1" x14ac:dyDescent="0.3">
      <c r="B25" s="178" t="s">
        <v>22</v>
      </c>
      <c r="C25" s="178"/>
      <c r="D25" s="178"/>
      <c r="L25" s="178" t="s">
        <v>25</v>
      </c>
      <c r="M25" s="178"/>
      <c r="N25" s="178"/>
    </row>
    <row r="26" spans="1:14" ht="22.5" customHeight="1" x14ac:dyDescent="0.3">
      <c r="L26" s="152"/>
      <c r="M26" s="152"/>
    </row>
    <row r="27" spans="1:14" ht="22.5" customHeight="1" x14ac:dyDescent="0.3">
      <c r="L27" s="152"/>
      <c r="M27" s="152"/>
    </row>
    <row r="28" spans="1:14" ht="22.5" customHeight="1" x14ac:dyDescent="0.3">
      <c r="L28" s="152"/>
      <c r="M28" s="152"/>
    </row>
    <row r="29" spans="1:14" ht="22.5" customHeight="1" x14ac:dyDescent="0.3">
      <c r="B29" s="178" t="s">
        <v>28</v>
      </c>
      <c r="C29" s="178"/>
      <c r="D29" s="178"/>
      <c r="L29" s="178" t="s">
        <v>27</v>
      </c>
      <c r="M29" s="178"/>
      <c r="N29" s="178"/>
    </row>
    <row r="30" spans="1:14" ht="22.5" customHeight="1" x14ac:dyDescent="0.3">
      <c r="C30" s="1"/>
      <c r="D30" s="1"/>
    </row>
  </sheetData>
  <mergeCells count="25">
    <mergeCell ref="B29:D29"/>
    <mergeCell ref="L29:N29"/>
    <mergeCell ref="A6:C6"/>
    <mergeCell ref="A11:C11"/>
    <mergeCell ref="A13:C13"/>
    <mergeCell ref="A23:N23"/>
    <mergeCell ref="J24:N24"/>
    <mergeCell ref="B25:D25"/>
    <mergeCell ref="L25:N25"/>
    <mergeCell ref="O4:O5"/>
    <mergeCell ref="A1:N1"/>
    <mergeCell ref="A2:N2"/>
    <mergeCell ref="A3:N3"/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L4:L5"/>
    <mergeCell ref="M4:M5"/>
    <mergeCell ref="N4:N5"/>
  </mergeCells>
  <pageMargins left="0.23" right="0.23" top="0.37" bottom="0.36" header="0.3" footer="0.3"/>
  <pageSetup paperSize="9" scale="75" orientation="landscape" verticalDpi="0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zoomScale="70" zoomScaleNormal="70" workbookViewId="0">
      <selection sqref="A1:XFD1048576"/>
    </sheetView>
  </sheetViews>
  <sheetFormatPr defaultColWidth="9.109375" defaultRowHeight="16.8" x14ac:dyDescent="0.3"/>
  <cols>
    <col min="1" max="1" width="6.109375" style="2" customWidth="1"/>
    <col min="2" max="2" width="27.5546875" style="1" customWidth="1"/>
    <col min="3" max="3" width="22" style="2" customWidth="1"/>
    <col min="4" max="6" width="11.33203125" style="2" customWidth="1"/>
    <col min="7" max="9" width="12.33203125" style="2" customWidth="1"/>
    <col min="10" max="10" width="12.44140625" style="2" customWidth="1"/>
    <col min="11" max="11" width="11.33203125" style="2" customWidth="1"/>
    <col min="12" max="12" width="12.109375" style="2" customWidth="1"/>
    <col min="13" max="13" width="9.44140625" style="2" customWidth="1"/>
    <col min="14" max="14" width="15" style="2" customWidth="1"/>
    <col min="15" max="15" width="53.88671875" style="2" customWidth="1"/>
    <col min="16" max="16384" width="9.109375" style="1"/>
  </cols>
  <sheetData>
    <row r="1" spans="1:15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5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</row>
    <row r="3" spans="1:15" ht="22.5" customHeight="1" x14ac:dyDescent="0.3">
      <c r="A3" s="179" t="s">
        <v>168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</row>
    <row r="4" spans="1:15" s="3" customFormat="1" ht="22.5" customHeight="1" x14ac:dyDescent="0.3">
      <c r="A4" s="180" t="s">
        <v>0</v>
      </c>
      <c r="B4" s="180" t="s">
        <v>1</v>
      </c>
      <c r="C4" s="180" t="s">
        <v>2</v>
      </c>
      <c r="D4" s="180" t="s">
        <v>23</v>
      </c>
      <c r="E4" s="180"/>
      <c r="F4" s="180"/>
      <c r="G4" s="181" t="s">
        <v>29</v>
      </c>
      <c r="H4" s="181" t="s">
        <v>30</v>
      </c>
      <c r="I4" s="181" t="s">
        <v>31</v>
      </c>
      <c r="J4" s="181" t="s">
        <v>96</v>
      </c>
      <c r="K4" s="181" t="s">
        <v>97</v>
      </c>
      <c r="L4" s="180" t="s">
        <v>6</v>
      </c>
      <c r="M4" s="180" t="s">
        <v>7</v>
      </c>
      <c r="N4" s="180" t="s">
        <v>8</v>
      </c>
      <c r="O4" s="183"/>
    </row>
    <row r="5" spans="1:15" s="3" customFormat="1" ht="49.8" customHeight="1" x14ac:dyDescent="0.3">
      <c r="A5" s="180"/>
      <c r="B5" s="180"/>
      <c r="C5" s="180"/>
      <c r="D5" s="155" t="s">
        <v>3</v>
      </c>
      <c r="E5" s="155" t="s">
        <v>4</v>
      </c>
      <c r="F5" s="155" t="s">
        <v>5</v>
      </c>
      <c r="G5" s="182"/>
      <c r="H5" s="182"/>
      <c r="I5" s="182"/>
      <c r="J5" s="182"/>
      <c r="K5" s="182"/>
      <c r="L5" s="180"/>
      <c r="M5" s="180"/>
      <c r="N5" s="180"/>
      <c r="O5" s="183"/>
    </row>
    <row r="6" spans="1:15" ht="19.5" customHeight="1" x14ac:dyDescent="0.3">
      <c r="A6" s="184" t="s">
        <v>15</v>
      </c>
      <c r="B6" s="184"/>
      <c r="C6" s="18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5" ht="19.5" customHeight="1" x14ac:dyDescent="0.3">
      <c r="A7" s="15">
        <v>1</v>
      </c>
      <c r="B7" s="16" t="s">
        <v>52</v>
      </c>
      <c r="C7" s="15" t="s">
        <v>19</v>
      </c>
      <c r="D7" s="15"/>
      <c r="E7" s="15"/>
      <c r="F7" s="15"/>
      <c r="G7" s="15">
        <f t="shared" ref="G7:H10" si="0">IF(D7&gt;5,(D7-5)*2,0)</f>
        <v>0</v>
      </c>
      <c r="H7" s="15">
        <f t="shared" si="0"/>
        <v>0</v>
      </c>
      <c r="I7" s="15">
        <f t="shared" ref="I7:I10" si="1">IF(F7&gt;2,(F7-2)*1,0)</f>
        <v>0</v>
      </c>
      <c r="J7" s="15">
        <f t="shared" ref="J7:J10" si="2">SUM(G7:I7)</f>
        <v>0</v>
      </c>
      <c r="K7" s="15"/>
      <c r="L7" s="15">
        <f t="shared" ref="L7:L10" si="3">100-J7-K7</f>
        <v>100</v>
      </c>
      <c r="M7" s="15" t="str">
        <f t="shared" ref="M7:M10" si="4">IF(L7&lt;71,"KL",IF(AND(L7&gt;=71,L7&lt;81),"C",IF(AND(L7&gt;=81,L7&lt;91),"B","A")))</f>
        <v>A</v>
      </c>
      <c r="N7" s="15" t="str">
        <f t="shared" ref="N7:N10" si="5">IF(M7="A","100% LTT",IF(M7="B","90% LTT",IF(M7="C","80% LTT","60% LTT")))</f>
        <v>100% LTT</v>
      </c>
      <c r="O7" s="34"/>
    </row>
    <row r="8" spans="1:15" ht="19.5" customHeight="1" x14ac:dyDescent="0.3">
      <c r="A8" s="15">
        <f t="shared" ref="A8:A10" si="6">A7+1</f>
        <v>2</v>
      </c>
      <c r="B8" s="16" t="s">
        <v>59</v>
      </c>
      <c r="C8" s="15" t="s">
        <v>19</v>
      </c>
      <c r="D8" s="15"/>
      <c r="E8" s="15"/>
      <c r="F8" s="15"/>
      <c r="G8" s="15">
        <f t="shared" si="0"/>
        <v>0</v>
      </c>
      <c r="H8" s="15">
        <f t="shared" si="0"/>
        <v>0</v>
      </c>
      <c r="I8" s="15">
        <f t="shared" si="1"/>
        <v>0</v>
      </c>
      <c r="J8" s="15">
        <f t="shared" si="2"/>
        <v>0</v>
      </c>
      <c r="K8" s="15"/>
      <c r="L8" s="15">
        <f t="shared" si="3"/>
        <v>100</v>
      </c>
      <c r="M8" s="15" t="str">
        <f t="shared" si="4"/>
        <v>A</v>
      </c>
      <c r="N8" s="15" t="str">
        <f t="shared" si="5"/>
        <v>100% LTT</v>
      </c>
      <c r="O8" s="35"/>
    </row>
    <row r="9" spans="1:15" ht="19.5" customHeight="1" x14ac:dyDescent="0.3">
      <c r="A9" s="15">
        <f t="shared" si="6"/>
        <v>3</v>
      </c>
      <c r="B9" s="16" t="s">
        <v>161</v>
      </c>
      <c r="C9" s="15" t="s">
        <v>19</v>
      </c>
      <c r="D9" s="15"/>
      <c r="E9" s="15"/>
      <c r="F9" s="15"/>
      <c r="G9" s="15">
        <f t="shared" si="0"/>
        <v>0</v>
      </c>
      <c r="H9" s="15">
        <f t="shared" si="0"/>
        <v>0</v>
      </c>
      <c r="I9" s="15">
        <f t="shared" si="1"/>
        <v>0</v>
      </c>
      <c r="J9" s="15">
        <f t="shared" si="2"/>
        <v>0</v>
      </c>
      <c r="K9" s="15"/>
      <c r="L9" s="15">
        <f t="shared" si="3"/>
        <v>100</v>
      </c>
      <c r="M9" s="15" t="str">
        <f t="shared" si="4"/>
        <v>A</v>
      </c>
      <c r="N9" s="15" t="str">
        <f t="shared" si="5"/>
        <v>100% LTT</v>
      </c>
      <c r="O9" s="35"/>
    </row>
    <row r="10" spans="1:15" ht="19.5" customHeight="1" x14ac:dyDescent="0.3">
      <c r="A10" s="15">
        <f t="shared" si="6"/>
        <v>4</v>
      </c>
      <c r="B10" s="18" t="s">
        <v>11</v>
      </c>
      <c r="C10" s="17" t="s">
        <v>51</v>
      </c>
      <c r="D10" s="17">
        <v>3</v>
      </c>
      <c r="E10" s="17"/>
      <c r="F10" s="17"/>
      <c r="G10" s="17">
        <f t="shared" si="0"/>
        <v>0</v>
      </c>
      <c r="H10" s="17">
        <f t="shared" si="0"/>
        <v>0</v>
      </c>
      <c r="I10" s="17">
        <f t="shared" si="1"/>
        <v>0</v>
      </c>
      <c r="J10" s="17">
        <f t="shared" si="2"/>
        <v>0</v>
      </c>
      <c r="K10" s="17">
        <v>1</v>
      </c>
      <c r="L10" s="15">
        <f t="shared" si="3"/>
        <v>99</v>
      </c>
      <c r="M10" s="17" t="str">
        <f t="shared" si="4"/>
        <v>A</v>
      </c>
      <c r="N10" s="17" t="str">
        <f t="shared" si="5"/>
        <v>100% LTT</v>
      </c>
      <c r="O10" s="35"/>
    </row>
    <row r="11" spans="1:15" ht="19.5" customHeight="1" x14ac:dyDescent="0.3">
      <c r="A11" s="184" t="s">
        <v>16</v>
      </c>
      <c r="B11" s="184"/>
      <c r="C11" s="18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5" ht="19.5" customHeight="1" x14ac:dyDescent="0.3">
      <c r="A12" s="17">
        <f>A10+1</f>
        <v>5</v>
      </c>
      <c r="B12" s="18" t="s">
        <v>28</v>
      </c>
      <c r="C12" s="17" t="s">
        <v>121</v>
      </c>
      <c r="D12" s="4"/>
      <c r="E12" s="17"/>
      <c r="F12" s="17"/>
      <c r="G12" s="17">
        <f t="shared" ref="G12:H12" si="7">IF(D12&gt;5,(D12-5)*2,0)</f>
        <v>0</v>
      </c>
      <c r="H12" s="17">
        <f t="shared" si="7"/>
        <v>0</v>
      </c>
      <c r="I12" s="17">
        <f t="shared" ref="I12" si="8">IF(F12&gt;2,(F12-2)*1,0)</f>
        <v>0</v>
      </c>
      <c r="J12" s="17">
        <f t="shared" ref="J12" si="9">SUM(G12:I12)</f>
        <v>0</v>
      </c>
      <c r="K12" s="17"/>
      <c r="L12" s="17">
        <f>100-J12-K12</f>
        <v>100</v>
      </c>
      <c r="M12" s="17" t="str">
        <f t="shared" ref="M12" si="10">IF(L12&lt;71,"KL",IF(AND(L12&gt;=71,L12&lt;81),"C",IF(AND(L12&gt;=81,L12&lt;91),"B","A")))</f>
        <v>A</v>
      </c>
      <c r="N12" s="17" t="str">
        <f t="shared" ref="N12" si="11">IF(M12="A","100% LTT",IF(M12="B","90% LTT",IF(M12="C","80% LTT","60% LTT")))</f>
        <v>100% LTT</v>
      </c>
    </row>
    <row r="13" spans="1:15" ht="19.5" customHeight="1" x14ac:dyDescent="0.3">
      <c r="A13" s="184" t="s">
        <v>17</v>
      </c>
      <c r="B13" s="184"/>
      <c r="C13" s="18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5" ht="19.5" customHeight="1" x14ac:dyDescent="0.3">
      <c r="A14" s="15">
        <f>A12+1</f>
        <v>6</v>
      </c>
      <c r="B14" s="16" t="s">
        <v>13</v>
      </c>
      <c r="C14" s="15" t="s">
        <v>101</v>
      </c>
      <c r="D14" s="15"/>
      <c r="E14" s="15"/>
      <c r="F14" s="15"/>
      <c r="G14" s="15">
        <f t="shared" ref="G14:H22" si="12">IF(D14&gt;5,(D14-5)*2,0)</f>
        <v>0</v>
      </c>
      <c r="H14" s="15">
        <f t="shared" si="12"/>
        <v>0</v>
      </c>
      <c r="I14" s="15">
        <f t="shared" ref="I14:I22" si="13">IF(F14&gt;2,(F14-2)*1,0)</f>
        <v>0</v>
      </c>
      <c r="J14" s="15">
        <f t="shared" ref="J14:J22" si="14">SUM(G14:I14)</f>
        <v>0</v>
      </c>
      <c r="K14" s="15"/>
      <c r="L14" s="15">
        <f>100-J14-K14</f>
        <v>100</v>
      </c>
      <c r="M14" s="15" t="str">
        <f t="shared" ref="M14:M22" si="15">IF(L14&lt;71,"KL",IF(AND(L14&gt;=71,L14&lt;81),"C",IF(AND(L14&gt;=81,L14&lt;91),"B","A")))</f>
        <v>A</v>
      </c>
      <c r="N14" s="17" t="str">
        <f>IF(M14="A","100% LTT",IF(M14="B","90% LTT",IF(M14="C","80% LTT","60% LTT")))</f>
        <v>100% LTT</v>
      </c>
    </row>
    <row r="15" spans="1:15" ht="19.5" customHeight="1" x14ac:dyDescent="0.3">
      <c r="A15" s="15">
        <f t="shared" ref="A15:A22" si="16">A14+1</f>
        <v>7</v>
      </c>
      <c r="B15" s="16" t="s">
        <v>14</v>
      </c>
      <c r="C15" s="15" t="s">
        <v>19</v>
      </c>
      <c r="D15" s="15">
        <v>4</v>
      </c>
      <c r="E15" s="15"/>
      <c r="F15" s="15"/>
      <c r="G15" s="15">
        <f t="shared" si="12"/>
        <v>0</v>
      </c>
      <c r="H15" s="15">
        <f t="shared" si="12"/>
        <v>0</v>
      </c>
      <c r="I15" s="15">
        <f t="shared" si="13"/>
        <v>0</v>
      </c>
      <c r="J15" s="15">
        <f t="shared" si="14"/>
        <v>0</v>
      </c>
      <c r="K15" s="15">
        <v>3</v>
      </c>
      <c r="L15" s="15">
        <f t="shared" ref="L15:L22" si="17">100-J15-K15</f>
        <v>97</v>
      </c>
      <c r="M15" s="15" t="str">
        <f t="shared" si="15"/>
        <v>A</v>
      </c>
      <c r="N15" s="15" t="str">
        <f t="shared" ref="N15:N22" si="18">IF(M15="A","100% LTT",IF(M15="B","90% LTT",IF(M15="C","80% LTT","60% LTT")))</f>
        <v>100% LTT</v>
      </c>
    </row>
    <row r="16" spans="1:15" ht="19.5" customHeight="1" x14ac:dyDescent="0.3">
      <c r="A16" s="15">
        <f t="shared" si="16"/>
        <v>8</v>
      </c>
      <c r="B16" s="16" t="s">
        <v>40</v>
      </c>
      <c r="C16" s="15" t="s">
        <v>19</v>
      </c>
      <c r="D16" s="15"/>
      <c r="E16" s="15"/>
      <c r="F16" s="15"/>
      <c r="G16" s="15">
        <f t="shared" si="12"/>
        <v>0</v>
      </c>
      <c r="H16" s="15">
        <f t="shared" si="12"/>
        <v>0</v>
      </c>
      <c r="I16" s="15">
        <f t="shared" si="13"/>
        <v>0</v>
      </c>
      <c r="J16" s="15">
        <f t="shared" si="14"/>
        <v>0</v>
      </c>
      <c r="K16" s="15">
        <v>6</v>
      </c>
      <c r="L16" s="15">
        <f>100-J16-K16</f>
        <v>94</v>
      </c>
      <c r="M16" s="15" t="str">
        <f t="shared" si="15"/>
        <v>A</v>
      </c>
      <c r="N16" s="15" t="str">
        <f t="shared" si="18"/>
        <v>100% LTT</v>
      </c>
    </row>
    <row r="17" spans="1:14" ht="19.5" customHeight="1" x14ac:dyDescent="0.3">
      <c r="A17" s="15">
        <f t="shared" si="16"/>
        <v>9</v>
      </c>
      <c r="B17" s="16" t="s">
        <v>130</v>
      </c>
      <c r="C17" s="15" t="s">
        <v>131</v>
      </c>
      <c r="D17" s="15"/>
      <c r="E17" s="15"/>
      <c r="F17" s="15"/>
      <c r="G17" s="15">
        <f t="shared" si="12"/>
        <v>0</v>
      </c>
      <c r="H17" s="15">
        <f t="shared" si="12"/>
        <v>0</v>
      </c>
      <c r="I17" s="15">
        <f t="shared" si="13"/>
        <v>0</v>
      </c>
      <c r="J17" s="15">
        <f t="shared" si="14"/>
        <v>0</v>
      </c>
      <c r="K17" s="15">
        <v>5</v>
      </c>
      <c r="L17" s="15">
        <f t="shared" ref="L17:L18" si="19">100-J17-K17</f>
        <v>95</v>
      </c>
      <c r="M17" s="15" t="str">
        <f t="shared" si="15"/>
        <v>A</v>
      </c>
      <c r="N17" s="15" t="str">
        <f t="shared" si="18"/>
        <v>100% LTT</v>
      </c>
    </row>
    <row r="18" spans="1:14" ht="19.5" customHeight="1" x14ac:dyDescent="0.3">
      <c r="A18" s="15">
        <f t="shared" si="16"/>
        <v>10</v>
      </c>
      <c r="B18" s="16" t="s">
        <v>98</v>
      </c>
      <c r="C18" s="15" t="s">
        <v>102</v>
      </c>
      <c r="D18" s="15"/>
      <c r="E18" s="15"/>
      <c r="F18" s="15"/>
      <c r="G18" s="15">
        <f t="shared" si="12"/>
        <v>0</v>
      </c>
      <c r="H18" s="15">
        <f t="shared" si="12"/>
        <v>0</v>
      </c>
      <c r="I18" s="15">
        <f t="shared" si="13"/>
        <v>0</v>
      </c>
      <c r="J18" s="15">
        <f t="shared" si="14"/>
        <v>0</v>
      </c>
      <c r="K18" s="15">
        <v>8</v>
      </c>
      <c r="L18" s="15">
        <f t="shared" si="19"/>
        <v>92</v>
      </c>
      <c r="M18" s="15" t="str">
        <f t="shared" si="15"/>
        <v>A</v>
      </c>
      <c r="N18" s="15" t="str">
        <f t="shared" si="18"/>
        <v>100% LTT</v>
      </c>
    </row>
    <row r="19" spans="1:14" ht="19.5" customHeight="1" x14ac:dyDescent="0.3">
      <c r="A19" s="15">
        <f t="shared" si="16"/>
        <v>11</v>
      </c>
      <c r="B19" s="16" t="s">
        <v>99</v>
      </c>
      <c r="C19" s="15" t="s">
        <v>102</v>
      </c>
      <c r="D19" s="15"/>
      <c r="E19" s="15"/>
      <c r="F19" s="15"/>
      <c r="G19" s="15">
        <f t="shared" si="12"/>
        <v>0</v>
      </c>
      <c r="H19" s="15">
        <f t="shared" si="12"/>
        <v>0</v>
      </c>
      <c r="I19" s="15">
        <f t="shared" si="13"/>
        <v>0</v>
      </c>
      <c r="J19" s="15">
        <f t="shared" si="14"/>
        <v>0</v>
      </c>
      <c r="K19" s="15">
        <v>6</v>
      </c>
      <c r="L19" s="15">
        <f t="shared" si="17"/>
        <v>94</v>
      </c>
      <c r="M19" s="15" t="str">
        <f t="shared" si="15"/>
        <v>A</v>
      </c>
      <c r="N19" s="15" t="str">
        <f t="shared" si="18"/>
        <v>100% LTT</v>
      </c>
    </row>
    <row r="20" spans="1:14" ht="19.5" customHeight="1" x14ac:dyDescent="0.3">
      <c r="A20" s="15">
        <f t="shared" si="16"/>
        <v>12</v>
      </c>
      <c r="B20" s="16" t="s">
        <v>152</v>
      </c>
      <c r="C20" s="15" t="s">
        <v>153</v>
      </c>
      <c r="D20" s="15"/>
      <c r="E20" s="15"/>
      <c r="F20" s="15"/>
      <c r="G20" s="15">
        <f t="shared" si="12"/>
        <v>0</v>
      </c>
      <c r="H20" s="15">
        <f t="shared" si="12"/>
        <v>0</v>
      </c>
      <c r="I20" s="15">
        <f t="shared" si="13"/>
        <v>0</v>
      </c>
      <c r="J20" s="15">
        <f t="shared" si="14"/>
        <v>0</v>
      </c>
      <c r="K20" s="15">
        <v>8</v>
      </c>
      <c r="L20" s="15">
        <f t="shared" si="17"/>
        <v>92</v>
      </c>
      <c r="M20" s="15" t="str">
        <f t="shared" si="15"/>
        <v>A</v>
      </c>
      <c r="N20" s="15" t="str">
        <f t="shared" si="18"/>
        <v>100% LTT</v>
      </c>
    </row>
    <row r="21" spans="1:14" ht="19.5" customHeight="1" x14ac:dyDescent="0.3">
      <c r="A21" s="15">
        <f t="shared" si="16"/>
        <v>13</v>
      </c>
      <c r="B21" s="16" t="s">
        <v>100</v>
      </c>
      <c r="C21" s="15" t="s">
        <v>102</v>
      </c>
      <c r="D21" s="15"/>
      <c r="E21" s="15"/>
      <c r="F21" s="15"/>
      <c r="G21" s="15">
        <f t="shared" si="12"/>
        <v>0</v>
      </c>
      <c r="H21" s="15">
        <f t="shared" si="12"/>
        <v>0</v>
      </c>
      <c r="I21" s="15">
        <f t="shared" si="13"/>
        <v>0</v>
      </c>
      <c r="J21" s="15">
        <f t="shared" si="14"/>
        <v>0</v>
      </c>
      <c r="K21" s="15">
        <v>5</v>
      </c>
      <c r="L21" s="15">
        <f t="shared" si="17"/>
        <v>95</v>
      </c>
      <c r="M21" s="15" t="str">
        <f t="shared" si="15"/>
        <v>A</v>
      </c>
      <c r="N21" s="15" t="str">
        <f t="shared" si="18"/>
        <v>100% LTT</v>
      </c>
    </row>
    <row r="22" spans="1:14" ht="19.5" customHeight="1" x14ac:dyDescent="0.3">
      <c r="A22" s="15">
        <f t="shared" si="16"/>
        <v>14</v>
      </c>
      <c r="B22" s="18" t="s">
        <v>116</v>
      </c>
      <c r="C22" s="17" t="s">
        <v>107</v>
      </c>
      <c r="D22" s="17"/>
      <c r="E22" s="17"/>
      <c r="F22" s="17"/>
      <c r="G22" s="15">
        <f t="shared" si="12"/>
        <v>0</v>
      </c>
      <c r="H22" s="15">
        <f t="shared" si="12"/>
        <v>0</v>
      </c>
      <c r="I22" s="15">
        <f t="shared" si="13"/>
        <v>0</v>
      </c>
      <c r="J22" s="15">
        <f t="shared" si="14"/>
        <v>0</v>
      </c>
      <c r="K22" s="17">
        <v>8</v>
      </c>
      <c r="L22" s="15">
        <f t="shared" si="17"/>
        <v>92</v>
      </c>
      <c r="M22" s="15" t="str">
        <f t="shared" si="15"/>
        <v>A</v>
      </c>
      <c r="N22" s="17" t="str">
        <f t="shared" si="18"/>
        <v>100% LTT</v>
      </c>
    </row>
    <row r="23" spans="1:14" ht="22.5" customHeight="1" x14ac:dyDescent="0.3">
      <c r="A23" s="180" t="s">
        <v>163</v>
      </c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  <c r="N23" s="180"/>
    </row>
    <row r="24" spans="1:14" ht="22.5" customHeight="1" x14ac:dyDescent="0.3">
      <c r="J24" s="185" t="s">
        <v>162</v>
      </c>
      <c r="K24" s="185"/>
      <c r="L24" s="185"/>
      <c r="M24" s="185"/>
      <c r="N24" s="185"/>
    </row>
    <row r="25" spans="1:14" ht="22.5" customHeight="1" x14ac:dyDescent="0.3">
      <c r="B25" s="178" t="s">
        <v>22</v>
      </c>
      <c r="C25" s="178"/>
      <c r="D25" s="178"/>
      <c r="L25" s="178" t="s">
        <v>25</v>
      </c>
      <c r="M25" s="178"/>
      <c r="N25" s="178"/>
    </row>
    <row r="26" spans="1:14" ht="22.5" customHeight="1" x14ac:dyDescent="0.3">
      <c r="L26" s="154"/>
      <c r="M26" s="154"/>
    </row>
    <row r="27" spans="1:14" ht="22.5" customHeight="1" x14ac:dyDescent="0.3">
      <c r="L27" s="154"/>
      <c r="M27" s="154"/>
    </row>
    <row r="28" spans="1:14" ht="22.5" customHeight="1" x14ac:dyDescent="0.3">
      <c r="L28" s="154"/>
      <c r="M28" s="154"/>
    </row>
    <row r="29" spans="1:14" ht="22.5" customHeight="1" x14ac:dyDescent="0.3">
      <c r="B29" s="178" t="s">
        <v>28</v>
      </c>
      <c r="C29" s="178"/>
      <c r="D29" s="178"/>
      <c r="L29" s="178" t="s">
        <v>27</v>
      </c>
      <c r="M29" s="178"/>
      <c r="N29" s="178"/>
    </row>
    <row r="30" spans="1:14" ht="22.5" customHeight="1" x14ac:dyDescent="0.3">
      <c r="C30" s="1"/>
      <c r="D30" s="1"/>
    </row>
  </sheetData>
  <mergeCells count="25">
    <mergeCell ref="B29:D29"/>
    <mergeCell ref="L29:N29"/>
    <mergeCell ref="A6:C6"/>
    <mergeCell ref="A11:C11"/>
    <mergeCell ref="A13:C13"/>
    <mergeCell ref="A23:N23"/>
    <mergeCell ref="J24:N24"/>
    <mergeCell ref="B25:D25"/>
    <mergeCell ref="L25:N25"/>
    <mergeCell ref="O4:O5"/>
    <mergeCell ref="A1:N1"/>
    <mergeCell ref="A2:N2"/>
    <mergeCell ref="A3:N3"/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L4:L5"/>
    <mergeCell ref="M4:M5"/>
    <mergeCell ref="N4:N5"/>
  </mergeCells>
  <pageMargins left="0.35" right="0.23" top="0.36" bottom="0.33" header="0.3" footer="0.3"/>
  <pageSetup paperSize="9" scale="75" orientation="landscape" verticalDpi="0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zoomScale="80" zoomScaleNormal="80" workbookViewId="0">
      <selection sqref="A1:XFD1048576"/>
    </sheetView>
  </sheetViews>
  <sheetFormatPr defaultColWidth="9.109375" defaultRowHeight="16.8" x14ac:dyDescent="0.3"/>
  <cols>
    <col min="1" max="1" width="6.109375" style="2" customWidth="1"/>
    <col min="2" max="2" width="27.5546875" style="1" customWidth="1"/>
    <col min="3" max="3" width="22" style="2" customWidth="1"/>
    <col min="4" max="6" width="11.33203125" style="2" customWidth="1"/>
    <col min="7" max="9" width="12.33203125" style="2" customWidth="1"/>
    <col min="10" max="10" width="12.44140625" style="2" customWidth="1"/>
    <col min="11" max="11" width="11.33203125" style="2" customWidth="1"/>
    <col min="12" max="12" width="12.109375" style="2" customWidth="1"/>
    <col min="13" max="13" width="9.44140625" style="2" customWidth="1"/>
    <col min="14" max="14" width="15" style="2" customWidth="1"/>
    <col min="15" max="15" width="53.88671875" style="2" customWidth="1"/>
    <col min="16" max="16384" width="9.109375" style="1"/>
  </cols>
  <sheetData>
    <row r="1" spans="1:15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5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</row>
    <row r="3" spans="1:15" ht="22.5" customHeight="1" x14ac:dyDescent="0.3">
      <c r="A3" s="179" t="s">
        <v>169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</row>
    <row r="4" spans="1:15" s="3" customFormat="1" ht="22.5" customHeight="1" x14ac:dyDescent="0.3">
      <c r="A4" s="180" t="s">
        <v>0</v>
      </c>
      <c r="B4" s="180" t="s">
        <v>1</v>
      </c>
      <c r="C4" s="180" t="s">
        <v>2</v>
      </c>
      <c r="D4" s="180" t="s">
        <v>23</v>
      </c>
      <c r="E4" s="180"/>
      <c r="F4" s="180"/>
      <c r="G4" s="181" t="s">
        <v>29</v>
      </c>
      <c r="H4" s="181" t="s">
        <v>30</v>
      </c>
      <c r="I4" s="181" t="s">
        <v>31</v>
      </c>
      <c r="J4" s="181" t="s">
        <v>96</v>
      </c>
      <c r="K4" s="181" t="s">
        <v>97</v>
      </c>
      <c r="L4" s="180" t="s">
        <v>6</v>
      </c>
      <c r="M4" s="180" t="s">
        <v>7</v>
      </c>
      <c r="N4" s="180" t="s">
        <v>8</v>
      </c>
      <c r="O4" s="183"/>
    </row>
    <row r="5" spans="1:15" s="3" customFormat="1" ht="49.8" customHeight="1" x14ac:dyDescent="0.3">
      <c r="A5" s="180"/>
      <c r="B5" s="180"/>
      <c r="C5" s="180"/>
      <c r="D5" s="157" t="s">
        <v>3</v>
      </c>
      <c r="E5" s="157" t="s">
        <v>4</v>
      </c>
      <c r="F5" s="157" t="s">
        <v>5</v>
      </c>
      <c r="G5" s="182"/>
      <c r="H5" s="182"/>
      <c r="I5" s="182"/>
      <c r="J5" s="182"/>
      <c r="K5" s="182"/>
      <c r="L5" s="180"/>
      <c r="M5" s="180"/>
      <c r="N5" s="180"/>
      <c r="O5" s="183"/>
    </row>
    <row r="6" spans="1:15" ht="19.5" customHeight="1" x14ac:dyDescent="0.3">
      <c r="A6" s="184" t="s">
        <v>15</v>
      </c>
      <c r="B6" s="184"/>
      <c r="C6" s="18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5" ht="19.5" customHeight="1" x14ac:dyDescent="0.3">
      <c r="A7" s="15">
        <v>1</v>
      </c>
      <c r="B7" s="16" t="s">
        <v>52</v>
      </c>
      <c r="C7" s="15" t="s">
        <v>19</v>
      </c>
      <c r="D7" s="15"/>
      <c r="E7" s="15"/>
      <c r="F7" s="15"/>
      <c r="G7" s="15">
        <f t="shared" ref="G7:H10" si="0">IF(D7&gt;5,(D7-5)*2,0)</f>
        <v>0</v>
      </c>
      <c r="H7" s="15">
        <f t="shared" si="0"/>
        <v>0</v>
      </c>
      <c r="I7" s="15">
        <f t="shared" ref="I7:I10" si="1">IF(F7&gt;2,(F7-2)*1,0)</f>
        <v>0</v>
      </c>
      <c r="J7" s="15">
        <f t="shared" ref="J7:J10" si="2">SUM(G7:I7)</f>
        <v>0</v>
      </c>
      <c r="K7" s="15"/>
      <c r="L7" s="15">
        <f t="shared" ref="L7:L10" si="3">100-J7-K7</f>
        <v>100</v>
      </c>
      <c r="M7" s="15" t="str">
        <f t="shared" ref="M7:M10" si="4">IF(L7&lt;71,"KL",IF(AND(L7&gt;=71,L7&lt;81),"C",IF(AND(L7&gt;=81,L7&lt;91),"B","A")))</f>
        <v>A</v>
      </c>
      <c r="N7" s="15" t="str">
        <f t="shared" ref="N7:N10" si="5">IF(M7="A","100% LTT",IF(M7="B","90% LTT",IF(M7="C","80% LTT","60% LTT")))</f>
        <v>100% LTT</v>
      </c>
      <c r="O7" s="34"/>
    </row>
    <row r="8" spans="1:15" ht="19.5" customHeight="1" x14ac:dyDescent="0.3">
      <c r="A8" s="15">
        <f t="shared" ref="A8:A10" si="6">A7+1</f>
        <v>2</v>
      </c>
      <c r="B8" s="16" t="s">
        <v>59</v>
      </c>
      <c r="C8" s="15" t="s">
        <v>19</v>
      </c>
      <c r="D8" s="15"/>
      <c r="E8" s="15"/>
      <c r="F8" s="15"/>
      <c r="G8" s="15">
        <f t="shared" si="0"/>
        <v>0</v>
      </c>
      <c r="H8" s="15">
        <f t="shared" si="0"/>
        <v>0</v>
      </c>
      <c r="I8" s="15">
        <f t="shared" si="1"/>
        <v>0</v>
      </c>
      <c r="J8" s="15">
        <f t="shared" si="2"/>
        <v>0</v>
      </c>
      <c r="K8" s="15"/>
      <c r="L8" s="15">
        <f t="shared" si="3"/>
        <v>100</v>
      </c>
      <c r="M8" s="15" t="str">
        <f t="shared" si="4"/>
        <v>A</v>
      </c>
      <c r="N8" s="15" t="str">
        <f t="shared" si="5"/>
        <v>100% LTT</v>
      </c>
      <c r="O8" s="35"/>
    </row>
    <row r="9" spans="1:15" ht="19.5" customHeight="1" x14ac:dyDescent="0.3">
      <c r="A9" s="15">
        <f t="shared" si="6"/>
        <v>3</v>
      </c>
      <c r="B9" s="16" t="s">
        <v>161</v>
      </c>
      <c r="C9" s="15" t="s">
        <v>19</v>
      </c>
      <c r="D9" s="15"/>
      <c r="E9" s="15"/>
      <c r="F9" s="15"/>
      <c r="G9" s="15">
        <f t="shared" si="0"/>
        <v>0</v>
      </c>
      <c r="H9" s="15">
        <f t="shared" si="0"/>
        <v>0</v>
      </c>
      <c r="I9" s="15">
        <f t="shared" si="1"/>
        <v>0</v>
      </c>
      <c r="J9" s="15">
        <f t="shared" si="2"/>
        <v>0</v>
      </c>
      <c r="K9" s="15"/>
      <c r="L9" s="15">
        <f t="shared" si="3"/>
        <v>100</v>
      </c>
      <c r="M9" s="15" t="str">
        <f t="shared" si="4"/>
        <v>A</v>
      </c>
      <c r="N9" s="15" t="str">
        <f t="shared" si="5"/>
        <v>100% LTT</v>
      </c>
      <c r="O9" s="35"/>
    </row>
    <row r="10" spans="1:15" ht="19.5" customHeight="1" x14ac:dyDescent="0.3">
      <c r="A10" s="15">
        <f t="shared" si="6"/>
        <v>4</v>
      </c>
      <c r="B10" s="18" t="s">
        <v>11</v>
      </c>
      <c r="C10" s="17" t="s">
        <v>51</v>
      </c>
      <c r="D10" s="17">
        <v>3</v>
      </c>
      <c r="E10" s="17"/>
      <c r="F10" s="17">
        <v>2</v>
      </c>
      <c r="G10" s="17">
        <f t="shared" si="0"/>
        <v>0</v>
      </c>
      <c r="H10" s="17">
        <f t="shared" si="0"/>
        <v>0</v>
      </c>
      <c r="I10" s="17">
        <f t="shared" si="1"/>
        <v>0</v>
      </c>
      <c r="J10" s="17">
        <f t="shared" si="2"/>
        <v>0</v>
      </c>
      <c r="K10" s="17">
        <v>1</v>
      </c>
      <c r="L10" s="15">
        <f t="shared" si="3"/>
        <v>99</v>
      </c>
      <c r="M10" s="17" t="str">
        <f t="shared" si="4"/>
        <v>A</v>
      </c>
      <c r="N10" s="17" t="str">
        <f t="shared" si="5"/>
        <v>100% LTT</v>
      </c>
      <c r="O10" s="35"/>
    </row>
    <row r="11" spans="1:15" ht="19.5" customHeight="1" x14ac:dyDescent="0.3">
      <c r="A11" s="184" t="s">
        <v>16</v>
      </c>
      <c r="B11" s="184"/>
      <c r="C11" s="18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5" ht="19.5" customHeight="1" x14ac:dyDescent="0.3">
      <c r="A12" s="17">
        <f>A10+1</f>
        <v>5</v>
      </c>
      <c r="B12" s="18" t="s">
        <v>28</v>
      </c>
      <c r="C12" s="17" t="s">
        <v>121</v>
      </c>
      <c r="D12" s="4"/>
      <c r="E12" s="17"/>
      <c r="F12" s="17">
        <v>2</v>
      </c>
      <c r="G12" s="17">
        <f t="shared" ref="G12:H12" si="7">IF(D12&gt;5,(D12-5)*2,0)</f>
        <v>0</v>
      </c>
      <c r="H12" s="17">
        <f t="shared" si="7"/>
        <v>0</v>
      </c>
      <c r="I12" s="17">
        <f t="shared" ref="I12" si="8">IF(F12&gt;2,(F12-2)*1,0)</f>
        <v>0</v>
      </c>
      <c r="J12" s="17">
        <f t="shared" ref="J12" si="9">SUM(G12:I12)</f>
        <v>0</v>
      </c>
      <c r="K12" s="17"/>
      <c r="L12" s="17">
        <f>100-J12-K12</f>
        <v>100</v>
      </c>
      <c r="M12" s="17" t="str">
        <f t="shared" ref="M12" si="10">IF(L12&lt;71,"KL",IF(AND(L12&gt;=71,L12&lt;81),"C",IF(AND(L12&gt;=81,L12&lt;91),"B","A")))</f>
        <v>A</v>
      </c>
      <c r="N12" s="17" t="str">
        <f t="shared" ref="N12" si="11">IF(M12="A","100% LTT",IF(M12="B","90% LTT",IF(M12="C","80% LTT","60% LTT")))</f>
        <v>100% LTT</v>
      </c>
    </row>
    <row r="13" spans="1:15" ht="19.5" customHeight="1" x14ac:dyDescent="0.3">
      <c r="A13" s="184" t="s">
        <v>17</v>
      </c>
      <c r="B13" s="184"/>
      <c r="C13" s="18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5" ht="19.5" customHeight="1" x14ac:dyDescent="0.3">
      <c r="A14" s="15">
        <f>A12+1</f>
        <v>6</v>
      </c>
      <c r="B14" s="16" t="s">
        <v>13</v>
      </c>
      <c r="C14" s="15" t="s">
        <v>101</v>
      </c>
      <c r="D14" s="15"/>
      <c r="E14" s="15"/>
      <c r="F14" s="15"/>
      <c r="G14" s="15">
        <f t="shared" ref="G14:H22" si="12">IF(D14&gt;5,(D14-5)*2,0)</f>
        <v>0</v>
      </c>
      <c r="H14" s="15">
        <f t="shared" si="12"/>
        <v>0</v>
      </c>
      <c r="I14" s="15">
        <f t="shared" ref="I14:I22" si="13">IF(F14&gt;2,(F14-2)*1,0)</f>
        <v>0</v>
      </c>
      <c r="J14" s="15">
        <f t="shared" ref="J14:J22" si="14">SUM(G14:I14)</f>
        <v>0</v>
      </c>
      <c r="K14" s="15"/>
      <c r="L14" s="15">
        <f>100-J14-K14</f>
        <v>100</v>
      </c>
      <c r="M14" s="15" t="str">
        <f t="shared" ref="M14:M22" si="15">IF(L14&lt;71,"KL",IF(AND(L14&gt;=71,L14&lt;81),"C",IF(AND(L14&gt;=81,L14&lt;91),"B","A")))</f>
        <v>A</v>
      </c>
      <c r="N14" s="17" t="str">
        <f>IF(M14="A","100% LTT",IF(M14="B","90% LTT",IF(M14="C","80% LTT","60% LTT")))</f>
        <v>100% LTT</v>
      </c>
    </row>
    <row r="15" spans="1:15" ht="19.5" customHeight="1" x14ac:dyDescent="0.3">
      <c r="A15" s="15">
        <f t="shared" ref="A15:A22" si="16">A14+1</f>
        <v>7</v>
      </c>
      <c r="B15" s="16" t="s">
        <v>14</v>
      </c>
      <c r="C15" s="15" t="s">
        <v>19</v>
      </c>
      <c r="D15" s="15">
        <v>2</v>
      </c>
      <c r="E15" s="15"/>
      <c r="F15" s="15">
        <v>1</v>
      </c>
      <c r="G15" s="15">
        <f t="shared" si="12"/>
        <v>0</v>
      </c>
      <c r="H15" s="15">
        <f t="shared" si="12"/>
        <v>0</v>
      </c>
      <c r="I15" s="15">
        <f t="shared" si="13"/>
        <v>0</v>
      </c>
      <c r="J15" s="15">
        <f t="shared" si="14"/>
        <v>0</v>
      </c>
      <c r="K15" s="15">
        <v>4</v>
      </c>
      <c r="L15" s="15">
        <f t="shared" ref="L15:L22" si="17">100-J15-K15</f>
        <v>96</v>
      </c>
      <c r="M15" s="15" t="str">
        <f t="shared" si="15"/>
        <v>A</v>
      </c>
      <c r="N15" s="15" t="str">
        <f t="shared" ref="N15:N22" si="18">IF(M15="A","100% LTT",IF(M15="B","90% LTT",IF(M15="C","80% LTT","60% LTT")))</f>
        <v>100% LTT</v>
      </c>
    </row>
    <row r="16" spans="1:15" ht="19.5" customHeight="1" x14ac:dyDescent="0.3">
      <c r="A16" s="15">
        <f t="shared" si="16"/>
        <v>8</v>
      </c>
      <c r="B16" s="16" t="s">
        <v>40</v>
      </c>
      <c r="C16" s="15" t="s">
        <v>19</v>
      </c>
      <c r="D16" s="15"/>
      <c r="E16" s="15"/>
      <c r="F16" s="15"/>
      <c r="G16" s="15">
        <f t="shared" si="12"/>
        <v>0</v>
      </c>
      <c r="H16" s="15">
        <f t="shared" si="12"/>
        <v>0</v>
      </c>
      <c r="I16" s="15">
        <f t="shared" si="13"/>
        <v>0</v>
      </c>
      <c r="J16" s="15">
        <f t="shared" si="14"/>
        <v>0</v>
      </c>
      <c r="K16" s="15">
        <v>4</v>
      </c>
      <c r="L16" s="15">
        <f>100-J16-K16</f>
        <v>96</v>
      </c>
      <c r="M16" s="15" t="str">
        <f t="shared" si="15"/>
        <v>A</v>
      </c>
      <c r="N16" s="15" t="str">
        <f t="shared" si="18"/>
        <v>100% LTT</v>
      </c>
    </row>
    <row r="17" spans="1:14" ht="19.5" customHeight="1" x14ac:dyDescent="0.3">
      <c r="A17" s="15">
        <f t="shared" si="16"/>
        <v>9</v>
      </c>
      <c r="B17" s="16" t="s">
        <v>130</v>
      </c>
      <c r="C17" s="15" t="s">
        <v>131</v>
      </c>
      <c r="D17" s="15"/>
      <c r="E17" s="15"/>
      <c r="F17" s="15"/>
      <c r="G17" s="15">
        <f t="shared" si="12"/>
        <v>0</v>
      </c>
      <c r="H17" s="15">
        <f t="shared" si="12"/>
        <v>0</v>
      </c>
      <c r="I17" s="15">
        <f t="shared" si="13"/>
        <v>0</v>
      </c>
      <c r="J17" s="15">
        <f t="shared" si="14"/>
        <v>0</v>
      </c>
      <c r="K17" s="15">
        <v>5</v>
      </c>
      <c r="L17" s="15">
        <f t="shared" ref="L17:L18" si="19">100-J17-K17</f>
        <v>95</v>
      </c>
      <c r="M17" s="15" t="str">
        <f t="shared" si="15"/>
        <v>A</v>
      </c>
      <c r="N17" s="15" t="str">
        <f t="shared" si="18"/>
        <v>100% LTT</v>
      </c>
    </row>
    <row r="18" spans="1:14" ht="19.5" customHeight="1" x14ac:dyDescent="0.3">
      <c r="A18" s="15">
        <f t="shared" si="16"/>
        <v>10</v>
      </c>
      <c r="B18" s="16" t="s">
        <v>98</v>
      </c>
      <c r="C18" s="15" t="s">
        <v>102</v>
      </c>
      <c r="D18" s="15"/>
      <c r="E18" s="15"/>
      <c r="F18" s="15"/>
      <c r="G18" s="15">
        <f t="shared" si="12"/>
        <v>0</v>
      </c>
      <c r="H18" s="15">
        <f t="shared" si="12"/>
        <v>0</v>
      </c>
      <c r="I18" s="15">
        <f t="shared" si="13"/>
        <v>0</v>
      </c>
      <c r="J18" s="15">
        <f t="shared" si="14"/>
        <v>0</v>
      </c>
      <c r="K18" s="15">
        <v>8</v>
      </c>
      <c r="L18" s="15">
        <f t="shared" si="19"/>
        <v>92</v>
      </c>
      <c r="M18" s="15" t="str">
        <f t="shared" si="15"/>
        <v>A</v>
      </c>
      <c r="N18" s="15" t="str">
        <f t="shared" si="18"/>
        <v>100% LTT</v>
      </c>
    </row>
    <row r="19" spans="1:14" ht="19.5" customHeight="1" x14ac:dyDescent="0.3">
      <c r="A19" s="15">
        <f t="shared" si="16"/>
        <v>11</v>
      </c>
      <c r="B19" s="16" t="s">
        <v>99</v>
      </c>
      <c r="C19" s="15" t="s">
        <v>102</v>
      </c>
      <c r="D19" s="15"/>
      <c r="E19" s="15"/>
      <c r="F19" s="15"/>
      <c r="G19" s="15">
        <f t="shared" si="12"/>
        <v>0</v>
      </c>
      <c r="H19" s="15">
        <f t="shared" si="12"/>
        <v>0</v>
      </c>
      <c r="I19" s="15">
        <f t="shared" si="13"/>
        <v>0</v>
      </c>
      <c r="J19" s="15">
        <f t="shared" si="14"/>
        <v>0</v>
      </c>
      <c r="K19" s="15">
        <v>5</v>
      </c>
      <c r="L19" s="15">
        <f t="shared" si="17"/>
        <v>95</v>
      </c>
      <c r="M19" s="15" t="str">
        <f t="shared" si="15"/>
        <v>A</v>
      </c>
      <c r="N19" s="15" t="str">
        <f t="shared" si="18"/>
        <v>100% LTT</v>
      </c>
    </row>
    <row r="20" spans="1:14" ht="19.5" customHeight="1" x14ac:dyDescent="0.3">
      <c r="A20" s="15">
        <f t="shared" si="16"/>
        <v>12</v>
      </c>
      <c r="B20" s="16" t="s">
        <v>152</v>
      </c>
      <c r="C20" s="15" t="s">
        <v>153</v>
      </c>
      <c r="D20" s="15"/>
      <c r="E20" s="15"/>
      <c r="F20" s="15"/>
      <c r="G20" s="15">
        <f t="shared" si="12"/>
        <v>0</v>
      </c>
      <c r="H20" s="15">
        <f t="shared" si="12"/>
        <v>0</v>
      </c>
      <c r="I20" s="15">
        <f t="shared" si="13"/>
        <v>0</v>
      </c>
      <c r="J20" s="15">
        <f t="shared" si="14"/>
        <v>0</v>
      </c>
      <c r="K20" s="15">
        <v>8</v>
      </c>
      <c r="L20" s="15">
        <f t="shared" si="17"/>
        <v>92</v>
      </c>
      <c r="M20" s="15" t="str">
        <f t="shared" si="15"/>
        <v>A</v>
      </c>
      <c r="N20" s="15" t="str">
        <f t="shared" si="18"/>
        <v>100% LTT</v>
      </c>
    </row>
    <row r="21" spans="1:14" ht="19.5" customHeight="1" x14ac:dyDescent="0.3">
      <c r="A21" s="15">
        <f t="shared" si="16"/>
        <v>13</v>
      </c>
      <c r="B21" s="16" t="s">
        <v>100</v>
      </c>
      <c r="C21" s="15" t="s">
        <v>102</v>
      </c>
      <c r="D21" s="15"/>
      <c r="E21" s="15"/>
      <c r="F21" s="15"/>
      <c r="G21" s="15">
        <f t="shared" si="12"/>
        <v>0</v>
      </c>
      <c r="H21" s="15">
        <f t="shared" si="12"/>
        <v>0</v>
      </c>
      <c r="I21" s="15">
        <f t="shared" si="13"/>
        <v>0</v>
      </c>
      <c r="J21" s="15">
        <f t="shared" si="14"/>
        <v>0</v>
      </c>
      <c r="K21" s="15">
        <v>5</v>
      </c>
      <c r="L21" s="15">
        <f t="shared" si="17"/>
        <v>95</v>
      </c>
      <c r="M21" s="15" t="str">
        <f t="shared" si="15"/>
        <v>A</v>
      </c>
      <c r="N21" s="15" t="str">
        <f t="shared" si="18"/>
        <v>100% LTT</v>
      </c>
    </row>
    <row r="22" spans="1:14" ht="19.5" customHeight="1" x14ac:dyDescent="0.3">
      <c r="A22" s="15">
        <f t="shared" si="16"/>
        <v>14</v>
      </c>
      <c r="B22" s="18" t="s">
        <v>116</v>
      </c>
      <c r="C22" s="17" t="s">
        <v>107</v>
      </c>
      <c r="D22" s="17"/>
      <c r="E22" s="17"/>
      <c r="F22" s="17"/>
      <c r="G22" s="15">
        <f t="shared" si="12"/>
        <v>0</v>
      </c>
      <c r="H22" s="15">
        <f t="shared" si="12"/>
        <v>0</v>
      </c>
      <c r="I22" s="15">
        <f t="shared" si="13"/>
        <v>0</v>
      </c>
      <c r="J22" s="15">
        <f t="shared" si="14"/>
        <v>0</v>
      </c>
      <c r="K22" s="17">
        <v>8</v>
      </c>
      <c r="L22" s="15">
        <f t="shared" si="17"/>
        <v>92</v>
      </c>
      <c r="M22" s="15" t="str">
        <f t="shared" si="15"/>
        <v>A</v>
      </c>
      <c r="N22" s="17" t="str">
        <f t="shared" si="18"/>
        <v>100% LTT</v>
      </c>
    </row>
    <row r="23" spans="1:14" ht="22.5" customHeight="1" x14ac:dyDescent="0.3">
      <c r="A23" s="180" t="s">
        <v>163</v>
      </c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  <c r="N23" s="180"/>
    </row>
    <row r="24" spans="1:14" ht="22.5" customHeight="1" x14ac:dyDescent="0.3">
      <c r="J24" s="185" t="s">
        <v>162</v>
      </c>
      <c r="K24" s="185"/>
      <c r="L24" s="185"/>
      <c r="M24" s="185"/>
      <c r="N24" s="185"/>
    </row>
    <row r="25" spans="1:14" ht="22.5" customHeight="1" x14ac:dyDescent="0.3">
      <c r="B25" s="178" t="s">
        <v>22</v>
      </c>
      <c r="C25" s="178"/>
      <c r="D25" s="178"/>
      <c r="L25" s="178" t="s">
        <v>25</v>
      </c>
      <c r="M25" s="178"/>
      <c r="N25" s="178"/>
    </row>
    <row r="26" spans="1:14" ht="22.5" customHeight="1" x14ac:dyDescent="0.3">
      <c r="L26" s="156"/>
      <c r="M26" s="156"/>
    </row>
    <row r="27" spans="1:14" ht="22.5" customHeight="1" x14ac:dyDescent="0.3">
      <c r="L27" s="156"/>
      <c r="M27" s="156"/>
    </row>
    <row r="28" spans="1:14" ht="22.5" customHeight="1" x14ac:dyDescent="0.3">
      <c r="L28" s="156"/>
      <c r="M28" s="156"/>
    </row>
    <row r="29" spans="1:14" ht="22.5" customHeight="1" x14ac:dyDescent="0.3">
      <c r="B29" s="178" t="s">
        <v>28</v>
      </c>
      <c r="C29" s="178"/>
      <c r="D29" s="178"/>
      <c r="L29" s="178" t="s">
        <v>27</v>
      </c>
      <c r="M29" s="178"/>
      <c r="N29" s="178"/>
    </row>
    <row r="30" spans="1:14" ht="22.5" customHeight="1" x14ac:dyDescent="0.3">
      <c r="C30" s="1"/>
      <c r="D30" s="1"/>
    </row>
  </sheetData>
  <mergeCells count="25">
    <mergeCell ref="O4:O5"/>
    <mergeCell ref="A1:N1"/>
    <mergeCell ref="A2:N2"/>
    <mergeCell ref="A3:N3"/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L4:L5"/>
    <mergeCell ref="M4:M5"/>
    <mergeCell ref="N4:N5"/>
    <mergeCell ref="B29:D29"/>
    <mergeCell ref="L29:N29"/>
    <mergeCell ref="A6:C6"/>
    <mergeCell ref="A11:C11"/>
    <mergeCell ref="A13:C13"/>
    <mergeCell ref="A23:N23"/>
    <mergeCell ref="J24:N24"/>
    <mergeCell ref="B25:D25"/>
    <mergeCell ref="L25:N25"/>
  </mergeCells>
  <pageMargins left="0.23" right="0.28000000000000003" top="0.37" bottom="0.26" header="0.3" footer="0.3"/>
  <pageSetup paperSize="9" scale="75" orientation="landscape" verticalDpi="0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topLeftCell="A4" zoomScale="90" zoomScaleNormal="90" workbookViewId="0">
      <pane xSplit="2" ySplit="3" topLeftCell="C7" activePane="bottomRight" state="frozen"/>
      <selection activeCell="A4" sqref="A4"/>
      <selection pane="topRight" activeCell="C4" sqref="C4"/>
      <selection pane="bottomLeft" activeCell="A7" sqref="A7"/>
      <selection pane="bottomRight" activeCell="F12" sqref="F12"/>
    </sheetView>
  </sheetViews>
  <sheetFormatPr defaultColWidth="9.109375" defaultRowHeight="16.8" x14ac:dyDescent="0.3"/>
  <cols>
    <col min="1" max="1" width="6.109375" style="2" customWidth="1"/>
    <col min="2" max="2" width="27.5546875" style="1" customWidth="1"/>
    <col min="3" max="3" width="22" style="2" customWidth="1"/>
    <col min="4" max="6" width="11.33203125" style="2" customWidth="1"/>
    <col min="7" max="9" width="12.33203125" style="2" customWidth="1"/>
    <col min="10" max="10" width="12.44140625" style="2" customWidth="1"/>
    <col min="11" max="11" width="11.33203125" style="2" customWidth="1"/>
    <col min="12" max="12" width="12.109375" style="2" customWidth="1"/>
    <col min="13" max="13" width="9.44140625" style="2" customWidth="1"/>
    <col min="14" max="14" width="15" style="2" customWidth="1"/>
    <col min="15" max="15" width="53.88671875" style="2" customWidth="1"/>
    <col min="16" max="16384" width="9.109375" style="1"/>
  </cols>
  <sheetData>
    <row r="1" spans="1:15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5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</row>
    <row r="3" spans="1:15" ht="22.5" customHeight="1" x14ac:dyDescent="0.3">
      <c r="A3" s="179" t="s">
        <v>170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</row>
    <row r="4" spans="1:15" s="3" customFormat="1" ht="22.5" customHeight="1" x14ac:dyDescent="0.3">
      <c r="A4" s="180" t="s">
        <v>0</v>
      </c>
      <c r="B4" s="180" t="s">
        <v>1</v>
      </c>
      <c r="C4" s="180" t="s">
        <v>2</v>
      </c>
      <c r="D4" s="180" t="s">
        <v>23</v>
      </c>
      <c r="E4" s="180"/>
      <c r="F4" s="180"/>
      <c r="G4" s="181" t="s">
        <v>29</v>
      </c>
      <c r="H4" s="181" t="s">
        <v>30</v>
      </c>
      <c r="I4" s="181" t="s">
        <v>31</v>
      </c>
      <c r="J4" s="181" t="s">
        <v>96</v>
      </c>
      <c r="K4" s="181" t="s">
        <v>97</v>
      </c>
      <c r="L4" s="180" t="s">
        <v>6</v>
      </c>
      <c r="M4" s="180" t="s">
        <v>7</v>
      </c>
      <c r="N4" s="180" t="s">
        <v>8</v>
      </c>
      <c r="O4" s="183"/>
    </row>
    <row r="5" spans="1:15" s="3" customFormat="1" ht="49.8" customHeight="1" x14ac:dyDescent="0.3">
      <c r="A5" s="180"/>
      <c r="B5" s="180"/>
      <c r="C5" s="180"/>
      <c r="D5" s="159" t="s">
        <v>3</v>
      </c>
      <c r="E5" s="159" t="s">
        <v>4</v>
      </c>
      <c r="F5" s="159" t="s">
        <v>5</v>
      </c>
      <c r="G5" s="182"/>
      <c r="H5" s="182"/>
      <c r="I5" s="182"/>
      <c r="J5" s="182"/>
      <c r="K5" s="182"/>
      <c r="L5" s="180"/>
      <c r="M5" s="180"/>
      <c r="N5" s="180"/>
      <c r="O5" s="183"/>
    </row>
    <row r="6" spans="1:15" ht="19.5" customHeight="1" x14ac:dyDescent="0.3">
      <c r="A6" s="184" t="s">
        <v>15</v>
      </c>
      <c r="B6" s="184"/>
      <c r="C6" s="18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5" ht="19.5" customHeight="1" x14ac:dyDescent="0.3">
      <c r="A7" s="15">
        <v>1</v>
      </c>
      <c r="B7" s="16" t="s">
        <v>52</v>
      </c>
      <c r="C7" s="15" t="s">
        <v>19</v>
      </c>
      <c r="D7" s="15"/>
      <c r="E7" s="15"/>
      <c r="F7" s="15"/>
      <c r="G7" s="15">
        <f t="shared" ref="G7:H10" si="0">IF(D7&gt;5,(D7-5)*2,0)</f>
        <v>0</v>
      </c>
      <c r="H7" s="15">
        <f t="shared" si="0"/>
        <v>0</v>
      </c>
      <c r="I7" s="15">
        <f t="shared" ref="I7:I10" si="1">IF(F7&gt;2,(F7-2)*1,0)</f>
        <v>0</v>
      </c>
      <c r="J7" s="15">
        <f t="shared" ref="J7:J10" si="2">SUM(G7:I7)</f>
        <v>0</v>
      </c>
      <c r="K7" s="15"/>
      <c r="L7" s="15">
        <f t="shared" ref="L7:L10" si="3">100-J7-K7</f>
        <v>100</v>
      </c>
      <c r="M7" s="15" t="str">
        <f t="shared" ref="M7:M10" si="4">IF(L7&lt;71,"KL",IF(AND(L7&gt;=71,L7&lt;81),"C",IF(AND(L7&gt;=81,L7&lt;91),"B","A")))</f>
        <v>A</v>
      </c>
      <c r="N7" s="15" t="str">
        <f t="shared" ref="N7:N10" si="5">IF(M7="A","100% LTT",IF(M7="B","90% LTT",IF(M7="C","80% LTT","60% LTT")))</f>
        <v>100% LTT</v>
      </c>
      <c r="O7" s="34"/>
    </row>
    <row r="8" spans="1:15" ht="19.5" customHeight="1" x14ac:dyDescent="0.3">
      <c r="A8" s="15">
        <f t="shared" ref="A8:A10" si="6">A7+1</f>
        <v>2</v>
      </c>
      <c r="B8" s="16" t="s">
        <v>59</v>
      </c>
      <c r="C8" s="15" t="s">
        <v>19</v>
      </c>
      <c r="D8" s="15"/>
      <c r="E8" s="15"/>
      <c r="F8" s="15"/>
      <c r="G8" s="15">
        <f t="shared" si="0"/>
        <v>0</v>
      </c>
      <c r="H8" s="15">
        <f t="shared" si="0"/>
        <v>0</v>
      </c>
      <c r="I8" s="15">
        <f t="shared" si="1"/>
        <v>0</v>
      </c>
      <c r="J8" s="15">
        <f t="shared" si="2"/>
        <v>0</v>
      </c>
      <c r="K8" s="15"/>
      <c r="L8" s="15">
        <f t="shared" si="3"/>
        <v>100</v>
      </c>
      <c r="M8" s="15" t="str">
        <f t="shared" si="4"/>
        <v>A</v>
      </c>
      <c r="N8" s="15" t="str">
        <f t="shared" si="5"/>
        <v>100% LTT</v>
      </c>
      <c r="O8" s="35"/>
    </row>
    <row r="9" spans="1:15" ht="19.5" customHeight="1" x14ac:dyDescent="0.3">
      <c r="A9" s="15">
        <f t="shared" si="6"/>
        <v>3</v>
      </c>
      <c r="B9" s="16" t="s">
        <v>161</v>
      </c>
      <c r="C9" s="15" t="s">
        <v>19</v>
      </c>
      <c r="D9" s="15"/>
      <c r="E9" s="15"/>
      <c r="F9" s="15"/>
      <c r="G9" s="15">
        <f t="shared" si="0"/>
        <v>0</v>
      </c>
      <c r="H9" s="15">
        <f t="shared" si="0"/>
        <v>0</v>
      </c>
      <c r="I9" s="15">
        <f t="shared" si="1"/>
        <v>0</v>
      </c>
      <c r="J9" s="15">
        <f t="shared" si="2"/>
        <v>0</v>
      </c>
      <c r="K9" s="15"/>
      <c r="L9" s="15">
        <f t="shared" si="3"/>
        <v>100</v>
      </c>
      <c r="M9" s="15" t="str">
        <f t="shared" si="4"/>
        <v>A</v>
      </c>
      <c r="N9" s="15" t="str">
        <f t="shared" si="5"/>
        <v>100% LTT</v>
      </c>
      <c r="O9" s="35"/>
    </row>
    <row r="10" spans="1:15" ht="19.5" customHeight="1" x14ac:dyDescent="0.3">
      <c r="A10" s="15">
        <f t="shared" si="6"/>
        <v>4</v>
      </c>
      <c r="B10" s="18" t="s">
        <v>11</v>
      </c>
      <c r="C10" s="17" t="s">
        <v>51</v>
      </c>
      <c r="D10" s="17">
        <v>3</v>
      </c>
      <c r="E10" s="17"/>
      <c r="F10" s="17">
        <v>1</v>
      </c>
      <c r="G10" s="17">
        <f t="shared" si="0"/>
        <v>0</v>
      </c>
      <c r="H10" s="17">
        <f t="shared" si="0"/>
        <v>0</v>
      </c>
      <c r="I10" s="17">
        <f t="shared" si="1"/>
        <v>0</v>
      </c>
      <c r="J10" s="17">
        <f t="shared" si="2"/>
        <v>0</v>
      </c>
      <c r="K10" s="17">
        <v>1</v>
      </c>
      <c r="L10" s="15">
        <f t="shared" si="3"/>
        <v>99</v>
      </c>
      <c r="M10" s="17" t="str">
        <f t="shared" si="4"/>
        <v>A</v>
      </c>
      <c r="N10" s="17" t="str">
        <f t="shared" si="5"/>
        <v>100% LTT</v>
      </c>
      <c r="O10" s="35"/>
    </row>
    <row r="11" spans="1:15" ht="19.5" customHeight="1" x14ac:dyDescent="0.3">
      <c r="A11" s="184" t="s">
        <v>16</v>
      </c>
      <c r="B11" s="184"/>
      <c r="C11" s="18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5" ht="19.5" customHeight="1" x14ac:dyDescent="0.3">
      <c r="A12" s="17">
        <f>A10+1</f>
        <v>5</v>
      </c>
      <c r="B12" s="18" t="s">
        <v>28</v>
      </c>
      <c r="C12" s="17" t="s">
        <v>121</v>
      </c>
      <c r="D12" s="4"/>
      <c r="E12" s="17"/>
      <c r="F12" s="17"/>
      <c r="G12" s="17">
        <f t="shared" ref="G12:H12" si="7">IF(D12&gt;5,(D12-5)*2,0)</f>
        <v>0</v>
      </c>
      <c r="H12" s="17">
        <f t="shared" si="7"/>
        <v>0</v>
      </c>
      <c r="I12" s="17">
        <f t="shared" ref="I12" si="8">IF(F12&gt;2,(F12-2)*1,0)</f>
        <v>0</v>
      </c>
      <c r="J12" s="17">
        <f t="shared" ref="J12" si="9">SUM(G12:I12)</f>
        <v>0</v>
      </c>
      <c r="K12" s="17"/>
      <c r="L12" s="17">
        <f>100-J12-K12</f>
        <v>100</v>
      </c>
      <c r="M12" s="17" t="str">
        <f t="shared" ref="M12" si="10">IF(L12&lt;71,"KL",IF(AND(L12&gt;=71,L12&lt;81),"C",IF(AND(L12&gt;=81,L12&lt;91),"B","A")))</f>
        <v>A</v>
      </c>
      <c r="N12" s="17" t="str">
        <f t="shared" ref="N12" si="11">IF(M12="A","100% LTT",IF(M12="B","90% LTT",IF(M12="C","80% LTT","60% LTT")))</f>
        <v>100% LTT</v>
      </c>
    </row>
    <row r="13" spans="1:15" ht="19.5" customHeight="1" x14ac:dyDescent="0.3">
      <c r="A13" s="184" t="s">
        <v>17</v>
      </c>
      <c r="B13" s="184"/>
      <c r="C13" s="18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5" ht="19.5" customHeight="1" x14ac:dyDescent="0.3">
      <c r="A14" s="15">
        <f>A12+1</f>
        <v>6</v>
      </c>
      <c r="B14" s="16" t="s">
        <v>13</v>
      </c>
      <c r="C14" s="15" t="s">
        <v>101</v>
      </c>
      <c r="D14" s="15"/>
      <c r="E14" s="15"/>
      <c r="F14" s="15"/>
      <c r="G14" s="15">
        <f t="shared" ref="G14:H22" si="12">IF(D14&gt;5,(D14-5)*2,0)</f>
        <v>0</v>
      </c>
      <c r="H14" s="15">
        <f t="shared" si="12"/>
        <v>0</v>
      </c>
      <c r="I14" s="15">
        <f t="shared" ref="I14:I22" si="13">IF(F14&gt;2,(F14-2)*1,0)</f>
        <v>0</v>
      </c>
      <c r="J14" s="15">
        <f t="shared" ref="J14:J22" si="14">SUM(G14:I14)</f>
        <v>0</v>
      </c>
      <c r="K14" s="15"/>
      <c r="L14" s="15">
        <f>100-J14-K14</f>
        <v>100</v>
      </c>
      <c r="M14" s="15" t="str">
        <f t="shared" ref="M14:M22" si="15">IF(L14&lt;71,"KL",IF(AND(L14&gt;=71,L14&lt;81),"C",IF(AND(L14&gt;=81,L14&lt;91),"B","A")))</f>
        <v>A</v>
      </c>
      <c r="N14" s="17" t="str">
        <f>IF(M14="A","100% LTT",IF(M14="B","90% LTT",IF(M14="C","80% LTT","60% LTT")))</f>
        <v>100% LTT</v>
      </c>
    </row>
    <row r="15" spans="1:15" ht="19.5" customHeight="1" x14ac:dyDescent="0.3">
      <c r="A15" s="15">
        <f t="shared" ref="A15:A22" si="16">A14+1</f>
        <v>7</v>
      </c>
      <c r="B15" s="16" t="s">
        <v>14</v>
      </c>
      <c r="C15" s="15" t="s">
        <v>19</v>
      </c>
      <c r="D15" s="15">
        <v>5</v>
      </c>
      <c r="E15" s="15"/>
      <c r="F15" s="15">
        <v>1</v>
      </c>
      <c r="G15" s="15">
        <f t="shared" si="12"/>
        <v>0</v>
      </c>
      <c r="H15" s="15">
        <f t="shared" si="12"/>
        <v>0</v>
      </c>
      <c r="I15" s="15">
        <f t="shared" si="13"/>
        <v>0</v>
      </c>
      <c r="J15" s="15">
        <f t="shared" si="14"/>
        <v>0</v>
      </c>
      <c r="K15" s="15">
        <v>4</v>
      </c>
      <c r="L15" s="15">
        <f t="shared" ref="L15:L22" si="17">100-J15-K15</f>
        <v>96</v>
      </c>
      <c r="M15" s="15" t="str">
        <f t="shared" si="15"/>
        <v>A</v>
      </c>
      <c r="N15" s="15" t="str">
        <f t="shared" ref="N15:N22" si="18">IF(M15="A","100% LTT",IF(M15="B","90% LTT",IF(M15="C","80% LTT","60% LTT")))</f>
        <v>100% LTT</v>
      </c>
    </row>
    <row r="16" spans="1:15" ht="19.5" customHeight="1" x14ac:dyDescent="0.3">
      <c r="A16" s="15">
        <f t="shared" si="16"/>
        <v>8</v>
      </c>
      <c r="B16" s="16" t="s">
        <v>40</v>
      </c>
      <c r="C16" s="15" t="s">
        <v>19</v>
      </c>
      <c r="D16" s="15"/>
      <c r="E16" s="15"/>
      <c r="F16" s="15"/>
      <c r="G16" s="15">
        <f t="shared" si="12"/>
        <v>0</v>
      </c>
      <c r="H16" s="15">
        <f t="shared" si="12"/>
        <v>0</v>
      </c>
      <c r="I16" s="15">
        <f t="shared" si="13"/>
        <v>0</v>
      </c>
      <c r="J16" s="15">
        <f t="shared" si="14"/>
        <v>0</v>
      </c>
      <c r="K16" s="15">
        <v>4</v>
      </c>
      <c r="L16" s="15">
        <f>100-J16-K16</f>
        <v>96</v>
      </c>
      <c r="M16" s="15" t="str">
        <f t="shared" si="15"/>
        <v>A</v>
      </c>
      <c r="N16" s="15" t="str">
        <f t="shared" si="18"/>
        <v>100% LTT</v>
      </c>
    </row>
    <row r="17" spans="1:14" ht="19.5" customHeight="1" x14ac:dyDescent="0.3">
      <c r="A17" s="15">
        <f t="shared" si="16"/>
        <v>9</v>
      </c>
      <c r="B17" s="16" t="s">
        <v>130</v>
      </c>
      <c r="C17" s="15" t="s">
        <v>131</v>
      </c>
      <c r="D17" s="15"/>
      <c r="E17" s="15"/>
      <c r="F17" s="15"/>
      <c r="G17" s="15">
        <f t="shared" si="12"/>
        <v>0</v>
      </c>
      <c r="H17" s="15">
        <f t="shared" si="12"/>
        <v>0</v>
      </c>
      <c r="I17" s="15">
        <f t="shared" si="13"/>
        <v>0</v>
      </c>
      <c r="J17" s="15">
        <f t="shared" si="14"/>
        <v>0</v>
      </c>
      <c r="K17" s="15">
        <v>5</v>
      </c>
      <c r="L17" s="15">
        <f t="shared" ref="L17:L18" si="19">100-J17-K17</f>
        <v>95</v>
      </c>
      <c r="M17" s="15" t="str">
        <f t="shared" si="15"/>
        <v>A</v>
      </c>
      <c r="N17" s="15" t="str">
        <f t="shared" si="18"/>
        <v>100% LTT</v>
      </c>
    </row>
    <row r="18" spans="1:14" ht="19.5" customHeight="1" x14ac:dyDescent="0.3">
      <c r="A18" s="15">
        <f t="shared" si="16"/>
        <v>10</v>
      </c>
      <c r="B18" s="16" t="s">
        <v>98</v>
      </c>
      <c r="C18" s="15" t="s">
        <v>102</v>
      </c>
      <c r="D18" s="15"/>
      <c r="E18" s="15"/>
      <c r="F18" s="15"/>
      <c r="G18" s="15">
        <f t="shared" si="12"/>
        <v>0</v>
      </c>
      <c r="H18" s="15">
        <f t="shared" si="12"/>
        <v>0</v>
      </c>
      <c r="I18" s="15">
        <f t="shared" si="13"/>
        <v>0</v>
      </c>
      <c r="J18" s="15">
        <f t="shared" si="14"/>
        <v>0</v>
      </c>
      <c r="K18" s="15">
        <v>8</v>
      </c>
      <c r="L18" s="15">
        <f t="shared" si="19"/>
        <v>92</v>
      </c>
      <c r="M18" s="15" t="str">
        <f t="shared" si="15"/>
        <v>A</v>
      </c>
      <c r="N18" s="15" t="str">
        <f t="shared" si="18"/>
        <v>100% LTT</v>
      </c>
    </row>
    <row r="19" spans="1:14" ht="19.5" customHeight="1" x14ac:dyDescent="0.3">
      <c r="A19" s="15">
        <f t="shared" si="16"/>
        <v>11</v>
      </c>
      <c r="B19" s="16" t="s">
        <v>99</v>
      </c>
      <c r="C19" s="15" t="s">
        <v>102</v>
      </c>
      <c r="D19" s="15"/>
      <c r="E19" s="15"/>
      <c r="F19" s="15"/>
      <c r="G19" s="15">
        <f t="shared" si="12"/>
        <v>0</v>
      </c>
      <c r="H19" s="15">
        <f t="shared" si="12"/>
        <v>0</v>
      </c>
      <c r="I19" s="15">
        <f t="shared" si="13"/>
        <v>0</v>
      </c>
      <c r="J19" s="15">
        <f t="shared" si="14"/>
        <v>0</v>
      </c>
      <c r="K19" s="15">
        <v>5</v>
      </c>
      <c r="L19" s="15">
        <f t="shared" si="17"/>
        <v>95</v>
      </c>
      <c r="M19" s="15" t="str">
        <f t="shared" si="15"/>
        <v>A</v>
      </c>
      <c r="N19" s="15" t="str">
        <f t="shared" si="18"/>
        <v>100% LTT</v>
      </c>
    </row>
    <row r="20" spans="1:14" ht="19.5" customHeight="1" x14ac:dyDescent="0.3">
      <c r="A20" s="15">
        <f t="shared" si="16"/>
        <v>12</v>
      </c>
      <c r="B20" s="16" t="s">
        <v>152</v>
      </c>
      <c r="C20" s="15" t="s">
        <v>153</v>
      </c>
      <c r="D20" s="15"/>
      <c r="E20" s="15"/>
      <c r="F20" s="15"/>
      <c r="G20" s="15">
        <f t="shared" si="12"/>
        <v>0</v>
      </c>
      <c r="H20" s="15">
        <f t="shared" si="12"/>
        <v>0</v>
      </c>
      <c r="I20" s="15">
        <f t="shared" si="13"/>
        <v>0</v>
      </c>
      <c r="J20" s="15">
        <f t="shared" si="14"/>
        <v>0</v>
      </c>
      <c r="K20" s="15">
        <v>7</v>
      </c>
      <c r="L20" s="15">
        <f t="shared" si="17"/>
        <v>93</v>
      </c>
      <c r="M20" s="15" t="str">
        <f t="shared" si="15"/>
        <v>A</v>
      </c>
      <c r="N20" s="15" t="str">
        <f t="shared" si="18"/>
        <v>100% LTT</v>
      </c>
    </row>
    <row r="21" spans="1:14" ht="19.5" customHeight="1" x14ac:dyDescent="0.3">
      <c r="A21" s="15">
        <f t="shared" si="16"/>
        <v>13</v>
      </c>
      <c r="B21" s="16" t="s">
        <v>100</v>
      </c>
      <c r="C21" s="15" t="s">
        <v>102</v>
      </c>
      <c r="D21" s="15"/>
      <c r="E21" s="15"/>
      <c r="F21" s="15"/>
      <c r="G21" s="15">
        <f t="shared" si="12"/>
        <v>0</v>
      </c>
      <c r="H21" s="15">
        <f t="shared" si="12"/>
        <v>0</v>
      </c>
      <c r="I21" s="15">
        <f t="shared" si="13"/>
        <v>0</v>
      </c>
      <c r="J21" s="15">
        <f t="shared" si="14"/>
        <v>0</v>
      </c>
      <c r="K21" s="15">
        <v>5</v>
      </c>
      <c r="L21" s="15">
        <f t="shared" si="17"/>
        <v>95</v>
      </c>
      <c r="M21" s="15" t="str">
        <f t="shared" si="15"/>
        <v>A</v>
      </c>
      <c r="N21" s="15" t="str">
        <f t="shared" si="18"/>
        <v>100% LTT</v>
      </c>
    </row>
    <row r="22" spans="1:14" ht="19.5" customHeight="1" x14ac:dyDescent="0.3">
      <c r="A22" s="15">
        <f t="shared" si="16"/>
        <v>14</v>
      </c>
      <c r="B22" s="18" t="s">
        <v>116</v>
      </c>
      <c r="C22" s="17" t="s">
        <v>107</v>
      </c>
      <c r="D22" s="17"/>
      <c r="E22" s="17"/>
      <c r="F22" s="17"/>
      <c r="G22" s="15">
        <f t="shared" si="12"/>
        <v>0</v>
      </c>
      <c r="H22" s="15">
        <f t="shared" si="12"/>
        <v>0</v>
      </c>
      <c r="I22" s="15">
        <f t="shared" si="13"/>
        <v>0</v>
      </c>
      <c r="J22" s="15">
        <f t="shared" si="14"/>
        <v>0</v>
      </c>
      <c r="K22" s="17">
        <v>8</v>
      </c>
      <c r="L22" s="15">
        <f t="shared" si="17"/>
        <v>92</v>
      </c>
      <c r="M22" s="15" t="str">
        <f t="shared" si="15"/>
        <v>A</v>
      </c>
      <c r="N22" s="17" t="str">
        <f t="shared" si="18"/>
        <v>100% LTT</v>
      </c>
    </row>
    <row r="23" spans="1:14" ht="22.5" customHeight="1" x14ac:dyDescent="0.3">
      <c r="A23" s="180" t="s">
        <v>163</v>
      </c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  <c r="N23" s="180"/>
    </row>
    <row r="24" spans="1:14" ht="22.5" customHeight="1" x14ac:dyDescent="0.3">
      <c r="J24" s="185" t="s">
        <v>162</v>
      </c>
      <c r="K24" s="185"/>
      <c r="L24" s="185"/>
      <c r="M24" s="185"/>
      <c r="N24" s="185"/>
    </row>
    <row r="25" spans="1:14" ht="22.5" customHeight="1" x14ac:dyDescent="0.3">
      <c r="B25" s="178" t="s">
        <v>22</v>
      </c>
      <c r="C25" s="178"/>
      <c r="D25" s="178"/>
      <c r="L25" s="178" t="s">
        <v>25</v>
      </c>
      <c r="M25" s="178"/>
      <c r="N25" s="178"/>
    </row>
    <row r="26" spans="1:14" ht="22.5" customHeight="1" x14ac:dyDescent="0.3">
      <c r="L26" s="158"/>
      <c r="M26" s="158"/>
    </row>
    <row r="27" spans="1:14" ht="22.5" customHeight="1" x14ac:dyDescent="0.3">
      <c r="L27" s="158"/>
      <c r="M27" s="158"/>
    </row>
    <row r="28" spans="1:14" ht="22.5" customHeight="1" x14ac:dyDescent="0.3">
      <c r="L28" s="158"/>
      <c r="M28" s="158"/>
    </row>
    <row r="29" spans="1:14" ht="22.5" customHeight="1" x14ac:dyDescent="0.3">
      <c r="B29" s="178" t="s">
        <v>28</v>
      </c>
      <c r="C29" s="178"/>
      <c r="D29" s="178"/>
      <c r="L29" s="178" t="s">
        <v>27</v>
      </c>
      <c r="M29" s="178"/>
      <c r="N29" s="178"/>
    </row>
    <row r="30" spans="1:14" ht="22.5" customHeight="1" x14ac:dyDescent="0.3">
      <c r="C30" s="1"/>
      <c r="D30" s="1"/>
    </row>
  </sheetData>
  <mergeCells count="25">
    <mergeCell ref="O4:O5"/>
    <mergeCell ref="A1:N1"/>
    <mergeCell ref="A2:N2"/>
    <mergeCell ref="A3:N3"/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L4:L5"/>
    <mergeCell ref="M4:M5"/>
    <mergeCell ref="N4:N5"/>
    <mergeCell ref="B29:D29"/>
    <mergeCell ref="L29:N29"/>
    <mergeCell ref="A6:C6"/>
    <mergeCell ref="A11:C11"/>
    <mergeCell ref="A13:C13"/>
    <mergeCell ref="A23:N23"/>
    <mergeCell ref="J24:N24"/>
    <mergeCell ref="B25:D25"/>
    <mergeCell ref="L25:N25"/>
  </mergeCells>
  <pageMargins left="0.26" right="0.24" top="0.47" bottom="0.33" header="0.3" footer="0.3"/>
  <pageSetup paperSize="9" scale="75" orientation="landscape" verticalDpi="0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zoomScale="80" zoomScaleNormal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9" sqref="E9"/>
    </sheetView>
  </sheetViews>
  <sheetFormatPr defaultColWidth="9.109375" defaultRowHeight="16.8" x14ac:dyDescent="0.3"/>
  <cols>
    <col min="1" max="1" width="6.109375" style="2" customWidth="1"/>
    <col min="2" max="2" width="27.5546875" style="1" customWidth="1"/>
    <col min="3" max="3" width="22" style="2" customWidth="1"/>
    <col min="4" max="6" width="11.33203125" style="2" customWidth="1"/>
    <col min="7" max="9" width="12.33203125" style="2" customWidth="1"/>
    <col min="10" max="10" width="12.44140625" style="2" customWidth="1"/>
    <col min="11" max="11" width="11.33203125" style="2" customWidth="1"/>
    <col min="12" max="12" width="12.109375" style="2" customWidth="1"/>
    <col min="13" max="13" width="9.44140625" style="2" customWidth="1"/>
    <col min="14" max="14" width="15" style="2" customWidth="1"/>
    <col min="15" max="15" width="53.88671875" style="2" customWidth="1"/>
    <col min="16" max="16384" width="9.109375" style="1"/>
  </cols>
  <sheetData>
    <row r="1" spans="1:15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5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</row>
    <row r="3" spans="1:15" ht="22.5" customHeight="1" x14ac:dyDescent="0.3">
      <c r="A3" s="179" t="s">
        <v>171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</row>
    <row r="4" spans="1:15" s="3" customFormat="1" ht="22.5" customHeight="1" x14ac:dyDescent="0.3">
      <c r="A4" s="180" t="s">
        <v>0</v>
      </c>
      <c r="B4" s="180" t="s">
        <v>1</v>
      </c>
      <c r="C4" s="180" t="s">
        <v>2</v>
      </c>
      <c r="D4" s="180" t="s">
        <v>23</v>
      </c>
      <c r="E4" s="180"/>
      <c r="F4" s="180"/>
      <c r="G4" s="181" t="s">
        <v>29</v>
      </c>
      <c r="H4" s="181" t="s">
        <v>30</v>
      </c>
      <c r="I4" s="181" t="s">
        <v>31</v>
      </c>
      <c r="J4" s="181" t="s">
        <v>96</v>
      </c>
      <c r="K4" s="181" t="s">
        <v>97</v>
      </c>
      <c r="L4" s="180" t="s">
        <v>6</v>
      </c>
      <c r="M4" s="180" t="s">
        <v>7</v>
      </c>
      <c r="N4" s="180" t="s">
        <v>8</v>
      </c>
      <c r="O4" s="183"/>
    </row>
    <row r="5" spans="1:15" s="3" customFormat="1" ht="49.8" customHeight="1" x14ac:dyDescent="0.3">
      <c r="A5" s="180"/>
      <c r="B5" s="180"/>
      <c r="C5" s="180"/>
      <c r="D5" s="161" t="s">
        <v>3</v>
      </c>
      <c r="E5" s="161" t="s">
        <v>4</v>
      </c>
      <c r="F5" s="161" t="s">
        <v>5</v>
      </c>
      <c r="G5" s="182"/>
      <c r="H5" s="182"/>
      <c r="I5" s="182"/>
      <c r="J5" s="182"/>
      <c r="K5" s="182"/>
      <c r="L5" s="180"/>
      <c r="M5" s="180"/>
      <c r="N5" s="180"/>
      <c r="O5" s="183"/>
    </row>
    <row r="6" spans="1:15" ht="19.5" customHeight="1" x14ac:dyDescent="0.3">
      <c r="A6" s="184" t="s">
        <v>15</v>
      </c>
      <c r="B6" s="184"/>
      <c r="C6" s="18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5" ht="19.5" customHeight="1" x14ac:dyDescent="0.3">
      <c r="A7" s="15">
        <v>1</v>
      </c>
      <c r="B7" s="16" t="s">
        <v>52</v>
      </c>
      <c r="C7" s="15" t="s">
        <v>19</v>
      </c>
      <c r="D7" s="15"/>
      <c r="E7" s="15"/>
      <c r="F7" s="15"/>
      <c r="G7" s="15">
        <f t="shared" ref="G7:H10" si="0">IF(D7&gt;5,(D7-5)*2,0)</f>
        <v>0</v>
      </c>
      <c r="H7" s="15">
        <f t="shared" si="0"/>
        <v>0</v>
      </c>
      <c r="I7" s="15">
        <f t="shared" ref="I7:I10" si="1">IF(F7&gt;2,(F7-2)*1,0)</f>
        <v>0</v>
      </c>
      <c r="J7" s="15">
        <f t="shared" ref="J7:J10" si="2">SUM(G7:I7)</f>
        <v>0</v>
      </c>
      <c r="K7" s="15"/>
      <c r="L7" s="15">
        <f t="shared" ref="L7:L10" si="3">100-J7-K7</f>
        <v>100</v>
      </c>
      <c r="M7" s="15" t="str">
        <f t="shared" ref="M7:M10" si="4">IF(L7&lt;71,"KL",IF(AND(L7&gt;=71,L7&lt;81),"C",IF(AND(L7&gt;=81,L7&lt;91),"B","A")))</f>
        <v>A</v>
      </c>
      <c r="N7" s="15" t="str">
        <f t="shared" ref="N7:N10" si="5">IF(M7="A","100% LTT",IF(M7="B","90% LTT",IF(M7="C","80% LTT","60% LTT")))</f>
        <v>100% LTT</v>
      </c>
      <c r="O7" s="34"/>
    </row>
    <row r="8" spans="1:15" ht="19.5" customHeight="1" x14ac:dyDescent="0.3">
      <c r="A8" s="15">
        <f t="shared" ref="A8:A10" si="6">A7+1</f>
        <v>2</v>
      </c>
      <c r="B8" s="16" t="s">
        <v>59</v>
      </c>
      <c r="C8" s="15" t="s">
        <v>19</v>
      </c>
      <c r="D8" s="15"/>
      <c r="E8" s="15"/>
      <c r="F8" s="15"/>
      <c r="G8" s="15">
        <f t="shared" si="0"/>
        <v>0</v>
      </c>
      <c r="H8" s="15">
        <f t="shared" si="0"/>
        <v>0</v>
      </c>
      <c r="I8" s="15">
        <f t="shared" si="1"/>
        <v>0</v>
      </c>
      <c r="J8" s="15">
        <f t="shared" si="2"/>
        <v>0</v>
      </c>
      <c r="K8" s="15"/>
      <c r="L8" s="15">
        <f t="shared" si="3"/>
        <v>100</v>
      </c>
      <c r="M8" s="15" t="str">
        <f t="shared" si="4"/>
        <v>A</v>
      </c>
      <c r="N8" s="15" t="str">
        <f t="shared" si="5"/>
        <v>100% LTT</v>
      </c>
      <c r="O8" s="35"/>
    </row>
    <row r="9" spans="1:15" ht="19.5" customHeight="1" x14ac:dyDescent="0.3">
      <c r="A9" s="15">
        <f t="shared" si="6"/>
        <v>3</v>
      </c>
      <c r="B9" s="16" t="s">
        <v>161</v>
      </c>
      <c r="C9" s="15" t="s">
        <v>19</v>
      </c>
      <c r="D9" s="15"/>
      <c r="E9" s="15"/>
      <c r="F9" s="15"/>
      <c r="G9" s="15">
        <f t="shared" si="0"/>
        <v>0</v>
      </c>
      <c r="H9" s="15">
        <f t="shared" si="0"/>
        <v>0</v>
      </c>
      <c r="I9" s="15">
        <f t="shared" si="1"/>
        <v>0</v>
      </c>
      <c r="J9" s="15">
        <f t="shared" si="2"/>
        <v>0</v>
      </c>
      <c r="K9" s="15"/>
      <c r="L9" s="15">
        <f t="shared" si="3"/>
        <v>100</v>
      </c>
      <c r="M9" s="15" t="str">
        <f t="shared" si="4"/>
        <v>A</v>
      </c>
      <c r="N9" s="15" t="str">
        <f t="shared" si="5"/>
        <v>100% LTT</v>
      </c>
      <c r="O9" s="35"/>
    </row>
    <row r="10" spans="1:15" ht="19.5" customHeight="1" x14ac:dyDescent="0.3">
      <c r="A10" s="15">
        <f t="shared" si="6"/>
        <v>4</v>
      </c>
      <c r="B10" s="18" t="s">
        <v>11</v>
      </c>
      <c r="C10" s="17" t="s">
        <v>51</v>
      </c>
      <c r="D10" s="17">
        <v>3</v>
      </c>
      <c r="E10" s="17"/>
      <c r="F10" s="17">
        <v>3</v>
      </c>
      <c r="G10" s="17">
        <f t="shared" si="0"/>
        <v>0</v>
      </c>
      <c r="H10" s="17">
        <f t="shared" si="0"/>
        <v>0</v>
      </c>
      <c r="I10" s="17">
        <f t="shared" si="1"/>
        <v>1</v>
      </c>
      <c r="J10" s="17">
        <f t="shared" si="2"/>
        <v>1</v>
      </c>
      <c r="K10" s="17"/>
      <c r="L10" s="15">
        <f t="shared" si="3"/>
        <v>99</v>
      </c>
      <c r="M10" s="17" t="str">
        <f t="shared" si="4"/>
        <v>A</v>
      </c>
      <c r="N10" s="17" t="str">
        <f t="shared" si="5"/>
        <v>100% LTT</v>
      </c>
      <c r="O10" s="35"/>
    </row>
    <row r="11" spans="1:15" ht="19.5" customHeight="1" x14ac:dyDescent="0.3">
      <c r="A11" s="184" t="s">
        <v>16</v>
      </c>
      <c r="B11" s="184"/>
      <c r="C11" s="18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5" ht="19.5" customHeight="1" x14ac:dyDescent="0.3">
      <c r="A12" s="17">
        <f>A10+1</f>
        <v>5</v>
      </c>
      <c r="B12" s="18" t="s">
        <v>28</v>
      </c>
      <c r="C12" s="17" t="s">
        <v>121</v>
      </c>
      <c r="D12" s="4"/>
      <c r="E12" s="17"/>
      <c r="F12" s="17">
        <v>2</v>
      </c>
      <c r="G12" s="17">
        <f t="shared" ref="G12:H12" si="7">IF(D12&gt;5,(D12-5)*2,0)</f>
        <v>0</v>
      </c>
      <c r="H12" s="17">
        <f t="shared" si="7"/>
        <v>0</v>
      </c>
      <c r="I12" s="17">
        <f t="shared" ref="I12" si="8">IF(F12&gt;2,(F12-2)*1,0)</f>
        <v>0</v>
      </c>
      <c r="J12" s="17">
        <f t="shared" ref="J12" si="9">SUM(G12:I12)</f>
        <v>0</v>
      </c>
      <c r="K12" s="17"/>
      <c r="L12" s="17">
        <f>100-J12-K12</f>
        <v>100</v>
      </c>
      <c r="M12" s="17" t="str">
        <f t="shared" ref="M12" si="10">IF(L12&lt;71,"KL",IF(AND(L12&gt;=71,L12&lt;81),"C",IF(AND(L12&gt;=81,L12&lt;91),"B","A")))</f>
        <v>A</v>
      </c>
      <c r="N12" s="17" t="str">
        <f t="shared" ref="N12" si="11">IF(M12="A","100% LTT",IF(M12="B","90% LTT",IF(M12="C","80% LTT","60% LTT")))</f>
        <v>100% LTT</v>
      </c>
    </row>
    <row r="13" spans="1:15" ht="19.5" customHeight="1" x14ac:dyDescent="0.3">
      <c r="A13" s="184" t="s">
        <v>17</v>
      </c>
      <c r="B13" s="184"/>
      <c r="C13" s="18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5" ht="19.5" customHeight="1" x14ac:dyDescent="0.3">
      <c r="A14" s="15">
        <f>A12+1</f>
        <v>6</v>
      </c>
      <c r="B14" s="16" t="s">
        <v>13</v>
      </c>
      <c r="C14" s="15" t="s">
        <v>101</v>
      </c>
      <c r="D14" s="15"/>
      <c r="E14" s="15"/>
      <c r="F14" s="15"/>
      <c r="G14" s="15">
        <f t="shared" ref="G14:H22" si="12">IF(D14&gt;5,(D14-5)*2,0)</f>
        <v>0</v>
      </c>
      <c r="H14" s="15">
        <f t="shared" si="12"/>
        <v>0</v>
      </c>
      <c r="I14" s="15">
        <f t="shared" ref="I14:I22" si="13">IF(F14&gt;2,(F14-2)*1,0)</f>
        <v>0</v>
      </c>
      <c r="J14" s="15">
        <f t="shared" ref="J14:J22" si="14">SUM(G14:I14)</f>
        <v>0</v>
      </c>
      <c r="K14" s="15"/>
      <c r="L14" s="15">
        <f>100-J14-K14</f>
        <v>100</v>
      </c>
      <c r="M14" s="15" t="str">
        <f t="shared" ref="M14:M22" si="15">IF(L14&lt;71,"KL",IF(AND(L14&gt;=71,L14&lt;81),"C",IF(AND(L14&gt;=81,L14&lt;91),"B","A")))</f>
        <v>A</v>
      </c>
      <c r="N14" s="17" t="str">
        <f>IF(M14="A","100% LTT",IF(M14="B","90% LTT",IF(M14="C","80% LTT","60% LTT")))</f>
        <v>100% LTT</v>
      </c>
    </row>
    <row r="15" spans="1:15" ht="19.5" customHeight="1" x14ac:dyDescent="0.3">
      <c r="A15" s="15">
        <f t="shared" ref="A15:A22" si="16">A14+1</f>
        <v>7</v>
      </c>
      <c r="B15" s="16" t="s">
        <v>14</v>
      </c>
      <c r="C15" s="15" t="s">
        <v>19</v>
      </c>
      <c r="D15" s="15">
        <v>2</v>
      </c>
      <c r="E15" s="15"/>
      <c r="F15" s="15">
        <v>2</v>
      </c>
      <c r="G15" s="15">
        <f t="shared" si="12"/>
        <v>0</v>
      </c>
      <c r="H15" s="15">
        <f t="shared" si="12"/>
        <v>0</v>
      </c>
      <c r="I15" s="15">
        <f t="shared" si="13"/>
        <v>0</v>
      </c>
      <c r="J15" s="15">
        <f t="shared" si="14"/>
        <v>0</v>
      </c>
      <c r="K15" s="15">
        <v>4</v>
      </c>
      <c r="L15" s="15">
        <f t="shared" ref="L15:L22" si="17">100-J15-K15</f>
        <v>96</v>
      </c>
      <c r="M15" s="15" t="str">
        <f t="shared" si="15"/>
        <v>A</v>
      </c>
      <c r="N15" s="15" t="str">
        <f t="shared" ref="N15:N22" si="18">IF(M15="A","100% LTT",IF(M15="B","90% LTT",IF(M15="C","80% LTT","60% LTT")))</f>
        <v>100% LTT</v>
      </c>
    </row>
    <row r="16" spans="1:15" ht="19.5" customHeight="1" x14ac:dyDescent="0.3">
      <c r="A16" s="15">
        <f t="shared" si="16"/>
        <v>8</v>
      </c>
      <c r="B16" s="16" t="s">
        <v>40</v>
      </c>
      <c r="C16" s="15" t="s">
        <v>19</v>
      </c>
      <c r="D16" s="15"/>
      <c r="E16" s="15"/>
      <c r="F16" s="15"/>
      <c r="G16" s="15">
        <f t="shared" si="12"/>
        <v>0</v>
      </c>
      <c r="H16" s="15">
        <f t="shared" si="12"/>
        <v>0</v>
      </c>
      <c r="I16" s="15">
        <f t="shared" si="13"/>
        <v>0</v>
      </c>
      <c r="J16" s="15">
        <f t="shared" si="14"/>
        <v>0</v>
      </c>
      <c r="K16" s="15">
        <v>4</v>
      </c>
      <c r="L16" s="15">
        <f>100-J16-K16</f>
        <v>96</v>
      </c>
      <c r="M16" s="15" t="str">
        <f t="shared" si="15"/>
        <v>A</v>
      </c>
      <c r="N16" s="15" t="str">
        <f t="shared" si="18"/>
        <v>100% LTT</v>
      </c>
    </row>
    <row r="17" spans="1:14" ht="19.5" customHeight="1" x14ac:dyDescent="0.3">
      <c r="A17" s="15">
        <f t="shared" si="16"/>
        <v>9</v>
      </c>
      <c r="B17" s="16" t="s">
        <v>130</v>
      </c>
      <c r="C17" s="15" t="s">
        <v>131</v>
      </c>
      <c r="D17" s="15"/>
      <c r="E17" s="15"/>
      <c r="F17" s="15"/>
      <c r="G17" s="15">
        <f t="shared" si="12"/>
        <v>0</v>
      </c>
      <c r="H17" s="15">
        <f t="shared" si="12"/>
        <v>0</v>
      </c>
      <c r="I17" s="15">
        <f t="shared" si="13"/>
        <v>0</v>
      </c>
      <c r="J17" s="15">
        <f t="shared" si="14"/>
        <v>0</v>
      </c>
      <c r="K17" s="15">
        <v>5</v>
      </c>
      <c r="L17" s="15">
        <f t="shared" ref="L17:L18" si="19">100-J17-K17</f>
        <v>95</v>
      </c>
      <c r="M17" s="15" t="str">
        <f t="shared" si="15"/>
        <v>A</v>
      </c>
      <c r="N17" s="15" t="str">
        <f t="shared" si="18"/>
        <v>100% LTT</v>
      </c>
    </row>
    <row r="18" spans="1:14" ht="19.5" customHeight="1" x14ac:dyDescent="0.3">
      <c r="A18" s="15">
        <f t="shared" si="16"/>
        <v>10</v>
      </c>
      <c r="B18" s="16" t="s">
        <v>98</v>
      </c>
      <c r="C18" s="15" t="s">
        <v>102</v>
      </c>
      <c r="D18" s="15"/>
      <c r="E18" s="15"/>
      <c r="F18" s="15"/>
      <c r="G18" s="15">
        <f t="shared" si="12"/>
        <v>0</v>
      </c>
      <c r="H18" s="15">
        <f t="shared" si="12"/>
        <v>0</v>
      </c>
      <c r="I18" s="15">
        <f t="shared" si="13"/>
        <v>0</v>
      </c>
      <c r="J18" s="15">
        <f t="shared" si="14"/>
        <v>0</v>
      </c>
      <c r="K18" s="15">
        <v>8</v>
      </c>
      <c r="L18" s="15">
        <f t="shared" si="19"/>
        <v>92</v>
      </c>
      <c r="M18" s="15" t="str">
        <f t="shared" si="15"/>
        <v>A</v>
      </c>
      <c r="N18" s="15" t="str">
        <f t="shared" si="18"/>
        <v>100% LTT</v>
      </c>
    </row>
    <row r="19" spans="1:14" ht="19.5" customHeight="1" x14ac:dyDescent="0.3">
      <c r="A19" s="15">
        <f t="shared" si="16"/>
        <v>11</v>
      </c>
      <c r="B19" s="16" t="s">
        <v>99</v>
      </c>
      <c r="C19" s="15" t="s">
        <v>102</v>
      </c>
      <c r="D19" s="15"/>
      <c r="E19" s="15"/>
      <c r="F19" s="15"/>
      <c r="G19" s="15">
        <f t="shared" si="12"/>
        <v>0</v>
      </c>
      <c r="H19" s="15">
        <f t="shared" si="12"/>
        <v>0</v>
      </c>
      <c r="I19" s="15">
        <f t="shared" si="13"/>
        <v>0</v>
      </c>
      <c r="J19" s="15">
        <f t="shared" si="14"/>
        <v>0</v>
      </c>
      <c r="K19" s="15">
        <v>3</v>
      </c>
      <c r="L19" s="15">
        <f t="shared" si="17"/>
        <v>97</v>
      </c>
      <c r="M19" s="15" t="str">
        <f t="shared" si="15"/>
        <v>A</v>
      </c>
      <c r="N19" s="15" t="str">
        <f t="shared" si="18"/>
        <v>100% LTT</v>
      </c>
    </row>
    <row r="20" spans="1:14" ht="19.5" customHeight="1" x14ac:dyDescent="0.3">
      <c r="A20" s="15">
        <f t="shared" si="16"/>
        <v>12</v>
      </c>
      <c r="B20" s="16" t="s">
        <v>152</v>
      </c>
      <c r="C20" s="15" t="s">
        <v>153</v>
      </c>
      <c r="D20" s="15"/>
      <c r="E20" s="15"/>
      <c r="F20" s="15"/>
      <c r="G20" s="15">
        <f t="shared" si="12"/>
        <v>0</v>
      </c>
      <c r="H20" s="15">
        <f t="shared" si="12"/>
        <v>0</v>
      </c>
      <c r="I20" s="15">
        <f t="shared" si="13"/>
        <v>0</v>
      </c>
      <c r="J20" s="15">
        <f t="shared" si="14"/>
        <v>0</v>
      </c>
      <c r="K20" s="15">
        <v>7</v>
      </c>
      <c r="L20" s="15">
        <f t="shared" si="17"/>
        <v>93</v>
      </c>
      <c r="M20" s="15" t="str">
        <f t="shared" si="15"/>
        <v>A</v>
      </c>
      <c r="N20" s="15" t="str">
        <f t="shared" si="18"/>
        <v>100% LTT</v>
      </c>
    </row>
    <row r="21" spans="1:14" ht="19.5" customHeight="1" x14ac:dyDescent="0.3">
      <c r="A21" s="15">
        <f t="shared" si="16"/>
        <v>13</v>
      </c>
      <c r="B21" s="16" t="s">
        <v>100</v>
      </c>
      <c r="C21" s="15" t="s">
        <v>102</v>
      </c>
      <c r="D21" s="15"/>
      <c r="E21" s="15"/>
      <c r="F21" s="15"/>
      <c r="G21" s="15">
        <f t="shared" si="12"/>
        <v>0</v>
      </c>
      <c r="H21" s="15">
        <f t="shared" si="12"/>
        <v>0</v>
      </c>
      <c r="I21" s="15">
        <f t="shared" si="13"/>
        <v>0</v>
      </c>
      <c r="J21" s="15">
        <f t="shared" si="14"/>
        <v>0</v>
      </c>
      <c r="K21" s="15">
        <v>5</v>
      </c>
      <c r="L21" s="15">
        <f t="shared" si="17"/>
        <v>95</v>
      </c>
      <c r="M21" s="15" t="str">
        <f t="shared" si="15"/>
        <v>A</v>
      </c>
      <c r="N21" s="15" t="str">
        <f t="shared" si="18"/>
        <v>100% LTT</v>
      </c>
    </row>
    <row r="22" spans="1:14" ht="19.5" customHeight="1" x14ac:dyDescent="0.3">
      <c r="A22" s="15">
        <f t="shared" si="16"/>
        <v>14</v>
      </c>
      <c r="B22" s="18" t="s">
        <v>116</v>
      </c>
      <c r="C22" s="17" t="s">
        <v>107</v>
      </c>
      <c r="D22" s="17"/>
      <c r="E22" s="17"/>
      <c r="F22" s="17"/>
      <c r="G22" s="15">
        <f t="shared" si="12"/>
        <v>0</v>
      </c>
      <c r="H22" s="15">
        <f t="shared" si="12"/>
        <v>0</v>
      </c>
      <c r="I22" s="15">
        <f t="shared" si="13"/>
        <v>0</v>
      </c>
      <c r="J22" s="15">
        <f t="shared" si="14"/>
        <v>0</v>
      </c>
      <c r="K22" s="17">
        <v>8</v>
      </c>
      <c r="L22" s="15">
        <f t="shared" si="17"/>
        <v>92</v>
      </c>
      <c r="M22" s="15" t="str">
        <f t="shared" si="15"/>
        <v>A</v>
      </c>
      <c r="N22" s="17" t="str">
        <f t="shared" si="18"/>
        <v>100% LTT</v>
      </c>
    </row>
    <row r="23" spans="1:14" ht="22.5" customHeight="1" x14ac:dyDescent="0.3">
      <c r="A23" s="180" t="s">
        <v>64</v>
      </c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  <c r="N23" s="180"/>
    </row>
    <row r="24" spans="1:14" ht="22.5" customHeight="1" x14ac:dyDescent="0.3">
      <c r="J24" s="185" t="s">
        <v>162</v>
      </c>
      <c r="K24" s="185"/>
      <c r="L24" s="185"/>
      <c r="M24" s="185"/>
      <c r="N24" s="185"/>
    </row>
    <row r="25" spans="1:14" ht="22.5" customHeight="1" x14ac:dyDescent="0.3">
      <c r="B25" s="178" t="s">
        <v>22</v>
      </c>
      <c r="C25" s="178"/>
      <c r="D25" s="178"/>
      <c r="L25" s="178" t="s">
        <v>25</v>
      </c>
      <c r="M25" s="178"/>
      <c r="N25" s="178"/>
    </row>
    <row r="26" spans="1:14" ht="22.5" customHeight="1" x14ac:dyDescent="0.3">
      <c r="L26" s="160"/>
      <c r="M26" s="160"/>
    </row>
    <row r="27" spans="1:14" ht="22.5" customHeight="1" x14ac:dyDescent="0.3">
      <c r="L27" s="160"/>
      <c r="M27" s="160"/>
    </row>
    <row r="28" spans="1:14" ht="22.5" customHeight="1" x14ac:dyDescent="0.3">
      <c r="L28" s="160"/>
      <c r="M28" s="160"/>
    </row>
    <row r="29" spans="1:14" ht="22.5" customHeight="1" x14ac:dyDescent="0.3">
      <c r="B29" s="178" t="s">
        <v>28</v>
      </c>
      <c r="C29" s="178"/>
      <c r="D29" s="178"/>
      <c r="L29" s="178" t="s">
        <v>27</v>
      </c>
      <c r="M29" s="178"/>
      <c r="N29" s="178"/>
    </row>
    <row r="30" spans="1:14" ht="22.5" customHeight="1" x14ac:dyDescent="0.3">
      <c r="C30" s="1"/>
      <c r="D30" s="1"/>
    </row>
  </sheetData>
  <mergeCells count="25">
    <mergeCell ref="O4:O5"/>
    <mergeCell ref="A1:N1"/>
    <mergeCell ref="A2:N2"/>
    <mergeCell ref="A3:N3"/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L4:L5"/>
    <mergeCell ref="M4:M5"/>
    <mergeCell ref="N4:N5"/>
    <mergeCell ref="B29:D29"/>
    <mergeCell ref="L29:N29"/>
    <mergeCell ref="A6:C6"/>
    <mergeCell ref="A11:C11"/>
    <mergeCell ref="A13:C13"/>
    <mergeCell ref="A23:N23"/>
    <mergeCell ref="J24:N24"/>
    <mergeCell ref="B25:D25"/>
    <mergeCell ref="L25:N25"/>
  </mergeCells>
  <pageMargins left="0.26" right="0.24" top="0.47" bottom="0.33" header="0.3" footer="0.3"/>
  <pageSetup paperSize="9" scale="75" orientation="landscape" verticalDpi="0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zoomScale="80" zoomScaleNormal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7" sqref="F7"/>
    </sheetView>
  </sheetViews>
  <sheetFormatPr defaultColWidth="9.109375" defaultRowHeight="16.8" x14ac:dyDescent="0.3"/>
  <cols>
    <col min="1" max="1" width="6.109375" style="2" customWidth="1"/>
    <col min="2" max="2" width="27.5546875" style="1" customWidth="1"/>
    <col min="3" max="3" width="22" style="2" customWidth="1"/>
    <col min="4" max="6" width="11.33203125" style="2" customWidth="1"/>
    <col min="7" max="9" width="12.33203125" style="2" customWidth="1"/>
    <col min="10" max="10" width="12.44140625" style="2" customWidth="1"/>
    <col min="11" max="11" width="11.33203125" style="2" customWidth="1"/>
    <col min="12" max="12" width="12.109375" style="2" customWidth="1"/>
    <col min="13" max="13" width="9.44140625" style="2" customWidth="1"/>
    <col min="14" max="14" width="15" style="2" customWidth="1"/>
    <col min="15" max="15" width="53.88671875" style="2" customWidth="1"/>
    <col min="16" max="16384" width="9.109375" style="1"/>
  </cols>
  <sheetData>
    <row r="1" spans="1:15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5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</row>
    <row r="3" spans="1:15" ht="22.5" customHeight="1" x14ac:dyDescent="0.3">
      <c r="A3" s="179" t="s">
        <v>172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</row>
    <row r="4" spans="1:15" s="3" customFormat="1" ht="22.5" customHeight="1" x14ac:dyDescent="0.3">
      <c r="A4" s="180" t="s">
        <v>0</v>
      </c>
      <c r="B4" s="180" t="s">
        <v>1</v>
      </c>
      <c r="C4" s="180" t="s">
        <v>2</v>
      </c>
      <c r="D4" s="180" t="s">
        <v>23</v>
      </c>
      <c r="E4" s="180"/>
      <c r="F4" s="180"/>
      <c r="G4" s="181" t="s">
        <v>29</v>
      </c>
      <c r="H4" s="181" t="s">
        <v>30</v>
      </c>
      <c r="I4" s="181" t="s">
        <v>31</v>
      </c>
      <c r="J4" s="181" t="s">
        <v>96</v>
      </c>
      <c r="K4" s="181" t="s">
        <v>97</v>
      </c>
      <c r="L4" s="180" t="s">
        <v>6</v>
      </c>
      <c r="M4" s="180" t="s">
        <v>7</v>
      </c>
      <c r="N4" s="180" t="s">
        <v>8</v>
      </c>
      <c r="O4" s="183"/>
    </row>
    <row r="5" spans="1:15" s="3" customFormat="1" ht="49.8" customHeight="1" x14ac:dyDescent="0.3">
      <c r="A5" s="180"/>
      <c r="B5" s="180"/>
      <c r="C5" s="180"/>
      <c r="D5" s="163" t="s">
        <v>3</v>
      </c>
      <c r="E5" s="163" t="s">
        <v>4</v>
      </c>
      <c r="F5" s="163" t="s">
        <v>5</v>
      </c>
      <c r="G5" s="182"/>
      <c r="H5" s="182"/>
      <c r="I5" s="182"/>
      <c r="J5" s="182"/>
      <c r="K5" s="182"/>
      <c r="L5" s="180"/>
      <c r="M5" s="180"/>
      <c r="N5" s="180"/>
      <c r="O5" s="183"/>
    </row>
    <row r="6" spans="1:15" ht="19.5" customHeight="1" x14ac:dyDescent="0.3">
      <c r="A6" s="184" t="s">
        <v>15</v>
      </c>
      <c r="B6" s="184"/>
      <c r="C6" s="18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5" ht="19.5" customHeight="1" x14ac:dyDescent="0.3">
      <c r="A7" s="15">
        <v>1</v>
      </c>
      <c r="B7" s="16" t="s">
        <v>52</v>
      </c>
      <c r="C7" s="15" t="s">
        <v>19</v>
      </c>
      <c r="D7" s="15"/>
      <c r="E7" s="15"/>
      <c r="F7" s="15"/>
      <c r="G7" s="15">
        <f t="shared" ref="G7:H10" si="0">IF(D7&gt;5,(D7-5)*2,0)</f>
        <v>0</v>
      </c>
      <c r="H7" s="15">
        <f t="shared" si="0"/>
        <v>0</v>
      </c>
      <c r="I7" s="15">
        <f t="shared" ref="I7:I10" si="1">IF(F7&gt;2,(F7-2)*1,0)</f>
        <v>0</v>
      </c>
      <c r="J7" s="15">
        <f t="shared" ref="J7:J10" si="2">SUM(G7:I7)</f>
        <v>0</v>
      </c>
      <c r="K7" s="15"/>
      <c r="L7" s="15">
        <f t="shared" ref="L7:L10" si="3">100-J7-K7</f>
        <v>100</v>
      </c>
      <c r="M7" s="15" t="str">
        <f t="shared" ref="M7:M10" si="4">IF(L7&lt;71,"KL",IF(AND(L7&gt;=71,L7&lt;81),"C",IF(AND(L7&gt;=81,L7&lt;91),"B","A")))</f>
        <v>A</v>
      </c>
      <c r="N7" s="15" t="str">
        <f t="shared" ref="N7:N10" si="5">IF(M7="A","100% LTT",IF(M7="B","90% LTT",IF(M7="C","80% LTT","60% LTT")))</f>
        <v>100% LTT</v>
      </c>
      <c r="O7" s="34"/>
    </row>
    <row r="8" spans="1:15" ht="19.5" customHeight="1" x14ac:dyDescent="0.3">
      <c r="A8" s="15">
        <f t="shared" ref="A8:A10" si="6">A7+1</f>
        <v>2</v>
      </c>
      <c r="B8" s="16" t="s">
        <v>59</v>
      </c>
      <c r="C8" s="15" t="s">
        <v>19</v>
      </c>
      <c r="D8" s="15"/>
      <c r="E8" s="15"/>
      <c r="F8" s="15"/>
      <c r="G8" s="15">
        <f t="shared" si="0"/>
        <v>0</v>
      </c>
      <c r="H8" s="15">
        <f t="shared" si="0"/>
        <v>0</v>
      </c>
      <c r="I8" s="15">
        <f t="shared" si="1"/>
        <v>0</v>
      </c>
      <c r="J8" s="15">
        <f t="shared" si="2"/>
        <v>0</v>
      </c>
      <c r="K8" s="15"/>
      <c r="L8" s="15">
        <f t="shared" si="3"/>
        <v>100</v>
      </c>
      <c r="M8" s="15" t="str">
        <f t="shared" si="4"/>
        <v>A</v>
      </c>
      <c r="N8" s="15" t="str">
        <f t="shared" si="5"/>
        <v>100% LTT</v>
      </c>
      <c r="O8" s="35"/>
    </row>
    <row r="9" spans="1:15" ht="19.5" customHeight="1" x14ac:dyDescent="0.3">
      <c r="A9" s="15">
        <f t="shared" si="6"/>
        <v>3</v>
      </c>
      <c r="B9" s="16" t="s">
        <v>161</v>
      </c>
      <c r="C9" s="15" t="s">
        <v>19</v>
      </c>
      <c r="D9" s="15"/>
      <c r="E9" s="15"/>
      <c r="F9" s="15"/>
      <c r="G9" s="15">
        <f t="shared" si="0"/>
        <v>0</v>
      </c>
      <c r="H9" s="15">
        <f t="shared" si="0"/>
        <v>0</v>
      </c>
      <c r="I9" s="15">
        <f t="shared" si="1"/>
        <v>0</v>
      </c>
      <c r="J9" s="15">
        <f t="shared" si="2"/>
        <v>0</v>
      </c>
      <c r="K9" s="15">
        <v>1</v>
      </c>
      <c r="L9" s="15">
        <f t="shared" si="3"/>
        <v>99</v>
      </c>
      <c r="M9" s="15" t="str">
        <f t="shared" si="4"/>
        <v>A</v>
      </c>
      <c r="N9" s="15" t="str">
        <f t="shared" si="5"/>
        <v>100% LTT</v>
      </c>
      <c r="O9" s="35"/>
    </row>
    <row r="10" spans="1:15" ht="19.5" customHeight="1" x14ac:dyDescent="0.3">
      <c r="A10" s="15">
        <f t="shared" si="6"/>
        <v>4</v>
      </c>
      <c r="B10" s="18" t="s">
        <v>11</v>
      </c>
      <c r="C10" s="17" t="s">
        <v>51</v>
      </c>
      <c r="D10" s="17">
        <v>7</v>
      </c>
      <c r="E10" s="17"/>
      <c r="F10" s="17"/>
      <c r="G10" s="17">
        <f t="shared" si="0"/>
        <v>4</v>
      </c>
      <c r="H10" s="17">
        <f t="shared" si="0"/>
        <v>0</v>
      </c>
      <c r="I10" s="17">
        <f t="shared" si="1"/>
        <v>0</v>
      </c>
      <c r="J10" s="17">
        <f t="shared" si="2"/>
        <v>4</v>
      </c>
      <c r="K10" s="17">
        <v>1</v>
      </c>
      <c r="L10" s="15">
        <f t="shared" si="3"/>
        <v>95</v>
      </c>
      <c r="M10" s="17" t="str">
        <f t="shared" si="4"/>
        <v>A</v>
      </c>
      <c r="N10" s="17" t="str">
        <f t="shared" si="5"/>
        <v>100% LTT</v>
      </c>
      <c r="O10" s="35"/>
    </row>
    <row r="11" spans="1:15" ht="19.5" customHeight="1" x14ac:dyDescent="0.3">
      <c r="A11" s="184" t="s">
        <v>16</v>
      </c>
      <c r="B11" s="184"/>
      <c r="C11" s="18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5" ht="19.5" customHeight="1" x14ac:dyDescent="0.3">
      <c r="A12" s="17">
        <f>A10+1</f>
        <v>5</v>
      </c>
      <c r="B12" s="18" t="s">
        <v>28</v>
      </c>
      <c r="C12" s="17" t="s">
        <v>121</v>
      </c>
      <c r="D12" s="4"/>
      <c r="E12" s="17"/>
      <c r="F12" s="17">
        <v>4</v>
      </c>
      <c r="G12" s="17">
        <f t="shared" ref="G12:H12" si="7">IF(D12&gt;5,(D12-5)*2,0)</f>
        <v>0</v>
      </c>
      <c r="H12" s="17">
        <f t="shared" si="7"/>
        <v>0</v>
      </c>
      <c r="I12" s="17">
        <f t="shared" ref="I12" si="8">IF(F12&gt;2,(F12-2)*1,0)</f>
        <v>2</v>
      </c>
      <c r="J12" s="17">
        <f t="shared" ref="J12" si="9">SUM(G12:I12)</f>
        <v>2</v>
      </c>
      <c r="K12" s="17"/>
      <c r="L12" s="17">
        <f>100-J12-K12</f>
        <v>98</v>
      </c>
      <c r="M12" s="17" t="str">
        <f t="shared" ref="M12" si="10">IF(L12&lt;71,"KL",IF(AND(L12&gt;=71,L12&lt;81),"C",IF(AND(L12&gt;=81,L12&lt;91),"B","A")))</f>
        <v>A</v>
      </c>
      <c r="N12" s="17" t="str">
        <f t="shared" ref="N12" si="11">IF(M12="A","100% LTT",IF(M12="B","90% LTT",IF(M12="C","80% LTT","60% LTT")))</f>
        <v>100% LTT</v>
      </c>
    </row>
    <row r="13" spans="1:15" ht="19.5" customHeight="1" x14ac:dyDescent="0.3">
      <c r="A13" s="184" t="s">
        <v>17</v>
      </c>
      <c r="B13" s="184"/>
      <c r="C13" s="18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5" ht="19.5" customHeight="1" x14ac:dyDescent="0.3">
      <c r="A14" s="15">
        <f>A12+1</f>
        <v>6</v>
      </c>
      <c r="B14" s="16" t="s">
        <v>13</v>
      </c>
      <c r="C14" s="15" t="s">
        <v>101</v>
      </c>
      <c r="D14" s="15"/>
      <c r="E14" s="15"/>
      <c r="F14" s="15"/>
      <c r="G14" s="15">
        <f t="shared" ref="G14:H22" si="12">IF(D14&gt;5,(D14-5)*2,0)</f>
        <v>0</v>
      </c>
      <c r="H14" s="15">
        <f t="shared" si="12"/>
        <v>0</v>
      </c>
      <c r="I14" s="15">
        <f t="shared" ref="I14:I22" si="13">IF(F14&gt;2,(F14-2)*1,0)</f>
        <v>0</v>
      </c>
      <c r="J14" s="15">
        <f t="shared" ref="J14:J22" si="14">SUM(G14:I14)</f>
        <v>0</v>
      </c>
      <c r="K14" s="15"/>
      <c r="L14" s="15">
        <f>100-J14-K14</f>
        <v>100</v>
      </c>
      <c r="M14" s="15" t="str">
        <f t="shared" ref="M14:M22" si="15">IF(L14&lt;71,"KL",IF(AND(L14&gt;=71,L14&lt;81),"C",IF(AND(L14&gt;=81,L14&lt;91),"B","A")))</f>
        <v>A</v>
      </c>
      <c r="N14" s="17" t="str">
        <f>IF(M14="A","100% LTT",IF(M14="B","90% LTT",IF(M14="C","80% LTT","60% LTT")))</f>
        <v>100% LTT</v>
      </c>
    </row>
    <row r="15" spans="1:15" ht="19.5" customHeight="1" x14ac:dyDescent="0.3">
      <c r="A15" s="15">
        <f t="shared" ref="A15:A22" si="16">A14+1</f>
        <v>7</v>
      </c>
      <c r="B15" s="16" t="s">
        <v>14</v>
      </c>
      <c r="C15" s="15" t="s">
        <v>19</v>
      </c>
      <c r="D15" s="15">
        <v>6</v>
      </c>
      <c r="E15" s="15"/>
      <c r="F15" s="15">
        <v>2</v>
      </c>
      <c r="G15" s="15">
        <f t="shared" si="12"/>
        <v>2</v>
      </c>
      <c r="H15" s="15">
        <f t="shared" si="12"/>
        <v>0</v>
      </c>
      <c r="I15" s="15">
        <f t="shared" si="13"/>
        <v>0</v>
      </c>
      <c r="J15" s="15">
        <f t="shared" si="14"/>
        <v>2</v>
      </c>
      <c r="K15" s="15">
        <v>4</v>
      </c>
      <c r="L15" s="15">
        <f t="shared" ref="L15:L22" si="17">100-J15-K15</f>
        <v>94</v>
      </c>
      <c r="M15" s="15" t="str">
        <f t="shared" si="15"/>
        <v>A</v>
      </c>
      <c r="N15" s="15" t="str">
        <f t="shared" ref="N15:N22" si="18">IF(M15="A","100% LTT",IF(M15="B","90% LTT",IF(M15="C","80% LTT","60% LTT")))</f>
        <v>100% LTT</v>
      </c>
    </row>
    <row r="16" spans="1:15" ht="19.5" customHeight="1" x14ac:dyDescent="0.3">
      <c r="A16" s="15">
        <f t="shared" si="16"/>
        <v>8</v>
      </c>
      <c r="B16" s="16" t="s">
        <v>40</v>
      </c>
      <c r="C16" s="15" t="s">
        <v>19</v>
      </c>
      <c r="D16" s="15"/>
      <c r="E16" s="15"/>
      <c r="F16" s="15"/>
      <c r="G16" s="15">
        <f t="shared" si="12"/>
        <v>0</v>
      </c>
      <c r="H16" s="15">
        <f t="shared" si="12"/>
        <v>0</v>
      </c>
      <c r="I16" s="15">
        <f t="shared" si="13"/>
        <v>0</v>
      </c>
      <c r="J16" s="15">
        <f t="shared" si="14"/>
        <v>0</v>
      </c>
      <c r="K16" s="15">
        <v>4</v>
      </c>
      <c r="L16" s="15">
        <f>100-J16-K16</f>
        <v>96</v>
      </c>
      <c r="M16" s="15" t="str">
        <f t="shared" si="15"/>
        <v>A</v>
      </c>
      <c r="N16" s="15" t="str">
        <f t="shared" si="18"/>
        <v>100% LTT</v>
      </c>
    </row>
    <row r="17" spans="1:14" ht="19.5" customHeight="1" x14ac:dyDescent="0.3">
      <c r="A17" s="15">
        <f t="shared" si="16"/>
        <v>9</v>
      </c>
      <c r="B17" s="16" t="s">
        <v>130</v>
      </c>
      <c r="C17" s="15" t="s">
        <v>131</v>
      </c>
      <c r="D17" s="15"/>
      <c r="E17" s="15"/>
      <c r="F17" s="15"/>
      <c r="G17" s="15">
        <f t="shared" si="12"/>
        <v>0</v>
      </c>
      <c r="H17" s="15">
        <f t="shared" si="12"/>
        <v>0</v>
      </c>
      <c r="I17" s="15">
        <f t="shared" si="13"/>
        <v>0</v>
      </c>
      <c r="J17" s="15">
        <f t="shared" si="14"/>
        <v>0</v>
      </c>
      <c r="K17" s="15">
        <v>5</v>
      </c>
      <c r="L17" s="15">
        <f t="shared" ref="L17:L18" si="19">100-J17-K17</f>
        <v>95</v>
      </c>
      <c r="M17" s="15" t="str">
        <f t="shared" si="15"/>
        <v>A</v>
      </c>
      <c r="N17" s="15" t="str">
        <f t="shared" si="18"/>
        <v>100% LTT</v>
      </c>
    </row>
    <row r="18" spans="1:14" ht="19.5" customHeight="1" x14ac:dyDescent="0.3">
      <c r="A18" s="15">
        <f t="shared" si="16"/>
        <v>10</v>
      </c>
      <c r="B18" s="16" t="s">
        <v>98</v>
      </c>
      <c r="C18" s="15" t="s">
        <v>102</v>
      </c>
      <c r="D18" s="15"/>
      <c r="E18" s="15"/>
      <c r="F18" s="15"/>
      <c r="G18" s="15">
        <f t="shared" si="12"/>
        <v>0</v>
      </c>
      <c r="H18" s="15">
        <f t="shared" si="12"/>
        <v>0</v>
      </c>
      <c r="I18" s="15">
        <f t="shared" si="13"/>
        <v>0</v>
      </c>
      <c r="J18" s="15">
        <f t="shared" si="14"/>
        <v>0</v>
      </c>
      <c r="K18" s="15">
        <v>8</v>
      </c>
      <c r="L18" s="15">
        <f t="shared" si="19"/>
        <v>92</v>
      </c>
      <c r="M18" s="15" t="str">
        <f t="shared" si="15"/>
        <v>A</v>
      </c>
      <c r="N18" s="15" t="str">
        <f t="shared" si="18"/>
        <v>100% LTT</v>
      </c>
    </row>
    <row r="19" spans="1:14" ht="19.5" customHeight="1" x14ac:dyDescent="0.3">
      <c r="A19" s="15">
        <f t="shared" si="16"/>
        <v>11</v>
      </c>
      <c r="B19" s="16" t="s">
        <v>99</v>
      </c>
      <c r="C19" s="15" t="s">
        <v>102</v>
      </c>
      <c r="D19" s="15"/>
      <c r="E19" s="15"/>
      <c r="F19" s="15"/>
      <c r="G19" s="15">
        <f t="shared" si="12"/>
        <v>0</v>
      </c>
      <c r="H19" s="15">
        <f t="shared" si="12"/>
        <v>0</v>
      </c>
      <c r="I19" s="15">
        <f t="shared" si="13"/>
        <v>0</v>
      </c>
      <c r="J19" s="15">
        <f t="shared" si="14"/>
        <v>0</v>
      </c>
      <c r="K19" s="15">
        <v>3</v>
      </c>
      <c r="L19" s="15">
        <f t="shared" si="17"/>
        <v>97</v>
      </c>
      <c r="M19" s="15" t="str">
        <f t="shared" si="15"/>
        <v>A</v>
      </c>
      <c r="N19" s="15" t="str">
        <f t="shared" si="18"/>
        <v>100% LTT</v>
      </c>
    </row>
    <row r="20" spans="1:14" ht="19.5" customHeight="1" x14ac:dyDescent="0.3">
      <c r="A20" s="15">
        <f t="shared" si="16"/>
        <v>12</v>
      </c>
      <c r="B20" s="16" t="s">
        <v>152</v>
      </c>
      <c r="C20" s="15" t="s">
        <v>153</v>
      </c>
      <c r="D20" s="15"/>
      <c r="E20" s="15"/>
      <c r="F20" s="15"/>
      <c r="G20" s="15">
        <f t="shared" si="12"/>
        <v>0</v>
      </c>
      <c r="H20" s="15">
        <f t="shared" si="12"/>
        <v>0</v>
      </c>
      <c r="I20" s="15">
        <f t="shared" si="13"/>
        <v>0</v>
      </c>
      <c r="J20" s="15">
        <f t="shared" si="14"/>
        <v>0</v>
      </c>
      <c r="K20" s="15">
        <v>7</v>
      </c>
      <c r="L20" s="15">
        <f t="shared" si="17"/>
        <v>93</v>
      </c>
      <c r="M20" s="15" t="str">
        <f t="shared" si="15"/>
        <v>A</v>
      </c>
      <c r="N20" s="15" t="str">
        <f t="shared" si="18"/>
        <v>100% LTT</v>
      </c>
    </row>
    <row r="21" spans="1:14" ht="19.5" customHeight="1" x14ac:dyDescent="0.3">
      <c r="A21" s="15">
        <f t="shared" si="16"/>
        <v>13</v>
      </c>
      <c r="B21" s="16" t="s">
        <v>100</v>
      </c>
      <c r="C21" s="15" t="s">
        <v>102</v>
      </c>
      <c r="D21" s="15"/>
      <c r="E21" s="15"/>
      <c r="F21" s="15"/>
      <c r="G21" s="15">
        <f t="shared" si="12"/>
        <v>0</v>
      </c>
      <c r="H21" s="15">
        <f t="shared" si="12"/>
        <v>0</v>
      </c>
      <c r="I21" s="15">
        <f t="shared" si="13"/>
        <v>0</v>
      </c>
      <c r="J21" s="15">
        <f t="shared" si="14"/>
        <v>0</v>
      </c>
      <c r="K21" s="15">
        <v>5</v>
      </c>
      <c r="L21" s="15">
        <f t="shared" si="17"/>
        <v>95</v>
      </c>
      <c r="M21" s="15" t="str">
        <f t="shared" si="15"/>
        <v>A</v>
      </c>
      <c r="N21" s="15" t="str">
        <f t="shared" si="18"/>
        <v>100% LTT</v>
      </c>
    </row>
    <row r="22" spans="1:14" ht="19.5" customHeight="1" x14ac:dyDescent="0.3">
      <c r="A22" s="15">
        <f t="shared" si="16"/>
        <v>14</v>
      </c>
      <c r="B22" s="18" t="s">
        <v>116</v>
      </c>
      <c r="C22" s="17" t="s">
        <v>107</v>
      </c>
      <c r="D22" s="17"/>
      <c r="E22" s="17"/>
      <c r="F22" s="17"/>
      <c r="G22" s="15">
        <f t="shared" si="12"/>
        <v>0</v>
      </c>
      <c r="H22" s="15">
        <f t="shared" si="12"/>
        <v>0</v>
      </c>
      <c r="I22" s="15">
        <f t="shared" si="13"/>
        <v>0</v>
      </c>
      <c r="J22" s="15">
        <f t="shared" si="14"/>
        <v>0</v>
      </c>
      <c r="K22" s="17">
        <v>8</v>
      </c>
      <c r="L22" s="15">
        <f t="shared" si="17"/>
        <v>92</v>
      </c>
      <c r="M22" s="15" t="str">
        <f t="shared" si="15"/>
        <v>A</v>
      </c>
      <c r="N22" s="17" t="str">
        <f t="shared" si="18"/>
        <v>100% LTT</v>
      </c>
    </row>
    <row r="23" spans="1:14" ht="22.5" customHeight="1" x14ac:dyDescent="0.3">
      <c r="A23" s="180" t="s">
        <v>64</v>
      </c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  <c r="N23" s="180"/>
    </row>
    <row r="24" spans="1:14" ht="22.5" customHeight="1" x14ac:dyDescent="0.3">
      <c r="J24" s="185" t="s">
        <v>162</v>
      </c>
      <c r="K24" s="185"/>
      <c r="L24" s="185"/>
      <c r="M24" s="185"/>
      <c r="N24" s="185"/>
    </row>
    <row r="25" spans="1:14" ht="22.5" customHeight="1" x14ac:dyDescent="0.3">
      <c r="B25" s="178" t="s">
        <v>22</v>
      </c>
      <c r="C25" s="178"/>
      <c r="D25" s="178"/>
      <c r="L25" s="178" t="s">
        <v>25</v>
      </c>
      <c r="M25" s="178"/>
      <c r="N25" s="178"/>
    </row>
    <row r="26" spans="1:14" ht="22.5" customHeight="1" x14ac:dyDescent="0.3">
      <c r="L26" s="162"/>
      <c r="M26" s="162"/>
    </row>
    <row r="27" spans="1:14" ht="22.5" customHeight="1" x14ac:dyDescent="0.3">
      <c r="L27" s="162"/>
      <c r="M27" s="162"/>
    </row>
    <row r="28" spans="1:14" ht="22.5" customHeight="1" x14ac:dyDescent="0.3">
      <c r="L28" s="162"/>
      <c r="M28" s="162"/>
    </row>
    <row r="29" spans="1:14" ht="22.5" customHeight="1" x14ac:dyDescent="0.3">
      <c r="B29" s="178" t="s">
        <v>28</v>
      </c>
      <c r="C29" s="178"/>
      <c r="D29" s="178"/>
      <c r="L29" s="178" t="s">
        <v>27</v>
      </c>
      <c r="M29" s="178"/>
      <c r="N29" s="178"/>
    </row>
    <row r="30" spans="1:14" ht="22.5" customHeight="1" x14ac:dyDescent="0.3">
      <c r="C30" s="1"/>
      <c r="D30" s="1"/>
    </row>
  </sheetData>
  <mergeCells count="25">
    <mergeCell ref="O4:O5"/>
    <mergeCell ref="A1:N1"/>
    <mergeCell ref="A2:N2"/>
    <mergeCell ref="A3:N3"/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L4:L5"/>
    <mergeCell ref="M4:M5"/>
    <mergeCell ref="N4:N5"/>
    <mergeCell ref="B29:D29"/>
    <mergeCell ref="L29:N29"/>
    <mergeCell ref="A6:C6"/>
    <mergeCell ref="A11:C11"/>
    <mergeCell ref="A13:C13"/>
    <mergeCell ref="A23:N23"/>
    <mergeCell ref="J24:N24"/>
    <mergeCell ref="B25:D25"/>
    <mergeCell ref="L25:N25"/>
  </mergeCells>
  <pageMargins left="0.26" right="0.24" top="0.47" bottom="0.33" header="0.3" footer="0.3"/>
  <pageSetup paperSize="9" scale="75" orientation="landscape" verticalDpi="0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zoomScale="80" zoomScaleNormal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9" sqref="I9"/>
    </sheetView>
  </sheetViews>
  <sheetFormatPr defaultColWidth="9.109375" defaultRowHeight="16.8" x14ac:dyDescent="0.3"/>
  <cols>
    <col min="1" max="1" width="6.109375" style="2" customWidth="1"/>
    <col min="2" max="2" width="27.5546875" style="1" customWidth="1"/>
    <col min="3" max="3" width="22" style="2" customWidth="1"/>
    <col min="4" max="6" width="11.33203125" style="2" customWidth="1"/>
    <col min="7" max="9" width="12.33203125" style="2" customWidth="1"/>
    <col min="10" max="10" width="12.44140625" style="2" customWidth="1"/>
    <col min="11" max="11" width="11.33203125" style="2" customWidth="1"/>
    <col min="12" max="12" width="12.109375" style="2" customWidth="1"/>
    <col min="13" max="13" width="9.44140625" style="2" customWidth="1"/>
    <col min="14" max="14" width="15" style="2" customWidth="1"/>
    <col min="15" max="15" width="53.88671875" style="2" customWidth="1"/>
    <col min="16" max="16384" width="9.109375" style="1"/>
  </cols>
  <sheetData>
    <row r="1" spans="1:15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5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</row>
    <row r="3" spans="1:15" ht="22.5" customHeight="1" x14ac:dyDescent="0.3">
      <c r="A3" s="179" t="s">
        <v>173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</row>
    <row r="4" spans="1:15" s="3" customFormat="1" ht="22.5" customHeight="1" x14ac:dyDescent="0.3">
      <c r="A4" s="180" t="s">
        <v>0</v>
      </c>
      <c r="B4" s="180" t="s">
        <v>1</v>
      </c>
      <c r="C4" s="180" t="s">
        <v>2</v>
      </c>
      <c r="D4" s="180" t="s">
        <v>23</v>
      </c>
      <c r="E4" s="180"/>
      <c r="F4" s="180"/>
      <c r="G4" s="181" t="s">
        <v>29</v>
      </c>
      <c r="H4" s="181" t="s">
        <v>30</v>
      </c>
      <c r="I4" s="181" t="s">
        <v>31</v>
      </c>
      <c r="J4" s="181" t="s">
        <v>96</v>
      </c>
      <c r="K4" s="181" t="s">
        <v>97</v>
      </c>
      <c r="L4" s="180" t="s">
        <v>6</v>
      </c>
      <c r="M4" s="180" t="s">
        <v>7</v>
      </c>
      <c r="N4" s="180" t="s">
        <v>8</v>
      </c>
      <c r="O4" s="183"/>
    </row>
    <row r="5" spans="1:15" s="3" customFormat="1" ht="49.8" customHeight="1" x14ac:dyDescent="0.3">
      <c r="A5" s="180"/>
      <c r="B5" s="180"/>
      <c r="C5" s="180"/>
      <c r="D5" s="165" t="s">
        <v>3</v>
      </c>
      <c r="E5" s="165" t="s">
        <v>4</v>
      </c>
      <c r="F5" s="165" t="s">
        <v>5</v>
      </c>
      <c r="G5" s="182"/>
      <c r="H5" s="182"/>
      <c r="I5" s="182"/>
      <c r="J5" s="182"/>
      <c r="K5" s="182"/>
      <c r="L5" s="180"/>
      <c r="M5" s="180"/>
      <c r="N5" s="180"/>
      <c r="O5" s="183"/>
    </row>
    <row r="6" spans="1:15" ht="19.5" customHeight="1" x14ac:dyDescent="0.3">
      <c r="A6" s="184" t="s">
        <v>15</v>
      </c>
      <c r="B6" s="184"/>
      <c r="C6" s="18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5" ht="19.5" customHeight="1" x14ac:dyDescent="0.3">
      <c r="A7" s="15">
        <v>1</v>
      </c>
      <c r="B7" s="16" t="s">
        <v>52</v>
      </c>
      <c r="C7" s="15" t="s">
        <v>19</v>
      </c>
      <c r="D7" s="15"/>
      <c r="E7" s="15"/>
      <c r="F7" s="15"/>
      <c r="G7" s="15">
        <f t="shared" ref="G7:H10" si="0">IF(D7&gt;5,(D7-5)*2,0)</f>
        <v>0</v>
      </c>
      <c r="H7" s="15">
        <f t="shared" si="0"/>
        <v>0</v>
      </c>
      <c r="I7" s="15">
        <f t="shared" ref="I7:I10" si="1">IF(F7&gt;2,(F7-2)*1,0)</f>
        <v>0</v>
      </c>
      <c r="J7" s="15">
        <f t="shared" ref="J7:J10" si="2">SUM(G7:I7)</f>
        <v>0</v>
      </c>
      <c r="K7" s="15"/>
      <c r="L7" s="15">
        <f t="shared" ref="L7:L10" si="3">100-J7-K7</f>
        <v>100</v>
      </c>
      <c r="M7" s="15" t="str">
        <f t="shared" ref="M7:M10" si="4">IF(L7&lt;71,"KL",IF(AND(L7&gt;=71,L7&lt;81),"C",IF(AND(L7&gt;=81,L7&lt;91),"B","A")))</f>
        <v>A</v>
      </c>
      <c r="N7" s="15" t="str">
        <f t="shared" ref="N7:N10" si="5">IF(M7="A","100% LTT",IF(M7="B","90% LTT",IF(M7="C","80% LTT","60% LTT")))</f>
        <v>100% LTT</v>
      </c>
      <c r="O7" s="34"/>
    </row>
    <row r="8" spans="1:15" ht="19.5" customHeight="1" x14ac:dyDescent="0.3">
      <c r="A8" s="15">
        <f t="shared" ref="A8:A10" si="6">A7+1</f>
        <v>2</v>
      </c>
      <c r="B8" s="16" t="s">
        <v>59</v>
      </c>
      <c r="C8" s="15" t="s">
        <v>19</v>
      </c>
      <c r="D8" s="15"/>
      <c r="E8" s="15"/>
      <c r="F8" s="15"/>
      <c r="G8" s="15">
        <f t="shared" si="0"/>
        <v>0</v>
      </c>
      <c r="H8" s="15">
        <f t="shared" si="0"/>
        <v>0</v>
      </c>
      <c r="I8" s="15">
        <f t="shared" si="1"/>
        <v>0</v>
      </c>
      <c r="J8" s="15">
        <f t="shared" si="2"/>
        <v>0</v>
      </c>
      <c r="K8" s="15"/>
      <c r="L8" s="15">
        <f t="shared" si="3"/>
        <v>100</v>
      </c>
      <c r="M8" s="15" t="str">
        <f t="shared" si="4"/>
        <v>A</v>
      </c>
      <c r="N8" s="15" t="str">
        <f t="shared" si="5"/>
        <v>100% LTT</v>
      </c>
      <c r="O8" s="35"/>
    </row>
    <row r="9" spans="1:15" ht="19.5" customHeight="1" x14ac:dyDescent="0.3">
      <c r="A9" s="15">
        <f t="shared" si="6"/>
        <v>3</v>
      </c>
      <c r="B9" s="16" t="s">
        <v>161</v>
      </c>
      <c r="C9" s="15" t="s">
        <v>19</v>
      </c>
      <c r="D9" s="15">
        <v>1</v>
      </c>
      <c r="E9" s="15"/>
      <c r="F9" s="15"/>
      <c r="G9" s="15">
        <f t="shared" si="0"/>
        <v>0</v>
      </c>
      <c r="H9" s="15">
        <f t="shared" si="0"/>
        <v>0</v>
      </c>
      <c r="I9" s="15">
        <f t="shared" si="1"/>
        <v>0</v>
      </c>
      <c r="J9" s="15">
        <f t="shared" si="2"/>
        <v>0</v>
      </c>
      <c r="K9" s="15">
        <v>1</v>
      </c>
      <c r="L9" s="15">
        <f t="shared" si="3"/>
        <v>99</v>
      </c>
      <c r="M9" s="15" t="str">
        <f t="shared" si="4"/>
        <v>A</v>
      </c>
      <c r="N9" s="15" t="str">
        <f t="shared" si="5"/>
        <v>100% LTT</v>
      </c>
      <c r="O9" s="35"/>
    </row>
    <row r="10" spans="1:15" ht="19.5" customHeight="1" x14ac:dyDescent="0.3">
      <c r="A10" s="15">
        <f t="shared" si="6"/>
        <v>4</v>
      </c>
      <c r="B10" s="18" t="s">
        <v>11</v>
      </c>
      <c r="C10" s="17" t="s">
        <v>51</v>
      </c>
      <c r="D10" s="17">
        <v>3</v>
      </c>
      <c r="E10" s="17"/>
      <c r="F10" s="17">
        <v>1</v>
      </c>
      <c r="G10" s="17">
        <f t="shared" si="0"/>
        <v>0</v>
      </c>
      <c r="H10" s="17">
        <f t="shared" si="0"/>
        <v>0</v>
      </c>
      <c r="I10" s="17">
        <f t="shared" si="1"/>
        <v>0</v>
      </c>
      <c r="J10" s="17">
        <f t="shared" si="2"/>
        <v>0</v>
      </c>
      <c r="K10" s="17"/>
      <c r="L10" s="15">
        <f t="shared" si="3"/>
        <v>100</v>
      </c>
      <c r="M10" s="17" t="str">
        <f t="shared" si="4"/>
        <v>A</v>
      </c>
      <c r="N10" s="17" t="str">
        <f t="shared" si="5"/>
        <v>100% LTT</v>
      </c>
      <c r="O10" s="35"/>
    </row>
    <row r="11" spans="1:15" ht="19.5" customHeight="1" x14ac:dyDescent="0.3">
      <c r="A11" s="184" t="s">
        <v>16</v>
      </c>
      <c r="B11" s="184"/>
      <c r="C11" s="18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5" ht="19.5" customHeight="1" x14ac:dyDescent="0.3">
      <c r="A12" s="17">
        <f>A10+1</f>
        <v>5</v>
      </c>
      <c r="B12" s="18" t="s">
        <v>28</v>
      </c>
      <c r="C12" s="17" t="s">
        <v>121</v>
      </c>
      <c r="D12" s="4"/>
      <c r="E12" s="17"/>
      <c r="F12" s="17">
        <v>2</v>
      </c>
      <c r="G12" s="17">
        <f t="shared" ref="G12:H12" si="7">IF(D12&gt;5,(D12-5)*2,0)</f>
        <v>0</v>
      </c>
      <c r="H12" s="17">
        <f t="shared" si="7"/>
        <v>0</v>
      </c>
      <c r="I12" s="17">
        <f t="shared" ref="I12" si="8">IF(F12&gt;2,(F12-2)*1,0)</f>
        <v>0</v>
      </c>
      <c r="J12" s="17">
        <f t="shared" ref="J12" si="9">SUM(G12:I12)</f>
        <v>0</v>
      </c>
      <c r="K12" s="17"/>
      <c r="L12" s="17">
        <f>100-J12-K12</f>
        <v>100</v>
      </c>
      <c r="M12" s="17" t="str">
        <f t="shared" ref="M12" si="10">IF(L12&lt;71,"KL",IF(AND(L12&gt;=71,L12&lt;81),"C",IF(AND(L12&gt;=81,L12&lt;91),"B","A")))</f>
        <v>A</v>
      </c>
      <c r="N12" s="17" t="str">
        <f t="shared" ref="N12" si="11">IF(M12="A","100% LTT",IF(M12="B","90% LTT",IF(M12="C","80% LTT","60% LTT")))</f>
        <v>100% LTT</v>
      </c>
    </row>
    <row r="13" spans="1:15" ht="19.5" customHeight="1" x14ac:dyDescent="0.3">
      <c r="A13" s="184" t="s">
        <v>17</v>
      </c>
      <c r="B13" s="184"/>
      <c r="C13" s="18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5" ht="19.5" customHeight="1" x14ac:dyDescent="0.3">
      <c r="A14" s="15">
        <f>A12+1</f>
        <v>6</v>
      </c>
      <c r="B14" s="16" t="s">
        <v>13</v>
      </c>
      <c r="C14" s="15" t="s">
        <v>101</v>
      </c>
      <c r="D14" s="15"/>
      <c r="E14" s="15"/>
      <c r="F14" s="15"/>
      <c r="G14" s="15">
        <f t="shared" ref="G14:H22" si="12">IF(D14&gt;5,(D14-5)*2,0)</f>
        <v>0</v>
      </c>
      <c r="H14" s="15">
        <f t="shared" si="12"/>
        <v>0</v>
      </c>
      <c r="I14" s="15">
        <f t="shared" ref="I14:I22" si="13">IF(F14&gt;2,(F14-2)*1,0)</f>
        <v>0</v>
      </c>
      <c r="J14" s="15">
        <f t="shared" ref="J14:J22" si="14">SUM(G14:I14)</f>
        <v>0</v>
      </c>
      <c r="K14" s="15">
        <v>8</v>
      </c>
      <c r="L14" s="15">
        <f>100-J14-K14</f>
        <v>92</v>
      </c>
      <c r="M14" s="15" t="str">
        <f t="shared" ref="M14:M22" si="15">IF(L14&lt;71,"KL",IF(AND(L14&gt;=71,L14&lt;81),"C",IF(AND(L14&gt;=81,L14&lt;91),"B","A")))</f>
        <v>A</v>
      </c>
      <c r="N14" s="17" t="str">
        <f>IF(M14="A","100% LTT",IF(M14="B","90% LTT",IF(M14="C","80% LTT","60% LTT")))</f>
        <v>100% LTT</v>
      </c>
    </row>
    <row r="15" spans="1:15" ht="19.5" customHeight="1" x14ac:dyDescent="0.3">
      <c r="A15" s="15">
        <f t="shared" ref="A15:A22" si="16">A14+1</f>
        <v>7</v>
      </c>
      <c r="B15" s="16" t="s">
        <v>14</v>
      </c>
      <c r="C15" s="15" t="s">
        <v>19</v>
      </c>
      <c r="D15" s="15">
        <v>2</v>
      </c>
      <c r="E15" s="15"/>
      <c r="F15" s="15">
        <v>3</v>
      </c>
      <c r="G15" s="15">
        <f t="shared" si="12"/>
        <v>0</v>
      </c>
      <c r="H15" s="15">
        <f t="shared" si="12"/>
        <v>0</v>
      </c>
      <c r="I15" s="15">
        <f t="shared" si="13"/>
        <v>1</v>
      </c>
      <c r="J15" s="15">
        <f t="shared" si="14"/>
        <v>1</v>
      </c>
      <c r="K15" s="15">
        <v>4</v>
      </c>
      <c r="L15" s="15">
        <f t="shared" ref="L15:L22" si="17">100-J15-K15</f>
        <v>95</v>
      </c>
      <c r="M15" s="15" t="str">
        <f t="shared" si="15"/>
        <v>A</v>
      </c>
      <c r="N15" s="15" t="str">
        <f t="shared" ref="N15:N22" si="18">IF(M15="A","100% LTT",IF(M15="B","90% LTT",IF(M15="C","80% LTT","60% LTT")))</f>
        <v>100% LTT</v>
      </c>
    </row>
    <row r="16" spans="1:15" ht="19.5" customHeight="1" x14ac:dyDescent="0.3">
      <c r="A16" s="15">
        <f t="shared" si="16"/>
        <v>8</v>
      </c>
      <c r="B16" s="16" t="s">
        <v>40</v>
      </c>
      <c r="C16" s="15" t="s">
        <v>19</v>
      </c>
      <c r="D16" s="15"/>
      <c r="E16" s="15"/>
      <c r="F16" s="15"/>
      <c r="G16" s="15">
        <f t="shared" si="12"/>
        <v>0</v>
      </c>
      <c r="H16" s="15">
        <f t="shared" si="12"/>
        <v>0</v>
      </c>
      <c r="I16" s="15">
        <f t="shared" si="13"/>
        <v>0</v>
      </c>
      <c r="J16" s="15">
        <f t="shared" si="14"/>
        <v>0</v>
      </c>
      <c r="K16" s="15">
        <v>4</v>
      </c>
      <c r="L16" s="15">
        <f>100-J16-K16</f>
        <v>96</v>
      </c>
      <c r="M16" s="15" t="str">
        <f t="shared" si="15"/>
        <v>A</v>
      </c>
      <c r="N16" s="15" t="str">
        <f t="shared" si="18"/>
        <v>100% LTT</v>
      </c>
    </row>
    <row r="17" spans="1:14" ht="19.5" customHeight="1" x14ac:dyDescent="0.3">
      <c r="A17" s="15">
        <f t="shared" si="16"/>
        <v>9</v>
      </c>
      <c r="B17" s="16" t="s">
        <v>130</v>
      </c>
      <c r="C17" s="15" t="s">
        <v>131</v>
      </c>
      <c r="D17" s="15"/>
      <c r="E17" s="15"/>
      <c r="F17" s="15"/>
      <c r="G17" s="15">
        <f t="shared" si="12"/>
        <v>0</v>
      </c>
      <c r="H17" s="15">
        <f t="shared" si="12"/>
        <v>0</v>
      </c>
      <c r="I17" s="15">
        <f t="shared" si="13"/>
        <v>0</v>
      </c>
      <c r="J17" s="15">
        <f t="shared" si="14"/>
        <v>0</v>
      </c>
      <c r="K17" s="15">
        <v>6</v>
      </c>
      <c r="L17" s="15">
        <f t="shared" ref="L17:L18" si="19">100-J17-K17</f>
        <v>94</v>
      </c>
      <c r="M17" s="15" t="str">
        <f t="shared" si="15"/>
        <v>A</v>
      </c>
      <c r="N17" s="15" t="str">
        <f t="shared" si="18"/>
        <v>100% LTT</v>
      </c>
    </row>
    <row r="18" spans="1:14" ht="19.5" customHeight="1" x14ac:dyDescent="0.3">
      <c r="A18" s="15">
        <f t="shared" si="16"/>
        <v>10</v>
      </c>
      <c r="B18" s="16" t="s">
        <v>98</v>
      </c>
      <c r="C18" s="15" t="s">
        <v>102</v>
      </c>
      <c r="D18" s="15"/>
      <c r="E18" s="15"/>
      <c r="F18" s="15"/>
      <c r="G18" s="15">
        <f t="shared" si="12"/>
        <v>0</v>
      </c>
      <c r="H18" s="15">
        <f t="shared" si="12"/>
        <v>0</v>
      </c>
      <c r="I18" s="15">
        <f t="shared" si="13"/>
        <v>0</v>
      </c>
      <c r="J18" s="15">
        <f t="shared" si="14"/>
        <v>0</v>
      </c>
      <c r="K18" s="15">
        <v>8</v>
      </c>
      <c r="L18" s="15">
        <f t="shared" si="19"/>
        <v>92</v>
      </c>
      <c r="M18" s="15" t="str">
        <f t="shared" si="15"/>
        <v>A</v>
      </c>
      <c r="N18" s="15" t="str">
        <f t="shared" si="18"/>
        <v>100% LTT</v>
      </c>
    </row>
    <row r="19" spans="1:14" ht="19.5" customHeight="1" x14ac:dyDescent="0.3">
      <c r="A19" s="15">
        <f t="shared" si="16"/>
        <v>11</v>
      </c>
      <c r="B19" s="16" t="s">
        <v>99</v>
      </c>
      <c r="C19" s="15" t="s">
        <v>102</v>
      </c>
      <c r="D19" s="15"/>
      <c r="E19" s="15"/>
      <c r="F19" s="15"/>
      <c r="G19" s="15">
        <f t="shared" si="12"/>
        <v>0</v>
      </c>
      <c r="H19" s="15">
        <f t="shared" si="12"/>
        <v>0</v>
      </c>
      <c r="I19" s="15">
        <f t="shared" si="13"/>
        <v>0</v>
      </c>
      <c r="J19" s="15">
        <f t="shared" si="14"/>
        <v>0</v>
      </c>
      <c r="K19" s="15">
        <v>8</v>
      </c>
      <c r="L19" s="15">
        <f t="shared" si="17"/>
        <v>92</v>
      </c>
      <c r="M19" s="15" t="str">
        <f t="shared" si="15"/>
        <v>A</v>
      </c>
      <c r="N19" s="15" t="str">
        <f t="shared" si="18"/>
        <v>100% LTT</v>
      </c>
    </row>
    <row r="20" spans="1:14" ht="19.5" customHeight="1" x14ac:dyDescent="0.3">
      <c r="A20" s="15">
        <f t="shared" si="16"/>
        <v>12</v>
      </c>
      <c r="B20" s="16" t="s">
        <v>152</v>
      </c>
      <c r="C20" s="15" t="s">
        <v>153</v>
      </c>
      <c r="D20" s="15"/>
      <c r="E20" s="15"/>
      <c r="F20" s="15"/>
      <c r="G20" s="15">
        <f t="shared" si="12"/>
        <v>0</v>
      </c>
      <c r="H20" s="15">
        <f t="shared" si="12"/>
        <v>0</v>
      </c>
      <c r="I20" s="15">
        <f t="shared" si="13"/>
        <v>0</v>
      </c>
      <c r="J20" s="15">
        <f t="shared" si="14"/>
        <v>0</v>
      </c>
      <c r="K20" s="15">
        <v>7</v>
      </c>
      <c r="L20" s="15">
        <f t="shared" si="17"/>
        <v>93</v>
      </c>
      <c r="M20" s="15" t="str">
        <f t="shared" si="15"/>
        <v>A</v>
      </c>
      <c r="N20" s="15" t="str">
        <f t="shared" si="18"/>
        <v>100% LTT</v>
      </c>
    </row>
    <row r="21" spans="1:14" ht="19.5" customHeight="1" x14ac:dyDescent="0.3">
      <c r="A21" s="15">
        <f t="shared" si="16"/>
        <v>13</v>
      </c>
      <c r="B21" s="16" t="s">
        <v>100</v>
      </c>
      <c r="C21" s="15" t="s">
        <v>102</v>
      </c>
      <c r="D21" s="15"/>
      <c r="E21" s="15"/>
      <c r="F21" s="15"/>
      <c r="G21" s="15">
        <f t="shared" si="12"/>
        <v>0</v>
      </c>
      <c r="H21" s="15">
        <f t="shared" si="12"/>
        <v>0</v>
      </c>
      <c r="I21" s="15">
        <f t="shared" si="13"/>
        <v>0</v>
      </c>
      <c r="J21" s="15">
        <f t="shared" si="14"/>
        <v>0</v>
      </c>
      <c r="K21" s="15">
        <v>5</v>
      </c>
      <c r="L21" s="15">
        <f t="shared" si="17"/>
        <v>95</v>
      </c>
      <c r="M21" s="15" t="str">
        <f t="shared" si="15"/>
        <v>A</v>
      </c>
      <c r="N21" s="15" t="str">
        <f t="shared" si="18"/>
        <v>100% LTT</v>
      </c>
    </row>
    <row r="22" spans="1:14" ht="19.5" customHeight="1" x14ac:dyDescent="0.3">
      <c r="A22" s="15">
        <f t="shared" si="16"/>
        <v>14</v>
      </c>
      <c r="B22" s="18" t="s">
        <v>116</v>
      </c>
      <c r="C22" s="17" t="s">
        <v>107</v>
      </c>
      <c r="D22" s="17"/>
      <c r="E22" s="17"/>
      <c r="F22" s="17"/>
      <c r="G22" s="15">
        <f t="shared" si="12"/>
        <v>0</v>
      </c>
      <c r="H22" s="15">
        <f t="shared" si="12"/>
        <v>0</v>
      </c>
      <c r="I22" s="15">
        <f t="shared" si="13"/>
        <v>0</v>
      </c>
      <c r="J22" s="15">
        <f t="shared" si="14"/>
        <v>0</v>
      </c>
      <c r="K22" s="17">
        <v>8</v>
      </c>
      <c r="L22" s="15">
        <f t="shared" si="17"/>
        <v>92</v>
      </c>
      <c r="M22" s="15" t="str">
        <f t="shared" si="15"/>
        <v>A</v>
      </c>
      <c r="N22" s="17" t="str">
        <f t="shared" si="18"/>
        <v>100% LTT</v>
      </c>
    </row>
    <row r="23" spans="1:14" ht="22.5" customHeight="1" x14ac:dyDescent="0.3">
      <c r="A23" s="180" t="s">
        <v>64</v>
      </c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  <c r="N23" s="180"/>
    </row>
    <row r="24" spans="1:14" ht="22.5" customHeight="1" x14ac:dyDescent="0.3">
      <c r="J24" s="185" t="s">
        <v>162</v>
      </c>
      <c r="K24" s="185"/>
      <c r="L24" s="185"/>
      <c r="M24" s="185"/>
      <c r="N24" s="185"/>
    </row>
    <row r="25" spans="1:14" ht="22.5" customHeight="1" x14ac:dyDescent="0.3">
      <c r="B25" s="178" t="s">
        <v>22</v>
      </c>
      <c r="C25" s="178"/>
      <c r="D25" s="178"/>
      <c r="L25" s="178" t="s">
        <v>25</v>
      </c>
      <c r="M25" s="178"/>
      <c r="N25" s="178"/>
    </row>
    <row r="26" spans="1:14" ht="22.5" customHeight="1" x14ac:dyDescent="0.3">
      <c r="L26" s="164"/>
      <c r="M26" s="164"/>
    </row>
    <row r="27" spans="1:14" ht="22.5" customHeight="1" x14ac:dyDescent="0.3">
      <c r="L27" s="164"/>
      <c r="M27" s="164"/>
    </row>
    <row r="28" spans="1:14" ht="22.5" customHeight="1" x14ac:dyDescent="0.3">
      <c r="L28" s="164"/>
      <c r="M28" s="164"/>
    </row>
    <row r="29" spans="1:14" ht="22.5" customHeight="1" x14ac:dyDescent="0.3">
      <c r="B29" s="178" t="s">
        <v>28</v>
      </c>
      <c r="C29" s="178"/>
      <c r="D29" s="178"/>
      <c r="L29" s="178" t="s">
        <v>27</v>
      </c>
      <c r="M29" s="178"/>
      <c r="N29" s="178"/>
    </row>
    <row r="30" spans="1:14" ht="22.5" customHeight="1" x14ac:dyDescent="0.3">
      <c r="C30" s="1"/>
      <c r="D30" s="1"/>
    </row>
  </sheetData>
  <mergeCells count="25">
    <mergeCell ref="O4:O5"/>
    <mergeCell ref="A1:N1"/>
    <mergeCell ref="A2:N2"/>
    <mergeCell ref="A3:N3"/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L4:L5"/>
    <mergeCell ref="M4:M5"/>
    <mergeCell ref="N4:N5"/>
    <mergeCell ref="B29:D29"/>
    <mergeCell ref="L29:N29"/>
    <mergeCell ref="A6:C6"/>
    <mergeCell ref="A11:C11"/>
    <mergeCell ref="A13:C13"/>
    <mergeCell ref="A23:N23"/>
    <mergeCell ref="J24:N24"/>
    <mergeCell ref="B25:D25"/>
    <mergeCell ref="L25:N25"/>
  </mergeCells>
  <pageMargins left="0.26" right="0.24" top="0.47" bottom="0.33" header="0.3" footer="0.3"/>
  <pageSetup paperSize="9" scale="75" orientation="landscape" verticalDpi="0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zoomScale="80" zoomScaleNormal="80" workbookViewId="0">
      <pane xSplit="2" ySplit="6" topLeftCell="H7" activePane="bottomRight" state="frozen"/>
      <selection pane="topRight" activeCell="C1" sqref="C1"/>
      <selection pane="bottomLeft" activeCell="A7" sqref="A7"/>
      <selection pane="bottomRight" activeCell="O4" sqref="O4:O5"/>
    </sheetView>
  </sheetViews>
  <sheetFormatPr defaultColWidth="9.109375" defaultRowHeight="16.8" x14ac:dyDescent="0.3"/>
  <cols>
    <col min="1" max="1" width="6.109375" style="2" customWidth="1"/>
    <col min="2" max="2" width="27.5546875" style="1" customWidth="1"/>
    <col min="3" max="3" width="22" style="2" customWidth="1"/>
    <col min="4" max="6" width="11.33203125" style="2" customWidth="1"/>
    <col min="7" max="9" width="12.33203125" style="2" customWidth="1"/>
    <col min="10" max="10" width="12.44140625" style="2" customWidth="1"/>
    <col min="11" max="11" width="11.33203125" style="2" customWidth="1"/>
    <col min="12" max="12" width="12.109375" style="2" customWidth="1"/>
    <col min="13" max="13" width="9.44140625" style="2" customWidth="1"/>
    <col min="14" max="14" width="15" style="2" customWidth="1"/>
    <col min="15" max="15" width="53.88671875" style="2" customWidth="1"/>
    <col min="16" max="16384" width="9.109375" style="1"/>
  </cols>
  <sheetData>
    <row r="1" spans="1:15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5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</row>
    <row r="3" spans="1:15" ht="22.5" customHeight="1" x14ac:dyDescent="0.3">
      <c r="A3" s="179" t="s">
        <v>174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</row>
    <row r="4" spans="1:15" s="3" customFormat="1" ht="22.5" customHeight="1" x14ac:dyDescent="0.3">
      <c r="A4" s="180" t="s">
        <v>0</v>
      </c>
      <c r="B4" s="180" t="s">
        <v>1</v>
      </c>
      <c r="C4" s="180" t="s">
        <v>2</v>
      </c>
      <c r="D4" s="180" t="s">
        <v>23</v>
      </c>
      <c r="E4" s="180"/>
      <c r="F4" s="180"/>
      <c r="G4" s="181" t="s">
        <v>29</v>
      </c>
      <c r="H4" s="181" t="s">
        <v>30</v>
      </c>
      <c r="I4" s="181" t="s">
        <v>31</v>
      </c>
      <c r="J4" s="181" t="s">
        <v>96</v>
      </c>
      <c r="K4" s="181" t="s">
        <v>97</v>
      </c>
      <c r="L4" s="180" t="s">
        <v>6</v>
      </c>
      <c r="M4" s="180" t="s">
        <v>7</v>
      </c>
      <c r="N4" s="180" t="s">
        <v>8</v>
      </c>
      <c r="O4" s="183"/>
    </row>
    <row r="5" spans="1:15" s="3" customFormat="1" ht="49.8" customHeight="1" x14ac:dyDescent="0.3">
      <c r="A5" s="180"/>
      <c r="B5" s="180"/>
      <c r="C5" s="180"/>
      <c r="D5" s="167" t="s">
        <v>3</v>
      </c>
      <c r="E5" s="167" t="s">
        <v>4</v>
      </c>
      <c r="F5" s="167" t="s">
        <v>5</v>
      </c>
      <c r="G5" s="182"/>
      <c r="H5" s="182"/>
      <c r="I5" s="182"/>
      <c r="J5" s="182"/>
      <c r="K5" s="182"/>
      <c r="L5" s="180"/>
      <c r="M5" s="180"/>
      <c r="N5" s="180"/>
      <c r="O5" s="183"/>
    </row>
    <row r="6" spans="1:15" ht="19.5" customHeight="1" x14ac:dyDescent="0.3">
      <c r="A6" s="184" t="s">
        <v>15</v>
      </c>
      <c r="B6" s="184"/>
      <c r="C6" s="18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5" ht="19.5" customHeight="1" x14ac:dyDescent="0.3">
      <c r="A7" s="15">
        <v>1</v>
      </c>
      <c r="B7" s="16" t="s">
        <v>52</v>
      </c>
      <c r="C7" s="15" t="s">
        <v>19</v>
      </c>
      <c r="D7" s="15"/>
      <c r="E7" s="15"/>
      <c r="F7" s="15"/>
      <c r="G7" s="15">
        <f t="shared" ref="G7:H10" si="0">IF(D7&gt;5,(D7-5)*2,0)</f>
        <v>0</v>
      </c>
      <c r="H7" s="15">
        <f t="shared" si="0"/>
        <v>0</v>
      </c>
      <c r="I7" s="15">
        <f t="shared" ref="I7:I10" si="1">IF(F7&gt;2,(F7-2)*1,0)</f>
        <v>0</v>
      </c>
      <c r="J7" s="15">
        <f t="shared" ref="J7:J10" si="2">SUM(G7:I7)</f>
        <v>0</v>
      </c>
      <c r="K7" s="15"/>
      <c r="L7" s="15">
        <f t="shared" ref="L7:L10" si="3">100-J7-K7</f>
        <v>100</v>
      </c>
      <c r="M7" s="15" t="str">
        <f t="shared" ref="M7:M10" si="4">IF(L7&lt;71,"KL",IF(AND(L7&gt;=71,L7&lt;81),"C",IF(AND(L7&gt;=81,L7&lt;91),"B","A")))</f>
        <v>A</v>
      </c>
      <c r="N7" s="15" t="str">
        <f t="shared" ref="N7:N10" si="5">IF(M7="A","100% LTT",IF(M7="B","90% LTT",IF(M7="C","80% LTT","60% LTT")))</f>
        <v>100% LTT</v>
      </c>
      <c r="O7" s="34"/>
    </row>
    <row r="8" spans="1:15" ht="19.5" customHeight="1" x14ac:dyDescent="0.3">
      <c r="A8" s="15">
        <f t="shared" ref="A8:A10" si="6">A7+1</f>
        <v>2</v>
      </c>
      <c r="B8" s="16" t="s">
        <v>59</v>
      </c>
      <c r="C8" s="15" t="s">
        <v>19</v>
      </c>
      <c r="D8" s="15"/>
      <c r="E8" s="15"/>
      <c r="F8" s="15"/>
      <c r="G8" s="15">
        <f t="shared" si="0"/>
        <v>0</v>
      </c>
      <c r="H8" s="15">
        <f t="shared" si="0"/>
        <v>0</v>
      </c>
      <c r="I8" s="15">
        <f t="shared" si="1"/>
        <v>0</v>
      </c>
      <c r="J8" s="15">
        <f t="shared" si="2"/>
        <v>0</v>
      </c>
      <c r="K8" s="15"/>
      <c r="L8" s="15">
        <f t="shared" si="3"/>
        <v>100</v>
      </c>
      <c r="M8" s="15" t="str">
        <f t="shared" si="4"/>
        <v>A</v>
      </c>
      <c r="N8" s="15" t="str">
        <f t="shared" si="5"/>
        <v>100% LTT</v>
      </c>
      <c r="O8" s="35"/>
    </row>
    <row r="9" spans="1:15" ht="19.5" customHeight="1" x14ac:dyDescent="0.3">
      <c r="A9" s="15">
        <f t="shared" si="6"/>
        <v>3</v>
      </c>
      <c r="B9" s="16" t="s">
        <v>161</v>
      </c>
      <c r="C9" s="15" t="s">
        <v>19</v>
      </c>
      <c r="D9" s="15">
        <v>1</v>
      </c>
      <c r="E9" s="15"/>
      <c r="F9" s="15"/>
      <c r="G9" s="15">
        <f t="shared" si="0"/>
        <v>0</v>
      </c>
      <c r="H9" s="15">
        <f t="shared" si="0"/>
        <v>0</v>
      </c>
      <c r="I9" s="15">
        <f t="shared" si="1"/>
        <v>0</v>
      </c>
      <c r="J9" s="15">
        <f t="shared" si="2"/>
        <v>0</v>
      </c>
      <c r="K9" s="15">
        <v>1</v>
      </c>
      <c r="L9" s="15">
        <f t="shared" si="3"/>
        <v>99</v>
      </c>
      <c r="M9" s="15" t="str">
        <f t="shared" si="4"/>
        <v>A</v>
      </c>
      <c r="N9" s="15" t="str">
        <f t="shared" si="5"/>
        <v>100% LTT</v>
      </c>
      <c r="O9" s="35"/>
    </row>
    <row r="10" spans="1:15" ht="19.5" customHeight="1" x14ac:dyDescent="0.3">
      <c r="A10" s="15">
        <f t="shared" si="6"/>
        <v>4</v>
      </c>
      <c r="B10" s="18" t="s">
        <v>11</v>
      </c>
      <c r="C10" s="17" t="s">
        <v>51</v>
      </c>
      <c r="D10" s="17">
        <v>4</v>
      </c>
      <c r="E10" s="17"/>
      <c r="F10" s="17"/>
      <c r="G10" s="17">
        <f t="shared" si="0"/>
        <v>0</v>
      </c>
      <c r="H10" s="17">
        <f t="shared" si="0"/>
        <v>0</v>
      </c>
      <c r="I10" s="17">
        <f t="shared" si="1"/>
        <v>0</v>
      </c>
      <c r="J10" s="17">
        <f t="shared" si="2"/>
        <v>0</v>
      </c>
      <c r="K10" s="17"/>
      <c r="L10" s="15">
        <f t="shared" si="3"/>
        <v>100</v>
      </c>
      <c r="M10" s="17" t="str">
        <f t="shared" si="4"/>
        <v>A</v>
      </c>
      <c r="N10" s="17" t="str">
        <f t="shared" si="5"/>
        <v>100% LTT</v>
      </c>
      <c r="O10" s="35"/>
    </row>
    <row r="11" spans="1:15" ht="19.5" customHeight="1" x14ac:dyDescent="0.3">
      <c r="A11" s="184" t="s">
        <v>16</v>
      </c>
      <c r="B11" s="184"/>
      <c r="C11" s="18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5" ht="19.5" customHeight="1" x14ac:dyDescent="0.3">
      <c r="A12" s="17">
        <f>A10+1</f>
        <v>5</v>
      </c>
      <c r="B12" s="18" t="s">
        <v>28</v>
      </c>
      <c r="C12" s="17" t="s">
        <v>121</v>
      </c>
      <c r="D12" s="4">
        <v>3</v>
      </c>
      <c r="E12" s="17"/>
      <c r="F12" s="17"/>
      <c r="G12" s="17">
        <f t="shared" ref="G12:H12" si="7">IF(D12&gt;5,(D12-5)*2,0)</f>
        <v>0</v>
      </c>
      <c r="H12" s="17">
        <f t="shared" si="7"/>
        <v>0</v>
      </c>
      <c r="I12" s="17">
        <f t="shared" ref="I12" si="8">IF(F12&gt;2,(F12-2)*1,0)</f>
        <v>0</v>
      </c>
      <c r="J12" s="17">
        <f t="shared" ref="J12" si="9">SUM(G12:I12)</f>
        <v>0</v>
      </c>
      <c r="K12" s="17"/>
      <c r="L12" s="17">
        <f>100-J12-K12</f>
        <v>100</v>
      </c>
      <c r="M12" s="17" t="str">
        <f t="shared" ref="M12" si="10">IF(L12&lt;71,"KL",IF(AND(L12&gt;=71,L12&lt;81),"C",IF(AND(L12&gt;=81,L12&lt;91),"B","A")))</f>
        <v>A</v>
      </c>
      <c r="N12" s="17" t="str">
        <f t="shared" ref="N12" si="11">IF(M12="A","100% LTT",IF(M12="B","90% LTT",IF(M12="C","80% LTT","60% LTT")))</f>
        <v>100% LTT</v>
      </c>
    </row>
    <row r="13" spans="1:15" ht="19.5" customHeight="1" x14ac:dyDescent="0.3">
      <c r="A13" s="184" t="s">
        <v>17</v>
      </c>
      <c r="B13" s="184"/>
      <c r="C13" s="18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5" ht="19.5" customHeight="1" x14ac:dyDescent="0.3">
      <c r="A14" s="15">
        <f>A12+1</f>
        <v>6</v>
      </c>
      <c r="B14" s="16" t="s">
        <v>13</v>
      </c>
      <c r="C14" s="15" t="s">
        <v>101</v>
      </c>
      <c r="D14" s="15">
        <v>9</v>
      </c>
      <c r="E14" s="15"/>
      <c r="F14" s="15"/>
      <c r="G14" s="15">
        <f t="shared" ref="G14:H22" si="12">IF(D14&gt;5,(D14-5)*2,0)</f>
        <v>8</v>
      </c>
      <c r="H14" s="15">
        <f t="shared" si="12"/>
        <v>0</v>
      </c>
      <c r="I14" s="15">
        <f t="shared" ref="I14:I22" si="13">IF(F14&gt;2,(F14-2)*1,0)</f>
        <v>0</v>
      </c>
      <c r="J14" s="15">
        <f t="shared" ref="J14:J22" si="14">SUM(G14:I14)</f>
        <v>8</v>
      </c>
      <c r="K14" s="15"/>
      <c r="L14" s="15">
        <f>100-J14-K14</f>
        <v>92</v>
      </c>
      <c r="M14" s="15" t="str">
        <f t="shared" ref="M14:M22" si="15">IF(L14&lt;71,"KL",IF(AND(L14&gt;=71,L14&lt;81),"C",IF(AND(L14&gt;=81,L14&lt;91),"B","A")))</f>
        <v>A</v>
      </c>
      <c r="N14" s="17" t="str">
        <f>IF(M14="A","100% LTT",IF(M14="B","90% LTT",IF(M14="C","80% LTT","60% LTT")))</f>
        <v>100% LTT</v>
      </c>
    </row>
    <row r="15" spans="1:15" ht="19.5" customHeight="1" x14ac:dyDescent="0.3">
      <c r="A15" s="15">
        <f t="shared" ref="A15:A22" si="16">A14+1</f>
        <v>7</v>
      </c>
      <c r="B15" s="16" t="s">
        <v>14</v>
      </c>
      <c r="C15" s="15" t="s">
        <v>19</v>
      </c>
      <c r="D15" s="15">
        <v>7</v>
      </c>
      <c r="E15" s="15"/>
      <c r="F15" s="15"/>
      <c r="G15" s="15">
        <f t="shared" si="12"/>
        <v>4</v>
      </c>
      <c r="H15" s="15">
        <f t="shared" si="12"/>
        <v>0</v>
      </c>
      <c r="I15" s="15">
        <f t="shared" si="13"/>
        <v>0</v>
      </c>
      <c r="J15" s="15">
        <f t="shared" si="14"/>
        <v>4</v>
      </c>
      <c r="K15" s="15">
        <v>3</v>
      </c>
      <c r="L15" s="15">
        <f t="shared" ref="L15:L22" si="17">100-J15-K15</f>
        <v>93</v>
      </c>
      <c r="M15" s="15" t="str">
        <f t="shared" si="15"/>
        <v>A</v>
      </c>
      <c r="N15" s="15" t="str">
        <f t="shared" ref="N15:N22" si="18">IF(M15="A","100% LTT",IF(M15="B","90% LTT",IF(M15="C","80% LTT","60% LTT")))</f>
        <v>100% LTT</v>
      </c>
    </row>
    <row r="16" spans="1:15" ht="19.5" customHeight="1" x14ac:dyDescent="0.3">
      <c r="A16" s="15">
        <f t="shared" si="16"/>
        <v>8</v>
      </c>
      <c r="B16" s="16" t="s">
        <v>40</v>
      </c>
      <c r="C16" s="15" t="s">
        <v>19</v>
      </c>
      <c r="D16" s="15"/>
      <c r="E16" s="15"/>
      <c r="F16" s="15"/>
      <c r="G16" s="15">
        <f t="shared" si="12"/>
        <v>0</v>
      </c>
      <c r="H16" s="15">
        <f t="shared" si="12"/>
        <v>0</v>
      </c>
      <c r="I16" s="15">
        <f t="shared" si="13"/>
        <v>0</v>
      </c>
      <c r="J16" s="15">
        <f t="shared" si="14"/>
        <v>0</v>
      </c>
      <c r="K16" s="15">
        <v>4</v>
      </c>
      <c r="L16" s="15">
        <f>100-J16-K16</f>
        <v>96</v>
      </c>
      <c r="M16" s="15" t="str">
        <f t="shared" si="15"/>
        <v>A</v>
      </c>
      <c r="N16" s="15" t="str">
        <f t="shared" si="18"/>
        <v>100% LTT</v>
      </c>
    </row>
    <row r="17" spans="1:14" ht="19.5" customHeight="1" x14ac:dyDescent="0.3">
      <c r="A17" s="15">
        <f t="shared" si="16"/>
        <v>9</v>
      </c>
      <c r="B17" s="16" t="s">
        <v>130</v>
      </c>
      <c r="C17" s="15" t="s">
        <v>131</v>
      </c>
      <c r="D17" s="15"/>
      <c r="E17" s="15"/>
      <c r="F17" s="15"/>
      <c r="G17" s="15">
        <f t="shared" si="12"/>
        <v>0</v>
      </c>
      <c r="H17" s="15">
        <f t="shared" si="12"/>
        <v>0</v>
      </c>
      <c r="I17" s="15">
        <f t="shared" si="13"/>
        <v>0</v>
      </c>
      <c r="J17" s="15">
        <f t="shared" si="14"/>
        <v>0</v>
      </c>
      <c r="K17" s="15">
        <v>5</v>
      </c>
      <c r="L17" s="15">
        <f t="shared" ref="L17:L18" si="19">100-J17-K17</f>
        <v>95</v>
      </c>
      <c r="M17" s="15" t="str">
        <f t="shared" si="15"/>
        <v>A</v>
      </c>
      <c r="N17" s="15" t="str">
        <f t="shared" si="18"/>
        <v>100% LTT</v>
      </c>
    </row>
    <row r="18" spans="1:14" ht="19.5" customHeight="1" x14ac:dyDescent="0.3">
      <c r="A18" s="15">
        <f t="shared" si="16"/>
        <v>10</v>
      </c>
      <c r="B18" s="16" t="s">
        <v>98</v>
      </c>
      <c r="C18" s="15" t="s">
        <v>102</v>
      </c>
      <c r="D18" s="15"/>
      <c r="E18" s="15"/>
      <c r="F18" s="15"/>
      <c r="G18" s="15">
        <f t="shared" si="12"/>
        <v>0</v>
      </c>
      <c r="H18" s="15">
        <f t="shared" si="12"/>
        <v>0</v>
      </c>
      <c r="I18" s="15">
        <f t="shared" si="13"/>
        <v>0</v>
      </c>
      <c r="J18" s="15">
        <f t="shared" si="14"/>
        <v>0</v>
      </c>
      <c r="K18" s="15">
        <v>8</v>
      </c>
      <c r="L18" s="15">
        <f t="shared" si="19"/>
        <v>92</v>
      </c>
      <c r="M18" s="15" t="str">
        <f t="shared" si="15"/>
        <v>A</v>
      </c>
      <c r="N18" s="15" t="str">
        <f t="shared" si="18"/>
        <v>100% LTT</v>
      </c>
    </row>
    <row r="19" spans="1:14" ht="19.5" customHeight="1" x14ac:dyDescent="0.3">
      <c r="A19" s="15">
        <f t="shared" si="16"/>
        <v>11</v>
      </c>
      <c r="B19" s="16" t="s">
        <v>99</v>
      </c>
      <c r="C19" s="15" t="s">
        <v>102</v>
      </c>
      <c r="D19" s="15"/>
      <c r="E19" s="15"/>
      <c r="F19" s="15"/>
      <c r="G19" s="15">
        <f t="shared" si="12"/>
        <v>0</v>
      </c>
      <c r="H19" s="15">
        <f t="shared" si="12"/>
        <v>0</v>
      </c>
      <c r="I19" s="15">
        <f t="shared" si="13"/>
        <v>0</v>
      </c>
      <c r="J19" s="15">
        <f t="shared" si="14"/>
        <v>0</v>
      </c>
      <c r="K19" s="15">
        <v>8</v>
      </c>
      <c r="L19" s="15">
        <f t="shared" si="17"/>
        <v>92</v>
      </c>
      <c r="M19" s="15" t="str">
        <f t="shared" si="15"/>
        <v>A</v>
      </c>
      <c r="N19" s="15" t="str">
        <f t="shared" si="18"/>
        <v>100% LTT</v>
      </c>
    </row>
    <row r="20" spans="1:14" ht="19.5" customHeight="1" x14ac:dyDescent="0.3">
      <c r="A20" s="15">
        <f t="shared" si="16"/>
        <v>12</v>
      </c>
      <c r="B20" s="16" t="s">
        <v>152</v>
      </c>
      <c r="C20" s="15" t="s">
        <v>153</v>
      </c>
      <c r="D20" s="15"/>
      <c r="E20" s="15"/>
      <c r="F20" s="15"/>
      <c r="G20" s="15">
        <f t="shared" si="12"/>
        <v>0</v>
      </c>
      <c r="H20" s="15">
        <f t="shared" si="12"/>
        <v>0</v>
      </c>
      <c r="I20" s="15">
        <f t="shared" si="13"/>
        <v>0</v>
      </c>
      <c r="J20" s="15">
        <f t="shared" si="14"/>
        <v>0</v>
      </c>
      <c r="K20" s="15">
        <v>7</v>
      </c>
      <c r="L20" s="15">
        <f t="shared" si="17"/>
        <v>93</v>
      </c>
      <c r="M20" s="15" t="str">
        <f t="shared" si="15"/>
        <v>A</v>
      </c>
      <c r="N20" s="15" t="str">
        <f t="shared" si="18"/>
        <v>100% LTT</v>
      </c>
    </row>
    <row r="21" spans="1:14" ht="19.5" customHeight="1" x14ac:dyDescent="0.3">
      <c r="A21" s="15">
        <f t="shared" si="16"/>
        <v>13</v>
      </c>
      <c r="B21" s="16" t="s">
        <v>100</v>
      </c>
      <c r="C21" s="15" t="s">
        <v>102</v>
      </c>
      <c r="D21" s="15"/>
      <c r="E21" s="15"/>
      <c r="F21" s="15"/>
      <c r="G21" s="15">
        <f t="shared" si="12"/>
        <v>0</v>
      </c>
      <c r="H21" s="15">
        <f t="shared" si="12"/>
        <v>0</v>
      </c>
      <c r="I21" s="15">
        <f t="shared" si="13"/>
        <v>0</v>
      </c>
      <c r="J21" s="15">
        <f t="shared" si="14"/>
        <v>0</v>
      </c>
      <c r="K21" s="15">
        <v>5</v>
      </c>
      <c r="L21" s="15">
        <f t="shared" si="17"/>
        <v>95</v>
      </c>
      <c r="M21" s="15" t="str">
        <f t="shared" si="15"/>
        <v>A</v>
      </c>
      <c r="N21" s="15" t="str">
        <f t="shared" si="18"/>
        <v>100% LTT</v>
      </c>
    </row>
    <row r="22" spans="1:14" ht="19.5" customHeight="1" x14ac:dyDescent="0.3">
      <c r="A22" s="15">
        <f t="shared" si="16"/>
        <v>14</v>
      </c>
      <c r="B22" s="18" t="s">
        <v>116</v>
      </c>
      <c r="C22" s="17" t="s">
        <v>107</v>
      </c>
      <c r="D22" s="17"/>
      <c r="E22" s="17"/>
      <c r="F22" s="17"/>
      <c r="G22" s="15">
        <f t="shared" si="12"/>
        <v>0</v>
      </c>
      <c r="H22" s="15">
        <f t="shared" si="12"/>
        <v>0</v>
      </c>
      <c r="I22" s="15">
        <f t="shared" si="13"/>
        <v>0</v>
      </c>
      <c r="J22" s="15">
        <f t="shared" si="14"/>
        <v>0</v>
      </c>
      <c r="K22" s="17">
        <v>8</v>
      </c>
      <c r="L22" s="15">
        <f t="shared" si="17"/>
        <v>92</v>
      </c>
      <c r="M22" s="15" t="str">
        <f t="shared" si="15"/>
        <v>A</v>
      </c>
      <c r="N22" s="17" t="str">
        <f t="shared" si="18"/>
        <v>100% LTT</v>
      </c>
    </row>
    <row r="23" spans="1:14" ht="22.5" customHeight="1" x14ac:dyDescent="0.3">
      <c r="A23" s="180" t="s">
        <v>64</v>
      </c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  <c r="N23" s="180"/>
    </row>
    <row r="24" spans="1:14" ht="22.5" customHeight="1" x14ac:dyDescent="0.3">
      <c r="J24" s="185" t="s">
        <v>175</v>
      </c>
      <c r="K24" s="185"/>
      <c r="L24" s="185"/>
      <c r="M24" s="185"/>
      <c r="N24" s="185"/>
    </row>
    <row r="25" spans="1:14" ht="22.5" customHeight="1" x14ac:dyDescent="0.3">
      <c r="B25" s="178" t="s">
        <v>22</v>
      </c>
      <c r="C25" s="178"/>
      <c r="D25" s="178"/>
      <c r="L25" s="178" t="s">
        <v>25</v>
      </c>
      <c r="M25" s="178"/>
      <c r="N25" s="178"/>
    </row>
    <row r="26" spans="1:14" ht="22.5" customHeight="1" x14ac:dyDescent="0.3">
      <c r="L26" s="166"/>
      <c r="M26" s="166"/>
    </row>
    <row r="27" spans="1:14" ht="22.5" customHeight="1" x14ac:dyDescent="0.3">
      <c r="L27" s="166"/>
      <c r="M27" s="166"/>
    </row>
    <row r="28" spans="1:14" ht="22.5" customHeight="1" x14ac:dyDescent="0.3">
      <c r="L28" s="166"/>
      <c r="M28" s="166"/>
    </row>
    <row r="29" spans="1:14" ht="22.5" customHeight="1" x14ac:dyDescent="0.3">
      <c r="B29" s="178" t="s">
        <v>28</v>
      </c>
      <c r="C29" s="178"/>
      <c r="D29" s="178"/>
      <c r="L29" s="178" t="s">
        <v>27</v>
      </c>
      <c r="M29" s="178"/>
      <c r="N29" s="178"/>
    </row>
    <row r="30" spans="1:14" ht="22.5" customHeight="1" x14ac:dyDescent="0.3">
      <c r="C30" s="1"/>
      <c r="D30" s="1"/>
    </row>
  </sheetData>
  <mergeCells count="25">
    <mergeCell ref="O4:O5"/>
    <mergeCell ref="A1:N1"/>
    <mergeCell ref="A2:N2"/>
    <mergeCell ref="A3:N3"/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L4:L5"/>
    <mergeCell ref="M4:M5"/>
    <mergeCell ref="N4:N5"/>
    <mergeCell ref="B29:D29"/>
    <mergeCell ref="L29:N29"/>
    <mergeCell ref="A6:C6"/>
    <mergeCell ref="A11:C11"/>
    <mergeCell ref="A13:C13"/>
    <mergeCell ref="A23:N23"/>
    <mergeCell ref="J24:N24"/>
    <mergeCell ref="B25:D25"/>
    <mergeCell ref="L25:N25"/>
  </mergeCells>
  <pageMargins left="0.26" right="0.24" top="0.47" bottom="0.33" header="0.3" footer="0.3"/>
  <pageSetup paperSize="9" scale="75" orientation="landscape" verticalDpi="0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zoomScale="80" zoomScaleNormal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0" sqref="D20"/>
    </sheetView>
  </sheetViews>
  <sheetFormatPr defaultColWidth="9.109375" defaultRowHeight="16.8" x14ac:dyDescent="0.3"/>
  <cols>
    <col min="1" max="1" width="6.109375" style="2" customWidth="1"/>
    <col min="2" max="2" width="27.5546875" style="1" customWidth="1"/>
    <col min="3" max="3" width="22" style="2" customWidth="1"/>
    <col min="4" max="6" width="11.33203125" style="2" customWidth="1"/>
    <col min="7" max="9" width="12.33203125" style="2" customWidth="1"/>
    <col min="10" max="10" width="12.44140625" style="2" customWidth="1"/>
    <col min="11" max="11" width="11.33203125" style="2" customWidth="1"/>
    <col min="12" max="12" width="12.109375" style="2" customWidth="1"/>
    <col min="13" max="13" width="9.44140625" style="2" customWidth="1"/>
    <col min="14" max="14" width="15" style="2" customWidth="1"/>
    <col min="15" max="15" width="53.88671875" style="2" customWidth="1"/>
    <col min="16" max="16384" width="9.109375" style="1"/>
  </cols>
  <sheetData>
    <row r="1" spans="1:15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5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</row>
    <row r="3" spans="1:15" ht="22.5" customHeight="1" x14ac:dyDescent="0.3">
      <c r="A3" s="179" t="s">
        <v>176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</row>
    <row r="4" spans="1:15" s="3" customFormat="1" ht="22.5" customHeight="1" x14ac:dyDescent="0.3">
      <c r="A4" s="180" t="s">
        <v>0</v>
      </c>
      <c r="B4" s="180" t="s">
        <v>1</v>
      </c>
      <c r="C4" s="180" t="s">
        <v>2</v>
      </c>
      <c r="D4" s="180" t="s">
        <v>23</v>
      </c>
      <c r="E4" s="180"/>
      <c r="F4" s="180"/>
      <c r="G4" s="181" t="s">
        <v>29</v>
      </c>
      <c r="H4" s="181" t="s">
        <v>30</v>
      </c>
      <c r="I4" s="181" t="s">
        <v>31</v>
      </c>
      <c r="J4" s="181" t="s">
        <v>96</v>
      </c>
      <c r="K4" s="181" t="s">
        <v>97</v>
      </c>
      <c r="L4" s="180" t="s">
        <v>6</v>
      </c>
      <c r="M4" s="180" t="s">
        <v>7</v>
      </c>
      <c r="N4" s="180" t="s">
        <v>8</v>
      </c>
      <c r="O4" s="183"/>
    </row>
    <row r="5" spans="1:15" s="3" customFormat="1" ht="49.8" customHeight="1" x14ac:dyDescent="0.3">
      <c r="A5" s="180"/>
      <c r="B5" s="180"/>
      <c r="C5" s="180"/>
      <c r="D5" s="169" t="s">
        <v>3</v>
      </c>
      <c r="E5" s="169" t="s">
        <v>4</v>
      </c>
      <c r="F5" s="169" t="s">
        <v>5</v>
      </c>
      <c r="G5" s="182"/>
      <c r="H5" s="182"/>
      <c r="I5" s="182"/>
      <c r="J5" s="182"/>
      <c r="K5" s="182"/>
      <c r="L5" s="180"/>
      <c r="M5" s="180"/>
      <c r="N5" s="180"/>
      <c r="O5" s="183"/>
    </row>
    <row r="6" spans="1:15" ht="19.5" customHeight="1" x14ac:dyDescent="0.3">
      <c r="A6" s="184" t="s">
        <v>15</v>
      </c>
      <c r="B6" s="184"/>
      <c r="C6" s="18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5" ht="19.5" customHeight="1" x14ac:dyDescent="0.3">
      <c r="A7" s="15">
        <v>1</v>
      </c>
      <c r="B7" s="16" t="s">
        <v>52</v>
      </c>
      <c r="C7" s="15" t="s">
        <v>19</v>
      </c>
      <c r="D7" s="15"/>
      <c r="E7" s="15"/>
      <c r="F7" s="15"/>
      <c r="G7" s="15">
        <f t="shared" ref="G7:H10" si="0">IF(D7&gt;5,(D7-5)*2,0)</f>
        <v>0</v>
      </c>
      <c r="H7" s="15">
        <f t="shared" si="0"/>
        <v>0</v>
      </c>
      <c r="I7" s="15">
        <f t="shared" ref="I7:I10" si="1">IF(F7&gt;2,(F7-2)*1,0)</f>
        <v>0</v>
      </c>
      <c r="J7" s="15">
        <f t="shared" ref="J7:J10" si="2">SUM(G7:I7)</f>
        <v>0</v>
      </c>
      <c r="K7" s="15"/>
      <c r="L7" s="15">
        <f t="shared" ref="L7:L10" si="3">100-J7-K7</f>
        <v>100</v>
      </c>
      <c r="M7" s="15" t="str">
        <f t="shared" ref="M7:M10" si="4">IF(L7&lt;71,"KL",IF(AND(L7&gt;=71,L7&lt;81),"C",IF(AND(L7&gt;=81,L7&lt;91),"B","A")))</f>
        <v>A</v>
      </c>
      <c r="N7" s="15" t="str">
        <f t="shared" ref="N7:N10" si="5">IF(M7="A","100% LTT",IF(M7="B","90% LTT",IF(M7="C","80% LTT","60% LTT")))</f>
        <v>100% LTT</v>
      </c>
      <c r="O7" s="34"/>
    </row>
    <row r="8" spans="1:15" ht="19.5" customHeight="1" x14ac:dyDescent="0.3">
      <c r="A8" s="15">
        <f t="shared" ref="A8:A10" si="6">A7+1</f>
        <v>2</v>
      </c>
      <c r="B8" s="16" t="s">
        <v>59</v>
      </c>
      <c r="C8" s="15" t="s">
        <v>19</v>
      </c>
      <c r="D8" s="15"/>
      <c r="E8" s="15"/>
      <c r="F8" s="15"/>
      <c r="G8" s="15">
        <f t="shared" si="0"/>
        <v>0</v>
      </c>
      <c r="H8" s="15">
        <f t="shared" si="0"/>
        <v>0</v>
      </c>
      <c r="I8" s="15">
        <f t="shared" si="1"/>
        <v>0</v>
      </c>
      <c r="J8" s="15">
        <f t="shared" si="2"/>
        <v>0</v>
      </c>
      <c r="K8" s="15"/>
      <c r="L8" s="15">
        <f t="shared" si="3"/>
        <v>100</v>
      </c>
      <c r="M8" s="15" t="str">
        <f t="shared" si="4"/>
        <v>A</v>
      </c>
      <c r="N8" s="15" t="str">
        <f t="shared" si="5"/>
        <v>100% LTT</v>
      </c>
      <c r="O8" s="35"/>
    </row>
    <row r="9" spans="1:15" ht="19.5" customHeight="1" x14ac:dyDescent="0.3">
      <c r="A9" s="15">
        <f t="shared" si="6"/>
        <v>3</v>
      </c>
      <c r="B9" s="16" t="s">
        <v>161</v>
      </c>
      <c r="C9" s="15" t="s">
        <v>19</v>
      </c>
      <c r="D9" s="15">
        <v>2</v>
      </c>
      <c r="E9" s="15"/>
      <c r="F9" s="15">
        <v>1</v>
      </c>
      <c r="G9" s="15">
        <f t="shared" si="0"/>
        <v>0</v>
      </c>
      <c r="H9" s="15">
        <f t="shared" si="0"/>
        <v>0</v>
      </c>
      <c r="I9" s="15">
        <f t="shared" si="1"/>
        <v>0</v>
      </c>
      <c r="J9" s="15">
        <f t="shared" si="2"/>
        <v>0</v>
      </c>
      <c r="K9" s="15">
        <v>1</v>
      </c>
      <c r="L9" s="15">
        <f t="shared" si="3"/>
        <v>99</v>
      </c>
      <c r="M9" s="15" t="str">
        <f t="shared" si="4"/>
        <v>A</v>
      </c>
      <c r="N9" s="15" t="str">
        <f t="shared" si="5"/>
        <v>100% LTT</v>
      </c>
      <c r="O9" s="35"/>
    </row>
    <row r="10" spans="1:15" ht="19.5" customHeight="1" x14ac:dyDescent="0.3">
      <c r="A10" s="15">
        <f t="shared" si="6"/>
        <v>4</v>
      </c>
      <c r="B10" s="18" t="s">
        <v>11</v>
      </c>
      <c r="C10" s="17" t="s">
        <v>51</v>
      </c>
      <c r="D10" s="17">
        <v>3</v>
      </c>
      <c r="E10" s="17"/>
      <c r="F10" s="17">
        <v>2</v>
      </c>
      <c r="G10" s="17">
        <f t="shared" si="0"/>
        <v>0</v>
      </c>
      <c r="H10" s="17">
        <f t="shared" si="0"/>
        <v>0</v>
      </c>
      <c r="I10" s="17">
        <f t="shared" si="1"/>
        <v>0</v>
      </c>
      <c r="J10" s="17">
        <f t="shared" si="2"/>
        <v>0</v>
      </c>
      <c r="K10" s="17">
        <v>1</v>
      </c>
      <c r="L10" s="15">
        <f t="shared" si="3"/>
        <v>99</v>
      </c>
      <c r="M10" s="17" t="str">
        <f t="shared" si="4"/>
        <v>A</v>
      </c>
      <c r="N10" s="17" t="str">
        <f t="shared" si="5"/>
        <v>100% LTT</v>
      </c>
      <c r="O10" s="35"/>
    </row>
    <row r="11" spans="1:15" ht="19.5" customHeight="1" x14ac:dyDescent="0.3">
      <c r="A11" s="184" t="s">
        <v>16</v>
      </c>
      <c r="B11" s="184"/>
      <c r="C11" s="18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5" ht="19.5" customHeight="1" x14ac:dyDescent="0.3">
      <c r="A12" s="17">
        <f>A10+1</f>
        <v>5</v>
      </c>
      <c r="B12" s="18" t="s">
        <v>28</v>
      </c>
      <c r="C12" s="17" t="s">
        <v>121</v>
      </c>
      <c r="D12" s="4">
        <v>1</v>
      </c>
      <c r="E12" s="17"/>
      <c r="F12" s="17">
        <v>2</v>
      </c>
      <c r="G12" s="17">
        <f t="shared" ref="G12:H12" si="7">IF(D12&gt;5,(D12-5)*2,0)</f>
        <v>0</v>
      </c>
      <c r="H12" s="17">
        <f t="shared" si="7"/>
        <v>0</v>
      </c>
      <c r="I12" s="17">
        <f t="shared" ref="I12" si="8">IF(F12&gt;2,(F12-2)*1,0)</f>
        <v>0</v>
      </c>
      <c r="J12" s="17">
        <f t="shared" ref="J12" si="9">SUM(G12:I12)</f>
        <v>0</v>
      </c>
      <c r="K12" s="17"/>
      <c r="L12" s="17">
        <f>100-J12-K12</f>
        <v>100</v>
      </c>
      <c r="M12" s="17" t="str">
        <f t="shared" ref="M12" si="10">IF(L12&lt;71,"KL",IF(AND(L12&gt;=71,L12&lt;81),"C",IF(AND(L12&gt;=81,L12&lt;91),"B","A")))</f>
        <v>A</v>
      </c>
      <c r="N12" s="17" t="str">
        <f t="shared" ref="N12" si="11">IF(M12="A","100% LTT",IF(M12="B","90% LTT",IF(M12="C","80% LTT","60% LTT")))</f>
        <v>100% LTT</v>
      </c>
    </row>
    <row r="13" spans="1:15" ht="19.5" customHeight="1" x14ac:dyDescent="0.3">
      <c r="A13" s="184" t="s">
        <v>17</v>
      </c>
      <c r="B13" s="184"/>
      <c r="C13" s="18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5" ht="19.5" customHeight="1" x14ac:dyDescent="0.3">
      <c r="A14" s="15">
        <f>A12+1</f>
        <v>6</v>
      </c>
      <c r="B14" s="16" t="s">
        <v>13</v>
      </c>
      <c r="C14" s="15" t="s">
        <v>101</v>
      </c>
      <c r="D14" s="15">
        <v>9</v>
      </c>
      <c r="E14" s="15"/>
      <c r="F14" s="15"/>
      <c r="G14" s="15">
        <f t="shared" ref="G14:H22" si="12">IF(D14&gt;5,(D14-5)*2,0)</f>
        <v>8</v>
      </c>
      <c r="H14" s="15">
        <f t="shared" si="12"/>
        <v>0</v>
      </c>
      <c r="I14" s="15">
        <f t="shared" ref="I14:I22" si="13">IF(F14&gt;2,(F14-2)*1,0)</f>
        <v>0</v>
      </c>
      <c r="J14" s="15">
        <f t="shared" ref="J14:J22" si="14">SUM(G14:I14)</f>
        <v>8</v>
      </c>
      <c r="K14" s="15"/>
      <c r="L14" s="15">
        <f>100-J14-K14</f>
        <v>92</v>
      </c>
      <c r="M14" s="15" t="str">
        <f t="shared" ref="M14:M22" si="15">IF(L14&lt;71,"KL",IF(AND(L14&gt;=71,L14&lt;81),"C",IF(AND(L14&gt;=81,L14&lt;91),"B","A")))</f>
        <v>A</v>
      </c>
      <c r="N14" s="17" t="str">
        <f>IF(M14="A","100% LTT",IF(M14="B","90% LTT",IF(M14="C","80% LTT","60% LTT")))</f>
        <v>100% LTT</v>
      </c>
    </row>
    <row r="15" spans="1:15" ht="19.5" customHeight="1" x14ac:dyDescent="0.3">
      <c r="A15" s="15">
        <f t="shared" ref="A15:A22" si="16">A14+1</f>
        <v>7</v>
      </c>
      <c r="B15" s="16" t="s">
        <v>14</v>
      </c>
      <c r="C15" s="15" t="s">
        <v>19</v>
      </c>
      <c r="D15" s="15">
        <v>5</v>
      </c>
      <c r="E15" s="15"/>
      <c r="F15" s="15">
        <v>3</v>
      </c>
      <c r="G15" s="15">
        <f t="shared" si="12"/>
        <v>0</v>
      </c>
      <c r="H15" s="15">
        <f t="shared" si="12"/>
        <v>0</v>
      </c>
      <c r="I15" s="15">
        <f t="shared" si="13"/>
        <v>1</v>
      </c>
      <c r="J15" s="15">
        <f t="shared" si="14"/>
        <v>1</v>
      </c>
      <c r="K15" s="15">
        <v>3</v>
      </c>
      <c r="L15" s="15">
        <f t="shared" ref="L15:L22" si="17">100-J15-K15</f>
        <v>96</v>
      </c>
      <c r="M15" s="15" t="str">
        <f t="shared" si="15"/>
        <v>A</v>
      </c>
      <c r="N15" s="15" t="str">
        <f t="shared" ref="N15:N22" si="18">IF(M15="A","100% LTT",IF(M15="B","90% LTT",IF(M15="C","80% LTT","60% LTT")))</f>
        <v>100% LTT</v>
      </c>
    </row>
    <row r="16" spans="1:15" ht="19.5" customHeight="1" x14ac:dyDescent="0.3">
      <c r="A16" s="15">
        <f t="shared" si="16"/>
        <v>8</v>
      </c>
      <c r="B16" s="16" t="s">
        <v>40</v>
      </c>
      <c r="C16" s="15" t="s">
        <v>19</v>
      </c>
      <c r="D16" s="15">
        <v>2</v>
      </c>
      <c r="E16" s="15"/>
      <c r="F16" s="15">
        <v>5</v>
      </c>
      <c r="G16" s="15">
        <f t="shared" si="12"/>
        <v>0</v>
      </c>
      <c r="H16" s="15">
        <f t="shared" si="12"/>
        <v>0</v>
      </c>
      <c r="I16" s="15">
        <f t="shared" si="13"/>
        <v>3</v>
      </c>
      <c r="J16" s="15">
        <f t="shared" si="14"/>
        <v>3</v>
      </c>
      <c r="K16" s="15">
        <v>4</v>
      </c>
      <c r="L16" s="15">
        <f>100-J16-K16</f>
        <v>93</v>
      </c>
      <c r="M16" s="15" t="str">
        <f t="shared" si="15"/>
        <v>A</v>
      </c>
      <c r="N16" s="15" t="str">
        <f t="shared" si="18"/>
        <v>100% LTT</v>
      </c>
    </row>
    <row r="17" spans="1:14" ht="19.5" customHeight="1" x14ac:dyDescent="0.3">
      <c r="A17" s="15">
        <f t="shared" si="16"/>
        <v>9</v>
      </c>
      <c r="B17" s="16" t="s">
        <v>130</v>
      </c>
      <c r="C17" s="15" t="s">
        <v>131</v>
      </c>
      <c r="D17" s="15"/>
      <c r="E17" s="15"/>
      <c r="F17" s="15"/>
      <c r="G17" s="15">
        <f t="shared" si="12"/>
        <v>0</v>
      </c>
      <c r="H17" s="15">
        <f t="shared" si="12"/>
        <v>0</v>
      </c>
      <c r="I17" s="15">
        <f t="shared" si="13"/>
        <v>0</v>
      </c>
      <c r="J17" s="15">
        <f t="shared" si="14"/>
        <v>0</v>
      </c>
      <c r="K17" s="15">
        <v>5</v>
      </c>
      <c r="L17" s="15">
        <f t="shared" ref="L17:L18" si="19">100-J17-K17</f>
        <v>95</v>
      </c>
      <c r="M17" s="15" t="str">
        <f t="shared" si="15"/>
        <v>A</v>
      </c>
      <c r="N17" s="15" t="str">
        <f t="shared" si="18"/>
        <v>100% LTT</v>
      </c>
    </row>
    <row r="18" spans="1:14" ht="19.5" customHeight="1" x14ac:dyDescent="0.3">
      <c r="A18" s="15">
        <f t="shared" si="16"/>
        <v>10</v>
      </c>
      <c r="B18" s="16" t="s">
        <v>98</v>
      </c>
      <c r="C18" s="15" t="s">
        <v>102</v>
      </c>
      <c r="D18" s="15"/>
      <c r="E18" s="15"/>
      <c r="F18" s="15"/>
      <c r="G18" s="15">
        <f t="shared" si="12"/>
        <v>0</v>
      </c>
      <c r="H18" s="15">
        <f t="shared" si="12"/>
        <v>0</v>
      </c>
      <c r="I18" s="15">
        <f t="shared" si="13"/>
        <v>0</v>
      </c>
      <c r="J18" s="15">
        <f t="shared" si="14"/>
        <v>0</v>
      </c>
      <c r="K18" s="15">
        <v>8</v>
      </c>
      <c r="L18" s="15">
        <f t="shared" si="19"/>
        <v>92</v>
      </c>
      <c r="M18" s="15" t="str">
        <f t="shared" si="15"/>
        <v>A</v>
      </c>
      <c r="N18" s="15" t="str">
        <f t="shared" si="18"/>
        <v>100% LTT</v>
      </c>
    </row>
    <row r="19" spans="1:14" ht="19.5" customHeight="1" x14ac:dyDescent="0.3">
      <c r="A19" s="15">
        <f t="shared" si="16"/>
        <v>11</v>
      </c>
      <c r="B19" s="16" t="s">
        <v>99</v>
      </c>
      <c r="C19" s="15" t="s">
        <v>102</v>
      </c>
      <c r="D19" s="15"/>
      <c r="E19" s="15"/>
      <c r="F19" s="15"/>
      <c r="G19" s="15">
        <f t="shared" si="12"/>
        <v>0</v>
      </c>
      <c r="H19" s="15">
        <f t="shared" si="12"/>
        <v>0</v>
      </c>
      <c r="I19" s="15">
        <f t="shared" si="13"/>
        <v>0</v>
      </c>
      <c r="J19" s="15">
        <f t="shared" si="14"/>
        <v>0</v>
      </c>
      <c r="K19" s="15">
        <v>8</v>
      </c>
      <c r="L19" s="15">
        <f t="shared" si="17"/>
        <v>92</v>
      </c>
      <c r="M19" s="15" t="str">
        <f t="shared" si="15"/>
        <v>A</v>
      </c>
      <c r="N19" s="15" t="str">
        <f t="shared" si="18"/>
        <v>100% LTT</v>
      </c>
    </row>
    <row r="20" spans="1:14" ht="19.5" customHeight="1" x14ac:dyDescent="0.3">
      <c r="A20" s="15">
        <f t="shared" si="16"/>
        <v>12</v>
      </c>
      <c r="B20" s="16" t="s">
        <v>152</v>
      </c>
      <c r="C20" s="15" t="s">
        <v>19</v>
      </c>
      <c r="D20" s="15"/>
      <c r="E20" s="15"/>
      <c r="F20" s="15"/>
      <c r="G20" s="15">
        <f t="shared" si="12"/>
        <v>0</v>
      </c>
      <c r="H20" s="15">
        <f t="shared" si="12"/>
        <v>0</v>
      </c>
      <c r="I20" s="15">
        <f t="shared" si="13"/>
        <v>0</v>
      </c>
      <c r="J20" s="15">
        <f t="shared" si="14"/>
        <v>0</v>
      </c>
      <c r="K20" s="15">
        <v>7</v>
      </c>
      <c r="L20" s="15">
        <f t="shared" si="17"/>
        <v>93</v>
      </c>
      <c r="M20" s="15" t="str">
        <f t="shared" si="15"/>
        <v>A</v>
      </c>
      <c r="N20" s="15" t="str">
        <f t="shared" si="18"/>
        <v>100% LTT</v>
      </c>
    </row>
    <row r="21" spans="1:14" ht="19.5" customHeight="1" x14ac:dyDescent="0.3">
      <c r="A21" s="15">
        <f t="shared" si="16"/>
        <v>13</v>
      </c>
      <c r="B21" s="16" t="s">
        <v>100</v>
      </c>
      <c r="C21" s="15" t="s">
        <v>102</v>
      </c>
      <c r="D21" s="15"/>
      <c r="E21" s="15"/>
      <c r="F21" s="15"/>
      <c r="G21" s="15">
        <f t="shared" si="12"/>
        <v>0</v>
      </c>
      <c r="H21" s="15">
        <f t="shared" si="12"/>
        <v>0</v>
      </c>
      <c r="I21" s="15">
        <f t="shared" si="13"/>
        <v>0</v>
      </c>
      <c r="J21" s="15">
        <f t="shared" si="14"/>
        <v>0</v>
      </c>
      <c r="K21" s="15">
        <v>5</v>
      </c>
      <c r="L21" s="15">
        <f t="shared" si="17"/>
        <v>95</v>
      </c>
      <c r="M21" s="15" t="str">
        <f t="shared" si="15"/>
        <v>A</v>
      </c>
      <c r="N21" s="15" t="str">
        <f t="shared" si="18"/>
        <v>100% LTT</v>
      </c>
    </row>
    <row r="22" spans="1:14" ht="19.5" customHeight="1" x14ac:dyDescent="0.3">
      <c r="A22" s="15">
        <f t="shared" si="16"/>
        <v>14</v>
      </c>
      <c r="B22" s="18" t="s">
        <v>116</v>
      </c>
      <c r="C22" s="17" t="s">
        <v>107</v>
      </c>
      <c r="D22" s="17"/>
      <c r="E22" s="17"/>
      <c r="F22" s="17"/>
      <c r="G22" s="15">
        <f t="shared" si="12"/>
        <v>0</v>
      </c>
      <c r="H22" s="15">
        <f t="shared" si="12"/>
        <v>0</v>
      </c>
      <c r="I22" s="15">
        <f t="shared" si="13"/>
        <v>0</v>
      </c>
      <c r="J22" s="15">
        <f t="shared" si="14"/>
        <v>0</v>
      </c>
      <c r="K22" s="17">
        <v>8</v>
      </c>
      <c r="L22" s="15">
        <f t="shared" si="17"/>
        <v>92</v>
      </c>
      <c r="M22" s="15" t="str">
        <f t="shared" si="15"/>
        <v>A</v>
      </c>
      <c r="N22" s="17" t="str">
        <f t="shared" si="18"/>
        <v>100% LTT</v>
      </c>
    </row>
    <row r="23" spans="1:14" ht="22.5" customHeight="1" x14ac:dyDescent="0.3">
      <c r="A23" s="180" t="s">
        <v>64</v>
      </c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  <c r="N23" s="180"/>
    </row>
    <row r="24" spans="1:14" ht="22.5" customHeight="1" x14ac:dyDescent="0.3">
      <c r="J24" s="185" t="s">
        <v>175</v>
      </c>
      <c r="K24" s="185"/>
      <c r="L24" s="185"/>
      <c r="M24" s="185"/>
      <c r="N24" s="185"/>
    </row>
    <row r="25" spans="1:14" ht="22.5" customHeight="1" x14ac:dyDescent="0.3">
      <c r="B25" s="178" t="s">
        <v>22</v>
      </c>
      <c r="C25" s="178"/>
      <c r="D25" s="178"/>
      <c r="L25" s="178" t="s">
        <v>25</v>
      </c>
      <c r="M25" s="178"/>
      <c r="N25" s="178"/>
    </row>
    <row r="26" spans="1:14" ht="22.5" customHeight="1" x14ac:dyDescent="0.3">
      <c r="L26" s="168"/>
      <c r="M26" s="168"/>
    </row>
    <row r="27" spans="1:14" ht="22.5" customHeight="1" x14ac:dyDescent="0.3">
      <c r="L27" s="168"/>
      <c r="M27" s="168"/>
    </row>
    <row r="28" spans="1:14" ht="22.5" customHeight="1" x14ac:dyDescent="0.3">
      <c r="L28" s="168"/>
      <c r="M28" s="168"/>
    </row>
    <row r="29" spans="1:14" ht="22.5" customHeight="1" x14ac:dyDescent="0.3">
      <c r="B29" s="178" t="s">
        <v>28</v>
      </c>
      <c r="C29" s="178"/>
      <c r="D29" s="178"/>
      <c r="L29" s="178" t="s">
        <v>27</v>
      </c>
      <c r="M29" s="178"/>
      <c r="N29" s="178"/>
    </row>
    <row r="30" spans="1:14" ht="22.5" customHeight="1" x14ac:dyDescent="0.3">
      <c r="C30" s="1"/>
      <c r="D30" s="1"/>
    </row>
  </sheetData>
  <mergeCells count="25">
    <mergeCell ref="B29:D29"/>
    <mergeCell ref="L29:N29"/>
    <mergeCell ref="A6:C6"/>
    <mergeCell ref="A11:C11"/>
    <mergeCell ref="A13:C13"/>
    <mergeCell ref="A23:N23"/>
    <mergeCell ref="J24:N24"/>
    <mergeCell ref="B25:D25"/>
    <mergeCell ref="L25:N25"/>
    <mergeCell ref="O4:O5"/>
    <mergeCell ref="A1:N1"/>
    <mergeCell ref="A2:N2"/>
    <mergeCell ref="A3:N3"/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L4:L5"/>
    <mergeCell ref="M4:M5"/>
    <mergeCell ref="N4:N5"/>
  </mergeCells>
  <pageMargins left="0.26" right="0.24" top="0.47" bottom="0.33" header="0.3" footer="0.3"/>
  <pageSetup paperSize="9" scale="75" orientation="landscape" verticalDpi="0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zoomScale="80" zoomScaleNormal="80" workbookViewId="0">
      <pane xSplit="2" ySplit="6" topLeftCell="D7" activePane="bottomRight" state="frozen"/>
      <selection pane="topRight" activeCell="C1" sqref="C1"/>
      <selection pane="bottomLeft" activeCell="A7" sqref="A7"/>
      <selection pane="bottomRight" activeCell="J25" sqref="J25"/>
    </sheetView>
  </sheetViews>
  <sheetFormatPr defaultColWidth="9.109375" defaultRowHeight="16.8" x14ac:dyDescent="0.3"/>
  <cols>
    <col min="1" max="1" width="6.109375" style="2" customWidth="1"/>
    <col min="2" max="2" width="27.5546875" style="1" customWidth="1"/>
    <col min="3" max="3" width="22" style="2" customWidth="1"/>
    <col min="4" max="6" width="11.33203125" style="2" customWidth="1"/>
    <col min="7" max="9" width="12.33203125" style="2" customWidth="1"/>
    <col min="10" max="10" width="12.44140625" style="2" customWidth="1"/>
    <col min="11" max="11" width="11.33203125" style="2" customWidth="1"/>
    <col min="12" max="12" width="12.109375" style="2" customWidth="1"/>
    <col min="13" max="13" width="9.44140625" style="2" customWidth="1"/>
    <col min="14" max="14" width="15" style="2" customWidth="1"/>
    <col min="15" max="15" width="53.88671875" style="2" customWidth="1"/>
    <col min="16" max="16384" width="9.109375" style="1"/>
  </cols>
  <sheetData>
    <row r="1" spans="1:15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5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</row>
    <row r="3" spans="1:15" ht="22.5" customHeight="1" x14ac:dyDescent="0.3">
      <c r="A3" s="179" t="s">
        <v>177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</row>
    <row r="4" spans="1:15" s="3" customFormat="1" ht="22.5" customHeight="1" x14ac:dyDescent="0.3">
      <c r="A4" s="180" t="s">
        <v>0</v>
      </c>
      <c r="B4" s="180" t="s">
        <v>1</v>
      </c>
      <c r="C4" s="180" t="s">
        <v>2</v>
      </c>
      <c r="D4" s="180" t="s">
        <v>23</v>
      </c>
      <c r="E4" s="180"/>
      <c r="F4" s="180"/>
      <c r="G4" s="181" t="s">
        <v>29</v>
      </c>
      <c r="H4" s="181" t="s">
        <v>30</v>
      </c>
      <c r="I4" s="181" t="s">
        <v>31</v>
      </c>
      <c r="J4" s="181" t="s">
        <v>96</v>
      </c>
      <c r="K4" s="181" t="s">
        <v>97</v>
      </c>
      <c r="L4" s="180" t="s">
        <v>6</v>
      </c>
      <c r="M4" s="180" t="s">
        <v>7</v>
      </c>
      <c r="N4" s="180" t="s">
        <v>8</v>
      </c>
      <c r="O4" s="183"/>
    </row>
    <row r="5" spans="1:15" s="3" customFormat="1" ht="49.8" customHeight="1" x14ac:dyDescent="0.3">
      <c r="A5" s="180"/>
      <c r="B5" s="180"/>
      <c r="C5" s="180"/>
      <c r="D5" s="171" t="s">
        <v>3</v>
      </c>
      <c r="E5" s="171" t="s">
        <v>4</v>
      </c>
      <c r="F5" s="171" t="s">
        <v>5</v>
      </c>
      <c r="G5" s="182"/>
      <c r="H5" s="182"/>
      <c r="I5" s="182"/>
      <c r="J5" s="182"/>
      <c r="K5" s="182"/>
      <c r="L5" s="180"/>
      <c r="M5" s="180"/>
      <c r="N5" s="180"/>
      <c r="O5" s="183"/>
    </row>
    <row r="6" spans="1:15" ht="19.5" customHeight="1" x14ac:dyDescent="0.3">
      <c r="A6" s="184" t="s">
        <v>15</v>
      </c>
      <c r="B6" s="184"/>
      <c r="C6" s="18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5" ht="19.5" customHeight="1" x14ac:dyDescent="0.3">
      <c r="A7" s="15">
        <v>1</v>
      </c>
      <c r="B7" s="16" t="s">
        <v>52</v>
      </c>
      <c r="C7" s="15" t="s">
        <v>19</v>
      </c>
      <c r="D7" s="15"/>
      <c r="E7" s="15"/>
      <c r="F7" s="15"/>
      <c r="G7" s="15">
        <f t="shared" ref="G7:H10" si="0">IF(D7&gt;5,(D7-5)*2,0)</f>
        <v>0</v>
      </c>
      <c r="H7" s="15">
        <f t="shared" si="0"/>
        <v>0</v>
      </c>
      <c r="I7" s="15">
        <f t="shared" ref="I7:I10" si="1">IF(F7&gt;2,(F7-2)*1,0)</f>
        <v>0</v>
      </c>
      <c r="J7" s="15">
        <f t="shared" ref="J7:J10" si="2">SUM(G7:I7)</f>
        <v>0</v>
      </c>
      <c r="K7" s="15"/>
      <c r="L7" s="15">
        <f t="shared" ref="L7:L10" si="3">100-J7-K7</f>
        <v>100</v>
      </c>
      <c r="M7" s="15" t="str">
        <f t="shared" ref="M7:M10" si="4">IF(L7&lt;71,"KL",IF(AND(L7&gt;=71,L7&lt;81),"C",IF(AND(L7&gt;=81,L7&lt;91),"B","A")))</f>
        <v>A</v>
      </c>
      <c r="N7" s="15" t="str">
        <f t="shared" ref="N7:N10" si="5">IF(M7="A","100% LTT",IF(M7="B","90% LTT",IF(M7="C","80% LTT","60% LTT")))</f>
        <v>100% LTT</v>
      </c>
      <c r="O7" s="34"/>
    </row>
    <row r="8" spans="1:15" ht="19.5" customHeight="1" x14ac:dyDescent="0.3">
      <c r="A8" s="15">
        <f t="shared" ref="A8:A10" si="6">A7+1</f>
        <v>2</v>
      </c>
      <c r="B8" s="16" t="s">
        <v>59</v>
      </c>
      <c r="C8" s="15" t="s">
        <v>19</v>
      </c>
      <c r="D8" s="15"/>
      <c r="E8" s="15"/>
      <c r="F8" s="15"/>
      <c r="G8" s="15">
        <f t="shared" si="0"/>
        <v>0</v>
      </c>
      <c r="H8" s="15">
        <f t="shared" si="0"/>
        <v>0</v>
      </c>
      <c r="I8" s="15">
        <f t="shared" si="1"/>
        <v>0</v>
      </c>
      <c r="J8" s="15">
        <f t="shared" si="2"/>
        <v>0</v>
      </c>
      <c r="K8" s="15"/>
      <c r="L8" s="15">
        <f t="shared" si="3"/>
        <v>100</v>
      </c>
      <c r="M8" s="15" t="str">
        <f t="shared" si="4"/>
        <v>A</v>
      </c>
      <c r="N8" s="15" t="str">
        <f t="shared" si="5"/>
        <v>100% LTT</v>
      </c>
      <c r="O8" s="35"/>
    </row>
    <row r="9" spans="1:15" ht="19.5" customHeight="1" x14ac:dyDescent="0.3">
      <c r="A9" s="15">
        <f t="shared" si="6"/>
        <v>3</v>
      </c>
      <c r="B9" s="16" t="s">
        <v>161</v>
      </c>
      <c r="C9" s="15" t="s">
        <v>19</v>
      </c>
      <c r="D9" s="15"/>
      <c r="E9" s="15"/>
      <c r="F9" s="15"/>
      <c r="G9" s="15">
        <f t="shared" si="0"/>
        <v>0</v>
      </c>
      <c r="H9" s="15">
        <f t="shared" si="0"/>
        <v>0</v>
      </c>
      <c r="I9" s="15">
        <f t="shared" si="1"/>
        <v>0</v>
      </c>
      <c r="J9" s="15">
        <f t="shared" si="2"/>
        <v>0</v>
      </c>
      <c r="K9" s="15">
        <v>1</v>
      </c>
      <c r="L9" s="15">
        <f t="shared" si="3"/>
        <v>99</v>
      </c>
      <c r="M9" s="15" t="str">
        <f t="shared" si="4"/>
        <v>A</v>
      </c>
      <c r="N9" s="15" t="str">
        <f t="shared" si="5"/>
        <v>100% LTT</v>
      </c>
      <c r="O9" s="35"/>
    </row>
    <row r="10" spans="1:15" ht="19.5" customHeight="1" x14ac:dyDescent="0.3">
      <c r="A10" s="15">
        <f t="shared" si="6"/>
        <v>4</v>
      </c>
      <c r="B10" s="18" t="s">
        <v>11</v>
      </c>
      <c r="C10" s="17" t="s">
        <v>51</v>
      </c>
      <c r="D10" s="17">
        <v>4</v>
      </c>
      <c r="E10" s="17"/>
      <c r="F10" s="17">
        <v>1</v>
      </c>
      <c r="G10" s="17">
        <f t="shared" si="0"/>
        <v>0</v>
      </c>
      <c r="H10" s="17">
        <f t="shared" si="0"/>
        <v>0</v>
      </c>
      <c r="I10" s="17">
        <f t="shared" si="1"/>
        <v>0</v>
      </c>
      <c r="J10" s="17">
        <f t="shared" si="2"/>
        <v>0</v>
      </c>
      <c r="K10" s="17">
        <v>1</v>
      </c>
      <c r="L10" s="15">
        <f t="shared" si="3"/>
        <v>99</v>
      </c>
      <c r="M10" s="17" t="str">
        <f t="shared" si="4"/>
        <v>A</v>
      </c>
      <c r="N10" s="17" t="str">
        <f t="shared" si="5"/>
        <v>100% LTT</v>
      </c>
      <c r="O10" s="35"/>
    </row>
    <row r="11" spans="1:15" ht="19.5" customHeight="1" x14ac:dyDescent="0.3">
      <c r="A11" s="184" t="s">
        <v>16</v>
      </c>
      <c r="B11" s="184"/>
      <c r="C11" s="18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5" ht="19.5" customHeight="1" x14ac:dyDescent="0.3">
      <c r="A12" s="17">
        <f>A10+1</f>
        <v>5</v>
      </c>
      <c r="B12" s="18" t="s">
        <v>28</v>
      </c>
      <c r="C12" s="17" t="s">
        <v>121</v>
      </c>
      <c r="D12" s="4">
        <v>1</v>
      </c>
      <c r="E12" s="17"/>
      <c r="F12" s="17">
        <v>3</v>
      </c>
      <c r="G12" s="17">
        <f t="shared" ref="G12:H12" si="7">IF(D12&gt;5,(D12-5)*2,0)</f>
        <v>0</v>
      </c>
      <c r="H12" s="17">
        <f t="shared" si="7"/>
        <v>0</v>
      </c>
      <c r="I12" s="17">
        <f t="shared" ref="I12" si="8">IF(F12&gt;2,(F12-2)*1,0)</f>
        <v>1</v>
      </c>
      <c r="J12" s="17">
        <f t="shared" ref="J12" si="9">SUM(G12:I12)</f>
        <v>1</v>
      </c>
      <c r="K12" s="17"/>
      <c r="L12" s="17">
        <f>100-J12-K12</f>
        <v>99</v>
      </c>
      <c r="M12" s="17" t="str">
        <f t="shared" ref="M12" si="10">IF(L12&lt;71,"KL",IF(AND(L12&gt;=71,L12&lt;81),"C",IF(AND(L12&gt;=81,L12&lt;91),"B","A")))</f>
        <v>A</v>
      </c>
      <c r="N12" s="17" t="str">
        <f t="shared" ref="N12" si="11">IF(M12="A","100% LTT",IF(M12="B","90% LTT",IF(M12="C","80% LTT","60% LTT")))</f>
        <v>100% LTT</v>
      </c>
    </row>
    <row r="13" spans="1:15" ht="19.5" customHeight="1" x14ac:dyDescent="0.3">
      <c r="A13" s="184" t="s">
        <v>17</v>
      </c>
      <c r="B13" s="184"/>
      <c r="C13" s="18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5" ht="19.5" customHeight="1" x14ac:dyDescent="0.3">
      <c r="A14" s="15">
        <f>A12+1</f>
        <v>6</v>
      </c>
      <c r="B14" s="16" t="s">
        <v>13</v>
      </c>
      <c r="C14" s="15" t="s">
        <v>101</v>
      </c>
      <c r="D14" s="15"/>
      <c r="E14" s="15"/>
      <c r="F14" s="15">
        <v>2</v>
      </c>
      <c r="G14" s="15">
        <f t="shared" ref="G14:H22" si="12">IF(D14&gt;5,(D14-5)*2,0)</f>
        <v>0</v>
      </c>
      <c r="H14" s="15">
        <f t="shared" si="12"/>
        <v>0</v>
      </c>
      <c r="I14" s="15">
        <f t="shared" ref="I14:I22" si="13">IF(F14&gt;2,(F14-2)*1,0)</f>
        <v>0</v>
      </c>
      <c r="J14" s="15">
        <f t="shared" ref="J14:J22" si="14">SUM(G14:I14)</f>
        <v>0</v>
      </c>
      <c r="K14" s="15">
        <v>5</v>
      </c>
      <c r="L14" s="15">
        <f>100-J14-K14</f>
        <v>95</v>
      </c>
      <c r="M14" s="15" t="str">
        <f t="shared" ref="M14:M22" si="15">IF(L14&lt;71,"KL",IF(AND(L14&gt;=71,L14&lt;81),"C",IF(AND(L14&gt;=81,L14&lt;91),"B","A")))</f>
        <v>A</v>
      </c>
      <c r="N14" s="17" t="str">
        <f>IF(M14="A","100% LTT",IF(M14="B","90% LTT",IF(M14="C","80% LTT","60% LTT")))</f>
        <v>100% LTT</v>
      </c>
    </row>
    <row r="15" spans="1:15" ht="19.5" customHeight="1" x14ac:dyDescent="0.3">
      <c r="A15" s="15">
        <f t="shared" ref="A15:A22" si="16">A14+1</f>
        <v>7</v>
      </c>
      <c r="B15" s="16" t="s">
        <v>14</v>
      </c>
      <c r="C15" s="15" t="s">
        <v>19</v>
      </c>
      <c r="D15" s="15">
        <v>7</v>
      </c>
      <c r="E15" s="15"/>
      <c r="F15" s="15">
        <v>1</v>
      </c>
      <c r="G15" s="15">
        <f t="shared" si="12"/>
        <v>4</v>
      </c>
      <c r="H15" s="15">
        <f t="shared" si="12"/>
        <v>0</v>
      </c>
      <c r="I15" s="15">
        <f t="shared" si="13"/>
        <v>0</v>
      </c>
      <c r="J15" s="15">
        <f t="shared" si="14"/>
        <v>4</v>
      </c>
      <c r="K15" s="15">
        <v>3</v>
      </c>
      <c r="L15" s="15">
        <f t="shared" ref="L15:L22" si="17">100-J15-K15</f>
        <v>93</v>
      </c>
      <c r="M15" s="15" t="str">
        <f t="shared" si="15"/>
        <v>A</v>
      </c>
      <c r="N15" s="15" t="str">
        <f t="shared" ref="N15:N22" si="18">IF(M15="A","100% LTT",IF(M15="B","90% LTT",IF(M15="C","80% LTT","60% LTT")))</f>
        <v>100% LTT</v>
      </c>
    </row>
    <row r="16" spans="1:15" ht="19.5" customHeight="1" x14ac:dyDescent="0.3">
      <c r="A16" s="15">
        <f t="shared" si="16"/>
        <v>8</v>
      </c>
      <c r="B16" s="16" t="s">
        <v>40</v>
      </c>
      <c r="C16" s="15" t="s">
        <v>19</v>
      </c>
      <c r="D16" s="15"/>
      <c r="E16" s="15"/>
      <c r="F16" s="15"/>
      <c r="G16" s="15">
        <f t="shared" si="12"/>
        <v>0</v>
      </c>
      <c r="H16" s="15">
        <f t="shared" si="12"/>
        <v>0</v>
      </c>
      <c r="I16" s="15">
        <f t="shared" si="13"/>
        <v>0</v>
      </c>
      <c r="J16" s="15">
        <f t="shared" si="14"/>
        <v>0</v>
      </c>
      <c r="K16" s="15">
        <v>4</v>
      </c>
      <c r="L16" s="15">
        <f>100-J16-K16</f>
        <v>96</v>
      </c>
      <c r="M16" s="15" t="str">
        <f t="shared" si="15"/>
        <v>A</v>
      </c>
      <c r="N16" s="15" t="str">
        <f t="shared" si="18"/>
        <v>100% LTT</v>
      </c>
    </row>
    <row r="17" spans="1:14" ht="19.5" customHeight="1" x14ac:dyDescent="0.3">
      <c r="A17" s="15">
        <f t="shared" si="16"/>
        <v>9</v>
      </c>
      <c r="B17" s="16" t="s">
        <v>130</v>
      </c>
      <c r="C17" s="15" t="s">
        <v>131</v>
      </c>
      <c r="D17" s="15"/>
      <c r="E17" s="15"/>
      <c r="F17" s="15"/>
      <c r="G17" s="15">
        <f t="shared" si="12"/>
        <v>0</v>
      </c>
      <c r="H17" s="15">
        <f t="shared" si="12"/>
        <v>0</v>
      </c>
      <c r="I17" s="15">
        <f t="shared" si="13"/>
        <v>0</v>
      </c>
      <c r="J17" s="15">
        <f t="shared" si="14"/>
        <v>0</v>
      </c>
      <c r="K17" s="15">
        <v>5</v>
      </c>
      <c r="L17" s="15">
        <f t="shared" ref="L17:L18" si="19">100-J17-K17</f>
        <v>95</v>
      </c>
      <c r="M17" s="15" t="str">
        <f t="shared" si="15"/>
        <v>A</v>
      </c>
      <c r="N17" s="15" t="str">
        <f t="shared" si="18"/>
        <v>100% LTT</v>
      </c>
    </row>
    <row r="18" spans="1:14" ht="19.5" customHeight="1" x14ac:dyDescent="0.3">
      <c r="A18" s="15">
        <f t="shared" si="16"/>
        <v>10</v>
      </c>
      <c r="B18" s="16" t="s">
        <v>98</v>
      </c>
      <c r="C18" s="15" t="s">
        <v>102</v>
      </c>
      <c r="D18" s="15"/>
      <c r="E18" s="15"/>
      <c r="F18" s="15"/>
      <c r="G18" s="15">
        <f t="shared" si="12"/>
        <v>0</v>
      </c>
      <c r="H18" s="15">
        <f t="shared" si="12"/>
        <v>0</v>
      </c>
      <c r="I18" s="15">
        <f t="shared" si="13"/>
        <v>0</v>
      </c>
      <c r="J18" s="15">
        <f t="shared" si="14"/>
        <v>0</v>
      </c>
      <c r="K18" s="15">
        <v>8</v>
      </c>
      <c r="L18" s="15">
        <f t="shared" si="19"/>
        <v>92</v>
      </c>
      <c r="M18" s="15" t="str">
        <f t="shared" si="15"/>
        <v>A</v>
      </c>
      <c r="N18" s="15" t="str">
        <f t="shared" si="18"/>
        <v>100% LTT</v>
      </c>
    </row>
    <row r="19" spans="1:14" ht="19.5" customHeight="1" x14ac:dyDescent="0.3">
      <c r="A19" s="15">
        <f t="shared" si="16"/>
        <v>11</v>
      </c>
      <c r="B19" s="16" t="s">
        <v>99</v>
      </c>
      <c r="C19" s="15" t="s">
        <v>102</v>
      </c>
      <c r="D19" s="15"/>
      <c r="E19" s="15"/>
      <c r="F19" s="15"/>
      <c r="G19" s="15">
        <f t="shared" si="12"/>
        <v>0</v>
      </c>
      <c r="H19" s="15">
        <f t="shared" si="12"/>
        <v>0</v>
      </c>
      <c r="I19" s="15">
        <f t="shared" si="13"/>
        <v>0</v>
      </c>
      <c r="J19" s="15">
        <f t="shared" si="14"/>
        <v>0</v>
      </c>
      <c r="K19" s="15">
        <v>5</v>
      </c>
      <c r="L19" s="15">
        <f t="shared" si="17"/>
        <v>95</v>
      </c>
      <c r="M19" s="15" t="str">
        <f t="shared" si="15"/>
        <v>A</v>
      </c>
      <c r="N19" s="15" t="str">
        <f t="shared" si="18"/>
        <v>100% LTT</v>
      </c>
    </row>
    <row r="20" spans="1:14" ht="19.5" customHeight="1" x14ac:dyDescent="0.3">
      <c r="A20" s="15">
        <f t="shared" si="16"/>
        <v>12</v>
      </c>
      <c r="B20" s="16" t="s">
        <v>152</v>
      </c>
      <c r="C20" s="15" t="s">
        <v>19</v>
      </c>
      <c r="D20" s="15"/>
      <c r="E20" s="15"/>
      <c r="F20" s="15"/>
      <c r="G20" s="15">
        <f t="shared" si="12"/>
        <v>0</v>
      </c>
      <c r="H20" s="15">
        <f t="shared" si="12"/>
        <v>0</v>
      </c>
      <c r="I20" s="15">
        <f t="shared" si="13"/>
        <v>0</v>
      </c>
      <c r="J20" s="15">
        <f t="shared" si="14"/>
        <v>0</v>
      </c>
      <c r="K20" s="15">
        <v>7</v>
      </c>
      <c r="L20" s="15">
        <f t="shared" si="17"/>
        <v>93</v>
      </c>
      <c r="M20" s="15" t="str">
        <f t="shared" si="15"/>
        <v>A</v>
      </c>
      <c r="N20" s="15" t="str">
        <f t="shared" si="18"/>
        <v>100% LTT</v>
      </c>
    </row>
    <row r="21" spans="1:14" ht="19.5" customHeight="1" x14ac:dyDescent="0.3">
      <c r="A21" s="15">
        <f t="shared" si="16"/>
        <v>13</v>
      </c>
      <c r="B21" s="16" t="s">
        <v>100</v>
      </c>
      <c r="C21" s="15" t="s">
        <v>102</v>
      </c>
      <c r="D21" s="15"/>
      <c r="E21" s="15"/>
      <c r="F21" s="15"/>
      <c r="G21" s="15">
        <f t="shared" si="12"/>
        <v>0</v>
      </c>
      <c r="H21" s="15">
        <f t="shared" si="12"/>
        <v>0</v>
      </c>
      <c r="I21" s="15">
        <f t="shared" si="13"/>
        <v>0</v>
      </c>
      <c r="J21" s="15">
        <f t="shared" si="14"/>
        <v>0</v>
      </c>
      <c r="K21" s="15">
        <v>5</v>
      </c>
      <c r="L21" s="15">
        <f t="shared" si="17"/>
        <v>95</v>
      </c>
      <c r="M21" s="15" t="str">
        <f t="shared" si="15"/>
        <v>A</v>
      </c>
      <c r="N21" s="15" t="str">
        <f t="shared" si="18"/>
        <v>100% LTT</v>
      </c>
    </row>
    <row r="22" spans="1:14" ht="19.5" customHeight="1" x14ac:dyDescent="0.3">
      <c r="A22" s="15">
        <f t="shared" si="16"/>
        <v>14</v>
      </c>
      <c r="B22" s="18" t="s">
        <v>116</v>
      </c>
      <c r="C22" s="17" t="s">
        <v>107</v>
      </c>
      <c r="D22" s="17"/>
      <c r="E22" s="17"/>
      <c r="F22" s="17"/>
      <c r="G22" s="15">
        <f t="shared" si="12"/>
        <v>0</v>
      </c>
      <c r="H22" s="15">
        <f t="shared" si="12"/>
        <v>0</v>
      </c>
      <c r="I22" s="15">
        <f t="shared" si="13"/>
        <v>0</v>
      </c>
      <c r="J22" s="15">
        <f t="shared" si="14"/>
        <v>0</v>
      </c>
      <c r="K22" s="17">
        <v>8</v>
      </c>
      <c r="L22" s="15">
        <f t="shared" si="17"/>
        <v>92</v>
      </c>
      <c r="M22" s="15" t="str">
        <f t="shared" si="15"/>
        <v>A</v>
      </c>
      <c r="N22" s="17" t="str">
        <f t="shared" si="18"/>
        <v>100% LTT</v>
      </c>
    </row>
    <row r="23" spans="1:14" ht="22.5" customHeight="1" x14ac:dyDescent="0.3">
      <c r="A23" s="180" t="s">
        <v>64</v>
      </c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  <c r="N23" s="180"/>
    </row>
    <row r="24" spans="1:14" ht="22.5" customHeight="1" x14ac:dyDescent="0.3">
      <c r="J24" s="185" t="s">
        <v>175</v>
      </c>
      <c r="K24" s="185"/>
      <c r="L24" s="185"/>
      <c r="M24" s="185"/>
      <c r="N24" s="185"/>
    </row>
    <row r="25" spans="1:14" ht="22.5" customHeight="1" x14ac:dyDescent="0.3">
      <c r="B25" s="178" t="s">
        <v>22</v>
      </c>
      <c r="C25" s="178"/>
      <c r="D25" s="178"/>
      <c r="L25" s="178" t="s">
        <v>25</v>
      </c>
      <c r="M25" s="178"/>
      <c r="N25" s="178"/>
    </row>
    <row r="26" spans="1:14" ht="22.5" customHeight="1" x14ac:dyDescent="0.3">
      <c r="L26" s="170"/>
      <c r="M26" s="170"/>
    </row>
    <row r="27" spans="1:14" ht="22.5" customHeight="1" x14ac:dyDescent="0.3">
      <c r="L27" s="170"/>
      <c r="M27" s="170"/>
    </row>
    <row r="28" spans="1:14" ht="22.5" customHeight="1" x14ac:dyDescent="0.3">
      <c r="L28" s="170"/>
      <c r="M28" s="170"/>
    </row>
    <row r="29" spans="1:14" ht="22.5" customHeight="1" x14ac:dyDescent="0.3">
      <c r="B29" s="178" t="s">
        <v>28</v>
      </c>
      <c r="C29" s="178"/>
      <c r="D29" s="178"/>
      <c r="L29" s="178" t="s">
        <v>27</v>
      </c>
      <c r="M29" s="178"/>
      <c r="N29" s="178"/>
    </row>
    <row r="30" spans="1:14" ht="22.5" customHeight="1" x14ac:dyDescent="0.3">
      <c r="C30" s="1"/>
      <c r="D30" s="1"/>
    </row>
  </sheetData>
  <mergeCells count="25">
    <mergeCell ref="B29:D29"/>
    <mergeCell ref="L29:N29"/>
    <mergeCell ref="A6:C6"/>
    <mergeCell ref="A11:C11"/>
    <mergeCell ref="A13:C13"/>
    <mergeCell ref="A23:N23"/>
    <mergeCell ref="J24:N24"/>
    <mergeCell ref="B25:D25"/>
    <mergeCell ref="L25:N25"/>
    <mergeCell ref="O4:O5"/>
    <mergeCell ref="A1:N1"/>
    <mergeCell ref="A2:N2"/>
    <mergeCell ref="A3:N3"/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L4:L5"/>
    <mergeCell ref="M4:M5"/>
    <mergeCell ref="N4:N5"/>
  </mergeCells>
  <pageMargins left="0.26" right="0.24" top="0.47" bottom="0.33" header="0.3" footer="0.3"/>
  <pageSetup paperSize="9" scale="75" orientation="landscape" verticalDpi="0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zoomScale="80" zoomScaleNormal="80" workbookViewId="0">
      <pane xSplit="2" ySplit="6" topLeftCell="D10" activePane="bottomRight" state="frozen"/>
      <selection pane="topRight" activeCell="C1" sqref="C1"/>
      <selection pane="bottomLeft" activeCell="A7" sqref="A7"/>
      <selection pane="bottomRight" activeCell="J12" sqref="J12"/>
    </sheetView>
  </sheetViews>
  <sheetFormatPr defaultColWidth="9.109375" defaultRowHeight="16.8" x14ac:dyDescent="0.3"/>
  <cols>
    <col min="1" max="1" width="6.109375" style="2" customWidth="1"/>
    <col min="2" max="2" width="27.5546875" style="1" customWidth="1"/>
    <col min="3" max="3" width="22" style="2" customWidth="1"/>
    <col min="4" max="6" width="11.33203125" style="2" customWidth="1"/>
    <col min="7" max="9" width="12.33203125" style="2" customWidth="1"/>
    <col min="10" max="10" width="12.44140625" style="2" customWidth="1"/>
    <col min="11" max="11" width="11.33203125" style="2" customWidth="1"/>
    <col min="12" max="12" width="12.109375" style="2" customWidth="1"/>
    <col min="13" max="13" width="9.44140625" style="2" customWidth="1"/>
    <col min="14" max="14" width="15" style="2" customWidth="1"/>
    <col min="15" max="15" width="53.88671875" style="2" customWidth="1"/>
    <col min="16" max="16384" width="9.109375" style="1"/>
  </cols>
  <sheetData>
    <row r="1" spans="1:15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5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</row>
    <row r="3" spans="1:15" ht="22.5" customHeight="1" x14ac:dyDescent="0.3">
      <c r="A3" s="179" t="s">
        <v>178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</row>
    <row r="4" spans="1:15" s="3" customFormat="1" ht="22.5" customHeight="1" x14ac:dyDescent="0.3">
      <c r="A4" s="180" t="s">
        <v>0</v>
      </c>
      <c r="B4" s="180" t="s">
        <v>1</v>
      </c>
      <c r="C4" s="180" t="s">
        <v>2</v>
      </c>
      <c r="D4" s="180" t="s">
        <v>23</v>
      </c>
      <c r="E4" s="180"/>
      <c r="F4" s="180"/>
      <c r="G4" s="181" t="s">
        <v>29</v>
      </c>
      <c r="H4" s="181" t="s">
        <v>30</v>
      </c>
      <c r="I4" s="181" t="s">
        <v>31</v>
      </c>
      <c r="J4" s="181" t="s">
        <v>96</v>
      </c>
      <c r="K4" s="181" t="s">
        <v>97</v>
      </c>
      <c r="L4" s="180" t="s">
        <v>6</v>
      </c>
      <c r="M4" s="180" t="s">
        <v>7</v>
      </c>
      <c r="N4" s="180" t="s">
        <v>8</v>
      </c>
      <c r="O4" s="183"/>
    </row>
    <row r="5" spans="1:15" s="3" customFormat="1" ht="49.8" customHeight="1" x14ac:dyDescent="0.3">
      <c r="A5" s="180"/>
      <c r="B5" s="180"/>
      <c r="C5" s="180"/>
      <c r="D5" s="173" t="s">
        <v>3</v>
      </c>
      <c r="E5" s="173" t="s">
        <v>4</v>
      </c>
      <c r="F5" s="173" t="s">
        <v>5</v>
      </c>
      <c r="G5" s="182"/>
      <c r="H5" s="182"/>
      <c r="I5" s="182"/>
      <c r="J5" s="182"/>
      <c r="K5" s="182"/>
      <c r="L5" s="180"/>
      <c r="M5" s="180"/>
      <c r="N5" s="180"/>
      <c r="O5" s="183"/>
    </row>
    <row r="6" spans="1:15" ht="19.5" customHeight="1" x14ac:dyDescent="0.3">
      <c r="A6" s="184" t="s">
        <v>15</v>
      </c>
      <c r="B6" s="184"/>
      <c r="C6" s="18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5" ht="19.5" customHeight="1" x14ac:dyDescent="0.3">
      <c r="A7" s="15">
        <v>1</v>
      </c>
      <c r="B7" s="16" t="s">
        <v>52</v>
      </c>
      <c r="C7" s="15" t="s">
        <v>19</v>
      </c>
      <c r="D7" s="15"/>
      <c r="E7" s="15"/>
      <c r="F7" s="15"/>
      <c r="G7" s="15">
        <f t="shared" ref="G7:H10" si="0">IF(D7&gt;5,(D7-5)*2,0)</f>
        <v>0</v>
      </c>
      <c r="H7" s="15">
        <f t="shared" si="0"/>
        <v>0</v>
      </c>
      <c r="I7" s="15">
        <f t="shared" ref="I7:I10" si="1">IF(F7&gt;2,(F7-2)*1,0)</f>
        <v>0</v>
      </c>
      <c r="J7" s="15">
        <f t="shared" ref="J7:J10" si="2">SUM(G7:I7)</f>
        <v>0</v>
      </c>
      <c r="K7" s="15"/>
      <c r="L7" s="15">
        <f t="shared" ref="L7:L10" si="3">100-J7-K7</f>
        <v>100</v>
      </c>
      <c r="M7" s="15" t="str">
        <f t="shared" ref="M7:M10" si="4">IF(L7&lt;71,"KL",IF(AND(L7&gt;=71,L7&lt;81),"C",IF(AND(L7&gt;=81,L7&lt;91),"B","A")))</f>
        <v>A</v>
      </c>
      <c r="N7" s="15" t="str">
        <f t="shared" ref="N7:N10" si="5">IF(M7="A","100% LTT",IF(M7="B","90% LTT",IF(M7="C","80% LTT","60% LTT")))</f>
        <v>100% LTT</v>
      </c>
      <c r="O7" s="34"/>
    </row>
    <row r="8" spans="1:15" ht="19.5" customHeight="1" x14ac:dyDescent="0.3">
      <c r="A8" s="15">
        <f t="shared" ref="A8:A10" si="6">A7+1</f>
        <v>2</v>
      </c>
      <c r="B8" s="16" t="s">
        <v>59</v>
      </c>
      <c r="C8" s="15" t="s">
        <v>19</v>
      </c>
      <c r="D8" s="15"/>
      <c r="E8" s="15"/>
      <c r="F8" s="15"/>
      <c r="G8" s="15">
        <f t="shared" si="0"/>
        <v>0</v>
      </c>
      <c r="H8" s="15">
        <f t="shared" si="0"/>
        <v>0</v>
      </c>
      <c r="I8" s="15">
        <f t="shared" si="1"/>
        <v>0</v>
      </c>
      <c r="J8" s="15">
        <f t="shared" si="2"/>
        <v>0</v>
      </c>
      <c r="K8" s="15"/>
      <c r="L8" s="15">
        <f t="shared" si="3"/>
        <v>100</v>
      </c>
      <c r="M8" s="15" t="str">
        <f t="shared" si="4"/>
        <v>A</v>
      </c>
      <c r="N8" s="15" t="str">
        <f t="shared" si="5"/>
        <v>100% LTT</v>
      </c>
      <c r="O8" s="35"/>
    </row>
    <row r="9" spans="1:15" ht="19.5" customHeight="1" x14ac:dyDescent="0.3">
      <c r="A9" s="15">
        <f t="shared" si="6"/>
        <v>3</v>
      </c>
      <c r="B9" s="16" t="s">
        <v>161</v>
      </c>
      <c r="C9" s="15" t="s">
        <v>19</v>
      </c>
      <c r="D9" s="15"/>
      <c r="E9" s="15"/>
      <c r="F9" s="15">
        <v>1</v>
      </c>
      <c r="G9" s="15">
        <f t="shared" si="0"/>
        <v>0</v>
      </c>
      <c r="H9" s="15">
        <f t="shared" si="0"/>
        <v>0</v>
      </c>
      <c r="I9" s="15">
        <f t="shared" si="1"/>
        <v>0</v>
      </c>
      <c r="J9" s="15">
        <f t="shared" si="2"/>
        <v>0</v>
      </c>
      <c r="K9" s="15">
        <v>1</v>
      </c>
      <c r="L9" s="15">
        <f t="shared" si="3"/>
        <v>99</v>
      </c>
      <c r="M9" s="15" t="str">
        <f t="shared" si="4"/>
        <v>A</v>
      </c>
      <c r="N9" s="15" t="str">
        <f t="shared" si="5"/>
        <v>100% LTT</v>
      </c>
      <c r="O9" s="35"/>
    </row>
    <row r="10" spans="1:15" ht="19.5" customHeight="1" x14ac:dyDescent="0.3">
      <c r="A10" s="15">
        <f t="shared" si="6"/>
        <v>4</v>
      </c>
      <c r="B10" s="18" t="s">
        <v>11</v>
      </c>
      <c r="C10" s="17" t="s">
        <v>51</v>
      </c>
      <c r="D10" s="17">
        <v>7</v>
      </c>
      <c r="E10" s="17"/>
      <c r="F10" s="17">
        <v>2</v>
      </c>
      <c r="G10" s="17">
        <f t="shared" si="0"/>
        <v>4</v>
      </c>
      <c r="H10" s="17">
        <f t="shared" si="0"/>
        <v>0</v>
      </c>
      <c r="I10" s="17">
        <f t="shared" si="1"/>
        <v>0</v>
      </c>
      <c r="J10" s="17">
        <f t="shared" si="2"/>
        <v>4</v>
      </c>
      <c r="K10" s="17">
        <v>2</v>
      </c>
      <c r="L10" s="15">
        <f t="shared" si="3"/>
        <v>94</v>
      </c>
      <c r="M10" s="17" t="str">
        <f t="shared" si="4"/>
        <v>A</v>
      </c>
      <c r="N10" s="17" t="str">
        <f t="shared" si="5"/>
        <v>100% LTT</v>
      </c>
      <c r="O10" s="35"/>
    </row>
    <row r="11" spans="1:15" ht="19.5" customHeight="1" x14ac:dyDescent="0.3">
      <c r="A11" s="184" t="s">
        <v>16</v>
      </c>
      <c r="B11" s="184"/>
      <c r="C11" s="18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5" ht="19.5" customHeight="1" x14ac:dyDescent="0.3">
      <c r="A12" s="17">
        <f>A10+1</f>
        <v>5</v>
      </c>
      <c r="B12" s="18" t="s">
        <v>28</v>
      </c>
      <c r="C12" s="17" t="s">
        <v>121</v>
      </c>
      <c r="D12" s="4">
        <v>3</v>
      </c>
      <c r="E12" s="17"/>
      <c r="F12" s="17">
        <v>3</v>
      </c>
      <c r="G12" s="17">
        <f t="shared" ref="G12:H12" si="7">IF(D12&gt;5,(D12-5)*2,0)</f>
        <v>0</v>
      </c>
      <c r="H12" s="17">
        <f t="shared" si="7"/>
        <v>0</v>
      </c>
      <c r="I12" s="17">
        <f t="shared" ref="I12" si="8">IF(F12&gt;2,(F12-2)*1,0)</f>
        <v>1</v>
      </c>
      <c r="J12" s="17">
        <f t="shared" ref="J12" si="9">SUM(G12:I12)</f>
        <v>1</v>
      </c>
      <c r="K12" s="17"/>
      <c r="L12" s="17">
        <f>100-J12-K12</f>
        <v>99</v>
      </c>
      <c r="M12" s="17" t="str">
        <f t="shared" ref="M12" si="10">IF(L12&lt;71,"KL",IF(AND(L12&gt;=71,L12&lt;81),"C",IF(AND(L12&gt;=81,L12&lt;91),"B","A")))</f>
        <v>A</v>
      </c>
      <c r="N12" s="17" t="str">
        <f t="shared" ref="N12" si="11">IF(M12="A","100% LTT",IF(M12="B","90% LTT",IF(M12="C","80% LTT","60% LTT")))</f>
        <v>100% LTT</v>
      </c>
    </row>
    <row r="13" spans="1:15" ht="19.5" customHeight="1" x14ac:dyDescent="0.3">
      <c r="A13" s="184" t="s">
        <v>17</v>
      </c>
      <c r="B13" s="184"/>
      <c r="C13" s="18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5" ht="19.5" customHeight="1" x14ac:dyDescent="0.3">
      <c r="A14" s="15">
        <f>A12+1</f>
        <v>6</v>
      </c>
      <c r="B14" s="16" t="s">
        <v>13</v>
      </c>
      <c r="C14" s="15" t="s">
        <v>101</v>
      </c>
      <c r="D14" s="15"/>
      <c r="E14" s="15"/>
      <c r="F14" s="15">
        <v>3</v>
      </c>
      <c r="G14" s="15">
        <f t="shared" ref="G14:H22" si="12">IF(D14&gt;5,(D14-5)*2,0)</f>
        <v>0</v>
      </c>
      <c r="H14" s="15">
        <f t="shared" si="12"/>
        <v>0</v>
      </c>
      <c r="I14" s="15">
        <f t="shared" ref="I14:I22" si="13">IF(F14&gt;2,(F14-2)*1,0)</f>
        <v>1</v>
      </c>
      <c r="J14" s="15">
        <f t="shared" ref="J14:J22" si="14">SUM(G14:I14)</f>
        <v>1</v>
      </c>
      <c r="K14" s="15">
        <v>5</v>
      </c>
      <c r="L14" s="15">
        <f>100-J14-K14</f>
        <v>94</v>
      </c>
      <c r="M14" s="15" t="str">
        <f t="shared" ref="M14:M22" si="15">IF(L14&lt;71,"KL",IF(AND(L14&gt;=71,L14&lt;81),"C",IF(AND(L14&gt;=81,L14&lt;91),"B","A")))</f>
        <v>A</v>
      </c>
      <c r="N14" s="17" t="str">
        <f>IF(M14="A","100% LTT",IF(M14="B","90% LTT",IF(M14="C","80% LTT","60% LTT")))</f>
        <v>100% LTT</v>
      </c>
    </row>
    <row r="15" spans="1:15" ht="19.5" customHeight="1" x14ac:dyDescent="0.3">
      <c r="A15" s="15">
        <f t="shared" ref="A15:A22" si="16">A14+1</f>
        <v>7</v>
      </c>
      <c r="B15" s="16" t="s">
        <v>14</v>
      </c>
      <c r="C15" s="15" t="s">
        <v>19</v>
      </c>
      <c r="D15" s="15">
        <v>6</v>
      </c>
      <c r="E15" s="15">
        <v>1</v>
      </c>
      <c r="F15" s="15"/>
      <c r="G15" s="15">
        <f t="shared" si="12"/>
        <v>2</v>
      </c>
      <c r="H15" s="15">
        <f t="shared" si="12"/>
        <v>0</v>
      </c>
      <c r="I15" s="15">
        <f t="shared" si="13"/>
        <v>0</v>
      </c>
      <c r="J15" s="15">
        <f t="shared" si="14"/>
        <v>2</v>
      </c>
      <c r="K15" s="15">
        <v>6</v>
      </c>
      <c r="L15" s="15">
        <f t="shared" ref="L15:L22" si="17">100-J15-K15</f>
        <v>92</v>
      </c>
      <c r="M15" s="15" t="str">
        <f t="shared" si="15"/>
        <v>A</v>
      </c>
      <c r="N15" s="15" t="str">
        <f t="shared" ref="N15:N22" si="18">IF(M15="A","100% LTT",IF(M15="B","90% LTT",IF(M15="C","80% LTT","60% LTT")))</f>
        <v>100% LTT</v>
      </c>
    </row>
    <row r="16" spans="1:15" ht="19.5" customHeight="1" x14ac:dyDescent="0.3">
      <c r="A16" s="15">
        <f t="shared" si="16"/>
        <v>8</v>
      </c>
      <c r="B16" s="16" t="s">
        <v>40</v>
      </c>
      <c r="C16" s="15" t="s">
        <v>19</v>
      </c>
      <c r="D16" s="15"/>
      <c r="E16" s="15"/>
      <c r="F16" s="15"/>
      <c r="G16" s="15">
        <f t="shared" si="12"/>
        <v>0</v>
      </c>
      <c r="H16" s="15">
        <f t="shared" si="12"/>
        <v>0</v>
      </c>
      <c r="I16" s="15">
        <f t="shared" si="13"/>
        <v>0</v>
      </c>
      <c r="J16" s="15">
        <f t="shared" si="14"/>
        <v>0</v>
      </c>
      <c r="K16" s="15">
        <v>4</v>
      </c>
      <c r="L16" s="15">
        <f>100-J16-K16</f>
        <v>96</v>
      </c>
      <c r="M16" s="15" t="str">
        <f t="shared" si="15"/>
        <v>A</v>
      </c>
      <c r="N16" s="15" t="str">
        <f t="shared" si="18"/>
        <v>100% LTT</v>
      </c>
    </row>
    <row r="17" spans="1:14" ht="19.5" customHeight="1" x14ac:dyDescent="0.3">
      <c r="A17" s="15">
        <f t="shared" si="16"/>
        <v>9</v>
      </c>
      <c r="B17" s="16" t="s">
        <v>130</v>
      </c>
      <c r="C17" s="15" t="s">
        <v>131</v>
      </c>
      <c r="D17" s="15"/>
      <c r="E17" s="15"/>
      <c r="F17" s="15"/>
      <c r="G17" s="15">
        <f t="shared" si="12"/>
        <v>0</v>
      </c>
      <c r="H17" s="15">
        <f t="shared" si="12"/>
        <v>0</v>
      </c>
      <c r="I17" s="15">
        <f t="shared" si="13"/>
        <v>0</v>
      </c>
      <c r="J17" s="15">
        <f t="shared" si="14"/>
        <v>0</v>
      </c>
      <c r="K17" s="15"/>
      <c r="L17" s="15">
        <f t="shared" ref="L17:L18" si="19">100-J17-K17</f>
        <v>100</v>
      </c>
      <c r="M17" s="15" t="str">
        <f t="shared" si="15"/>
        <v>A</v>
      </c>
      <c r="N17" s="15" t="str">
        <f t="shared" si="18"/>
        <v>100% LTT</v>
      </c>
    </row>
    <row r="18" spans="1:14" ht="19.5" customHeight="1" x14ac:dyDescent="0.3">
      <c r="A18" s="15">
        <f t="shared" si="16"/>
        <v>10</v>
      </c>
      <c r="B18" s="16" t="s">
        <v>98</v>
      </c>
      <c r="C18" s="15" t="s">
        <v>102</v>
      </c>
      <c r="D18" s="15"/>
      <c r="E18" s="15"/>
      <c r="F18" s="15"/>
      <c r="G18" s="15">
        <f t="shared" si="12"/>
        <v>0</v>
      </c>
      <c r="H18" s="15">
        <f t="shared" si="12"/>
        <v>0</v>
      </c>
      <c r="I18" s="15">
        <f t="shared" si="13"/>
        <v>0</v>
      </c>
      <c r="J18" s="15">
        <f t="shared" si="14"/>
        <v>0</v>
      </c>
      <c r="K18" s="15">
        <v>8</v>
      </c>
      <c r="L18" s="15">
        <f t="shared" si="19"/>
        <v>92</v>
      </c>
      <c r="M18" s="15" t="str">
        <f t="shared" si="15"/>
        <v>A</v>
      </c>
      <c r="N18" s="15" t="str">
        <f t="shared" si="18"/>
        <v>100% LTT</v>
      </c>
    </row>
    <row r="19" spans="1:14" ht="19.5" customHeight="1" x14ac:dyDescent="0.3">
      <c r="A19" s="15">
        <f t="shared" si="16"/>
        <v>11</v>
      </c>
      <c r="B19" s="16" t="s">
        <v>99</v>
      </c>
      <c r="C19" s="15" t="s">
        <v>102</v>
      </c>
      <c r="D19" s="15"/>
      <c r="E19" s="15"/>
      <c r="F19" s="15"/>
      <c r="G19" s="15">
        <f t="shared" si="12"/>
        <v>0</v>
      </c>
      <c r="H19" s="15">
        <f t="shared" si="12"/>
        <v>0</v>
      </c>
      <c r="I19" s="15">
        <f t="shared" si="13"/>
        <v>0</v>
      </c>
      <c r="J19" s="15">
        <f t="shared" si="14"/>
        <v>0</v>
      </c>
      <c r="K19" s="15">
        <v>8</v>
      </c>
      <c r="L19" s="15">
        <f t="shared" si="17"/>
        <v>92</v>
      </c>
      <c r="M19" s="15" t="str">
        <f t="shared" si="15"/>
        <v>A</v>
      </c>
      <c r="N19" s="15" t="str">
        <f t="shared" si="18"/>
        <v>100% LTT</v>
      </c>
    </row>
    <row r="20" spans="1:14" ht="19.5" customHeight="1" x14ac:dyDescent="0.3">
      <c r="A20" s="15">
        <f t="shared" si="16"/>
        <v>12</v>
      </c>
      <c r="B20" s="16" t="s">
        <v>152</v>
      </c>
      <c r="C20" s="15" t="s">
        <v>19</v>
      </c>
      <c r="D20" s="15"/>
      <c r="E20" s="15"/>
      <c r="F20" s="15"/>
      <c r="G20" s="15">
        <f t="shared" si="12"/>
        <v>0</v>
      </c>
      <c r="H20" s="15">
        <f t="shared" si="12"/>
        <v>0</v>
      </c>
      <c r="I20" s="15">
        <f t="shared" si="13"/>
        <v>0</v>
      </c>
      <c r="J20" s="15">
        <f t="shared" si="14"/>
        <v>0</v>
      </c>
      <c r="K20" s="15">
        <v>7</v>
      </c>
      <c r="L20" s="15">
        <f t="shared" si="17"/>
        <v>93</v>
      </c>
      <c r="M20" s="15" t="str">
        <f t="shared" si="15"/>
        <v>A</v>
      </c>
      <c r="N20" s="15" t="str">
        <f t="shared" si="18"/>
        <v>100% LTT</v>
      </c>
    </row>
    <row r="21" spans="1:14" ht="19.5" customHeight="1" x14ac:dyDescent="0.3">
      <c r="A21" s="15">
        <f t="shared" si="16"/>
        <v>13</v>
      </c>
      <c r="B21" s="16" t="s">
        <v>100</v>
      </c>
      <c r="C21" s="15" t="s">
        <v>102</v>
      </c>
      <c r="D21" s="15"/>
      <c r="E21" s="15"/>
      <c r="F21" s="15"/>
      <c r="G21" s="15">
        <f t="shared" si="12"/>
        <v>0</v>
      </c>
      <c r="H21" s="15">
        <f t="shared" si="12"/>
        <v>0</v>
      </c>
      <c r="I21" s="15">
        <f t="shared" si="13"/>
        <v>0</v>
      </c>
      <c r="J21" s="15">
        <f t="shared" si="14"/>
        <v>0</v>
      </c>
      <c r="K21" s="15">
        <v>5</v>
      </c>
      <c r="L21" s="15">
        <f t="shared" si="17"/>
        <v>95</v>
      </c>
      <c r="M21" s="15" t="str">
        <f t="shared" si="15"/>
        <v>A</v>
      </c>
      <c r="N21" s="15" t="str">
        <f t="shared" si="18"/>
        <v>100% LTT</v>
      </c>
    </row>
    <row r="22" spans="1:14" ht="19.5" customHeight="1" x14ac:dyDescent="0.3">
      <c r="A22" s="15">
        <f t="shared" si="16"/>
        <v>14</v>
      </c>
      <c r="B22" s="18" t="s">
        <v>116</v>
      </c>
      <c r="C22" s="17" t="s">
        <v>107</v>
      </c>
      <c r="D22" s="17"/>
      <c r="E22" s="17"/>
      <c r="F22" s="17"/>
      <c r="G22" s="15">
        <f t="shared" si="12"/>
        <v>0</v>
      </c>
      <c r="H22" s="15">
        <f t="shared" si="12"/>
        <v>0</v>
      </c>
      <c r="I22" s="15">
        <f t="shared" si="13"/>
        <v>0</v>
      </c>
      <c r="J22" s="15">
        <f t="shared" si="14"/>
        <v>0</v>
      </c>
      <c r="K22" s="17">
        <v>8</v>
      </c>
      <c r="L22" s="15">
        <f t="shared" si="17"/>
        <v>92</v>
      </c>
      <c r="M22" s="15" t="str">
        <f t="shared" si="15"/>
        <v>A</v>
      </c>
      <c r="N22" s="17" t="str">
        <f t="shared" si="18"/>
        <v>100% LTT</v>
      </c>
    </row>
    <row r="23" spans="1:14" ht="22.5" customHeight="1" x14ac:dyDescent="0.3">
      <c r="A23" s="180" t="s">
        <v>64</v>
      </c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  <c r="N23" s="180"/>
    </row>
    <row r="24" spans="1:14" ht="22.5" customHeight="1" x14ac:dyDescent="0.3">
      <c r="J24" s="185" t="s">
        <v>175</v>
      </c>
      <c r="K24" s="185"/>
      <c r="L24" s="185"/>
      <c r="M24" s="185"/>
      <c r="N24" s="185"/>
    </row>
    <row r="25" spans="1:14" ht="22.5" customHeight="1" x14ac:dyDescent="0.3">
      <c r="B25" s="178" t="s">
        <v>22</v>
      </c>
      <c r="C25" s="178"/>
      <c r="D25" s="178"/>
      <c r="L25" s="178" t="s">
        <v>25</v>
      </c>
      <c r="M25" s="178"/>
      <c r="N25" s="178"/>
    </row>
    <row r="26" spans="1:14" ht="22.5" customHeight="1" x14ac:dyDescent="0.3">
      <c r="L26" s="172"/>
      <c r="M26" s="172"/>
    </row>
    <row r="27" spans="1:14" ht="22.5" customHeight="1" x14ac:dyDescent="0.3">
      <c r="L27" s="172"/>
      <c r="M27" s="172"/>
    </row>
    <row r="28" spans="1:14" ht="22.5" customHeight="1" x14ac:dyDescent="0.3">
      <c r="L28" s="172"/>
      <c r="M28" s="172"/>
    </row>
    <row r="29" spans="1:14" ht="22.5" customHeight="1" x14ac:dyDescent="0.3">
      <c r="B29" s="178" t="s">
        <v>28</v>
      </c>
      <c r="C29" s="178"/>
      <c r="D29" s="178"/>
      <c r="L29" s="178" t="s">
        <v>27</v>
      </c>
      <c r="M29" s="178"/>
      <c r="N29" s="178"/>
    </row>
    <row r="30" spans="1:14" ht="22.5" customHeight="1" x14ac:dyDescent="0.3">
      <c r="C30" s="1"/>
      <c r="D30" s="1"/>
    </row>
  </sheetData>
  <mergeCells count="25">
    <mergeCell ref="O4:O5"/>
    <mergeCell ref="A1:N1"/>
    <mergeCell ref="A2:N2"/>
    <mergeCell ref="A3:N3"/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L4:L5"/>
    <mergeCell ref="M4:M5"/>
    <mergeCell ref="N4:N5"/>
    <mergeCell ref="B29:D29"/>
    <mergeCell ref="L29:N29"/>
    <mergeCell ref="A6:C6"/>
    <mergeCell ref="A11:C11"/>
    <mergeCell ref="A13:C13"/>
    <mergeCell ref="A23:N23"/>
    <mergeCell ref="J24:N24"/>
    <mergeCell ref="B25:D25"/>
    <mergeCell ref="L25:N25"/>
  </mergeCells>
  <pageMargins left="0.26" right="0.24" top="0.47" bottom="0.33" header="0.3" footer="0.3"/>
  <pageSetup paperSize="9" scale="75" orientation="landscape" verticalDpi="0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zoomScale="80" zoomScaleNormal="80" workbookViewId="0">
      <pane xSplit="2" ySplit="6" topLeftCell="C16" activePane="bottomRight" state="frozen"/>
      <selection pane="topRight" activeCell="C1" sqref="C1"/>
      <selection pane="bottomLeft" activeCell="A7" sqref="A7"/>
      <selection pane="bottomRight" activeCell="H30" sqref="H30"/>
    </sheetView>
  </sheetViews>
  <sheetFormatPr defaultColWidth="9.109375" defaultRowHeight="16.8" x14ac:dyDescent="0.3"/>
  <cols>
    <col min="1" max="1" width="6.109375" style="2" customWidth="1"/>
    <col min="2" max="2" width="27.5546875" style="1" customWidth="1"/>
    <col min="3" max="3" width="22" style="2" customWidth="1"/>
    <col min="4" max="6" width="11.33203125" style="2" customWidth="1"/>
    <col min="7" max="9" width="12.33203125" style="2" customWidth="1"/>
    <col min="10" max="10" width="12.44140625" style="2" customWidth="1"/>
    <col min="11" max="11" width="11.33203125" style="2" customWidth="1"/>
    <col min="12" max="12" width="12.109375" style="2" customWidth="1"/>
    <col min="13" max="13" width="9.44140625" style="2" customWidth="1"/>
    <col min="14" max="14" width="15" style="2" customWidth="1"/>
    <col min="15" max="15" width="53.88671875" style="2" customWidth="1"/>
    <col min="16" max="16384" width="9.109375" style="1"/>
  </cols>
  <sheetData>
    <row r="1" spans="1:15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5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</row>
    <row r="3" spans="1:15" ht="22.5" customHeight="1" x14ac:dyDescent="0.3">
      <c r="A3" s="179" t="s">
        <v>179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</row>
    <row r="4" spans="1:15" s="3" customFormat="1" ht="22.5" customHeight="1" x14ac:dyDescent="0.3">
      <c r="A4" s="180" t="s">
        <v>0</v>
      </c>
      <c r="B4" s="180" t="s">
        <v>1</v>
      </c>
      <c r="C4" s="180" t="s">
        <v>2</v>
      </c>
      <c r="D4" s="180" t="s">
        <v>23</v>
      </c>
      <c r="E4" s="180"/>
      <c r="F4" s="180"/>
      <c r="G4" s="181" t="s">
        <v>29</v>
      </c>
      <c r="H4" s="181" t="s">
        <v>30</v>
      </c>
      <c r="I4" s="181" t="s">
        <v>31</v>
      </c>
      <c r="J4" s="181" t="s">
        <v>96</v>
      </c>
      <c r="K4" s="181" t="s">
        <v>97</v>
      </c>
      <c r="L4" s="180" t="s">
        <v>6</v>
      </c>
      <c r="M4" s="180" t="s">
        <v>7</v>
      </c>
      <c r="N4" s="180" t="s">
        <v>8</v>
      </c>
      <c r="O4" s="183"/>
    </row>
    <row r="5" spans="1:15" s="3" customFormat="1" ht="49.8" customHeight="1" x14ac:dyDescent="0.3">
      <c r="A5" s="180"/>
      <c r="B5" s="180"/>
      <c r="C5" s="180"/>
      <c r="D5" s="175" t="s">
        <v>3</v>
      </c>
      <c r="E5" s="175" t="s">
        <v>4</v>
      </c>
      <c r="F5" s="175" t="s">
        <v>5</v>
      </c>
      <c r="G5" s="182"/>
      <c r="H5" s="182"/>
      <c r="I5" s="182"/>
      <c r="J5" s="182"/>
      <c r="K5" s="182"/>
      <c r="L5" s="180"/>
      <c r="M5" s="180"/>
      <c r="N5" s="180"/>
      <c r="O5" s="183"/>
    </row>
    <row r="6" spans="1:15" ht="19.5" customHeight="1" x14ac:dyDescent="0.3">
      <c r="A6" s="184" t="s">
        <v>15</v>
      </c>
      <c r="B6" s="184"/>
      <c r="C6" s="18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5" ht="19.5" customHeight="1" x14ac:dyDescent="0.3">
      <c r="A7" s="15">
        <v>1</v>
      </c>
      <c r="B7" s="16" t="s">
        <v>52</v>
      </c>
      <c r="C7" s="15" t="s">
        <v>19</v>
      </c>
      <c r="D7" s="15"/>
      <c r="E7" s="15"/>
      <c r="F7" s="15"/>
      <c r="G7" s="15">
        <f t="shared" ref="G7:H10" si="0">IF(D7&gt;5,(D7-5)*2,0)</f>
        <v>0</v>
      </c>
      <c r="H7" s="15">
        <f t="shared" si="0"/>
        <v>0</v>
      </c>
      <c r="I7" s="15">
        <f t="shared" ref="I7:I10" si="1">IF(F7&gt;2,(F7-2)*1,0)</f>
        <v>0</v>
      </c>
      <c r="J7" s="15">
        <f t="shared" ref="J7:J10" si="2">SUM(G7:I7)</f>
        <v>0</v>
      </c>
      <c r="K7" s="15"/>
      <c r="L7" s="15">
        <f t="shared" ref="L7:L10" si="3">100-J7-K7</f>
        <v>100</v>
      </c>
      <c r="M7" s="15" t="str">
        <f t="shared" ref="M7:M10" si="4">IF(L7&lt;71,"KL",IF(AND(L7&gt;=71,L7&lt;81),"C",IF(AND(L7&gt;=81,L7&lt;91),"B","A")))</f>
        <v>A</v>
      </c>
      <c r="N7" s="15" t="str">
        <f t="shared" ref="N7:N10" si="5">IF(M7="A","100% LTT",IF(M7="B","90% LTT",IF(M7="C","80% LTT","60% LTT")))</f>
        <v>100% LTT</v>
      </c>
      <c r="O7" s="34"/>
    </row>
    <row r="8" spans="1:15" ht="19.5" customHeight="1" x14ac:dyDescent="0.3">
      <c r="A8" s="15">
        <f t="shared" ref="A8:A10" si="6">A7+1</f>
        <v>2</v>
      </c>
      <c r="B8" s="16" t="s">
        <v>59</v>
      </c>
      <c r="C8" s="15" t="s">
        <v>19</v>
      </c>
      <c r="D8" s="15"/>
      <c r="E8" s="15"/>
      <c r="F8" s="15"/>
      <c r="G8" s="15">
        <f t="shared" si="0"/>
        <v>0</v>
      </c>
      <c r="H8" s="15">
        <f t="shared" si="0"/>
        <v>0</v>
      </c>
      <c r="I8" s="15">
        <f t="shared" si="1"/>
        <v>0</v>
      </c>
      <c r="J8" s="15">
        <f t="shared" si="2"/>
        <v>0</v>
      </c>
      <c r="K8" s="15"/>
      <c r="L8" s="15">
        <f t="shared" si="3"/>
        <v>100</v>
      </c>
      <c r="M8" s="15" t="str">
        <f t="shared" si="4"/>
        <v>A</v>
      </c>
      <c r="N8" s="15" t="str">
        <f t="shared" si="5"/>
        <v>100% LTT</v>
      </c>
      <c r="O8" s="35"/>
    </row>
    <row r="9" spans="1:15" ht="19.5" customHeight="1" x14ac:dyDescent="0.3">
      <c r="A9" s="15">
        <f t="shared" si="6"/>
        <v>3</v>
      </c>
      <c r="B9" s="16" t="s">
        <v>161</v>
      </c>
      <c r="C9" s="15" t="s">
        <v>19</v>
      </c>
      <c r="D9" s="15">
        <v>1</v>
      </c>
      <c r="E9" s="15"/>
      <c r="F9" s="15"/>
      <c r="G9" s="15">
        <f t="shared" si="0"/>
        <v>0</v>
      </c>
      <c r="H9" s="15">
        <f t="shared" si="0"/>
        <v>0</v>
      </c>
      <c r="I9" s="15">
        <f t="shared" si="1"/>
        <v>0</v>
      </c>
      <c r="J9" s="15">
        <f t="shared" si="2"/>
        <v>0</v>
      </c>
      <c r="K9" s="15"/>
      <c r="L9" s="15">
        <f t="shared" si="3"/>
        <v>100</v>
      </c>
      <c r="M9" s="15" t="str">
        <f t="shared" si="4"/>
        <v>A</v>
      </c>
      <c r="N9" s="15" t="str">
        <f t="shared" si="5"/>
        <v>100% LTT</v>
      </c>
      <c r="O9" s="35"/>
    </row>
    <row r="10" spans="1:15" ht="19.5" customHeight="1" x14ac:dyDescent="0.3">
      <c r="A10" s="15">
        <f t="shared" si="6"/>
        <v>4</v>
      </c>
      <c r="B10" s="18" t="s">
        <v>11</v>
      </c>
      <c r="C10" s="17" t="s">
        <v>51</v>
      </c>
      <c r="D10" s="17">
        <v>5</v>
      </c>
      <c r="E10" s="17"/>
      <c r="F10" s="17">
        <v>1</v>
      </c>
      <c r="G10" s="17">
        <f t="shared" si="0"/>
        <v>0</v>
      </c>
      <c r="H10" s="17">
        <f t="shared" si="0"/>
        <v>0</v>
      </c>
      <c r="I10" s="17">
        <f t="shared" si="1"/>
        <v>0</v>
      </c>
      <c r="J10" s="17">
        <f t="shared" si="2"/>
        <v>0</v>
      </c>
      <c r="K10" s="17"/>
      <c r="L10" s="15">
        <f t="shared" si="3"/>
        <v>100</v>
      </c>
      <c r="M10" s="17" t="str">
        <f t="shared" si="4"/>
        <v>A</v>
      </c>
      <c r="N10" s="17" t="str">
        <f t="shared" si="5"/>
        <v>100% LTT</v>
      </c>
      <c r="O10" s="35"/>
    </row>
    <row r="11" spans="1:15" ht="19.5" customHeight="1" x14ac:dyDescent="0.3">
      <c r="A11" s="184" t="s">
        <v>16</v>
      </c>
      <c r="B11" s="184"/>
      <c r="C11" s="18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5" ht="19.5" customHeight="1" x14ac:dyDescent="0.3">
      <c r="A12" s="17">
        <f>A10+1</f>
        <v>5</v>
      </c>
      <c r="B12" s="18" t="s">
        <v>28</v>
      </c>
      <c r="C12" s="17" t="s">
        <v>121</v>
      </c>
      <c r="D12" s="4"/>
      <c r="E12" s="17"/>
      <c r="F12" s="17">
        <v>1</v>
      </c>
      <c r="G12" s="17">
        <f t="shared" ref="G12:H12" si="7">IF(D12&gt;5,(D12-5)*2,0)</f>
        <v>0</v>
      </c>
      <c r="H12" s="17">
        <f t="shared" si="7"/>
        <v>0</v>
      </c>
      <c r="I12" s="17">
        <f t="shared" ref="I12" si="8">IF(F12&gt;2,(F12-2)*1,0)</f>
        <v>0</v>
      </c>
      <c r="J12" s="17">
        <f t="shared" ref="J12" si="9">SUM(G12:I12)</f>
        <v>0</v>
      </c>
      <c r="K12" s="17"/>
      <c r="L12" s="17">
        <f>100-J12-K12</f>
        <v>100</v>
      </c>
      <c r="M12" s="17" t="str">
        <f t="shared" ref="M12" si="10">IF(L12&lt;71,"KL",IF(AND(L12&gt;=71,L12&lt;81),"C",IF(AND(L12&gt;=81,L12&lt;91),"B","A")))</f>
        <v>A</v>
      </c>
      <c r="N12" s="17" t="str">
        <f t="shared" ref="N12" si="11">IF(M12="A","100% LTT",IF(M12="B","90% LTT",IF(M12="C","80% LTT","60% LTT")))</f>
        <v>100% LTT</v>
      </c>
    </row>
    <row r="13" spans="1:15" ht="19.5" customHeight="1" x14ac:dyDescent="0.3">
      <c r="A13" s="184" t="s">
        <v>17</v>
      </c>
      <c r="B13" s="184"/>
      <c r="C13" s="18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5" ht="19.5" customHeight="1" x14ac:dyDescent="0.3">
      <c r="A14" s="15">
        <f>A12+1</f>
        <v>6</v>
      </c>
      <c r="B14" s="16" t="s">
        <v>13</v>
      </c>
      <c r="C14" s="15" t="s">
        <v>101</v>
      </c>
      <c r="D14" s="15"/>
      <c r="E14" s="15"/>
      <c r="F14" s="15">
        <v>3</v>
      </c>
      <c r="G14" s="15">
        <f t="shared" ref="G14:H22" si="12">IF(D14&gt;5,(D14-5)*2,0)</f>
        <v>0</v>
      </c>
      <c r="H14" s="15">
        <f t="shared" si="12"/>
        <v>0</v>
      </c>
      <c r="I14" s="15">
        <f t="shared" ref="I14:I22" si="13">IF(F14&gt;2,(F14-2)*1,0)</f>
        <v>1</v>
      </c>
      <c r="J14" s="15">
        <f t="shared" ref="J14:J22" si="14">SUM(G14:I14)</f>
        <v>1</v>
      </c>
      <c r="K14" s="15">
        <v>5</v>
      </c>
      <c r="L14" s="15">
        <f>100-J14-K14</f>
        <v>94</v>
      </c>
      <c r="M14" s="15" t="str">
        <f t="shared" ref="M14:M22" si="15">IF(L14&lt;71,"KL",IF(AND(L14&gt;=71,L14&lt;81),"C",IF(AND(L14&gt;=81,L14&lt;91),"B","A")))</f>
        <v>A</v>
      </c>
      <c r="N14" s="17" t="str">
        <f>IF(M14="A","100% LTT",IF(M14="B","90% LTT",IF(M14="C","80% LTT","60% LTT")))</f>
        <v>100% LTT</v>
      </c>
    </row>
    <row r="15" spans="1:15" ht="19.5" customHeight="1" x14ac:dyDescent="0.3">
      <c r="A15" s="15">
        <f t="shared" ref="A15:A22" si="16">A14+1</f>
        <v>7</v>
      </c>
      <c r="B15" s="16" t="s">
        <v>14</v>
      </c>
      <c r="C15" s="15" t="s">
        <v>19</v>
      </c>
      <c r="D15" s="15">
        <v>4</v>
      </c>
      <c r="E15" s="15"/>
      <c r="F15" s="15">
        <v>1</v>
      </c>
      <c r="G15" s="15">
        <f t="shared" si="12"/>
        <v>0</v>
      </c>
      <c r="H15" s="15">
        <f t="shared" si="12"/>
        <v>0</v>
      </c>
      <c r="I15" s="15">
        <f t="shared" si="13"/>
        <v>0</v>
      </c>
      <c r="J15" s="15">
        <f t="shared" si="14"/>
        <v>0</v>
      </c>
      <c r="K15" s="15">
        <v>4</v>
      </c>
      <c r="L15" s="15">
        <f t="shared" ref="L15:L22" si="17">100-J15-K15</f>
        <v>96</v>
      </c>
      <c r="M15" s="15" t="str">
        <f t="shared" si="15"/>
        <v>A</v>
      </c>
      <c r="N15" s="15" t="str">
        <f t="shared" ref="N15:N22" si="18">IF(M15="A","100% LTT",IF(M15="B","90% LTT",IF(M15="C","80% LTT","60% LTT")))</f>
        <v>100% LTT</v>
      </c>
    </row>
    <row r="16" spans="1:15" ht="19.5" customHeight="1" x14ac:dyDescent="0.3">
      <c r="A16" s="15">
        <f t="shared" si="16"/>
        <v>8</v>
      </c>
      <c r="B16" s="16" t="s">
        <v>40</v>
      </c>
      <c r="C16" s="15" t="s">
        <v>19</v>
      </c>
      <c r="D16" s="15"/>
      <c r="E16" s="15"/>
      <c r="F16" s="15"/>
      <c r="G16" s="15">
        <f t="shared" si="12"/>
        <v>0</v>
      </c>
      <c r="H16" s="15">
        <f t="shared" si="12"/>
        <v>0</v>
      </c>
      <c r="I16" s="15">
        <f t="shared" si="13"/>
        <v>0</v>
      </c>
      <c r="J16" s="15">
        <f t="shared" si="14"/>
        <v>0</v>
      </c>
      <c r="K16" s="15">
        <v>4</v>
      </c>
      <c r="L16" s="15">
        <f>100-J16-K16</f>
        <v>96</v>
      </c>
      <c r="M16" s="15" t="str">
        <f t="shared" si="15"/>
        <v>A</v>
      </c>
      <c r="N16" s="15" t="str">
        <f t="shared" si="18"/>
        <v>100% LTT</v>
      </c>
    </row>
    <row r="17" spans="1:15" ht="19.5" customHeight="1" x14ac:dyDescent="0.3">
      <c r="A17" s="15">
        <f t="shared" si="16"/>
        <v>9</v>
      </c>
      <c r="B17" s="16" t="s">
        <v>130</v>
      </c>
      <c r="C17" s="15" t="s">
        <v>131</v>
      </c>
      <c r="D17" s="15"/>
      <c r="E17" s="15"/>
      <c r="F17" s="15"/>
      <c r="G17" s="15">
        <f t="shared" si="12"/>
        <v>0</v>
      </c>
      <c r="H17" s="15">
        <f t="shared" si="12"/>
        <v>0</v>
      </c>
      <c r="I17" s="15">
        <f t="shared" si="13"/>
        <v>0</v>
      </c>
      <c r="J17" s="15">
        <f t="shared" si="14"/>
        <v>0</v>
      </c>
      <c r="K17" s="15"/>
      <c r="L17" s="15">
        <f t="shared" ref="L17:L18" si="19">100-J17-K17</f>
        <v>100</v>
      </c>
      <c r="M17" s="15" t="str">
        <f t="shared" si="15"/>
        <v>A</v>
      </c>
      <c r="N17" s="15" t="str">
        <f t="shared" si="18"/>
        <v>100% LTT</v>
      </c>
      <c r="O17" s="2" t="s">
        <v>180</v>
      </c>
    </row>
    <row r="18" spans="1:15" ht="19.5" customHeight="1" x14ac:dyDescent="0.3">
      <c r="A18" s="15">
        <f t="shared" si="16"/>
        <v>10</v>
      </c>
      <c r="B18" s="16" t="s">
        <v>98</v>
      </c>
      <c r="C18" s="15" t="s">
        <v>102</v>
      </c>
      <c r="D18" s="15"/>
      <c r="E18" s="15"/>
      <c r="F18" s="15"/>
      <c r="G18" s="15">
        <f t="shared" si="12"/>
        <v>0</v>
      </c>
      <c r="H18" s="15">
        <f t="shared" si="12"/>
        <v>0</v>
      </c>
      <c r="I18" s="15">
        <f t="shared" si="13"/>
        <v>0</v>
      </c>
      <c r="J18" s="15">
        <f t="shared" si="14"/>
        <v>0</v>
      </c>
      <c r="K18" s="15">
        <v>8</v>
      </c>
      <c r="L18" s="15">
        <f t="shared" si="19"/>
        <v>92</v>
      </c>
      <c r="M18" s="15" t="str">
        <f t="shared" si="15"/>
        <v>A</v>
      </c>
      <c r="N18" s="15" t="str">
        <f t="shared" si="18"/>
        <v>100% LTT</v>
      </c>
    </row>
    <row r="19" spans="1:15" ht="19.5" customHeight="1" x14ac:dyDescent="0.3">
      <c r="A19" s="15">
        <f t="shared" si="16"/>
        <v>11</v>
      </c>
      <c r="B19" s="16" t="s">
        <v>99</v>
      </c>
      <c r="C19" s="15" t="s">
        <v>102</v>
      </c>
      <c r="D19" s="15"/>
      <c r="E19" s="15"/>
      <c r="F19" s="15"/>
      <c r="G19" s="15">
        <f t="shared" si="12"/>
        <v>0</v>
      </c>
      <c r="H19" s="15">
        <f t="shared" si="12"/>
        <v>0</v>
      </c>
      <c r="I19" s="15">
        <f t="shared" si="13"/>
        <v>0</v>
      </c>
      <c r="J19" s="15">
        <f t="shared" si="14"/>
        <v>0</v>
      </c>
      <c r="K19" s="15">
        <v>8</v>
      </c>
      <c r="L19" s="15">
        <f t="shared" si="17"/>
        <v>92</v>
      </c>
      <c r="M19" s="15" t="str">
        <f t="shared" si="15"/>
        <v>A</v>
      </c>
      <c r="N19" s="15" t="str">
        <f t="shared" si="18"/>
        <v>100% LTT</v>
      </c>
    </row>
    <row r="20" spans="1:15" ht="19.5" customHeight="1" x14ac:dyDescent="0.3">
      <c r="A20" s="15">
        <f t="shared" si="16"/>
        <v>12</v>
      </c>
      <c r="B20" s="16" t="s">
        <v>152</v>
      </c>
      <c r="C20" s="15" t="s">
        <v>19</v>
      </c>
      <c r="D20" s="15"/>
      <c r="E20" s="15"/>
      <c r="F20" s="15"/>
      <c r="G20" s="15">
        <f t="shared" si="12"/>
        <v>0</v>
      </c>
      <c r="H20" s="15">
        <f t="shared" si="12"/>
        <v>0</v>
      </c>
      <c r="I20" s="15">
        <f t="shared" si="13"/>
        <v>0</v>
      </c>
      <c r="J20" s="15">
        <f t="shared" si="14"/>
        <v>0</v>
      </c>
      <c r="K20" s="15">
        <v>7</v>
      </c>
      <c r="L20" s="15">
        <f t="shared" si="17"/>
        <v>93</v>
      </c>
      <c r="M20" s="15" t="str">
        <f t="shared" si="15"/>
        <v>A</v>
      </c>
      <c r="N20" s="15" t="str">
        <f t="shared" si="18"/>
        <v>100% LTT</v>
      </c>
    </row>
    <row r="21" spans="1:15" ht="19.5" customHeight="1" x14ac:dyDescent="0.3">
      <c r="A21" s="15">
        <f t="shared" si="16"/>
        <v>13</v>
      </c>
      <c r="B21" s="16" t="s">
        <v>100</v>
      </c>
      <c r="C21" s="15" t="s">
        <v>102</v>
      </c>
      <c r="D21" s="15"/>
      <c r="E21" s="15"/>
      <c r="F21" s="15"/>
      <c r="G21" s="15">
        <f t="shared" si="12"/>
        <v>0</v>
      </c>
      <c r="H21" s="15">
        <f t="shared" si="12"/>
        <v>0</v>
      </c>
      <c r="I21" s="15">
        <f t="shared" si="13"/>
        <v>0</v>
      </c>
      <c r="J21" s="15">
        <f t="shared" si="14"/>
        <v>0</v>
      </c>
      <c r="K21" s="15">
        <v>5</v>
      </c>
      <c r="L21" s="15">
        <f t="shared" si="17"/>
        <v>95</v>
      </c>
      <c r="M21" s="15" t="str">
        <f t="shared" si="15"/>
        <v>A</v>
      </c>
      <c r="N21" s="15" t="str">
        <f t="shared" si="18"/>
        <v>100% LTT</v>
      </c>
    </row>
    <row r="22" spans="1:15" ht="19.5" customHeight="1" x14ac:dyDescent="0.3">
      <c r="A22" s="15">
        <f t="shared" si="16"/>
        <v>14</v>
      </c>
      <c r="B22" s="18" t="s">
        <v>116</v>
      </c>
      <c r="C22" s="17" t="s">
        <v>107</v>
      </c>
      <c r="D22" s="17"/>
      <c r="E22" s="17"/>
      <c r="F22" s="17"/>
      <c r="G22" s="15">
        <f t="shared" si="12"/>
        <v>0</v>
      </c>
      <c r="H22" s="15">
        <f t="shared" si="12"/>
        <v>0</v>
      </c>
      <c r="I22" s="15">
        <f t="shared" si="13"/>
        <v>0</v>
      </c>
      <c r="J22" s="15">
        <f t="shared" si="14"/>
        <v>0</v>
      </c>
      <c r="K22" s="17">
        <v>8</v>
      </c>
      <c r="L22" s="15">
        <f t="shared" si="17"/>
        <v>92</v>
      </c>
      <c r="M22" s="15" t="str">
        <f t="shared" si="15"/>
        <v>A</v>
      </c>
      <c r="N22" s="17" t="str">
        <f t="shared" si="18"/>
        <v>100% LTT</v>
      </c>
    </row>
    <row r="23" spans="1:15" ht="22.5" customHeight="1" x14ac:dyDescent="0.3">
      <c r="A23" s="180" t="s">
        <v>64</v>
      </c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  <c r="N23" s="180"/>
    </row>
    <row r="24" spans="1:15" ht="22.5" customHeight="1" x14ac:dyDescent="0.3">
      <c r="J24" s="185" t="s">
        <v>175</v>
      </c>
      <c r="K24" s="185"/>
      <c r="L24" s="185"/>
      <c r="M24" s="185"/>
      <c r="N24" s="185"/>
    </row>
    <row r="25" spans="1:15" ht="22.5" customHeight="1" x14ac:dyDescent="0.3">
      <c r="B25" s="178" t="s">
        <v>22</v>
      </c>
      <c r="C25" s="178"/>
      <c r="D25" s="178"/>
      <c r="L25" s="178" t="s">
        <v>25</v>
      </c>
      <c r="M25" s="178"/>
      <c r="N25" s="178"/>
    </row>
    <row r="26" spans="1:15" ht="22.5" customHeight="1" x14ac:dyDescent="0.3">
      <c r="L26" s="174"/>
      <c r="M26" s="174"/>
    </row>
    <row r="27" spans="1:15" ht="22.5" customHeight="1" x14ac:dyDescent="0.3">
      <c r="L27" s="174"/>
      <c r="M27" s="174"/>
    </row>
    <row r="28" spans="1:15" ht="22.5" customHeight="1" x14ac:dyDescent="0.3">
      <c r="L28" s="174"/>
      <c r="M28" s="174"/>
    </row>
    <row r="29" spans="1:15" ht="22.5" customHeight="1" x14ac:dyDescent="0.3">
      <c r="B29" s="178" t="s">
        <v>28</v>
      </c>
      <c r="C29" s="178"/>
      <c r="D29" s="178"/>
      <c r="L29" s="178" t="s">
        <v>27</v>
      </c>
      <c r="M29" s="178"/>
      <c r="N29" s="178"/>
    </row>
    <row r="30" spans="1:15" ht="22.5" customHeight="1" x14ac:dyDescent="0.3">
      <c r="C30" s="1"/>
      <c r="D30" s="1"/>
    </row>
  </sheetData>
  <mergeCells count="25">
    <mergeCell ref="O4:O5"/>
    <mergeCell ref="A1:N1"/>
    <mergeCell ref="A2:N2"/>
    <mergeCell ref="A3:N3"/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L4:L5"/>
    <mergeCell ref="M4:M5"/>
    <mergeCell ref="N4:N5"/>
    <mergeCell ref="B29:D29"/>
    <mergeCell ref="L29:N29"/>
    <mergeCell ref="A6:C6"/>
    <mergeCell ref="A11:C11"/>
    <mergeCell ref="A13:C13"/>
    <mergeCell ref="A23:N23"/>
    <mergeCell ref="J24:N24"/>
    <mergeCell ref="B25:D25"/>
    <mergeCell ref="L25:N25"/>
  </mergeCells>
  <pageMargins left="0.26" right="0.24" top="0.47" bottom="0.33" header="0.3" footer="0.3"/>
  <pageSetup paperSize="9" scale="75" orientation="landscape" verticalDpi="0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tabSelected="1" zoomScale="80" zoomScaleNormal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O11" sqref="O11"/>
    </sheetView>
  </sheetViews>
  <sheetFormatPr defaultColWidth="9.109375" defaultRowHeight="16.8" x14ac:dyDescent="0.3"/>
  <cols>
    <col min="1" max="1" width="6.109375" style="2" customWidth="1"/>
    <col min="2" max="2" width="27.5546875" style="1" customWidth="1"/>
    <col min="3" max="3" width="22" style="2" customWidth="1"/>
    <col min="4" max="6" width="11.33203125" style="2" customWidth="1"/>
    <col min="7" max="9" width="12.33203125" style="2" customWidth="1"/>
    <col min="10" max="10" width="12.44140625" style="2" customWidth="1"/>
    <col min="11" max="11" width="11.33203125" style="2" customWidth="1"/>
    <col min="12" max="12" width="12.109375" style="2" customWidth="1"/>
    <col min="13" max="13" width="9.44140625" style="2" customWidth="1"/>
    <col min="14" max="14" width="15" style="2" customWidth="1"/>
    <col min="15" max="15" width="53.88671875" style="2" customWidth="1"/>
    <col min="16" max="16384" width="9.109375" style="1"/>
  </cols>
  <sheetData>
    <row r="1" spans="1:15" ht="22.5" customHeight="1" x14ac:dyDescent="0.3">
      <c r="A1" s="178" t="s">
        <v>20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5" ht="22.5" customHeight="1" x14ac:dyDescent="0.3">
      <c r="A2" s="178" t="s">
        <v>21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</row>
    <row r="3" spans="1:15" ht="22.5" customHeight="1" x14ac:dyDescent="0.3">
      <c r="A3" s="179" t="s">
        <v>181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</row>
    <row r="4" spans="1:15" s="3" customFormat="1" ht="22.5" customHeight="1" x14ac:dyDescent="0.3">
      <c r="A4" s="180" t="s">
        <v>0</v>
      </c>
      <c r="B4" s="180" t="s">
        <v>1</v>
      </c>
      <c r="C4" s="180" t="s">
        <v>2</v>
      </c>
      <c r="D4" s="180" t="s">
        <v>23</v>
      </c>
      <c r="E4" s="180"/>
      <c r="F4" s="180"/>
      <c r="G4" s="181" t="s">
        <v>29</v>
      </c>
      <c r="H4" s="181" t="s">
        <v>30</v>
      </c>
      <c r="I4" s="181" t="s">
        <v>31</v>
      </c>
      <c r="J4" s="181" t="s">
        <v>96</v>
      </c>
      <c r="K4" s="181" t="s">
        <v>97</v>
      </c>
      <c r="L4" s="180" t="s">
        <v>6</v>
      </c>
      <c r="M4" s="180" t="s">
        <v>7</v>
      </c>
      <c r="N4" s="180" t="s">
        <v>8</v>
      </c>
      <c r="O4" s="183"/>
    </row>
    <row r="5" spans="1:15" s="3" customFormat="1" ht="49.8" customHeight="1" x14ac:dyDescent="0.3">
      <c r="A5" s="180"/>
      <c r="B5" s="180"/>
      <c r="C5" s="180"/>
      <c r="D5" s="177" t="s">
        <v>3</v>
      </c>
      <c r="E5" s="177" t="s">
        <v>4</v>
      </c>
      <c r="F5" s="177" t="s">
        <v>5</v>
      </c>
      <c r="G5" s="182"/>
      <c r="H5" s="182"/>
      <c r="I5" s="182"/>
      <c r="J5" s="182"/>
      <c r="K5" s="182"/>
      <c r="L5" s="180"/>
      <c r="M5" s="180"/>
      <c r="N5" s="180"/>
      <c r="O5" s="183"/>
    </row>
    <row r="6" spans="1:15" ht="19.5" customHeight="1" x14ac:dyDescent="0.3">
      <c r="A6" s="184" t="s">
        <v>15</v>
      </c>
      <c r="B6" s="184"/>
      <c r="C6" s="18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5" ht="19.5" customHeight="1" x14ac:dyDescent="0.3">
      <c r="A7" s="15">
        <v>1</v>
      </c>
      <c r="B7" s="16" t="s">
        <v>52</v>
      </c>
      <c r="C7" s="15" t="s">
        <v>19</v>
      </c>
      <c r="D7" s="15"/>
      <c r="E7" s="15"/>
      <c r="F7" s="15"/>
      <c r="G7" s="15">
        <f t="shared" ref="G7:H9" si="0">IF(D7&gt;5,(D7-5)*2,0)</f>
        <v>0</v>
      </c>
      <c r="H7" s="15">
        <f t="shared" si="0"/>
        <v>0</v>
      </c>
      <c r="I7" s="15">
        <f t="shared" ref="I7:I9" si="1">IF(F7&gt;2,(F7-2)*1,0)</f>
        <v>0</v>
      </c>
      <c r="J7" s="15">
        <f t="shared" ref="J7:J9" si="2">SUM(G7:I7)</f>
        <v>0</v>
      </c>
      <c r="K7" s="15"/>
      <c r="L7" s="15">
        <f t="shared" ref="L7:L9" si="3">100-J7-K7</f>
        <v>100</v>
      </c>
      <c r="M7" s="15" t="str">
        <f t="shared" ref="M7:M9" si="4">IF(L7&lt;71,"KL",IF(AND(L7&gt;=71,L7&lt;81),"C",IF(AND(L7&gt;=81,L7&lt;91),"B","A")))</f>
        <v>A</v>
      </c>
      <c r="N7" s="15" t="str">
        <f t="shared" ref="N7:N9" si="5">IF(M7="A","100% LTT",IF(M7="B","90% LTT",IF(M7="C","80% LTT","60% LTT")))</f>
        <v>100% LTT</v>
      </c>
      <c r="O7" s="34"/>
    </row>
    <row r="8" spans="1:15" ht="19.5" customHeight="1" x14ac:dyDescent="0.3">
      <c r="A8" s="15">
        <f>A7+1</f>
        <v>2</v>
      </c>
      <c r="B8" s="16" t="s">
        <v>161</v>
      </c>
      <c r="C8" s="15" t="s">
        <v>19</v>
      </c>
      <c r="D8" s="15"/>
      <c r="E8" s="15"/>
      <c r="F8" s="15"/>
      <c r="G8" s="15">
        <f t="shared" si="0"/>
        <v>0</v>
      </c>
      <c r="H8" s="15">
        <f t="shared" si="0"/>
        <v>0</v>
      </c>
      <c r="I8" s="15">
        <f t="shared" si="1"/>
        <v>0</v>
      </c>
      <c r="J8" s="15">
        <f t="shared" si="2"/>
        <v>0</v>
      </c>
      <c r="K8" s="15">
        <v>1</v>
      </c>
      <c r="L8" s="15">
        <f t="shared" si="3"/>
        <v>99</v>
      </c>
      <c r="M8" s="15" t="str">
        <f t="shared" si="4"/>
        <v>A</v>
      </c>
      <c r="N8" s="15" t="str">
        <f t="shared" si="5"/>
        <v>100% LTT</v>
      </c>
      <c r="O8" s="35"/>
    </row>
    <row r="9" spans="1:15" ht="19.5" customHeight="1" x14ac:dyDescent="0.3">
      <c r="A9" s="15">
        <f t="shared" ref="A9" si="6">A8+1</f>
        <v>3</v>
      </c>
      <c r="B9" s="18" t="s">
        <v>11</v>
      </c>
      <c r="C9" s="17" t="s">
        <v>51</v>
      </c>
      <c r="D9" s="17">
        <v>4</v>
      </c>
      <c r="E9" s="17"/>
      <c r="F9" s="17">
        <v>1</v>
      </c>
      <c r="G9" s="17">
        <f t="shared" si="0"/>
        <v>0</v>
      </c>
      <c r="H9" s="17">
        <f t="shared" si="0"/>
        <v>0</v>
      </c>
      <c r="I9" s="17">
        <f t="shared" si="1"/>
        <v>0</v>
      </c>
      <c r="J9" s="17">
        <f t="shared" si="2"/>
        <v>0</v>
      </c>
      <c r="K9" s="17">
        <v>2</v>
      </c>
      <c r="L9" s="15">
        <f t="shared" si="3"/>
        <v>98</v>
      </c>
      <c r="M9" s="17" t="str">
        <f t="shared" si="4"/>
        <v>A</v>
      </c>
      <c r="N9" s="17" t="str">
        <f t="shared" si="5"/>
        <v>100% LTT</v>
      </c>
      <c r="O9" s="35"/>
    </row>
    <row r="10" spans="1:15" ht="19.5" customHeight="1" x14ac:dyDescent="0.3">
      <c r="A10" s="184" t="s">
        <v>16</v>
      </c>
      <c r="B10" s="184"/>
      <c r="C10" s="18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5" ht="19.5" customHeight="1" x14ac:dyDescent="0.3">
      <c r="A11" s="17">
        <f>A9+1</f>
        <v>4</v>
      </c>
      <c r="B11" s="18" t="s">
        <v>28</v>
      </c>
      <c r="C11" s="17" t="s">
        <v>121</v>
      </c>
      <c r="D11" s="4">
        <v>1</v>
      </c>
      <c r="E11" s="17"/>
      <c r="F11" s="17">
        <v>3</v>
      </c>
      <c r="G11" s="17">
        <f t="shared" ref="G11:H11" si="7">IF(D11&gt;5,(D11-5)*2,0)</f>
        <v>0</v>
      </c>
      <c r="H11" s="17">
        <f t="shared" si="7"/>
        <v>0</v>
      </c>
      <c r="I11" s="17">
        <f t="shared" ref="I11" si="8">IF(F11&gt;2,(F11-2)*1,0)</f>
        <v>1</v>
      </c>
      <c r="J11" s="17">
        <f t="shared" ref="J11" si="9">SUM(G11:I11)</f>
        <v>1</v>
      </c>
      <c r="K11" s="17"/>
      <c r="L11" s="17">
        <f>100-J11-K11</f>
        <v>99</v>
      </c>
      <c r="M11" s="17" t="str">
        <f t="shared" ref="M11" si="10">IF(L11&lt;71,"KL",IF(AND(L11&gt;=71,L11&lt;81),"C",IF(AND(L11&gt;=81,L11&lt;91),"B","A")))</f>
        <v>A</v>
      </c>
      <c r="N11" s="17" t="str">
        <f t="shared" ref="N11" si="11">IF(M11="A","100% LTT",IF(M11="B","90% LTT",IF(M11="C","80% LTT","60% LTT")))</f>
        <v>100% LTT</v>
      </c>
    </row>
    <row r="12" spans="1:15" ht="19.5" customHeight="1" x14ac:dyDescent="0.3">
      <c r="A12" s="184" t="s">
        <v>17</v>
      </c>
      <c r="B12" s="184"/>
      <c r="C12" s="18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5" ht="19.5" customHeight="1" x14ac:dyDescent="0.3">
      <c r="A13" s="15">
        <f>A11+1</f>
        <v>5</v>
      </c>
      <c r="B13" s="16" t="s">
        <v>13</v>
      </c>
      <c r="C13" s="15" t="s">
        <v>101</v>
      </c>
      <c r="D13" s="15"/>
      <c r="E13" s="15"/>
      <c r="F13" s="15">
        <v>2</v>
      </c>
      <c r="G13" s="15">
        <f t="shared" ref="G13:H20" si="12">IF(D13&gt;5,(D13-5)*2,0)</f>
        <v>0</v>
      </c>
      <c r="H13" s="15">
        <f t="shared" si="12"/>
        <v>0</v>
      </c>
      <c r="I13" s="15">
        <f t="shared" ref="I13:I20" si="13">IF(F13&gt;2,(F13-2)*1,0)</f>
        <v>0</v>
      </c>
      <c r="J13" s="15">
        <f t="shared" ref="J13:J20" si="14">SUM(G13:I13)</f>
        <v>0</v>
      </c>
      <c r="K13" s="15">
        <v>5</v>
      </c>
      <c r="L13" s="15">
        <f>100-J13-K13</f>
        <v>95</v>
      </c>
      <c r="M13" s="15" t="str">
        <f t="shared" ref="M13:M20" si="15">IF(L13&lt;71,"KL",IF(AND(L13&gt;=71,L13&lt;81),"C",IF(AND(L13&gt;=81,L13&lt;91),"B","A")))</f>
        <v>A</v>
      </c>
      <c r="N13" s="17" t="str">
        <f>IF(M13="A","100% LTT",IF(M13="B","90% LTT",IF(M13="C","80% LTT","60% LTT")))</f>
        <v>100% LTT</v>
      </c>
    </row>
    <row r="14" spans="1:15" ht="19.5" customHeight="1" x14ac:dyDescent="0.3">
      <c r="A14" s="15">
        <f t="shared" ref="A14:A20" si="16">A13+1</f>
        <v>6</v>
      </c>
      <c r="B14" s="16" t="s">
        <v>14</v>
      </c>
      <c r="C14" s="15" t="s">
        <v>19</v>
      </c>
      <c r="D14" s="15">
        <v>6</v>
      </c>
      <c r="E14" s="15"/>
      <c r="F14" s="15"/>
      <c r="G14" s="15">
        <f t="shared" si="12"/>
        <v>2</v>
      </c>
      <c r="H14" s="15">
        <f t="shared" si="12"/>
        <v>0</v>
      </c>
      <c r="I14" s="15">
        <f t="shared" si="13"/>
        <v>0</v>
      </c>
      <c r="J14" s="15">
        <f t="shared" si="14"/>
        <v>2</v>
      </c>
      <c r="K14" s="15">
        <v>4</v>
      </c>
      <c r="L14" s="15">
        <f t="shared" ref="L14:L20" si="17">100-J14-K14</f>
        <v>94</v>
      </c>
      <c r="M14" s="15" t="str">
        <f t="shared" si="15"/>
        <v>A</v>
      </c>
      <c r="N14" s="15" t="str">
        <f t="shared" ref="N14:N20" si="18">IF(M14="A","100% LTT",IF(M14="B","90% LTT",IF(M14="C","80% LTT","60% LTT")))</f>
        <v>100% LTT</v>
      </c>
    </row>
    <row r="15" spans="1:15" ht="19.5" customHeight="1" x14ac:dyDescent="0.3">
      <c r="A15" s="15">
        <f t="shared" si="16"/>
        <v>7</v>
      </c>
      <c r="B15" s="16" t="s">
        <v>40</v>
      </c>
      <c r="C15" s="15" t="s">
        <v>19</v>
      </c>
      <c r="D15" s="15"/>
      <c r="E15" s="15"/>
      <c r="F15" s="15"/>
      <c r="G15" s="15">
        <f t="shared" si="12"/>
        <v>0</v>
      </c>
      <c r="H15" s="15">
        <f t="shared" si="12"/>
        <v>0</v>
      </c>
      <c r="I15" s="15">
        <f t="shared" si="13"/>
        <v>0</v>
      </c>
      <c r="J15" s="15">
        <f t="shared" si="14"/>
        <v>0</v>
      </c>
      <c r="K15" s="15">
        <v>4</v>
      </c>
      <c r="L15" s="15">
        <f>100-J15-K15</f>
        <v>96</v>
      </c>
      <c r="M15" s="15" t="str">
        <f t="shared" si="15"/>
        <v>A</v>
      </c>
      <c r="N15" s="15" t="str">
        <f t="shared" si="18"/>
        <v>100% LTT</v>
      </c>
    </row>
    <row r="16" spans="1:15" ht="19.5" customHeight="1" x14ac:dyDescent="0.3">
      <c r="A16" s="15">
        <f t="shared" si="16"/>
        <v>8</v>
      </c>
      <c r="B16" s="16" t="s">
        <v>130</v>
      </c>
      <c r="C16" s="15" t="s">
        <v>131</v>
      </c>
      <c r="D16" s="15"/>
      <c r="E16" s="15"/>
      <c r="F16" s="15"/>
      <c r="G16" s="15">
        <f t="shared" si="12"/>
        <v>0</v>
      </c>
      <c r="H16" s="15">
        <f t="shared" si="12"/>
        <v>0</v>
      </c>
      <c r="I16" s="15">
        <f t="shared" si="13"/>
        <v>0</v>
      </c>
      <c r="J16" s="15">
        <f t="shared" si="14"/>
        <v>0</v>
      </c>
      <c r="K16" s="15"/>
      <c r="L16" s="15">
        <f t="shared" ref="L16:L17" si="19">100-J16-K16</f>
        <v>100</v>
      </c>
      <c r="M16" s="15" t="str">
        <f t="shared" si="15"/>
        <v>A</v>
      </c>
      <c r="N16" s="15" t="str">
        <f t="shared" si="18"/>
        <v>100% LTT</v>
      </c>
      <c r="O16" s="2" t="s">
        <v>180</v>
      </c>
    </row>
    <row r="17" spans="1:14" ht="19.5" customHeight="1" x14ac:dyDescent="0.3">
      <c r="A17" s="15">
        <f t="shared" si="16"/>
        <v>9</v>
      </c>
      <c r="B17" s="16" t="s">
        <v>98</v>
      </c>
      <c r="C17" s="15" t="s">
        <v>102</v>
      </c>
      <c r="D17" s="15"/>
      <c r="E17" s="15"/>
      <c r="F17" s="15"/>
      <c r="G17" s="15">
        <f t="shared" si="12"/>
        <v>0</v>
      </c>
      <c r="H17" s="15">
        <f t="shared" si="12"/>
        <v>0</v>
      </c>
      <c r="I17" s="15">
        <f t="shared" si="13"/>
        <v>0</v>
      </c>
      <c r="J17" s="15">
        <f t="shared" si="14"/>
        <v>0</v>
      </c>
      <c r="K17" s="15">
        <v>8</v>
      </c>
      <c r="L17" s="15">
        <f t="shared" si="19"/>
        <v>92</v>
      </c>
      <c r="M17" s="15" t="str">
        <f t="shared" si="15"/>
        <v>A</v>
      </c>
      <c r="N17" s="15" t="str">
        <f t="shared" si="18"/>
        <v>100% LTT</v>
      </c>
    </row>
    <row r="18" spans="1:14" ht="19.5" customHeight="1" x14ac:dyDescent="0.3">
      <c r="A18" s="15">
        <f t="shared" si="16"/>
        <v>10</v>
      </c>
      <c r="B18" s="16" t="s">
        <v>99</v>
      </c>
      <c r="C18" s="15" t="s">
        <v>102</v>
      </c>
      <c r="D18" s="15"/>
      <c r="E18" s="15"/>
      <c r="F18" s="15"/>
      <c r="G18" s="15">
        <f t="shared" si="12"/>
        <v>0</v>
      </c>
      <c r="H18" s="15">
        <f t="shared" si="12"/>
        <v>0</v>
      </c>
      <c r="I18" s="15">
        <f t="shared" si="13"/>
        <v>0</v>
      </c>
      <c r="J18" s="15">
        <f t="shared" si="14"/>
        <v>0</v>
      </c>
      <c r="K18" s="15">
        <v>5</v>
      </c>
      <c r="L18" s="15">
        <f t="shared" si="17"/>
        <v>95</v>
      </c>
      <c r="M18" s="15" t="str">
        <f t="shared" si="15"/>
        <v>A</v>
      </c>
      <c r="N18" s="15" t="str">
        <f t="shared" si="18"/>
        <v>100% LTT</v>
      </c>
    </row>
    <row r="19" spans="1:14" ht="19.5" customHeight="1" x14ac:dyDescent="0.3">
      <c r="A19" s="15">
        <f t="shared" si="16"/>
        <v>11</v>
      </c>
      <c r="B19" s="16" t="s">
        <v>100</v>
      </c>
      <c r="C19" s="15" t="s">
        <v>102</v>
      </c>
      <c r="D19" s="15"/>
      <c r="E19" s="15"/>
      <c r="F19" s="15"/>
      <c r="G19" s="15">
        <f t="shared" si="12"/>
        <v>0</v>
      </c>
      <c r="H19" s="15">
        <f t="shared" si="12"/>
        <v>0</v>
      </c>
      <c r="I19" s="15">
        <f t="shared" si="13"/>
        <v>0</v>
      </c>
      <c r="J19" s="15">
        <f t="shared" si="14"/>
        <v>0</v>
      </c>
      <c r="K19" s="15">
        <v>4</v>
      </c>
      <c r="L19" s="15">
        <f t="shared" si="17"/>
        <v>96</v>
      </c>
      <c r="M19" s="15" t="str">
        <f t="shared" si="15"/>
        <v>A</v>
      </c>
      <c r="N19" s="15" t="str">
        <f t="shared" si="18"/>
        <v>100% LTT</v>
      </c>
    </row>
    <row r="20" spans="1:14" ht="19.5" customHeight="1" x14ac:dyDescent="0.3">
      <c r="A20" s="15">
        <f t="shared" si="16"/>
        <v>12</v>
      </c>
      <c r="B20" s="18" t="s">
        <v>116</v>
      </c>
      <c r="C20" s="17" t="s">
        <v>107</v>
      </c>
      <c r="D20" s="17"/>
      <c r="E20" s="17"/>
      <c r="F20" s="17"/>
      <c r="G20" s="15">
        <f t="shared" si="12"/>
        <v>0</v>
      </c>
      <c r="H20" s="15">
        <f t="shared" si="12"/>
        <v>0</v>
      </c>
      <c r="I20" s="15">
        <f t="shared" si="13"/>
        <v>0</v>
      </c>
      <c r="J20" s="15">
        <f t="shared" si="14"/>
        <v>0</v>
      </c>
      <c r="K20" s="17">
        <v>8</v>
      </c>
      <c r="L20" s="15">
        <f t="shared" si="17"/>
        <v>92</v>
      </c>
      <c r="M20" s="15" t="str">
        <f t="shared" si="15"/>
        <v>A</v>
      </c>
      <c r="N20" s="17" t="str">
        <f t="shared" si="18"/>
        <v>100% LTT</v>
      </c>
    </row>
    <row r="21" spans="1:14" ht="22.5" customHeight="1" x14ac:dyDescent="0.3">
      <c r="A21" s="180" t="s">
        <v>94</v>
      </c>
      <c r="B21" s="180"/>
      <c r="C21" s="180"/>
      <c r="D21" s="180"/>
      <c r="E21" s="180"/>
      <c r="F21" s="180"/>
      <c r="G21" s="180"/>
      <c r="H21" s="180"/>
      <c r="I21" s="180"/>
      <c r="J21" s="180"/>
      <c r="K21" s="180"/>
      <c r="L21" s="180"/>
      <c r="M21" s="180"/>
      <c r="N21" s="180"/>
    </row>
    <row r="22" spans="1:14" ht="22.5" customHeight="1" x14ac:dyDescent="0.3">
      <c r="J22" s="185" t="s">
        <v>175</v>
      </c>
      <c r="K22" s="185"/>
      <c r="L22" s="185"/>
      <c r="M22" s="185"/>
      <c r="N22" s="185"/>
    </row>
    <row r="23" spans="1:14" ht="22.5" customHeight="1" x14ac:dyDescent="0.3">
      <c r="B23" s="178" t="s">
        <v>22</v>
      </c>
      <c r="C23" s="178"/>
      <c r="D23" s="178"/>
      <c r="L23" s="178" t="s">
        <v>25</v>
      </c>
      <c r="M23" s="178"/>
      <c r="N23" s="178"/>
    </row>
    <row r="24" spans="1:14" ht="22.5" customHeight="1" x14ac:dyDescent="0.3">
      <c r="L24" s="176"/>
      <c r="M24" s="176"/>
    </row>
    <row r="25" spans="1:14" ht="22.5" customHeight="1" x14ac:dyDescent="0.3">
      <c r="L25" s="176"/>
      <c r="M25" s="176"/>
    </row>
    <row r="26" spans="1:14" ht="22.5" customHeight="1" x14ac:dyDescent="0.3">
      <c r="L26" s="176"/>
      <c r="M26" s="176"/>
    </row>
    <row r="27" spans="1:14" ht="22.5" customHeight="1" x14ac:dyDescent="0.3">
      <c r="B27" s="178" t="s">
        <v>28</v>
      </c>
      <c r="C27" s="178"/>
      <c r="D27" s="178"/>
      <c r="L27" s="178" t="s">
        <v>27</v>
      </c>
      <c r="M27" s="178"/>
      <c r="N27" s="178"/>
    </row>
    <row r="28" spans="1:14" ht="22.5" customHeight="1" x14ac:dyDescent="0.3">
      <c r="C28" s="1"/>
      <c r="D28" s="1"/>
    </row>
  </sheetData>
  <mergeCells count="25">
    <mergeCell ref="B27:D27"/>
    <mergeCell ref="L27:N27"/>
    <mergeCell ref="A6:C6"/>
    <mergeCell ref="A10:C10"/>
    <mergeCell ref="A12:C12"/>
    <mergeCell ref="A21:N21"/>
    <mergeCell ref="J22:N22"/>
    <mergeCell ref="B23:D23"/>
    <mergeCell ref="L23:N23"/>
    <mergeCell ref="J4:J5"/>
    <mergeCell ref="K4:K5"/>
    <mergeCell ref="L4:L5"/>
    <mergeCell ref="M4:M5"/>
    <mergeCell ref="N4:N5"/>
    <mergeCell ref="O4:O5"/>
    <mergeCell ref="A1:N1"/>
    <mergeCell ref="A2:N2"/>
    <mergeCell ref="A3:N3"/>
    <mergeCell ref="A4:A5"/>
    <mergeCell ref="B4:B5"/>
    <mergeCell ref="C4:C5"/>
    <mergeCell ref="D4:F4"/>
    <mergeCell ref="G4:G5"/>
    <mergeCell ref="H4:H5"/>
    <mergeCell ref="I4:I5"/>
  </mergeCells>
  <pageMargins left="0.26" right="0.24" top="0.47" bottom="0.33" header="0.3" footer="0.3"/>
  <pageSetup paperSize="9" scale="75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77</vt:i4>
      </vt:variant>
    </vt:vector>
  </HeadingPairs>
  <TitlesOfParts>
    <vt:vector size="77" baseType="lpstr">
      <vt:lpstr>03.2020</vt:lpstr>
      <vt:lpstr>04.2020</vt:lpstr>
      <vt:lpstr>05.2020</vt:lpstr>
      <vt:lpstr>06.2020</vt:lpstr>
      <vt:lpstr>07.2020</vt:lpstr>
      <vt:lpstr>08.2020</vt:lpstr>
      <vt:lpstr>09.2020</vt:lpstr>
      <vt:lpstr>10.2020</vt:lpstr>
      <vt:lpstr>11.2020</vt:lpstr>
      <vt:lpstr>12.2020</vt:lpstr>
      <vt:lpstr>01.2021</vt:lpstr>
      <vt:lpstr>02.2021</vt:lpstr>
      <vt:lpstr>03.2021</vt:lpstr>
      <vt:lpstr>04.2021</vt:lpstr>
      <vt:lpstr>05.2021</vt:lpstr>
      <vt:lpstr>Sheet1</vt:lpstr>
      <vt:lpstr>06.2021</vt:lpstr>
      <vt:lpstr>07.2021</vt:lpstr>
      <vt:lpstr>08.2021</vt:lpstr>
      <vt:lpstr>09.2021</vt:lpstr>
      <vt:lpstr>10.2021</vt:lpstr>
      <vt:lpstr>11.2021</vt:lpstr>
      <vt:lpstr>12.2021</vt:lpstr>
      <vt:lpstr>01.2022</vt:lpstr>
      <vt:lpstr>02.2022</vt:lpstr>
      <vt:lpstr>03.2022</vt:lpstr>
      <vt:lpstr>04.2022</vt:lpstr>
      <vt:lpstr>05.2022</vt:lpstr>
      <vt:lpstr>06.2022</vt:lpstr>
      <vt:lpstr>07.2022</vt:lpstr>
      <vt:lpstr>08.2022</vt:lpstr>
      <vt:lpstr>09.2022</vt:lpstr>
      <vt:lpstr>10.2022</vt:lpstr>
      <vt:lpstr>11.2022</vt:lpstr>
      <vt:lpstr>12.2022</vt:lpstr>
      <vt:lpstr>01.2023</vt:lpstr>
      <vt:lpstr>02.2023</vt:lpstr>
      <vt:lpstr>03.2023</vt:lpstr>
      <vt:lpstr>04.2023</vt:lpstr>
      <vt:lpstr>05.2023</vt:lpstr>
      <vt:lpstr>06.2023</vt:lpstr>
      <vt:lpstr>07.2023</vt:lpstr>
      <vt:lpstr>08.2023</vt:lpstr>
      <vt:lpstr>09.2023</vt:lpstr>
      <vt:lpstr>10.2023</vt:lpstr>
      <vt:lpstr>11.2023</vt:lpstr>
      <vt:lpstr>12.2023</vt:lpstr>
      <vt:lpstr>01.2024</vt:lpstr>
      <vt:lpstr>02.2024</vt:lpstr>
      <vt:lpstr>03.2024</vt:lpstr>
      <vt:lpstr>04.2024</vt:lpstr>
      <vt:lpstr>05.2024</vt:lpstr>
      <vt:lpstr>06.2024</vt:lpstr>
      <vt:lpstr>07.2024</vt:lpstr>
      <vt:lpstr>08.2024</vt:lpstr>
      <vt:lpstr>09.2024</vt:lpstr>
      <vt:lpstr>10.2024</vt:lpstr>
      <vt:lpstr>11.2024</vt:lpstr>
      <vt:lpstr>12.2024</vt:lpstr>
      <vt:lpstr>01.2025</vt:lpstr>
      <vt:lpstr>02.2025</vt:lpstr>
      <vt:lpstr>03.2025</vt:lpstr>
      <vt:lpstr>04.2025</vt:lpstr>
      <vt:lpstr>05.2025</vt:lpstr>
      <vt:lpstr>06.2025</vt:lpstr>
      <vt:lpstr>07.2025</vt:lpstr>
      <vt:lpstr>08.2025</vt:lpstr>
      <vt:lpstr>09.2025</vt:lpstr>
      <vt:lpstr>10.2025</vt:lpstr>
      <vt:lpstr>11.2025</vt:lpstr>
      <vt:lpstr>12.2025</vt:lpstr>
      <vt:lpstr>01.2026</vt:lpstr>
      <vt:lpstr>02.2026</vt:lpstr>
      <vt:lpstr>03.2026</vt:lpstr>
      <vt:lpstr>04.2026</vt:lpstr>
      <vt:lpstr>05.2026 </vt:lpstr>
      <vt:lpstr>06.2026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Admin</cp:lastModifiedBy>
  <cp:lastPrinted>2026-07-08T03:52:42Z</cp:lastPrinted>
  <dcterms:created xsi:type="dcterms:W3CDTF">2018-06-07T03:20:11Z</dcterms:created>
  <dcterms:modified xsi:type="dcterms:W3CDTF">2026-07-08T04:30:30Z</dcterms:modified>
</cp:coreProperties>
</file>