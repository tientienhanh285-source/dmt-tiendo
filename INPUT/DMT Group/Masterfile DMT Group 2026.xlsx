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MT GROUP\6. QUẢN LÝ NHÂN SỰ\"/>
    </mc:Choice>
  </mc:AlternateContent>
  <bookViews>
    <workbookView xWindow="-120" yWindow="-120" windowWidth="29040" windowHeight="15840"/>
  </bookViews>
  <sheets>
    <sheet name="DMT" sheetId="19" r:id="rId1"/>
    <sheet name="NHÁP DMT" sheetId="15" state="hidden" r:id="rId2"/>
    <sheet name="MARINA" sheetId="17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DMT!$B$6:$V$7</definedName>
    <definedName name="_xlnm._FilterDatabase" localSheetId="2" hidden="1">MARINA!$B$6:$U$7</definedName>
    <definedName name="_xlnm.Print_Titles" localSheetId="0">DMT!$6:$7</definedName>
    <definedName name="_xlnm.Print_Titles" localSheetId="2">MARINA!$6:$7</definedName>
    <definedName name="_xlnm.Print_Titles" localSheetId="1">'NHÁP DMT'!$5:$6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9" l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P26" i="19" l="1"/>
  <c r="AA9" i="19" l="1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5" i="19"/>
  <c r="AA27" i="19"/>
  <c r="AA28" i="19"/>
  <c r="AA29" i="19"/>
  <c r="AA30" i="19"/>
  <c r="AA32" i="19"/>
  <c r="AA33" i="19"/>
  <c r="AA34" i="19"/>
  <c r="AA35" i="19"/>
  <c r="AA36" i="19"/>
  <c r="AA8" i="19"/>
  <c r="AB10" i="19"/>
  <c r="AB9" i="19"/>
  <c r="Y9" i="19" l="1"/>
  <c r="Y10" i="19"/>
  <c r="Y11" i="19"/>
  <c r="Y12" i="19"/>
  <c r="Y13" i="19"/>
  <c r="Y14" i="19"/>
  <c r="Y15" i="19"/>
  <c r="Y16" i="19"/>
  <c r="Y17" i="19"/>
  <c r="Y18" i="19"/>
  <c r="Y19" i="19"/>
  <c r="Y20" i="19"/>
  <c r="Y21" i="19"/>
  <c r="Y22" i="19"/>
  <c r="Y23" i="19"/>
  <c r="Y24" i="19"/>
  <c r="Y25" i="19"/>
  <c r="Y27" i="19"/>
  <c r="Y28" i="19"/>
  <c r="Y29" i="19"/>
  <c r="Y30" i="19"/>
  <c r="Y31" i="19"/>
  <c r="Y32" i="19"/>
  <c r="Y33" i="19"/>
  <c r="Y34" i="19"/>
  <c r="Y35" i="19"/>
  <c r="Y36" i="19"/>
  <c r="Y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7" i="19"/>
  <c r="T28" i="19"/>
  <c r="T29" i="19"/>
  <c r="T30" i="19"/>
  <c r="T32" i="19"/>
  <c r="T33" i="19"/>
  <c r="T34" i="19"/>
  <c r="T35" i="19"/>
  <c r="T36" i="19"/>
  <c r="T8" i="19"/>
  <c r="AI31" i="19" l="1"/>
  <c r="AB11" i="19"/>
  <c r="AB14" i="19"/>
  <c r="AB15" i="19"/>
  <c r="AB16" i="19"/>
  <c r="AB18" i="19"/>
  <c r="AB19" i="19"/>
  <c r="AB20" i="19"/>
  <c r="AB21" i="19"/>
  <c r="AB22" i="19"/>
  <c r="AB25" i="19"/>
  <c r="AB26" i="19"/>
  <c r="AB27" i="19"/>
  <c r="AB28" i="19"/>
  <c r="AB29" i="19"/>
  <c r="AB30" i="19"/>
  <c r="AB32" i="19"/>
  <c r="AB33" i="19"/>
  <c r="AB35" i="19"/>
  <c r="AB8" i="19"/>
  <c r="P10" i="19"/>
  <c r="N14" i="19"/>
  <c r="N19" i="19"/>
  <c r="N20" i="19"/>
  <c r="N21" i="19"/>
  <c r="N22" i="19"/>
  <c r="N23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9" i="19"/>
  <c r="N10" i="19"/>
  <c r="N11" i="19"/>
  <c r="P9" i="19"/>
  <c r="P11" i="19"/>
  <c r="P13" i="19"/>
  <c r="P15" i="19"/>
  <c r="P16" i="19"/>
  <c r="P20" i="19"/>
  <c r="P21" i="19"/>
  <c r="P23" i="19"/>
  <c r="P24" i="19"/>
  <c r="P25" i="19"/>
  <c r="P27" i="19"/>
  <c r="P29" i="19"/>
  <c r="P30" i="19"/>
  <c r="P31" i="19"/>
  <c r="P34" i="19"/>
  <c r="R9" i="19" l="1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M9" i="19"/>
  <c r="M10" i="19"/>
  <c r="M11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8" i="19"/>
  <c r="K11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9" i="19"/>
  <c r="K10" i="19"/>
  <c r="J10" i="19"/>
  <c r="J11" i="19"/>
  <c r="J13" i="19"/>
  <c r="J14" i="19"/>
  <c r="J15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8" i="19"/>
  <c r="I13" i="19"/>
  <c r="I31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8" i="19"/>
  <c r="F9" i="19"/>
  <c r="H9" i="19" s="1"/>
  <c r="F10" i="19"/>
  <c r="H10" i="19" s="1"/>
  <c r="F11" i="19"/>
  <c r="H11" i="19" s="1"/>
  <c r="F12" i="19"/>
  <c r="H12" i="19" s="1"/>
  <c r="F13" i="19"/>
  <c r="H13" i="19" s="1"/>
  <c r="F14" i="19"/>
  <c r="H14" i="19" s="1"/>
  <c r="F15" i="19"/>
  <c r="H15" i="19" s="1"/>
  <c r="F16" i="19"/>
  <c r="H16" i="19" s="1"/>
  <c r="F17" i="19"/>
  <c r="H17" i="19" s="1"/>
  <c r="F18" i="19"/>
  <c r="H18" i="19" s="1"/>
  <c r="F19" i="19"/>
  <c r="H19" i="19" s="1"/>
  <c r="F20" i="19"/>
  <c r="H20" i="19" s="1"/>
  <c r="F21" i="19"/>
  <c r="H21" i="19" s="1"/>
  <c r="F22" i="19"/>
  <c r="H22" i="19" s="1"/>
  <c r="F23" i="19"/>
  <c r="H23" i="19" s="1"/>
  <c r="F24" i="19"/>
  <c r="H24" i="19" s="1"/>
  <c r="F25" i="19"/>
  <c r="H25" i="19" s="1"/>
  <c r="F26" i="19"/>
  <c r="H26" i="19" s="1"/>
  <c r="F27" i="19"/>
  <c r="H27" i="19" s="1"/>
  <c r="F28" i="19"/>
  <c r="H28" i="19" s="1"/>
  <c r="F29" i="19"/>
  <c r="H29" i="19" s="1"/>
  <c r="F30" i="19"/>
  <c r="H30" i="19" s="1"/>
  <c r="F31" i="19"/>
  <c r="H31" i="19" s="1"/>
  <c r="F32" i="19"/>
  <c r="H32" i="19" s="1"/>
  <c r="F33" i="19"/>
  <c r="H33" i="19" s="1"/>
  <c r="F34" i="19"/>
  <c r="H34" i="19" s="1"/>
  <c r="F35" i="19"/>
  <c r="H35" i="19" s="1"/>
  <c r="F36" i="19"/>
  <c r="H36" i="19" s="1"/>
  <c r="F8" i="19"/>
  <c r="H8" i="19" s="1"/>
  <c r="A9" i="19" l="1"/>
  <c r="A10" i="19" s="1"/>
  <c r="A36" i="19" s="1"/>
  <c r="X14" i="17" l="1"/>
  <c r="X15" i="17"/>
  <c r="X16" i="17"/>
  <c r="X17" i="17"/>
  <c r="X18" i="17"/>
  <c r="X19" i="17"/>
  <c r="X13" i="17"/>
  <c r="X12" i="17"/>
  <c r="X9" i="17"/>
  <c r="X10" i="17"/>
  <c r="X11" i="17"/>
  <c r="X8" i="17"/>
  <c r="H13" i="17" l="1"/>
  <c r="H19" i="17" l="1"/>
  <c r="H18" i="17"/>
  <c r="H17" i="17"/>
  <c r="H16" i="17"/>
  <c r="H15" i="17"/>
  <c r="H14" i="17"/>
  <c r="H12" i="17"/>
  <c r="H11" i="17"/>
  <c r="H10" i="17"/>
  <c r="H9" i="17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H8" i="17"/>
  <c r="I15" i="15" l="1"/>
  <c r="E9" i="15" l="1"/>
  <c r="E10" i="15"/>
  <c r="E11" i="15"/>
  <c r="E19" i="15"/>
  <c r="E20" i="15"/>
  <c r="E21" i="15"/>
  <c r="E22" i="15"/>
  <c r="E23" i="15"/>
  <c r="E24" i="15"/>
  <c r="E25" i="15"/>
  <c r="E27" i="15"/>
  <c r="E28" i="15"/>
  <c r="E29" i="15"/>
  <c r="E30" i="15"/>
  <c r="E32" i="15"/>
  <c r="E33" i="15"/>
  <c r="E34" i="15"/>
  <c r="E35" i="15"/>
  <c r="E36" i="15"/>
  <c r="E8" i="15"/>
  <c r="AI10" i="15"/>
  <c r="AI11" i="15"/>
  <c r="AI12" i="15"/>
  <c r="AI13" i="15"/>
  <c r="AI14" i="15"/>
  <c r="AI15" i="15"/>
  <c r="AI16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2" i="15"/>
  <c r="AI33" i="15"/>
  <c r="AI34" i="15"/>
  <c r="AI35" i="15"/>
  <c r="AI36" i="15"/>
  <c r="AI9" i="15"/>
  <c r="I14" i="15" l="1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2" i="15"/>
  <c r="I33" i="15"/>
  <c r="I34" i="15"/>
  <c r="I35" i="15"/>
  <c r="I36" i="15"/>
  <c r="I9" i="15"/>
  <c r="I10" i="15"/>
  <c r="I11" i="15"/>
  <c r="I12" i="15"/>
  <c r="I8" i="15"/>
  <c r="A9" i="15"/>
  <c r="A10" i="15" s="1"/>
  <c r="A11" i="15" l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Y9" i="15" l="1"/>
  <c r="Y10" i="15"/>
  <c r="Y11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2" i="15"/>
  <c r="Y33" i="15"/>
  <c r="Y34" i="15"/>
  <c r="Y35" i="15"/>
  <c r="Y36" i="15"/>
  <c r="Y8" i="15"/>
  <c r="AA9" i="15"/>
  <c r="AA10" i="15"/>
  <c r="AA11" i="15"/>
  <c r="AA12" i="15"/>
  <c r="AA14" i="15"/>
  <c r="AA15" i="15"/>
  <c r="AA16" i="15"/>
  <c r="AA17" i="15"/>
  <c r="AA18" i="15"/>
  <c r="AA19" i="15"/>
  <c r="AA20" i="15"/>
  <c r="AA21" i="15"/>
  <c r="AA22" i="15"/>
  <c r="AA23" i="15"/>
  <c r="AA24" i="15"/>
  <c r="AA25" i="15"/>
  <c r="AA26" i="15"/>
  <c r="AA27" i="15"/>
  <c r="AA28" i="15"/>
  <c r="AA29" i="15"/>
  <c r="AA30" i="15"/>
  <c r="AA32" i="15"/>
  <c r="AA33" i="15"/>
  <c r="AA34" i="15"/>
  <c r="AA35" i="15"/>
  <c r="AA36" i="15"/>
  <c r="AA8" i="15"/>
  <c r="Z9" i="15"/>
  <c r="Z10" i="15"/>
  <c r="Z11" i="15"/>
  <c r="Z12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2" i="15"/>
  <c r="Z33" i="15"/>
  <c r="Z34" i="15"/>
  <c r="Z35" i="15"/>
  <c r="Z36" i="15"/>
  <c r="Z8" i="15"/>
  <c r="L13" i="15"/>
  <c r="L9" i="15" l="1"/>
  <c r="L10" i="15"/>
  <c r="L11" i="15"/>
  <c r="L12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2" i="15"/>
  <c r="L33" i="15"/>
  <c r="L34" i="15"/>
  <c r="L35" i="15"/>
  <c r="L36" i="15"/>
  <c r="L8" i="15"/>
  <c r="I15" i="19" l="1"/>
  <c r="I14" i="19" l="1"/>
  <c r="I16" i="19"/>
  <c r="I17" i="19"/>
  <c r="I18" i="19"/>
  <c r="I19" i="19"/>
  <c r="I20" i="19"/>
  <c r="I21" i="19"/>
  <c r="I22" i="19"/>
  <c r="I23" i="19"/>
  <c r="I24" i="19"/>
  <c r="I25" i="19"/>
  <c r="I27" i="19"/>
  <c r="I28" i="19"/>
  <c r="I29" i="19"/>
  <c r="I30" i="19"/>
  <c r="I32" i="19"/>
  <c r="I33" i="19"/>
  <c r="I34" i="19"/>
  <c r="I35" i="19"/>
  <c r="I36" i="19"/>
  <c r="I9" i="19"/>
  <c r="I10" i="19"/>
  <c r="I11" i="19"/>
  <c r="I12" i="19"/>
  <c r="I8" i="19"/>
</calcChain>
</file>

<file path=xl/comments1.xml><?xml version="1.0" encoding="utf-8"?>
<comments xmlns="http://schemas.openxmlformats.org/spreadsheetml/2006/main">
  <authors>
    <author>Administrator</author>
    <author>Pho Tien Phuc</author>
    <author>Admin</author>
  </authors>
  <commentList>
    <comment ref="AF17" authorId="0" shapeId="0">
      <text>
        <r>
          <rPr>
            <b/>
            <sz val="9"/>
            <color indexed="81"/>
            <rFont val="Tahoma"/>
            <family val="2"/>
          </rPr>
          <t>Administrato
plhđlđ k điền tt ngày ký, ngày có hiệu lực 1/1/2020</t>
        </r>
      </text>
    </comment>
    <comment ref="AC18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KO TÌM THẤY TT CỤ THỂ</t>
        </r>
      </text>
    </comment>
    <comment ref="AD25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ĐIỀU CHỈNH VỊ TRÍ CBĐT-&gt; KHĐT</t>
        </r>
      </text>
    </comment>
    <comment ref="C27" authorId="1" shapeId="0">
      <text>
        <r>
          <rPr>
            <b/>
            <sz val="9"/>
            <color indexed="81"/>
            <rFont val="Tahoma"/>
            <family val="2"/>
            <charset val="163"/>
          </rPr>
          <t>Tăng lương từ 1.4.2022
18.535.000</t>
        </r>
        <r>
          <rPr>
            <sz val="9"/>
            <color indexed="81"/>
            <rFont val="Tahoma"/>
            <family val="2"/>
            <charset val="163"/>
          </rPr>
          <t xml:space="preserve">
</t>
        </r>
      </text>
    </comment>
    <comment ref="C28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tăng lương từ t1/2023 7,402,000</t>
        </r>
      </text>
    </comment>
    <comment ref="C29" authorId="2" shapeId="0">
      <text>
        <r>
          <rPr>
            <b/>
            <sz val="9"/>
            <color indexed="8"/>
            <rFont val="Tahoma"/>
            <family val="2"/>
          </rPr>
          <t>Admin: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tăng lương từ t1/2023 7402000</t>
        </r>
      </text>
    </comment>
    <comment ref="C30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tăng lương từ t1/2023 7402000</t>
        </r>
      </text>
    </comment>
    <comment ref="AH35" authorId="0" shapeId="0">
      <text>
        <r>
          <rPr>
            <b/>
            <sz val="9"/>
            <color indexed="81"/>
            <rFont val="Tahoma"/>
            <family val="2"/>
          </rPr>
          <t>chuyển hẳn từ Marina- DMT từ ngày 1/5/2026</t>
        </r>
      </text>
    </comment>
    <comment ref="C36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Tăng lương 01.01.2026</t>
        </r>
      </text>
    </comment>
  </commentList>
</comments>
</file>

<file path=xl/comments2.xml><?xml version="1.0" encoding="utf-8"?>
<comments xmlns="http://schemas.openxmlformats.org/spreadsheetml/2006/main">
  <authors>
    <author>Pho Tien Phuc</author>
    <author>Admin</author>
  </authors>
  <commentList>
    <comment ref="C27" authorId="0" shapeId="0">
      <text>
        <r>
          <rPr>
            <b/>
            <sz val="9"/>
            <color indexed="81"/>
            <rFont val="Tahoma"/>
            <family val="2"/>
            <charset val="163"/>
          </rPr>
          <t>Tăng lương từ 1.4.2022
18.535.000</t>
        </r>
        <r>
          <rPr>
            <sz val="9"/>
            <color indexed="81"/>
            <rFont val="Tahoma"/>
            <family val="2"/>
            <charset val="163"/>
          </rPr>
          <t xml:space="preserve">
</t>
        </r>
      </text>
    </comment>
    <comment ref="C28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tăng lương từ t1/2023 7,402,000</t>
        </r>
      </text>
    </comment>
    <comment ref="C29" authorId="1" shapeId="0">
      <text>
        <r>
          <rPr>
            <b/>
            <sz val="9"/>
            <color indexed="8"/>
            <rFont val="Tahoma"/>
            <family val="2"/>
          </rPr>
          <t>Admin: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tăng lương từ t1/2023 7402000</t>
        </r>
      </text>
    </comment>
    <comment ref="C30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tăng lương từ t1/2023 7402000</t>
        </r>
      </text>
    </comment>
    <comment ref="C36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Tăng lương 01.01.2026</t>
        </r>
      </text>
    </comment>
  </commentList>
</comments>
</file>

<file path=xl/comments3.xml><?xml version="1.0" encoding="utf-8"?>
<comments xmlns="http://schemas.openxmlformats.org/spreadsheetml/2006/main">
  <authors>
    <author>Microsoft Office User</author>
    <author>Admin</author>
  </authors>
  <commentList>
    <comment ref="C15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Tăng lương kể từ ngày 01/01/2026</t>
        </r>
      </text>
    </comment>
    <comment ref="Y15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nâng lên mức lương cơ sở</t>
        </r>
      </text>
    </comment>
  </commentList>
</comments>
</file>

<file path=xl/sharedStrings.xml><?xml version="1.0" encoding="utf-8"?>
<sst xmlns="http://schemas.openxmlformats.org/spreadsheetml/2006/main" count="813" uniqueCount="413">
  <si>
    <t>STT</t>
  </si>
  <si>
    <t>Họ tên</t>
  </si>
  <si>
    <t>Bộ phận làm việc</t>
  </si>
  <si>
    <t>Chức danh</t>
  </si>
  <si>
    <t>Tổng điểm đánh giá</t>
  </si>
  <si>
    <t>Đạt loại</t>
  </si>
  <si>
    <t>Điều chỉnh lương do: Điều chỉnh lương/ Thay đổi vị trí</t>
  </si>
  <si>
    <t>Điều chỉnh lương</t>
  </si>
  <si>
    <t>Đánh giá thực hiện công việc 2025</t>
  </si>
  <si>
    <t>Loại Hợp đồng</t>
  </si>
  <si>
    <t>Thay đổi vị trí</t>
  </si>
  <si>
    <t xml:space="preserve">CÔNG TY CỔ PHẦN ĐẦU TƯ ĐÀ NẴNG - MIỀN TRUNG </t>
  </si>
  <si>
    <t xml:space="preserve">Ngày bắt đầu vào DMT GROUP </t>
  </si>
  <si>
    <t>Đặng Thanh Bình</t>
  </si>
  <si>
    <t>Trần Quốc Thể</t>
  </si>
  <si>
    <t>Đoàn Thị Ngọc Nữ</t>
  </si>
  <si>
    <t>Nguyễn Ngọc Tôn</t>
  </si>
  <si>
    <t>CTHĐQT</t>
  </si>
  <si>
    <t>TGĐ</t>
  </si>
  <si>
    <t xml:space="preserve"> P. TGĐ</t>
  </si>
  <si>
    <t xml:space="preserve">Thâm niên </t>
  </si>
  <si>
    <t xml:space="preserve"> Nguyễn Băng Trinh </t>
  </si>
  <si>
    <t>Phan Văn Anh</t>
  </si>
  <si>
    <t>Đặng Văn Quang</t>
  </si>
  <si>
    <t>Đặng Thanh Hồng</t>
  </si>
  <si>
    <t>Trương Thị Bích Ngọc</t>
  </si>
  <si>
    <t>Đặng Thị Hoa</t>
  </si>
  <si>
    <t xml:space="preserve">Nhân viên </t>
  </si>
  <si>
    <t>Bảo vệ</t>
  </si>
  <si>
    <t>Tạp vụ</t>
  </si>
  <si>
    <t>Đồng Thị Nguyệt Nga</t>
  </si>
  <si>
    <t>GĐ Ban</t>
  </si>
  <si>
    <t>Huỳnh Thị Hoàng Hà</t>
  </si>
  <si>
    <t xml:space="preserve">Phó GĐ </t>
  </si>
  <si>
    <t>Nguyễn Thị Nhật Sang</t>
  </si>
  <si>
    <t>Nguyễn Văn Bồn</t>
  </si>
  <si>
    <t>Nguyễn Đình Thắng</t>
  </si>
  <si>
    <t>Nguyễn Đình Hiếu</t>
  </si>
  <si>
    <t>KSDA</t>
  </si>
  <si>
    <t>Nguyễn Trần Thức</t>
  </si>
  <si>
    <t>Phan Thị Mỹ Hạnh</t>
  </si>
  <si>
    <t>Phan Thị Kim Cúc</t>
  </si>
  <si>
    <t>Lê Thị Giang Châu</t>
  </si>
  <si>
    <t>Trần Tin</t>
  </si>
  <si>
    <t>P.GĐ</t>
  </si>
  <si>
    <t>Đặng Công Nhựt</t>
  </si>
  <si>
    <t>Đặng Thị Mỹ Hạnh</t>
  </si>
  <si>
    <t>Đặng Thanh Quang</t>
  </si>
  <si>
    <t>Mai Văn Châu</t>
  </si>
  <si>
    <t>Ngô Thị Tâm</t>
  </si>
  <si>
    <t>TK Sàn</t>
  </si>
  <si>
    <t>Ngày tăng lương gần nhất</t>
  </si>
  <si>
    <t>01/05/2025</t>
  </si>
  <si>
    <t>01/09/2025</t>
  </si>
  <si>
    <t>01/01/2021</t>
  </si>
  <si>
    <t>01/10/2020</t>
  </si>
  <si>
    <t>01/01/2020</t>
  </si>
  <si>
    <t>01/01/2019</t>
  </si>
  <si>
    <t>01/08/2024</t>
  </si>
  <si>
    <t>01/04/2025</t>
  </si>
  <si>
    <t>02/05/2025</t>
  </si>
  <si>
    <t>01/02/2023</t>
  </si>
  <si>
    <t>01/04/2022</t>
  </si>
  <si>
    <t>01/07/2022</t>
  </si>
  <si>
    <t>11/10/2017</t>
  </si>
  <si>
    <t>01/01/2016</t>
  </si>
  <si>
    <t>30/06/2017</t>
  </si>
  <si>
    <t>13/07/2017</t>
  </si>
  <si>
    <t>01/03/2026</t>
  </si>
  <si>
    <t>Chuyên môn nghiệp vụ</t>
  </si>
  <si>
    <t>Cử nhân kinh tế đầu tư -2021</t>
  </si>
  <si>
    <t>Kỹ sư quản lý môi trường - 2014</t>
  </si>
  <si>
    <t xml:space="preserve">Đang đợi xét tốt nghiệp </t>
  </si>
  <si>
    <t xml:space="preserve">Cao đẳng Điện lực </t>
  </si>
  <si>
    <t>15/01/2017</t>
  </si>
  <si>
    <t>Trình độ chuyên môn</t>
  </si>
  <si>
    <t>Đại học</t>
  </si>
  <si>
    <t>Thạc sỹ</t>
  </si>
  <si>
    <t>Hợp đồng không xác định TH</t>
  </si>
  <si>
    <t>HĐ lao động 01 năm</t>
  </si>
  <si>
    <t>Lê Ngọc Tú Uyên</t>
  </si>
  <si>
    <t>Cử nhân Quản trị nguồn nhân lực - 2025</t>
  </si>
  <si>
    <t>A</t>
  </si>
  <si>
    <t>Lao động giỏi</t>
  </si>
  <si>
    <t xml:space="preserve">Phụ cấp ăn ca </t>
  </si>
  <si>
    <t>Phụ cấp điện thoại</t>
  </si>
  <si>
    <t>Hỗ trợ xăng xe</t>
  </si>
  <si>
    <t>Khác</t>
  </si>
  <si>
    <t>Trung cấp</t>
  </si>
  <si>
    <t>Cao đẳng</t>
  </si>
  <si>
    <t>Bằng nghề</t>
  </si>
  <si>
    <t>Kiến trúc sư - 2000</t>
  </si>
  <si>
    <t>Cử nhân kế toán - 2006</t>
  </si>
  <si>
    <t>Cử nhân cao đẳng - KTCN - 2001</t>
  </si>
  <si>
    <t>Lái xe - 1993</t>
  </si>
  <si>
    <t xml:space="preserve">Bảo vệ </t>
  </si>
  <si>
    <t>THPT</t>
  </si>
  <si>
    <t>Bảo vệ - 2007</t>
  </si>
  <si>
    <t>Thạc sĩ kế toán - 2010</t>
  </si>
  <si>
    <t>Cử nhân Kế toán</t>
  </si>
  <si>
    <t>Cử nhân ngành Kế toán</t>
  </si>
  <si>
    <t>Kỹ thuật công trình xây dựng - 2016</t>
  </si>
  <si>
    <t xml:space="preserve">Kỹ sư Xây dựng   </t>
  </si>
  <si>
    <t>Kỹ sư Nhiệt-Máy lạnh</t>
  </si>
  <si>
    <t>Cử nhân Kinh tế- Chuyên ngành Quản trị KD Quốc Tế</t>
  </si>
  <si>
    <t>Kỹ sư Xây dựng cầu đường - Từ xa - 2010</t>
  </si>
  <si>
    <t>CĐ Kiểm tra chất lượng thực phẩm 2010
Kỹ sư công nghệ sinh học - 2013</t>
  </si>
  <si>
    <t>Cử nhân kế toán</t>
  </si>
  <si>
    <t>Trung cấp xây dựng dân dụng &amp; công nghiệp - 2000</t>
  </si>
  <si>
    <t xml:space="preserve">Cử nhân Quản trị kinh doanh - 2011  </t>
  </si>
  <si>
    <t>Trung cấp thủy lợi</t>
  </si>
  <si>
    <t>Cử nhân QTKD Du lịch&amp;Dịch vụ</t>
  </si>
  <si>
    <t>BAN LÃNH ĐẠO</t>
  </si>
  <si>
    <t>BAN HÀNH CHÍNH NHÂN SỰ</t>
  </si>
  <si>
    <t>BAN KẾ TOÁN</t>
  </si>
  <si>
    <t xml:space="preserve">BAN DỰ ÁN </t>
  </si>
  <si>
    <t>BAN KẾ HOẠCH ĐẦU TƯ</t>
  </si>
  <si>
    <t>BAN ĐỀN BÙ GIẢI TOẢ</t>
  </si>
  <si>
    <t>SÀN GDBĐS</t>
  </si>
  <si>
    <t>XÍ NGHIỆP DTBD</t>
  </si>
  <si>
    <t>TỔNG MỨC LƯƠNG HIỆN TẠI</t>
  </si>
  <si>
    <t>PHỤ CẤP</t>
  </si>
  <si>
    <t xml:space="preserve">I. CÔNG TY CỔ PHẦN ĐẦU TƯ ĐÀ NẴNG MIỀN TRUNG ( DMT GROUP ) </t>
  </si>
  <si>
    <t>Cử nhân Luật</t>
  </si>
  <si>
    <t xml:space="preserve">BAN KT XD </t>
  </si>
  <si>
    <t>Địa chỉ thường trú</t>
  </si>
  <si>
    <t>Số CCCD</t>
  </si>
  <si>
    <t>Số BHXH</t>
  </si>
  <si>
    <t>Ngày tháng năm sinh</t>
  </si>
  <si>
    <t>HỒ SƠ NHÂN SỰ- CÁN BỘ NHÂN VIÊN 2026</t>
  </si>
  <si>
    <t>Nguyễn Đức Lợi</t>
  </si>
  <si>
    <t>Hưởng hưu</t>
  </si>
  <si>
    <t>Ngày cấp</t>
  </si>
  <si>
    <t>Bộ phận công tác</t>
  </si>
  <si>
    <t>Ban HCNS</t>
  </si>
  <si>
    <t xml:space="preserve">KẾ HOẠCH ĐẦU TƯ </t>
  </si>
  <si>
    <t>048179005289</t>
  </si>
  <si>
    <t>048095008227</t>
  </si>
  <si>
    <t>118 Phước Tường 5, An Khê, Đà Nẵng</t>
  </si>
  <si>
    <t>049199010621</t>
  </si>
  <si>
    <t>049067013938</t>
  </si>
  <si>
    <t>049091019974</t>
  </si>
  <si>
    <t>15 Lê Văn An, Cẩm Lệ, Đà Nẵng</t>
  </si>
  <si>
    <t>Tân Khai, Điện Bàn Đông, Đà Nẵng.</t>
  </si>
  <si>
    <t>Tổ 169, Ngũ Hành Sơn, Đà Nẵng</t>
  </si>
  <si>
    <t>048171000955</t>
  </si>
  <si>
    <t>049185012250</t>
  </si>
  <si>
    <t>Tổ 53 Ngũ Hành Sơn, Đà Nẵng</t>
  </si>
  <si>
    <t>048187002521</t>
  </si>
  <si>
    <t>Thôn Mỹ Thượng Tây, xã Tiên Phước, TP Đà Nẵng</t>
  </si>
  <si>
    <t>049082012211</t>
  </si>
  <si>
    <t>048184002606</t>
  </si>
  <si>
    <t>K356/89/32 Hoàng Diệu, P Hòa Cường, Đà Nẵng</t>
  </si>
  <si>
    <t>01 Tố Hữu, Hoà Cường Nam, Hải Châu, Đà Nẵng</t>
  </si>
  <si>
    <t>K85/H8/7 Hàn Mặc Tử, Hải Châu, Đà Nẵng.</t>
  </si>
  <si>
    <t>048168000549</t>
  </si>
  <si>
    <t>16/2 Phước Tường 11, Phường An Khê, Tp Đà Nẵng.</t>
  </si>
  <si>
    <t>048189004898</t>
  </si>
  <si>
    <t>22 Hoà Minh 14, Hoà khánh, Đà Nẵng.</t>
  </si>
  <si>
    <t>049090011138</t>
  </si>
  <si>
    <t>Thôn Hà Lộc, xã Tam Xuân, TP.Đà Nẵng.</t>
  </si>
  <si>
    <t>049188015053</t>
  </si>
  <si>
    <t>10/12/2022.</t>
  </si>
  <si>
    <t>Tổ 12 Ngũ Hành Sơn,  Đà Nẵng</t>
  </si>
  <si>
    <t>048193006603</t>
  </si>
  <si>
    <t>Hồ Văn Khoa</t>
  </si>
  <si>
    <t>48 Bùi Xương Tự, Cẩm Lệ, Đà Nẵng</t>
  </si>
  <si>
    <t>048073000277</t>
  </si>
  <si>
    <t>049302008268</t>
  </si>
  <si>
    <t>048086006997</t>
  </si>
  <si>
    <t>Thôn Hương Lam, xã Hoà Tiến, thành phố Đà Nẵng</t>
  </si>
  <si>
    <t>048099006638</t>
  </si>
  <si>
    <t>thôn Tân Bình, xã Gò Nổi, Tp. Đà Nẵng</t>
  </si>
  <si>
    <t>049078016612</t>
  </si>
  <si>
    <t>049180017005</t>
  </si>
  <si>
    <t>99 Núi Thành, Hoà Thuận Đông, Hải Châu, Đà Nẵng</t>
  </si>
  <si>
    <t>049063014707</t>
  </si>
  <si>
    <t>K36/41 Quang Trung, Thạch Thang, Hải Châu, Đà Nẵng</t>
  </si>
  <si>
    <t>04907601599</t>
  </si>
  <si>
    <t>464/32 Trưng Nữ Vương, Tố 87BT, Hoà Cường, Đà Nẵng</t>
  </si>
  <si>
    <t>tt theo cccd, nhắn tin xác nhận chưa trl</t>
  </si>
  <si>
    <t>K54/16 Hải Phòng, Tổ dân phố 26, Hải Châu, Đà Nẵng</t>
  </si>
  <si>
    <t>Tổ 53, phường An Khê, Thành phố Đà Nẵng.</t>
  </si>
  <si>
    <t>Số nhà K21/23, Đường Dũng Sĩ Thanh Khê, Tổ 14, P. Thanh Khê, TP. Đà Nẵng</t>
  </si>
  <si>
    <t>Thôn Cẩm Toại Đông, xã Hoà Vang, TP. Đà Nẵng</t>
  </si>
  <si>
    <t>048077002933</t>
  </si>
  <si>
    <t>0400006410</t>
  </si>
  <si>
    <t>Tổ 58 CG, Thanh Khê, Đà Nẵng.</t>
  </si>
  <si>
    <t>048080000698</t>
  </si>
  <si>
    <t>Tổ 180, P. Ngũ Hành Sơn, TP. Đà Nẵng</t>
  </si>
  <si>
    <t>Xã Đại Lộc, TP. Đà Nẵng</t>
  </si>
  <si>
    <t>Hoà Bắc, Đại Nghĩa, Đại Lộc, Quảng Nam</t>
  </si>
  <si>
    <t>049075019332</t>
  </si>
  <si>
    <t>Tổ 76, P. Liên Chiểu, TP. Đà Nẵng</t>
  </si>
  <si>
    <t>049081015577</t>
  </si>
  <si>
    <t>Số điện thoại</t>
  </si>
  <si>
    <t>Loại hợp đồng</t>
  </si>
  <si>
    <t>Ngày ký HĐ</t>
  </si>
  <si>
    <t>Ngày hết hạn HĐLĐ</t>
  </si>
  <si>
    <t>Lương cơ bản</t>
  </si>
  <si>
    <t>Lương đóng BHXH</t>
  </si>
  <si>
    <t>Tổng thu nhập</t>
  </si>
  <si>
    <t>Số tài khoản</t>
  </si>
  <si>
    <t>Ngày tham gia BHXH</t>
  </si>
  <si>
    <t>Số người phụ thuộc</t>
  </si>
  <si>
    <t>Trạng thái hồ sơ (Đủ/Thiếu)</t>
  </si>
  <si>
    <t>Số HĐ</t>
  </si>
  <si>
    <t>KHỐI GIÁN TIẾP</t>
  </si>
  <si>
    <t>Đặng Ngọc Hoàng</t>
  </si>
  <si>
    <t>Trần Cường</t>
  </si>
  <si>
    <t>Nguyễn Thị Hạnh Tiên</t>
  </si>
  <si>
    <t>Lê Thị Hải</t>
  </si>
  <si>
    <t>Nguyễn Hoài Trung</t>
  </si>
  <si>
    <t>KHỐI TRỰC TIẾP</t>
  </si>
  <si>
    <t>Trương Ngọc Sỹ</t>
  </si>
  <si>
    <t>Lê Ngọc Thành Đạt</t>
  </si>
  <si>
    <t>Trần Thị Mỹ</t>
  </si>
  <si>
    <t>Phạm Thị Quảng</t>
  </si>
  <si>
    <t>Thái Hữu Quý</t>
  </si>
  <si>
    <t>Phạm Ngọc Bình</t>
  </si>
  <si>
    <t>Võ Trọng Khanh</t>
  </si>
  <si>
    <t>CT HĐQT</t>
  </si>
  <si>
    <t>Giám Đốc</t>
  </si>
  <si>
    <t>Trưởng ban HCTH</t>
  </si>
  <si>
    <t>Phó phòng</t>
  </si>
  <si>
    <t>Bảo trì</t>
  </si>
  <si>
    <t>Cây xanh</t>
  </si>
  <si>
    <t>Thạc sĩ quản trị kinh doanh</t>
  </si>
  <si>
    <t>Cử nhân tài chính kế toán</t>
  </si>
  <si>
    <t>Cử nhân Quản trị Kinh doanh</t>
  </si>
  <si>
    <t xml:space="preserve">Cử nhân tài chính kế toán </t>
  </si>
  <si>
    <t>Điện tử Viễn thông - Học viện BCVT</t>
  </si>
  <si>
    <t xml:space="preserve">Trung cấp xây dựng dân dụng &amp; công nghiệp </t>
  </si>
  <si>
    <t>Lao động phổ thông</t>
  </si>
  <si>
    <t>Lao động PT</t>
  </si>
  <si>
    <t>Đánh giá thực hiện công việc 2026</t>
  </si>
  <si>
    <t>24 An Hoà 1, phường Cẩm Lệ, thành phố Đà Nẵng.</t>
  </si>
  <si>
    <t>136 Ông Ích Khiêm, tổ 48 (TT)XH, P. Thanh Khê, TP. Đà Nẵng</t>
  </si>
  <si>
    <t>Tổ 44, Hoà Cường Nam. TP. Đà Nẵng</t>
  </si>
  <si>
    <t>Căn hộ C1405 Chung cư FPT Plaza, Tổ 46, P. Ngũ Hành Sơn, TP. Đà Nẵng</t>
  </si>
  <si>
    <t>Tổ 231 - phường Ngũ Hành Sơn - Tp Đà Nẵng</t>
  </si>
  <si>
    <t>Tổ 44, P. Sơn Trà, TP. Đà Nẵng</t>
  </si>
  <si>
    <t>Thôn Đa Hoà Nam, xã Điện Bàn Tây, TP. Đà Nẵng</t>
  </si>
  <si>
    <t>Tổ 2, thôn Quá Giáng 2, P. Hoà Xuân, TP. Đà Nẵng</t>
  </si>
  <si>
    <t>Tổ 7 Cẩm Toại Trung, xã Hoà Vang, TP. Đà Nẵng</t>
  </si>
  <si>
    <t>Tổ 38,  P. Ngũ Hành Sơn, TP. Đà Nẵng</t>
  </si>
  <si>
    <t>04 An Hải 12, Tổ 66, Phường An Hải, TP. Đà Nẵng</t>
  </si>
  <si>
    <t>Tổ 43, Phường An Hải, TP. Đà Nẵng.</t>
  </si>
  <si>
    <t>0905 961 507</t>
  </si>
  <si>
    <t>0905 667 537</t>
  </si>
  <si>
    <t>0905 823 210</t>
  </si>
  <si>
    <t>0769 817 376</t>
  </si>
  <si>
    <t>0766 566 568</t>
  </si>
  <si>
    <t>0906 496 233</t>
  </si>
  <si>
    <t>0905 642 968</t>
  </si>
  <si>
    <t>048078002791</t>
  </si>
  <si>
    <t>038190009451</t>
  </si>
  <si>
    <t>049089014416</t>
  </si>
  <si>
    <t>038074014772</t>
  </si>
  <si>
    <t>049096009057</t>
  </si>
  <si>
    <t>048174003042</t>
  </si>
  <si>
    <t>048168004389</t>
  </si>
  <si>
    <t>040071006682</t>
  </si>
  <si>
    <t>048066004237</t>
  </si>
  <si>
    <t>051070004646</t>
  </si>
  <si>
    <t>01/2023</t>
  </si>
  <si>
    <t>04/2026</t>
  </si>
  <si>
    <t>01/2026</t>
  </si>
  <si>
    <t>05/2025</t>
  </si>
  <si>
    <t>07/2023</t>
  </si>
  <si>
    <t>01/2019</t>
  </si>
  <si>
    <t>09/2022</t>
  </si>
  <si>
    <t>01/2021</t>
  </si>
  <si>
    <t>08/2022</t>
  </si>
  <si>
    <t>5600784917</t>
  </si>
  <si>
    <t>5611188120</t>
  </si>
  <si>
    <t>8814085412</t>
  </si>
  <si>
    <t>8843252338</t>
  </si>
  <si>
    <t>8865055861</t>
  </si>
  <si>
    <t>5650563351</t>
  </si>
  <si>
    <t>5611084219</t>
  </si>
  <si>
    <t>5611084282</t>
  </si>
  <si>
    <t>5611539481</t>
  </si>
  <si>
    <t>5611084246</t>
  </si>
  <si>
    <t>5611084495</t>
  </si>
  <si>
    <t>1</t>
  </si>
  <si>
    <t>0</t>
  </si>
  <si>
    <t>049097017285</t>
  </si>
  <si>
    <t>HCTH</t>
  </si>
  <si>
    <t>TCKT</t>
  </si>
  <si>
    <t>Nhân viên lái xe</t>
  </si>
  <si>
    <t>Ban Lãnh đạo</t>
  </si>
  <si>
    <t>0969 77 5999</t>
  </si>
  <si>
    <t>0973 961 629</t>
  </si>
  <si>
    <t>0941 555 501</t>
  </si>
  <si>
    <t>0905 917 184</t>
  </si>
  <si>
    <t>CÔNG TY CỔ PHẦN DMT-MARINA</t>
  </si>
  <si>
    <t>HỒ SƠ NHÂN SỰ - CÁN BỘ NHÂN VIÊN 2026</t>
  </si>
  <si>
    <t>Chưa được điều chỉnh lương</t>
  </si>
  <si>
    <t>Lương cơ bản / đóng BHXH</t>
  </si>
  <si>
    <t>0905 454 145</t>
  </si>
  <si>
    <t>05/2026</t>
  </si>
  <si>
    <t>PLHĐ</t>
  </si>
  <si>
    <t>Thông tin công việc</t>
  </si>
  <si>
    <t>Thông tin cá nhân</t>
  </si>
  <si>
    <t>Phòng/Ban</t>
  </si>
  <si>
    <t>Vị trí công việc</t>
  </si>
  <si>
    <t>Nơi cấp</t>
  </si>
  <si>
    <t>Mã số thuế</t>
  </si>
  <si>
    <t>Trình độ học vấn</t>
  </si>
  <si>
    <t>Lương</t>
  </si>
  <si>
    <t>Hợp đồng chính thức</t>
  </si>
  <si>
    <t>Đánh giá xếp loại</t>
  </si>
  <si>
    <t>HĐ không xác định thời hạn</t>
  </si>
  <si>
    <t>HĐ xác định thời hạn 12 tháng (Lần 1)</t>
  </si>
  <si>
    <t>Ban điều hành</t>
  </si>
  <si>
    <t>Ban TCKT</t>
  </si>
  <si>
    <t>Ban KTXD</t>
  </si>
  <si>
    <t>Ban Dự án</t>
  </si>
  <si>
    <t>Ban KHĐT</t>
  </si>
  <si>
    <t>Ban ĐBGT</t>
  </si>
  <si>
    <t>XN DTBD</t>
  </si>
  <si>
    <t>Sàn GDBĐS</t>
  </si>
  <si>
    <t>16/01/2026</t>
  </si>
  <si>
    <t>Ngày ký PLHĐ</t>
  </si>
  <si>
    <t>Ngày hết hạn HĐ/PL</t>
  </si>
  <si>
    <t>PL01 Điều chỉnh lương: 01/DMT-MARINA/2026/PLHĐLĐ</t>
  </si>
  <si>
    <t>02/HĐLĐ-MARINA/2025</t>
  </si>
  <si>
    <t>Hồ sơ đính kèm</t>
  </si>
  <si>
    <t>01/HĐLĐ-MARINA/2026</t>
  </si>
  <si>
    <t>Quyết định kèm theo (nếu có)</t>
  </si>
  <si>
    <t>02/HĐLĐ-MARINA/2026</t>
  </si>
  <si>
    <t>Today</t>
  </si>
  <si>
    <t>044199003957</t>
  </si>
  <si>
    <t>xã Nam Gianh - Quảng Trị</t>
  </si>
  <si>
    <t>Thời điểm đơn vị kết thúc đóng BHXH</t>
  </si>
  <si>
    <t>'049076015199</t>
  </si>
  <si>
    <t>'049063006090</t>
  </si>
  <si>
    <t>Ngày ký</t>
  </si>
  <si>
    <t>HĐLĐ xác định thời hạn</t>
  </si>
  <si>
    <t>Ngày hết hạn</t>
  </si>
  <si>
    <t>HĐLĐ không xác định thời hạn</t>
  </si>
  <si>
    <t>0967836950</t>
  </si>
  <si>
    <t>0913404319</t>
  </si>
  <si>
    <t>0784909047</t>
  </si>
  <si>
    <t>0976523379</t>
  </si>
  <si>
    <t>0935775229</t>
  </si>
  <si>
    <t>0934884423</t>
  </si>
  <si>
    <t>0915662262</t>
  </si>
  <si>
    <t>0949728333</t>
  </si>
  <si>
    <t>Thời điểm đơn vị bắt đầu đóng BHXH</t>
  </si>
  <si>
    <t>3496004373</t>
  </si>
  <si>
    <t>Số tài khoản
(BIDV)</t>
  </si>
  <si>
    <t>Số HĐLĐ</t>
  </si>
  <si>
    <t>ngày ký</t>
  </si>
  <si>
    <t>08/HĐLĐ-DMT/2026</t>
  </si>
  <si>
    <t>09/HĐLĐ-DMT/2026</t>
  </si>
  <si>
    <t>44/HĐLĐ-DMT/2019</t>
  </si>
  <si>
    <t>33/HĐLĐ -DMT/2019</t>
  </si>
  <si>
    <t>31/HĐLĐ- DMT/2018</t>
  </si>
  <si>
    <t>10/DMT/2026/PLHĐLĐ</t>
  </si>
  <si>
    <t>08/DMT/2026/PLHĐLĐ</t>
  </si>
  <si>
    <t>02/HĐLĐ- DMT/2024</t>
  </si>
  <si>
    <t>01/HĐLĐ -DMT/2023</t>
  </si>
  <si>
    <t>13/DMT/2025/PLHĐLĐ</t>
  </si>
  <si>
    <t>Mức lương cũ</t>
  </si>
  <si>
    <t>Mức Lương mới</t>
  </si>
  <si>
    <t>số pLHĐ</t>
  </si>
  <si>
    <t>04</t>
  </si>
  <si>
    <t>số ký hiệu VB PLHĐ</t>
  </si>
  <si>
    <t>01/HĐLĐ-DMT/2022</t>
  </si>
  <si>
    <t>17/DMT/2025/PLHĐLĐ</t>
  </si>
  <si>
    <t>33/HĐLĐ-DMT/2018</t>
  </si>
  <si>
    <t>11/DMT/2026/ PLHĐLĐ</t>
  </si>
  <si>
    <t>12/DMT/2026/ PLHĐLĐ</t>
  </si>
  <si>
    <t>35/HĐLĐ-DMT/2018</t>
  </si>
  <si>
    <t>12/HĐLĐ-DMT/2020</t>
  </si>
  <si>
    <t>14/DMT/2025/PLHĐLĐ</t>
  </si>
  <si>
    <t>30/HĐLĐ-DMT/2018</t>
  </si>
  <si>
    <t>09/DMT/2026/PLHĐLĐ</t>
  </si>
  <si>
    <t>07/DMT/2023/PLHĐLĐ</t>
  </si>
  <si>
    <t>09/HĐLĐ-DMT/2021</t>
  </si>
  <si>
    <t>28/HĐLĐ-DMT/2018</t>
  </si>
  <si>
    <t>07/DMT/2026/ PLHĐLĐ</t>
  </si>
  <si>
    <t>03/HĐLĐ-DMT/2025</t>
  </si>
  <si>
    <t>06 /DMT/2026/ PLHĐLĐ</t>
  </si>
  <si>
    <t>21/HĐLĐ-DMT/2018</t>
  </si>
  <si>
    <t>04/DMT/2026/ PLHĐLĐ</t>
  </si>
  <si>
    <t>05/DMT/2026/ PLHĐLĐ</t>
  </si>
  <si>
    <t>22/HĐLĐ-DMT/2018</t>
  </si>
  <si>
    <t>01/HĐLĐ-DMT/2024</t>
  </si>
  <si>
    <t>01/DMT/2026/PLHĐLĐ</t>
  </si>
  <si>
    <t>01/0101/DMT/2026/ PLHĐLĐ</t>
  </si>
  <si>
    <t>13/DMT/2026/ PLHĐLĐ</t>
  </si>
  <si>
    <t>89/HĐLĐ-DMT/2018</t>
  </si>
  <si>
    <t>10/DMT/2020/PLHĐLĐ</t>
  </si>
  <si>
    <t>14/HĐLĐ-DMT/2018</t>
  </si>
  <si>
    <t>07/DMT2025/PLHĐLĐ</t>
  </si>
  <si>
    <t>15/HĐLĐ-DMT/2018</t>
  </si>
  <si>
    <t>06/DMT2025/PLHĐLĐ</t>
  </si>
  <si>
    <t>12/HĐLĐ-DMT/2018</t>
  </si>
  <si>
    <t>05/DMT/2025/PLHĐLĐ</t>
  </si>
  <si>
    <t>/HĐLĐ-DMT/2018</t>
  </si>
  <si>
    <t>16/DMT/2019/PLHĐLĐ</t>
  </si>
  <si>
    <t>06/HĐLĐ-DMT/2018</t>
  </si>
  <si>
    <t>02/DMT/2025/PLHĐLĐ</t>
  </si>
  <si>
    <t>02/HĐLĐ- DMT/2018</t>
  </si>
  <si>
    <t>02 /DMT/2026/ PLHĐL</t>
  </si>
  <si>
    <t>03/DMT/2026/ PLHĐLĐ</t>
  </si>
  <si>
    <t>03/HĐLĐ-DMT/2018</t>
  </si>
  <si>
    <t>07/HĐLĐ-DMT/2026</t>
  </si>
  <si>
    <t>06/HĐLD/DMT-2026</t>
  </si>
  <si>
    <t xml:space="preserve">CÔNG TY CỔ PHẦN ĐẦU TƯ
 ĐÀ NẴNG - MIỀN TRUNG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</si>
</sst>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_-* #,##0\ _₫_-;\-* #,##0\ _₫_-;_-* &quot;-&quot;??\ _₫_-;_-@_-"/>
    <numFmt numFmtId="166" formatCode="dd/mm/yyyy;@"/>
    <numFmt numFmtId="167" formatCode="mm/yyyy;"/>
    <numFmt numFmtId="168" formatCode="_-* #,##0\ _₫_-;\-* #,##0\ _₫_-;_-* &quot;-&quot;\ _₫_-;_-@_-"/>
    <numFmt numFmtId="169" formatCode="mm/yyyy"/>
  </numFmts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4"/>
      <color theme="1"/>
      <name val="Times New Roman"/>
      <family val="1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2"/>
      <color rgb="FFFF000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8"/>
      <name val="Times New Roman"/>
      <family val="1"/>
    </font>
    <font>
      <b/>
      <sz val="20"/>
      <name val="Times New Roman"/>
      <family val="1"/>
    </font>
    <font>
      <sz val="18"/>
      <name val="Times New Roman"/>
      <family val="1"/>
    </font>
    <font>
      <sz val="18"/>
      <color theme="1"/>
      <name val="Times New Roman"/>
      <family val="1"/>
    </font>
    <font>
      <sz val="13"/>
      <name val="Times New Roman"/>
      <family val="1"/>
      <charset val="163"/>
    </font>
    <font>
      <sz val="13"/>
      <name val="Times New Roman"/>
      <family val="1"/>
    </font>
    <font>
      <sz val="11"/>
      <name val="Segoe UI"/>
      <family val="2"/>
    </font>
    <font>
      <b/>
      <sz val="22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3" fontId="1" fillId="0" borderId="6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1" fillId="0" borderId="6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3" fontId="1" fillId="0" borderId="6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</cellStyleXfs>
  <cellXfs count="261">
    <xf numFmtId="0" fontId="0" fillId="0" borderId="0" xfId="0"/>
    <xf numFmtId="0" fontId="5" fillId="0" borderId="6" xfId="0" applyFont="1" applyBorder="1" applyAlignment="1">
      <alignment horizontal="center" vertical="center"/>
    </xf>
    <xf numFmtId="164" fontId="7" fillId="0" borderId="6" xfId="1" applyNumberFormat="1" applyFont="1" applyBorder="1" applyAlignment="1">
      <alignment vertical="center"/>
    </xf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5" xfId="0" applyFont="1" applyBorder="1"/>
    <xf numFmtId="0" fontId="8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8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5" fillId="0" borderId="6" xfId="0" applyFont="1" applyBorder="1" applyAlignment="1">
      <alignment vertical="center" wrapText="1"/>
    </xf>
    <xf numFmtId="0" fontId="8" fillId="0" borderId="0" xfId="0" applyFont="1" applyAlignment="1">
      <alignment horizontal="center" wrapText="1"/>
    </xf>
    <xf numFmtId="14" fontId="8" fillId="0" borderId="5" xfId="0" quotePrefix="1" applyNumberFormat="1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0" borderId="0" xfId="0" applyFont="1"/>
    <xf numFmtId="0" fontId="5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6" xfId="0" applyFont="1" applyBorder="1" applyAlignment="1">
      <alignment horizontal="left" vertical="center" wrapText="1"/>
    </xf>
    <xf numFmtId="0" fontId="1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vertical="center" wrapText="1"/>
    </xf>
    <xf numFmtId="14" fontId="8" fillId="0" borderId="5" xfId="0" quotePrefix="1" applyNumberFormat="1" applyFont="1" applyBorder="1" applyAlignment="1">
      <alignment horizontal="left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164" fontId="7" fillId="0" borderId="7" xfId="1" applyNumberFormat="1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14" fontId="5" fillId="0" borderId="7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4" fontId="6" fillId="2" borderId="6" xfId="13" applyNumberFormat="1" applyFont="1" applyFill="1" applyBorder="1" applyAlignment="1">
      <alignment horizontal="center" vertical="center" wrapText="1"/>
    </xf>
    <xf numFmtId="164" fontId="6" fillId="2" borderId="6" xfId="1" applyNumberFormat="1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43" fontId="6" fillId="0" borderId="6" xfId="1" applyFont="1" applyFill="1" applyBorder="1" applyAlignment="1">
      <alignment horizontal="left" vertical="center"/>
    </xf>
    <xf numFmtId="0" fontId="5" fillId="0" borderId="6" xfId="13" applyFont="1" applyBorder="1" applyAlignment="1">
      <alignment horizontal="left" vertical="center" wrapText="1"/>
    </xf>
    <xf numFmtId="165" fontId="5" fillId="0" borderId="6" xfId="13" quotePrefix="1" applyNumberFormat="1" applyFont="1" applyBorder="1" applyAlignment="1">
      <alignment horizontal="left" vertical="center"/>
    </xf>
    <xf numFmtId="164" fontId="6" fillId="0" borderId="6" xfId="1" applyNumberFormat="1" applyFont="1" applyFill="1" applyBorder="1" applyAlignment="1">
      <alignment horizontal="left" vertical="center"/>
    </xf>
    <xf numFmtId="14" fontId="5" fillId="0" borderId="6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166" fontId="6" fillId="0" borderId="6" xfId="0" quotePrefix="1" applyNumberFormat="1" applyFont="1" applyBorder="1" applyAlignment="1">
      <alignment horizontal="center" vertical="center"/>
    </xf>
    <xf numFmtId="166" fontId="6" fillId="2" borderId="6" xfId="10" applyNumberFormat="1" applyFont="1" applyFill="1" applyBorder="1" applyAlignment="1">
      <alignment horizontal="center" vertical="center" wrapText="1"/>
    </xf>
    <xf numFmtId="166" fontId="6" fillId="2" borderId="6" xfId="10" quotePrefix="1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14" fontId="6" fillId="2" borderId="7" xfId="13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quotePrefix="1" applyFont="1" applyBorder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166" fontId="6" fillId="0" borderId="6" xfId="0" applyNumberFormat="1" applyFont="1" applyBorder="1" applyAlignment="1">
      <alignment horizontal="center" vertical="center" wrapText="1"/>
    </xf>
    <xf numFmtId="164" fontId="22" fillId="2" borderId="6" xfId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 wrapText="1"/>
    </xf>
    <xf numFmtId="166" fontId="23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3" fontId="6" fillId="0" borderId="6" xfId="19" quotePrefix="1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4" borderId="6" xfId="0" quotePrefix="1" applyFont="1" applyFill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164" fontId="5" fillId="2" borderId="6" xfId="1" applyNumberFormat="1" applyFont="1" applyFill="1" applyBorder="1" applyAlignment="1">
      <alignment vertical="center"/>
    </xf>
    <xf numFmtId="0" fontId="6" fillId="0" borderId="7" xfId="0" quotePrefix="1" applyFont="1" applyBorder="1" applyAlignment="1">
      <alignment horizontal="center" vertical="center" wrapText="1"/>
    </xf>
    <xf numFmtId="0" fontId="5" fillId="4" borderId="6" xfId="0" quotePrefix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2" fontId="6" fillId="0" borderId="6" xfId="0" applyNumberFormat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 wrapText="1"/>
    </xf>
    <xf numFmtId="2" fontId="6" fillId="0" borderId="6" xfId="0" quotePrefix="1" applyNumberFormat="1" applyFont="1" applyBorder="1" applyAlignment="1">
      <alignment horizontal="center" vertical="center" wrapText="1"/>
    </xf>
    <xf numFmtId="0" fontId="24" fillId="0" borderId="6" xfId="0" quotePrefix="1" applyFont="1" applyBorder="1" applyAlignment="1">
      <alignment horizontal="center" vertical="center" wrapText="1"/>
    </xf>
    <xf numFmtId="14" fontId="24" fillId="0" borderId="6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5" fillId="0" borderId="0" xfId="0" applyFont="1" applyAlignment="1">
      <alignment horizontal="center" wrapText="1"/>
    </xf>
    <xf numFmtId="0" fontId="6" fillId="2" borderId="6" xfId="0" applyFont="1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166" fontId="4" fillId="0" borderId="2" xfId="0" applyNumberFormat="1" applyFont="1" applyBorder="1" applyAlignment="1">
      <alignment horizontal="center" vertical="center" wrapText="1"/>
    </xf>
    <xf numFmtId="166" fontId="4" fillId="0" borderId="8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wrapText="1"/>
    </xf>
    <xf numFmtId="0" fontId="2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165" fontId="5" fillId="0" borderId="7" xfId="13" quotePrefix="1" applyNumberFormat="1" applyFont="1" applyBorder="1" applyAlignment="1">
      <alignment horizontal="left" vertical="center"/>
    </xf>
    <xf numFmtId="14" fontId="5" fillId="0" borderId="7" xfId="0" applyNumberFormat="1" applyFont="1" applyBorder="1" applyAlignment="1">
      <alignment horizontal="left" vertical="center"/>
    </xf>
    <xf numFmtId="164" fontId="5" fillId="5" borderId="6" xfId="1" applyNumberFormat="1" applyFont="1" applyFill="1" applyBorder="1" applyAlignment="1">
      <alignment horizontal="left" vertical="center" wrapText="1"/>
    </xf>
    <xf numFmtId="164" fontId="5" fillId="0" borderId="6" xfId="1" applyNumberFormat="1" applyFont="1" applyFill="1" applyBorder="1" applyAlignment="1">
      <alignment horizontal="left" vertical="center" wrapText="1"/>
    </xf>
    <xf numFmtId="43" fontId="5" fillId="5" borderId="6" xfId="1" applyFont="1" applyFill="1" applyBorder="1" applyAlignment="1">
      <alignment horizontal="center" vertical="center" wrapText="1"/>
    </xf>
    <xf numFmtId="43" fontId="5" fillId="5" borderId="7" xfId="1" applyFont="1" applyFill="1" applyBorder="1" applyAlignment="1">
      <alignment horizontal="center" vertical="center" wrapText="1"/>
    </xf>
    <xf numFmtId="0" fontId="5" fillId="0" borderId="6" xfId="13" applyFont="1" applyBorder="1" applyAlignment="1">
      <alignment horizontal="center" vertical="center" wrapText="1"/>
    </xf>
    <xf numFmtId="165" fontId="5" fillId="0" borderId="7" xfId="13" quotePrefix="1" applyNumberFormat="1" applyFont="1" applyBorder="1" applyAlignment="1">
      <alignment horizontal="center" vertical="center"/>
    </xf>
    <xf numFmtId="164" fontId="5" fillId="0" borderId="6" xfId="1" applyNumberFormat="1" applyFont="1" applyFill="1" applyBorder="1" applyAlignment="1">
      <alignment horizontal="center" vertical="center" wrapText="1"/>
    </xf>
    <xf numFmtId="164" fontId="6" fillId="5" borderId="6" xfId="1" applyNumberFormat="1" applyFont="1" applyFill="1" applyBorder="1" applyAlignment="1" applyProtection="1">
      <alignment horizontal="center" vertical="center" wrapText="1"/>
      <protection locked="0"/>
    </xf>
    <xf numFmtId="166" fontId="6" fillId="0" borderId="6" xfId="0" quotePrefix="1" applyNumberFormat="1" applyFont="1" applyBorder="1" applyAlignment="1">
      <alignment horizontal="center" vertical="center" wrapText="1"/>
    </xf>
    <xf numFmtId="1" fontId="5" fillId="0" borderId="6" xfId="1" applyNumberFormat="1" applyFont="1" applyBorder="1" applyAlignment="1">
      <alignment horizontal="center" vertical="center"/>
    </xf>
    <xf numFmtId="49" fontId="28" fillId="0" borderId="6" xfId="0" applyNumberFormat="1" applyFont="1" applyBorder="1" applyAlignment="1">
      <alignment horizontal="center" vertical="center" wrapText="1"/>
    </xf>
    <xf numFmtId="17" fontId="5" fillId="0" borderId="7" xfId="0" quotePrefix="1" applyNumberFormat="1" applyFont="1" applyBorder="1" applyAlignment="1">
      <alignment horizontal="center" vertical="center" wrapText="1"/>
    </xf>
    <xf numFmtId="0" fontId="5" fillId="0" borderId="7" xfId="0" quotePrefix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164" fontId="6" fillId="5" borderId="7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>
      <alignment horizontal="center" vertical="center" wrapText="1"/>
    </xf>
    <xf numFmtId="164" fontId="5" fillId="5" borderId="7" xfId="1" applyNumberFormat="1" applyFont="1" applyFill="1" applyBorder="1" applyAlignment="1">
      <alignment horizontal="left" vertical="center" wrapText="1"/>
    </xf>
    <xf numFmtId="166" fontId="5" fillId="0" borderId="7" xfId="0" applyNumberFormat="1" applyFont="1" applyBorder="1" applyAlignment="1">
      <alignment horizontal="center" vertical="center" wrapText="1"/>
    </xf>
    <xf numFmtId="166" fontId="6" fillId="0" borderId="7" xfId="0" quotePrefix="1" applyNumberFormat="1" applyFont="1" applyBorder="1" applyAlignment="1">
      <alignment horizontal="center" vertical="center" wrapText="1"/>
    </xf>
    <xf numFmtId="166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" fontId="5" fillId="0" borderId="7" xfId="1" applyNumberFormat="1" applyFont="1" applyBorder="1" applyAlignment="1">
      <alignment horizontal="center" vertical="center"/>
    </xf>
    <xf numFmtId="0" fontId="6" fillId="0" borderId="6" xfId="0" applyFont="1" applyBorder="1" applyAlignment="1">
      <alignment wrapText="1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/>
    <xf numFmtId="43" fontId="6" fillId="0" borderId="6" xfId="1" applyFont="1" applyFill="1" applyBorder="1" applyAlignment="1">
      <alignment horizontal="center" vertical="center"/>
    </xf>
    <xf numFmtId="164" fontId="6" fillId="0" borderId="6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14" fontId="5" fillId="0" borderId="6" xfId="0" quotePrefix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2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3" fillId="0" borderId="0" xfId="0" applyFont="1"/>
    <xf numFmtId="166" fontId="5" fillId="5" borderId="7" xfId="1" applyNumberFormat="1" applyFont="1" applyFill="1" applyBorder="1" applyAlignment="1" applyProtection="1">
      <alignment horizontal="center" vertical="center" wrapText="1"/>
      <protection locked="0"/>
    </xf>
    <xf numFmtId="165" fontId="5" fillId="0" borderId="7" xfId="13" quotePrefix="1" applyNumberFormat="1" applyFont="1" applyBorder="1" applyAlignment="1">
      <alignment horizontal="center" vertical="center" wrapText="1"/>
    </xf>
    <xf numFmtId="14" fontId="8" fillId="0" borderId="0" xfId="0" quotePrefix="1" applyNumberFormat="1" applyFont="1" applyAlignment="1">
      <alignment horizontal="left" wrapText="1"/>
    </xf>
    <xf numFmtId="14" fontId="6" fillId="0" borderId="6" xfId="0" applyNumberFormat="1" applyFont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167" fontId="6" fillId="0" borderId="6" xfId="0" applyNumberFormat="1" applyFont="1" applyBorder="1" applyAlignment="1">
      <alignment horizontal="center" vertical="center" wrapText="1"/>
    </xf>
    <xf numFmtId="0" fontId="4" fillId="13" borderId="6" xfId="0" applyFont="1" applyFill="1" applyBorder="1" applyAlignment="1">
      <alignment vertical="center" wrapText="1"/>
    </xf>
    <xf numFmtId="14" fontId="4" fillId="2" borderId="6" xfId="0" applyNumberFormat="1" applyFont="1" applyFill="1" applyBorder="1" applyAlignment="1">
      <alignment horizontal="left" vertical="center" wrapText="1"/>
    </xf>
    <xf numFmtId="14" fontId="4" fillId="14" borderId="6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5" fillId="0" borderId="0" xfId="0" applyFont="1"/>
    <xf numFmtId="14" fontId="7" fillId="0" borderId="6" xfId="0" quotePrefix="1" applyNumberFormat="1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/>
    <xf numFmtId="0" fontId="7" fillId="0" borderId="0" xfId="0" applyFont="1"/>
    <xf numFmtId="14" fontId="6" fillId="2" borderId="6" xfId="0" quotePrefix="1" applyNumberFormat="1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1" fontId="6" fillId="0" borderId="6" xfId="0" quotePrefix="1" applyNumberFormat="1" applyFont="1" applyBorder="1" applyAlignment="1">
      <alignment horizontal="center" vertical="center" wrapText="1"/>
    </xf>
    <xf numFmtId="0" fontId="4" fillId="15" borderId="6" xfId="0" applyFont="1" applyFill="1" applyBorder="1" applyAlignment="1">
      <alignment vertical="center" wrapText="1"/>
    </xf>
    <xf numFmtId="168" fontId="4" fillId="0" borderId="6" xfId="0" applyNumberFormat="1" applyFont="1" applyBorder="1" applyAlignment="1">
      <alignment horizontal="center" vertical="center"/>
    </xf>
    <xf numFmtId="164" fontId="4" fillId="5" borderId="6" xfId="1" applyNumberFormat="1" applyFont="1" applyFill="1" applyBorder="1" applyAlignment="1" applyProtection="1">
      <alignment horizontal="center" vertical="center" wrapText="1"/>
      <protection locked="0"/>
    </xf>
    <xf numFmtId="14" fontId="3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0" fontId="7" fillId="0" borderId="6" xfId="0" applyFont="1" applyBorder="1"/>
    <xf numFmtId="0" fontId="5" fillId="0" borderId="6" xfId="0" quotePrefix="1" applyFont="1" applyBorder="1" applyAlignment="1">
      <alignment horizontal="center" vertical="center"/>
    </xf>
    <xf numFmtId="165" fontId="5" fillId="0" borderId="6" xfId="13" quotePrefix="1" applyNumberFormat="1" applyFont="1" applyBorder="1" applyAlignment="1">
      <alignment horizontal="center" vertical="center"/>
    </xf>
    <xf numFmtId="17" fontId="5" fillId="0" borderId="6" xfId="0" applyNumberFormat="1" applyFont="1" applyBorder="1" applyAlignment="1">
      <alignment horizontal="center" vertical="center"/>
    </xf>
    <xf numFmtId="14" fontId="6" fillId="2" borderId="6" xfId="0" applyNumberFormat="1" applyFont="1" applyFill="1" applyBorder="1" applyAlignment="1">
      <alignment horizontal="left" vertical="center" wrapText="1"/>
    </xf>
    <xf numFmtId="14" fontId="6" fillId="14" borderId="6" xfId="0" applyNumberFormat="1" applyFont="1" applyFill="1" applyBorder="1" applyAlignment="1">
      <alignment horizontal="center" vertical="center" wrapText="1"/>
    </xf>
    <xf numFmtId="169" fontId="6" fillId="0" borderId="6" xfId="0" applyNumberFormat="1" applyFont="1" applyBorder="1" applyAlignment="1">
      <alignment horizontal="center" vertical="center"/>
    </xf>
    <xf numFmtId="169" fontId="36" fillId="0" borderId="0" xfId="0" applyNumberFormat="1" applyFont="1" applyAlignment="1">
      <alignment horizontal="center" vertical="center"/>
    </xf>
    <xf numFmtId="167" fontId="22" fillId="0" borderId="6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166" fontId="4" fillId="13" borderId="6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/>
    </xf>
    <xf numFmtId="166" fontId="4" fillId="13" borderId="10" xfId="0" applyNumberFormat="1" applyFont="1" applyFill="1" applyBorder="1" applyAlignment="1">
      <alignment horizontal="center" vertical="center" wrapText="1"/>
    </xf>
    <xf numFmtId="166" fontId="4" fillId="13" borderId="7" xfId="0" applyNumberFormat="1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29" fillId="13" borderId="11" xfId="0" applyFont="1" applyFill="1" applyBorder="1" applyAlignment="1">
      <alignment horizontal="center" vertical="center" wrapText="1"/>
    </xf>
    <xf numFmtId="0" fontId="29" fillId="13" borderId="12" xfId="0" applyFont="1" applyFill="1" applyBorder="1" applyAlignment="1">
      <alignment horizontal="center" vertical="center" wrapText="1"/>
    </xf>
    <xf numFmtId="0" fontId="29" fillId="13" borderId="13" xfId="0" applyFont="1" applyFill="1" applyBorder="1" applyAlignment="1">
      <alignment horizontal="center" vertical="center" wrapText="1"/>
    </xf>
    <xf numFmtId="0" fontId="4" fillId="13" borderId="10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14" fontId="8" fillId="0" borderId="5" xfId="0" quotePrefix="1" applyNumberFormat="1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166" fontId="4" fillId="0" borderId="8" xfId="0" applyNumberFormat="1" applyFont="1" applyBorder="1" applyAlignment="1">
      <alignment horizontal="center" vertical="center" wrapText="1"/>
    </xf>
    <xf numFmtId="166" fontId="4" fillId="0" borderId="7" xfId="0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</cellXfs>
  <cellStyles count="20">
    <cellStyle name="Change A&amp;ll" xfId="4"/>
    <cellStyle name="Change A&amp;ll 2" xfId="8"/>
    <cellStyle name="Change A&amp;ll 2 2" xfId="14"/>
    <cellStyle name="Comma" xfId="1" builtinId="3"/>
    <cellStyle name="Comma 10" xfId="11"/>
    <cellStyle name="Comma 10 2 3" xfId="18"/>
    <cellStyle name="Comma 2 2" xfId="6"/>
    <cellStyle name="Comma 2 2 2" xfId="17"/>
    <cellStyle name="Comma 33" xfId="7"/>
    <cellStyle name="Comma 5" xfId="2"/>
    <cellStyle name="Normal" xfId="0" builtinId="0"/>
    <cellStyle name="Normal 2" xfId="5"/>
    <cellStyle name="Normal 2 2 2" xfId="16"/>
    <cellStyle name="Normal 2 3" xfId="12"/>
    <cellStyle name="Normal 2 3 2" xfId="13"/>
    <cellStyle name="Normal 2 3 3" xfId="15"/>
    <cellStyle name="Normal 3" xfId="10"/>
    <cellStyle name="Normal 4" xfId="3"/>
    <cellStyle name="Normal 7" xfId="9"/>
    <cellStyle name="Normal_Ms_Nga2.4" xfId="19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22411</xdr:rowOff>
    </xdr:from>
    <xdr:to>
      <xdr:col>1</xdr:col>
      <xdr:colOff>896471</xdr:colOff>
      <xdr:row>0</xdr:row>
      <xdr:rowOff>411666</xdr:rowOff>
    </xdr:to>
    <xdr:pic>
      <xdr:nvPicPr>
        <xdr:cNvPr id="2" name="Picture 1" descr="dmt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664" t="10072" r="4694" b="29497"/>
        <a:stretch>
          <a:fillRect/>
        </a:stretch>
      </xdr:blipFill>
      <xdr:spPr bwMode="auto">
        <a:xfrm>
          <a:off x="134471" y="22411"/>
          <a:ext cx="1120588" cy="3892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470648</xdr:colOff>
      <xdr:row>0</xdr:row>
      <xdr:rowOff>313765</xdr:rowOff>
    </xdr:from>
    <xdr:to>
      <xdr:col>2</xdr:col>
      <xdr:colOff>634034</xdr:colOff>
      <xdr:row>3</xdr:row>
      <xdr:rowOff>179294</xdr:rowOff>
    </xdr:to>
    <xdr:pic>
      <xdr:nvPicPr>
        <xdr:cNvPr id="2" name="Picture 1" descr="Logo final _DMT MARIN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15710" b="-1087"/>
        <a:stretch/>
      </xdr:blipFill>
      <xdr:spPr bwMode="auto">
        <a:xfrm>
          <a:off x="829236" y="313765"/>
          <a:ext cx="846945" cy="739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&#7890;%20S&#416;%20NH&#194;N%20S&#7920;%20DMT%20GROUP%202026%20(T&#7892;NG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ng%20Trinh%20DMT\TRINH%20DMT\L&#431;&#416;NG%20BHXH%20DMT\TH&#193;NG%205\L&#432;&#417;ng%20thang%205.2026%20%20DMT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ng%20Trinh%20DMT\TRINH%20DMT\L&#431;&#416;NG%20BHXH%20DMT\DMT%20-%20De%20xuat%20dieu%20chinh%20luong%20don%20vi%202025%20-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ng%20Trinh%20DMT\TRINH%20DMT\B&#225;o%20c&#225;o%20t&#236;nh%20h&#236;nh%20s&#7917;%20d&#7909;ng%20lao%20&#273;&#7897;ng%20DMT%20T6.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Local\Temp\Zalo%20Temp\TempDownloads\Copy%20of%20DANH%20S&#193;CH%20CHIA%20PH&#210;NG%20DMT%20GROUP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ng%20Trinh%20DMT\TRINH%20DMT\TONG%20HOP%20NHAN%20S&#7908;%20T12.2025%20DM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ar\folders\vz\pxxqzh1100n9v9zgrwn1lbkr0000gn\T\Zalo%20Temp\TempDownloads\HE&#803;&#770;%20THO&#770;&#769;NG%20LU&#795;O&#795;NG%20TOA&#768;N%20CO&#770;NG%20T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ng%20Trinh%20DMT\TRINH%20DMT\L&#431;&#416;NG%20BHXH%20DMT\TH&#193;NG%203\DMT%20-%20BHXH%2003.2026%20(%20Final%20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MT%20MARINA/1.%20L&#431;&#416;NG%20&amp;%20TH&#431;&#7902;NG%202026/TH&#193;NG%2005.2026/LUONG%20MARINA%20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TỔNG"/>
      <sheetName val="Sheet1"/>
    </sheetNames>
    <sheetDataSet>
      <sheetData sheetId="0">
        <row r="8">
          <cell r="C8" t="str">
            <v>Đặng Thanh Bình</v>
          </cell>
          <cell r="D8" t="str">
            <v>CTHĐQT</v>
          </cell>
          <cell r="E8" t="str">
            <v xml:space="preserve">Ban điều hành </v>
          </cell>
          <cell r="F8" t="str">
            <v>Hợp đồng không xác định TH</v>
          </cell>
          <cell r="G8" t="str">
            <v>Cử nhân Luật</v>
          </cell>
          <cell r="H8" t="str">
            <v>Đại học</v>
          </cell>
          <cell r="I8" t="str">
            <v>01/01/1963</v>
          </cell>
          <cell r="J8">
            <v>39267</v>
          </cell>
          <cell r="K8">
            <v>46118</v>
          </cell>
          <cell r="L8" t="str">
            <v xml:space="preserve">18 năm 9 tháng </v>
          </cell>
          <cell r="O8" t="str">
            <v>Điều chỉnh lương</v>
          </cell>
          <cell r="P8" t="str">
            <v>01/01/2021</v>
          </cell>
          <cell r="Q8" t="e">
            <v>#N/A</v>
          </cell>
          <cell r="R8" t="e">
            <v>#N/A</v>
          </cell>
          <cell r="S8" t="e">
            <v>#N/A</v>
          </cell>
          <cell r="U8" t="e">
            <v>#N/A</v>
          </cell>
          <cell r="V8" t="e">
            <v>#N/A</v>
          </cell>
          <cell r="W8">
            <v>0.1</v>
          </cell>
          <cell r="X8" t="e">
            <v>#N/A</v>
          </cell>
          <cell r="Y8" t="e">
            <v>#N/A</v>
          </cell>
          <cell r="Z8">
            <v>0.15</v>
          </cell>
          <cell r="AB8" t="str">
            <v>99 Núi Thành, Hoà Thuận Đông, Hải Châu, Đà Nẵng</v>
          </cell>
          <cell r="AC8" t="str">
            <v>049063014707</v>
          </cell>
        </row>
        <row r="9">
          <cell r="C9" t="str">
            <v>Trần Quốc Thể</v>
          </cell>
          <cell r="D9" t="str">
            <v>TGĐ</v>
          </cell>
          <cell r="E9" t="str">
            <v xml:space="preserve">Ban điều hành </v>
          </cell>
          <cell r="F9" t="str">
            <v>Hợp đồng không xác định TH</v>
          </cell>
          <cell r="G9" t="str">
            <v>Kiến trúc sư - 2000</v>
          </cell>
          <cell r="H9" t="str">
            <v>Đại học</v>
          </cell>
          <cell r="I9" t="str">
            <v>15/02/1976</v>
          </cell>
          <cell r="J9">
            <v>40210</v>
          </cell>
          <cell r="K9">
            <v>46118</v>
          </cell>
          <cell r="L9" t="str">
            <v xml:space="preserve">16 năm 2 tháng </v>
          </cell>
          <cell r="M9" t="str">
            <v>A</v>
          </cell>
          <cell r="O9" t="str">
            <v>Điều chỉnh lương</v>
          </cell>
          <cell r="P9" t="str">
            <v>01/05/2025</v>
          </cell>
          <cell r="Q9" t="e">
            <v>#N/A</v>
          </cell>
          <cell r="R9" t="e">
            <v>#N/A</v>
          </cell>
          <cell r="S9" t="e">
            <v>#N/A</v>
          </cell>
          <cell r="U9" t="e">
            <v>#N/A</v>
          </cell>
          <cell r="V9" t="e">
            <v>#N/A</v>
          </cell>
          <cell r="W9">
            <v>0.1</v>
          </cell>
          <cell r="X9" t="e">
            <v>#N/A</v>
          </cell>
          <cell r="Y9" t="e">
            <v>#N/A</v>
          </cell>
          <cell r="Z9">
            <v>0.15</v>
          </cell>
          <cell r="AB9" t="str">
            <v>K36/41 Quang Trung, Thạch Thang, Hải Châu, Đà Nẵng</v>
          </cell>
          <cell r="AC9" t="str">
            <v>04907601599</v>
          </cell>
          <cell r="AD9">
            <v>44645</v>
          </cell>
          <cell r="AE9" t="str">
            <v>0402007477</v>
          </cell>
        </row>
        <row r="10">
          <cell r="C10" t="str">
            <v>Đoàn Thị Ngọc Nữ</v>
          </cell>
          <cell r="D10" t="str">
            <v xml:space="preserve"> P. TGĐ</v>
          </cell>
          <cell r="E10" t="str">
            <v xml:space="preserve">Ban điều hành </v>
          </cell>
          <cell r="F10" t="str">
            <v>Hợp đồng không xác định TH</v>
          </cell>
          <cell r="G10" t="str">
            <v>Cử nhân kế toán - 2006</v>
          </cell>
          <cell r="H10" t="str">
            <v>Đại học</v>
          </cell>
          <cell r="I10" t="str">
            <v>23/05/1980</v>
          </cell>
          <cell r="J10">
            <v>39270</v>
          </cell>
          <cell r="K10">
            <v>46118</v>
          </cell>
          <cell r="L10" t="str">
            <v xml:space="preserve">18 năm 9 tháng </v>
          </cell>
          <cell r="M10" t="str">
            <v>A</v>
          </cell>
          <cell r="O10" t="str">
            <v>Điều chỉnh lương</v>
          </cell>
          <cell r="P10" t="str">
            <v>01/10/2020</v>
          </cell>
          <cell r="Q10" t="e">
            <v>#N/A</v>
          </cell>
          <cell r="R10" t="e">
            <v>#N/A</v>
          </cell>
          <cell r="S10" t="e">
            <v>#N/A</v>
          </cell>
          <cell r="U10" t="e">
            <v>#N/A</v>
          </cell>
          <cell r="V10" t="e">
            <v>#N/A</v>
          </cell>
          <cell r="W10">
            <v>0.1</v>
          </cell>
          <cell r="X10" t="e">
            <v>#N/A</v>
          </cell>
          <cell r="Y10" t="e">
            <v>#N/A</v>
          </cell>
          <cell r="Z10">
            <v>0.15</v>
          </cell>
          <cell r="AB10" t="str">
            <v>464/32 Trưng Nữ Vương, Tố 87BT, Hoà Cường, Đà Nẵng</v>
          </cell>
          <cell r="AC10" t="str">
            <v>049180017005</v>
          </cell>
          <cell r="AD10">
            <v>44375</v>
          </cell>
          <cell r="AE10" t="str">
            <v>0403011235</v>
          </cell>
        </row>
        <row r="11">
          <cell r="C11" t="str">
            <v>Nguyễn Ngọc Tôn</v>
          </cell>
          <cell r="D11" t="str">
            <v xml:space="preserve"> P. TGĐ</v>
          </cell>
          <cell r="E11" t="str">
            <v xml:space="preserve">Ban điều hành </v>
          </cell>
          <cell r="F11" t="str">
            <v>Hợp đồng không xác định TH</v>
          </cell>
          <cell r="G11" t="str">
            <v>Cử nhân cao đẳng - KTCN - 2001</v>
          </cell>
          <cell r="H11" t="str">
            <v>Cao đẳng</v>
          </cell>
          <cell r="I11" t="str">
            <v>20/12/1978</v>
          </cell>
          <cell r="J11">
            <v>40280</v>
          </cell>
          <cell r="K11">
            <v>46118</v>
          </cell>
          <cell r="L11" t="str">
            <v xml:space="preserve">15 năm 11 tháng </v>
          </cell>
          <cell r="M11" t="str">
            <v>A</v>
          </cell>
          <cell r="O11" t="str">
            <v>Điều chỉnh lương</v>
          </cell>
          <cell r="P11" t="str">
            <v>01/01/2021</v>
          </cell>
          <cell r="Q11" t="e">
            <v>#N/A</v>
          </cell>
          <cell r="R11" t="e">
            <v>#N/A</v>
          </cell>
          <cell r="S11" t="e">
            <v>#N/A</v>
          </cell>
          <cell r="T11">
            <v>1500000</v>
          </cell>
          <cell r="U11" t="e">
            <v>#N/A</v>
          </cell>
          <cell r="V11" t="e">
            <v>#N/A</v>
          </cell>
          <cell r="W11">
            <v>0.1</v>
          </cell>
          <cell r="X11" t="e">
            <v>#N/A</v>
          </cell>
          <cell r="Y11" t="e">
            <v>#N/A</v>
          </cell>
          <cell r="Z11">
            <v>0.15</v>
          </cell>
          <cell r="AB11" t="str">
            <v>Tổ 53, phường An Khê, Thành phố Đà Nẵng.</v>
          </cell>
          <cell r="AC11" t="str">
            <v>049078016612</v>
          </cell>
          <cell r="AD11">
            <v>44552</v>
          </cell>
          <cell r="AE11" t="str">
            <v>0405014684</v>
          </cell>
        </row>
        <row r="12">
          <cell r="C12" t="str">
            <v>Trần Thị Diễm My</v>
          </cell>
          <cell r="D12" t="str">
            <v>P GĐ Ban</v>
          </cell>
          <cell r="E12" t="str">
            <v>Ban HCNS</v>
          </cell>
          <cell r="F12" t="str">
            <v>HĐ lao động 01 năm</v>
          </cell>
          <cell r="G12" t="str">
            <v>Thạc sĩ TCDN - Cử nhân luật Kinh tế</v>
          </cell>
          <cell r="H12" t="str">
            <v>Thạc sỹ</v>
          </cell>
          <cell r="I12">
            <v>33951</v>
          </cell>
          <cell r="J12">
            <v>46024</v>
          </cell>
          <cell r="K12">
            <v>46118</v>
          </cell>
          <cell r="L12" t="str">
            <v xml:space="preserve">0 năm 3 tháng </v>
          </cell>
          <cell r="O12" t="str">
            <v>Khác</v>
          </cell>
          <cell r="Q12" t="e">
            <v>#N/A</v>
          </cell>
          <cell r="R12" t="e">
            <v>#N/A</v>
          </cell>
          <cell r="S12" t="e">
            <v>#N/A</v>
          </cell>
          <cell r="W12">
            <v>0.1</v>
          </cell>
          <cell r="Z12">
            <v>0.15</v>
          </cell>
          <cell r="AA12" t="str">
            <v>Vào làm 01/01/2026</v>
          </cell>
          <cell r="AB12" t="str">
            <v>127 Đoàn Khuê, Tổ 14, Ngũ Hành Sơn, Đà Nẵng</v>
          </cell>
          <cell r="AC12" t="str">
            <v>045192009351</v>
          </cell>
          <cell r="AD12">
            <v>44440</v>
          </cell>
          <cell r="AE12" t="str">
            <v>4816042243</v>
          </cell>
        </row>
        <row r="13">
          <cell r="C13" t="str">
            <v xml:space="preserve"> Nguyễn Băng Trinh </v>
          </cell>
          <cell r="D13" t="str">
            <v xml:space="preserve">Nhân viên </v>
          </cell>
          <cell r="E13" t="str">
            <v>Ban HCNS</v>
          </cell>
          <cell r="F13" t="str">
            <v>Hợp đồng không xác định TH</v>
          </cell>
          <cell r="G13" t="str">
            <v>Cử nhân kinh tế đầu tư -2021</v>
          </cell>
          <cell r="H13" t="str">
            <v>Đại học</v>
          </cell>
          <cell r="I13">
            <v>36166</v>
          </cell>
          <cell r="J13">
            <v>44907</v>
          </cell>
          <cell r="K13">
            <v>46118</v>
          </cell>
          <cell r="L13" t="str">
            <v xml:space="preserve">3 năm 3 tháng </v>
          </cell>
          <cell r="M13" t="str">
            <v>A</v>
          </cell>
          <cell r="O13" t="str">
            <v>Thay đổi vị trí</v>
          </cell>
          <cell r="P13" t="str">
            <v>01/03/2026</v>
          </cell>
          <cell r="Q13">
            <v>10000000</v>
          </cell>
          <cell r="R13" t="e">
            <v>#N/A</v>
          </cell>
          <cell r="S13" t="e">
            <v>#N/A</v>
          </cell>
          <cell r="W13">
            <v>0.1</v>
          </cell>
          <cell r="Z13">
            <v>0.15</v>
          </cell>
          <cell r="AA13" t="str">
            <v>Đã điều chỉnh lương 01/03/2026</v>
          </cell>
          <cell r="AE13" t="str">
            <v>4420922734</v>
          </cell>
        </row>
        <row r="14">
          <cell r="C14" t="str">
            <v>Lê Ngọc Tú Uyên</v>
          </cell>
          <cell r="D14" t="str">
            <v xml:space="preserve">Nhân viên </v>
          </cell>
          <cell r="E14" t="str">
            <v>Ban HCNS</v>
          </cell>
          <cell r="F14" t="str">
            <v>HĐ lao động 01 năm</v>
          </cell>
          <cell r="G14" t="str">
            <v>Cử nhân Quản trị nguồn nhân lực - 2025</v>
          </cell>
          <cell r="H14" t="str">
            <v>Đại học</v>
          </cell>
          <cell r="I14">
            <v>37287</v>
          </cell>
          <cell r="J14">
            <v>46082</v>
          </cell>
          <cell r="K14">
            <v>46118</v>
          </cell>
          <cell r="L14" t="str">
            <v xml:space="preserve">0 năm 1 tháng </v>
          </cell>
          <cell r="O14" t="str">
            <v>Khác</v>
          </cell>
          <cell r="Q14">
            <v>8170000</v>
          </cell>
          <cell r="R14">
            <v>700000</v>
          </cell>
          <cell r="S14">
            <v>250000</v>
          </cell>
          <cell r="W14">
            <v>0.1</v>
          </cell>
          <cell r="Z14">
            <v>0.15</v>
          </cell>
          <cell r="AA14" t="str">
            <v>Vào làm 01/03/2026</v>
          </cell>
          <cell r="AB14" t="str">
            <v>Tân Khai, Điện Bàn Đông, Đà Nẵng.</v>
          </cell>
          <cell r="AC14" t="str">
            <v>049302008268</v>
          </cell>
          <cell r="AD14">
            <v>44440</v>
          </cell>
          <cell r="AE14" t="str">
            <v>4920520332</v>
          </cell>
        </row>
        <row r="15">
          <cell r="C15" t="str">
            <v>Phan Văn Anh</v>
          </cell>
          <cell r="D15" t="str">
            <v xml:space="preserve">Nhân viên </v>
          </cell>
          <cell r="E15" t="str">
            <v>Ban HCNS</v>
          </cell>
          <cell r="F15" t="str">
            <v>Hợp đồng không xác định TH</v>
          </cell>
          <cell r="G15" t="str">
            <v>Lái xe - 1993</v>
          </cell>
          <cell r="H15" t="str">
            <v>Bằng nghề</v>
          </cell>
          <cell r="I15" t="str">
            <v>11/03/1967</v>
          </cell>
          <cell r="J15">
            <v>39602</v>
          </cell>
          <cell r="K15">
            <v>46118</v>
          </cell>
          <cell r="L15" t="str">
            <v xml:space="preserve">17 năm 10 tháng </v>
          </cell>
          <cell r="M15" t="str">
            <v>A</v>
          </cell>
          <cell r="O15" t="str">
            <v>Điều chỉnh lương</v>
          </cell>
          <cell r="P15" t="str">
            <v>01/05/2025</v>
          </cell>
          <cell r="Q15" t="e">
            <v>#N/A</v>
          </cell>
          <cell r="R15" t="e">
            <v>#N/A</v>
          </cell>
          <cell r="S15" t="e">
            <v>#N/A</v>
          </cell>
          <cell r="U15" t="e">
            <v>#N/A</v>
          </cell>
          <cell r="V15" t="e">
            <v>#N/A</v>
          </cell>
          <cell r="W15">
            <v>0.1</v>
          </cell>
          <cell r="X15" t="e">
            <v>#N/A</v>
          </cell>
          <cell r="Y15" t="e">
            <v>#N/A</v>
          </cell>
          <cell r="Z15">
            <v>0.15</v>
          </cell>
          <cell r="AB15" t="str">
            <v>15 Lê Văn An, Cẩm Lệ, Đà Nẵng</v>
          </cell>
          <cell r="AC15" t="str">
            <v>049067013938</v>
          </cell>
          <cell r="AD15">
            <v>44552</v>
          </cell>
          <cell r="AE15" t="str">
            <v>3496014719</v>
          </cell>
        </row>
        <row r="16">
          <cell r="C16" t="str">
            <v>Đặng Văn Quang</v>
          </cell>
          <cell r="D16" t="str">
            <v>Bảo vệ</v>
          </cell>
          <cell r="E16" t="str">
            <v>Ban HCNS</v>
          </cell>
          <cell r="F16" t="str">
            <v>Hợp đồng không xác định TH</v>
          </cell>
          <cell r="G16" t="str">
            <v xml:space="preserve">Bảo vệ </v>
          </cell>
          <cell r="H16" t="str">
            <v>THPT</v>
          </cell>
          <cell r="I16" t="str">
            <v>14/06/1975</v>
          </cell>
          <cell r="J16">
            <v>41397</v>
          </cell>
          <cell r="K16">
            <v>46118</v>
          </cell>
          <cell r="L16" t="str">
            <v xml:space="preserve">12 năm 11 tháng </v>
          </cell>
          <cell r="M16" t="str">
            <v>A</v>
          </cell>
          <cell r="O16" t="str">
            <v>Điều chỉnh lương</v>
          </cell>
          <cell r="P16" t="str">
            <v>01/05/2025</v>
          </cell>
          <cell r="Q16" t="e">
            <v>#N/A</v>
          </cell>
          <cell r="R16" t="e">
            <v>#N/A</v>
          </cell>
          <cell r="S16" t="e">
            <v>#N/A</v>
          </cell>
          <cell r="U16" t="e">
            <v>#N/A</v>
          </cell>
          <cell r="V16" t="e">
            <v>#N/A</v>
          </cell>
          <cell r="W16">
            <v>0.1</v>
          </cell>
          <cell r="X16" t="e">
            <v>#N/A</v>
          </cell>
          <cell r="Y16" t="e">
            <v>#N/A</v>
          </cell>
          <cell r="Z16">
            <v>0.15</v>
          </cell>
          <cell r="AB16" t="str">
            <v>Hoà Bắc, Đại Nghĩa, Đại Lộc, Quảng Nam</v>
          </cell>
          <cell r="AC16" t="str">
            <v>049075019332</v>
          </cell>
          <cell r="AD16">
            <v>44439</v>
          </cell>
          <cell r="AE16" t="str">
            <v>4920380363</v>
          </cell>
        </row>
        <row r="17">
          <cell r="C17" t="str">
            <v>Đặng Thanh Hồng</v>
          </cell>
          <cell r="D17" t="str">
            <v>Bảo vệ</v>
          </cell>
          <cell r="E17" t="str">
            <v>Ban HCNS</v>
          </cell>
          <cell r="F17" t="str">
            <v>Hợp đồng không xác định TH</v>
          </cell>
          <cell r="G17" t="str">
            <v>Bảo vệ - 2007</v>
          </cell>
          <cell r="H17" t="str">
            <v>THPT</v>
          </cell>
          <cell r="I17" t="str">
            <v>15/06/1963</v>
          </cell>
          <cell r="J17">
            <v>41603</v>
          </cell>
          <cell r="K17">
            <v>46118</v>
          </cell>
          <cell r="L17" t="str">
            <v xml:space="preserve">12 năm 4 tháng </v>
          </cell>
          <cell r="M17" t="str">
            <v>A</v>
          </cell>
          <cell r="O17" t="str">
            <v>Điều chỉnh lương</v>
          </cell>
          <cell r="P17">
            <v>45778</v>
          </cell>
          <cell r="Q17" t="e">
            <v>#N/A</v>
          </cell>
          <cell r="R17" t="e">
            <v>#N/A</v>
          </cell>
          <cell r="S17" t="e">
            <v>#N/A</v>
          </cell>
          <cell r="U17" t="e">
            <v>#N/A</v>
          </cell>
          <cell r="V17" t="e">
            <v>#N/A</v>
          </cell>
          <cell r="W17">
            <v>0.1</v>
          </cell>
          <cell r="X17" t="e">
            <v>#N/A</v>
          </cell>
          <cell r="Y17" t="e">
            <v>#N/A</v>
          </cell>
          <cell r="Z17">
            <v>0.15</v>
          </cell>
          <cell r="AB17" t="str">
            <v>Xã Đại Lộc, TP. Đà Nẵng</v>
          </cell>
          <cell r="AC17">
            <v>49063006090</v>
          </cell>
          <cell r="AD17">
            <v>44439</v>
          </cell>
          <cell r="AE17" t="str">
            <v>4809014651</v>
          </cell>
        </row>
        <row r="18">
          <cell r="C18" t="str">
            <v>Trương Thị Bích Ngọc</v>
          </cell>
          <cell r="D18" t="str">
            <v>Tạp vụ</v>
          </cell>
          <cell r="E18" t="str">
            <v>Ban HCNS</v>
          </cell>
          <cell r="F18" t="str">
            <v>Hợp đồng không xác định TH</v>
          </cell>
          <cell r="G18" t="str">
            <v>Tạp vụ</v>
          </cell>
          <cell r="H18" t="str">
            <v>THPT</v>
          </cell>
          <cell r="I18" t="str">
            <v>12/12/1971</v>
          </cell>
          <cell r="J18" t="str">
            <v>11/10/2017</v>
          </cell>
          <cell r="K18">
            <v>46118</v>
          </cell>
          <cell r="L18" t="str">
            <v xml:space="preserve">8 năm 5 tháng </v>
          </cell>
          <cell r="M18" t="str">
            <v>A</v>
          </cell>
          <cell r="O18" t="str">
            <v>Điều chỉnh lương</v>
          </cell>
          <cell r="P18" t="str">
            <v>01/01/2020</v>
          </cell>
          <cell r="Q18" t="e">
            <v>#N/A</v>
          </cell>
          <cell r="R18" t="e">
            <v>#N/A</v>
          </cell>
          <cell r="S18" t="e">
            <v>#N/A</v>
          </cell>
          <cell r="U18" t="e">
            <v>#N/A</v>
          </cell>
          <cell r="V18" t="e">
            <v>#N/A</v>
          </cell>
          <cell r="W18">
            <v>0.1</v>
          </cell>
          <cell r="X18" t="e">
            <v>#N/A</v>
          </cell>
          <cell r="Y18" t="e">
            <v>#N/A</v>
          </cell>
          <cell r="Z18">
            <v>0.15</v>
          </cell>
          <cell r="AB18" t="str">
            <v>Tổ 169, Ngũ Hành Sơn, Đà Nẵng</v>
          </cell>
          <cell r="AC18" t="str">
            <v>048171000955</v>
          </cell>
          <cell r="AD18">
            <v>44313</v>
          </cell>
          <cell r="AE18" t="str">
            <v>Hưởng hưu</v>
          </cell>
        </row>
        <row r="19">
          <cell r="C19" t="str">
            <v>Đặng Thị Hoa</v>
          </cell>
          <cell r="D19" t="str">
            <v>Tạp vụ</v>
          </cell>
          <cell r="E19" t="str">
            <v>Ban HCNS</v>
          </cell>
          <cell r="F19" t="str">
            <v>Hợp đồng không xác định TH</v>
          </cell>
          <cell r="G19" t="str">
            <v>Tạp vụ</v>
          </cell>
          <cell r="H19" t="str">
            <v>THPT</v>
          </cell>
          <cell r="I19">
            <v>25180</v>
          </cell>
          <cell r="J19" t="str">
            <v>01/01/2016</v>
          </cell>
          <cell r="K19">
            <v>46118</v>
          </cell>
          <cell r="L19" t="str">
            <v xml:space="preserve">10 năm 3 tháng </v>
          </cell>
          <cell r="M19" t="str">
            <v>A</v>
          </cell>
          <cell r="O19" t="str">
            <v>Điều chỉnh lương</v>
          </cell>
          <cell r="P19" t="str">
            <v>01/01/2019</v>
          </cell>
          <cell r="Q19" t="e">
            <v>#N/A</v>
          </cell>
          <cell r="R19" t="e">
            <v>#N/A</v>
          </cell>
          <cell r="S19" t="e">
            <v>#N/A</v>
          </cell>
          <cell r="U19" t="e">
            <v>#N/A</v>
          </cell>
          <cell r="V19" t="e">
            <v>#N/A</v>
          </cell>
          <cell r="W19">
            <v>0.1</v>
          </cell>
          <cell r="X19" t="e">
            <v>#N/A</v>
          </cell>
          <cell r="Y19" t="e">
            <v>#N/A</v>
          </cell>
          <cell r="Z19">
            <v>0.15</v>
          </cell>
          <cell r="AB19" t="str">
            <v>K85/H8/7 Hàn Mặc Tử, Hải Châu, Đà Nẵng.</v>
          </cell>
          <cell r="AC19" t="str">
            <v>048168000549</v>
          </cell>
          <cell r="AD19">
            <v>44293</v>
          </cell>
          <cell r="AE19" t="str">
            <v>Hưởng hưu</v>
          </cell>
        </row>
        <row r="20">
          <cell r="C20" t="str">
            <v>Đồng Thị Nguyệt Nga</v>
          </cell>
          <cell r="D20" t="str">
            <v>GĐ Ban</v>
          </cell>
          <cell r="E20" t="str">
            <v>TÀI CHÍNH KẾ TOÁN</v>
          </cell>
          <cell r="F20" t="str">
            <v>Hợp đồng không xác định TH</v>
          </cell>
          <cell r="G20" t="str">
            <v>Thạc sĩ kế toán - 2010</v>
          </cell>
          <cell r="H20" t="str">
            <v>Thạc sỹ</v>
          </cell>
          <cell r="I20" t="str">
            <v>10/06/1985</v>
          </cell>
          <cell r="J20">
            <v>42534</v>
          </cell>
          <cell r="K20">
            <v>46118</v>
          </cell>
          <cell r="L20" t="str">
            <v xml:space="preserve">9 năm 9 tháng </v>
          </cell>
          <cell r="M20" t="str">
            <v>A</v>
          </cell>
          <cell r="O20" t="str">
            <v>Điều chỉnh lương</v>
          </cell>
          <cell r="P20" t="str">
            <v>01/05/2025</v>
          </cell>
          <cell r="Q20" t="e">
            <v>#N/A</v>
          </cell>
          <cell r="R20" t="e">
            <v>#N/A</v>
          </cell>
          <cell r="S20" t="e">
            <v>#N/A</v>
          </cell>
          <cell r="U20" t="e">
            <v>#N/A</v>
          </cell>
          <cell r="V20" t="e">
            <v>#N/A</v>
          </cell>
          <cell r="W20">
            <v>0.1</v>
          </cell>
          <cell r="X20" t="e">
            <v>#N/A</v>
          </cell>
          <cell r="Y20" t="e">
            <v>#N/A</v>
          </cell>
          <cell r="Z20">
            <v>0.15</v>
          </cell>
          <cell r="AB20" t="str">
            <v>Thôn Mỹ Thượng Tây, xã Tiên Phước, TP Đà Nẵng</v>
          </cell>
          <cell r="AC20" t="str">
            <v>049185012250</v>
          </cell>
          <cell r="AD20">
            <v>45740</v>
          </cell>
          <cell r="AE20" t="str">
            <v>4812038931</v>
          </cell>
        </row>
        <row r="21">
          <cell r="C21" t="str">
            <v>Huỳnh Thị Hoàng Hà</v>
          </cell>
          <cell r="D21" t="str">
            <v xml:space="preserve">Phó GĐ </v>
          </cell>
          <cell r="E21" t="str">
            <v>TÀI CHÍNH KẾ TOÁN</v>
          </cell>
          <cell r="F21" t="str">
            <v>Hợp đồng không xác định TH</v>
          </cell>
          <cell r="G21" t="str">
            <v>Cử nhân Kế toán</v>
          </cell>
          <cell r="H21" t="str">
            <v>Đại học</v>
          </cell>
          <cell r="I21" t="str">
            <v>26/02/1984</v>
          </cell>
          <cell r="J21" t="str">
            <v>30/06/2017</v>
          </cell>
          <cell r="K21">
            <v>46118</v>
          </cell>
          <cell r="L21" t="str">
            <v xml:space="preserve">8 năm 9 tháng </v>
          </cell>
          <cell r="M21" t="str">
            <v>A</v>
          </cell>
          <cell r="O21" t="str">
            <v>Điều chỉnh lương</v>
          </cell>
          <cell r="P21" t="str">
            <v>01/08/2024</v>
          </cell>
          <cell r="Q21" t="e">
            <v>#N/A</v>
          </cell>
          <cell r="R21" t="e">
            <v>#N/A</v>
          </cell>
          <cell r="S21" t="e">
            <v>#N/A</v>
          </cell>
          <cell r="U21" t="e">
            <v>#N/A</v>
          </cell>
          <cell r="V21" t="e">
            <v>#N/A</v>
          </cell>
          <cell r="W21">
            <v>0.1</v>
          </cell>
          <cell r="X21" t="e">
            <v>#N/A</v>
          </cell>
          <cell r="Y21" t="e">
            <v>#N/A</v>
          </cell>
          <cell r="Z21">
            <v>0.15</v>
          </cell>
          <cell r="AB21" t="str">
            <v>K356/89/32 Hoàng Diệu, P Hòa Cường, Đà Nẵng</v>
          </cell>
          <cell r="AC21" t="str">
            <v>048184002606</v>
          </cell>
          <cell r="AD21">
            <v>45618</v>
          </cell>
          <cell r="AE21" t="str">
            <v>7508220899</v>
          </cell>
        </row>
        <row r="22">
          <cell r="C22" t="str">
            <v>Nguyễn Thị Thảo</v>
          </cell>
          <cell r="D22" t="str">
            <v xml:space="preserve">Nhân viên </v>
          </cell>
          <cell r="E22" t="str">
            <v>TÀI CHÍNH KẾ TOÁN</v>
          </cell>
          <cell r="F22" t="str">
            <v>Hợp đồng không xác định TH</v>
          </cell>
          <cell r="G22" t="str">
            <v>Kế toán - 2013</v>
          </cell>
          <cell r="H22" t="str">
            <v>Đại học</v>
          </cell>
          <cell r="I22" t="str">
            <v>09/01/1986</v>
          </cell>
          <cell r="J22" t="str">
            <v>02/08/2016</v>
          </cell>
          <cell r="K22">
            <v>46118</v>
          </cell>
          <cell r="L22" t="str">
            <v xml:space="preserve">9 năm 8 tháng </v>
          </cell>
          <cell r="M22" t="str">
            <v>A</v>
          </cell>
          <cell r="O22" t="str">
            <v>Điều chỉnh lương</v>
          </cell>
          <cell r="P22" t="str">
            <v>01/05/2025</v>
          </cell>
          <cell r="Q22" t="e">
            <v>#N/A</v>
          </cell>
          <cell r="R22" t="e">
            <v>#N/A</v>
          </cell>
          <cell r="S22" t="e">
            <v>#N/A</v>
          </cell>
          <cell r="U22" t="e">
            <v>#N/A</v>
          </cell>
          <cell r="V22" t="e">
            <v>#N/A</v>
          </cell>
          <cell r="W22">
            <v>0.1</v>
          </cell>
          <cell r="X22" t="e">
            <v>#N/A</v>
          </cell>
          <cell r="Y22" t="e">
            <v>#N/A</v>
          </cell>
          <cell r="Z22">
            <v>0.15</v>
          </cell>
          <cell r="AB22" t="str">
            <v>09 Thanh Lương 29, Hoà Xuân, Đà Nẵng</v>
          </cell>
          <cell r="AC22" t="str">
            <v>040186038815</v>
          </cell>
          <cell r="AD22">
            <v>46006</v>
          </cell>
          <cell r="AE22" t="str">
            <v>4809000009</v>
          </cell>
        </row>
        <row r="23">
          <cell r="C23" t="str">
            <v>Nguyễn Thị Nhật Sang</v>
          </cell>
          <cell r="D23" t="str">
            <v xml:space="preserve">Nhân viên </v>
          </cell>
          <cell r="E23" t="str">
            <v>TÀI CHÍNH KẾ TOÁN</v>
          </cell>
          <cell r="F23" t="str">
            <v>Hợp đồng không xác định TH</v>
          </cell>
          <cell r="G23" t="str">
            <v>Cử nhân ngành Kế toán</v>
          </cell>
          <cell r="H23" t="str">
            <v>Đại học</v>
          </cell>
          <cell r="I23">
            <v>36207</v>
          </cell>
          <cell r="J23">
            <v>45519</v>
          </cell>
          <cell r="K23">
            <v>46118</v>
          </cell>
          <cell r="L23" t="str">
            <v xml:space="preserve">1 năm 7 tháng </v>
          </cell>
          <cell r="M23" t="str">
            <v>A</v>
          </cell>
          <cell r="O23" t="str">
            <v>Điều chỉnh lương</v>
          </cell>
          <cell r="P23" t="str">
            <v>01/05/2025</v>
          </cell>
          <cell r="Q23" t="e">
            <v>#N/A</v>
          </cell>
          <cell r="R23" t="e">
            <v>#N/A</v>
          </cell>
          <cell r="S23" t="e">
            <v>#N/A</v>
          </cell>
          <cell r="U23" t="e">
            <v>#N/A</v>
          </cell>
          <cell r="V23" t="e">
            <v>#N/A</v>
          </cell>
          <cell r="W23">
            <v>0.1</v>
          </cell>
          <cell r="X23" t="e">
            <v>#N/A</v>
          </cell>
          <cell r="Y23" t="e">
            <v>#N/A</v>
          </cell>
          <cell r="Z23">
            <v>0.15</v>
          </cell>
          <cell r="AB23" t="str">
            <v>118 Phước Tường 5, An Khê, Đà Nẵng</v>
          </cell>
          <cell r="AC23" t="str">
            <v>049199010621</v>
          </cell>
          <cell r="AD23">
            <v>45453</v>
          </cell>
          <cell r="AE23" t="str">
            <v>4820841336</v>
          </cell>
        </row>
        <row r="24">
          <cell r="C24" t="str">
            <v>Nguyễn Văn Bồn</v>
          </cell>
          <cell r="D24" t="str">
            <v xml:space="preserve">Nhân viên </v>
          </cell>
          <cell r="E24" t="str">
            <v>KỸ THUẬT XÂY DỰNG</v>
          </cell>
          <cell r="F24" t="str">
            <v>Hợp đồng không xác định TH</v>
          </cell>
          <cell r="G24" t="str">
            <v>Kỹ thuật công trình xây dựng - 2016</v>
          </cell>
          <cell r="H24" t="str">
            <v>Đại học</v>
          </cell>
          <cell r="I24" t="str">
            <v>03/09/1982</v>
          </cell>
          <cell r="J24">
            <v>42604</v>
          </cell>
          <cell r="K24">
            <v>46118</v>
          </cell>
          <cell r="L24" t="str">
            <v xml:space="preserve">9 năm 7 tháng </v>
          </cell>
          <cell r="M24" t="str">
            <v>A</v>
          </cell>
          <cell r="O24" t="str">
            <v>Điều chỉnh lương</v>
          </cell>
          <cell r="P24" t="str">
            <v>01/09/2025</v>
          </cell>
          <cell r="Q24" t="e">
            <v>#N/A</v>
          </cell>
          <cell r="R24" t="e">
            <v>#N/A</v>
          </cell>
          <cell r="S24" t="e">
            <v>#N/A</v>
          </cell>
          <cell r="U24" t="e">
            <v>#N/A</v>
          </cell>
          <cell r="V24" t="e">
            <v>#N/A</v>
          </cell>
          <cell r="W24">
            <v>0.1</v>
          </cell>
          <cell r="X24" t="e">
            <v>#N/A</v>
          </cell>
          <cell r="Y24" t="e">
            <v>#N/A</v>
          </cell>
          <cell r="Z24">
            <v>0.15</v>
          </cell>
          <cell r="AB24" t="str">
            <v>thôn Tân Bình, xã Gò Nổi, Tp. Đà Nẵng</v>
          </cell>
          <cell r="AC24" t="str">
            <v>049082012211</v>
          </cell>
          <cell r="AD24">
            <v>44374</v>
          </cell>
          <cell r="AE24" t="str">
            <v>4816024231</v>
          </cell>
        </row>
        <row r="25">
          <cell r="C25" t="str">
            <v>Phan Duy Sâm</v>
          </cell>
          <cell r="D25" t="str">
            <v>PGĐ Ban</v>
          </cell>
          <cell r="E25" t="str">
            <v>KỸ THUẬT XÂY DỰNG</v>
          </cell>
          <cell r="G25" t="str">
            <v>Kỹ sư Công nghệ Kỹ thuật công trình Xây dựng</v>
          </cell>
          <cell r="H25" t="str">
            <v>Đại học</v>
          </cell>
          <cell r="I25">
            <v>31168</v>
          </cell>
          <cell r="J25">
            <v>43662</v>
          </cell>
          <cell r="K25">
            <v>46118</v>
          </cell>
          <cell r="L25" t="str">
            <v xml:space="preserve">6 năm 8 tháng </v>
          </cell>
          <cell r="AE25">
            <v>4815029674</v>
          </cell>
        </row>
        <row r="26">
          <cell r="C26" t="str">
            <v>Nguyễn Đình Thắng</v>
          </cell>
          <cell r="D26" t="str">
            <v>KSDA</v>
          </cell>
          <cell r="E26" t="str">
            <v>KỸ THUẬT XÂY DỰNG</v>
          </cell>
          <cell r="F26" t="str">
            <v>Hợp đồng không xác định TH</v>
          </cell>
          <cell r="G26" t="str">
            <v xml:space="preserve">Kỹ sư Xây dựng   </v>
          </cell>
          <cell r="H26" t="str">
            <v>Đại học</v>
          </cell>
          <cell r="I26">
            <v>31754</v>
          </cell>
          <cell r="J26">
            <v>45748</v>
          </cell>
          <cell r="K26">
            <v>46118</v>
          </cell>
          <cell r="L26" t="str">
            <v xml:space="preserve">1 năm 0 tháng </v>
          </cell>
          <cell r="M26" t="str">
            <v>A</v>
          </cell>
          <cell r="O26" t="str">
            <v>Điều chỉnh lương</v>
          </cell>
          <cell r="P26" t="str">
            <v>01/04/2025</v>
          </cell>
          <cell r="Q26" t="e">
            <v>#N/A</v>
          </cell>
          <cell r="R26" t="e">
            <v>#N/A</v>
          </cell>
          <cell r="S26" t="e">
            <v>#N/A</v>
          </cell>
          <cell r="T26">
            <v>3300000</v>
          </cell>
          <cell r="U26" t="e">
            <v>#N/A</v>
          </cell>
          <cell r="V26" t="e">
            <v>#N/A</v>
          </cell>
          <cell r="W26">
            <v>0.1</v>
          </cell>
          <cell r="X26" t="e">
            <v>#N/A</v>
          </cell>
          <cell r="Y26" t="e">
            <v>#N/A</v>
          </cell>
          <cell r="Z26">
            <v>0.15</v>
          </cell>
          <cell r="AB26" t="str">
            <v>01 Tố Hữu, Hoà Cường Nam, Hải Châu, Đà Nẵng</v>
          </cell>
          <cell r="AC26" t="str">
            <v>048086006997</v>
          </cell>
          <cell r="AD26">
            <v>44375</v>
          </cell>
          <cell r="AE26" t="str">
            <v>7909335919</v>
          </cell>
        </row>
        <row r="27">
          <cell r="C27" t="str">
            <v>Nguyễn Đình Hiếu</v>
          </cell>
          <cell r="D27" t="str">
            <v>KSDA</v>
          </cell>
          <cell r="E27" t="str">
            <v>KỸ THUẬT XÂY DỰNG</v>
          </cell>
          <cell r="F27" t="str">
            <v>Hợp đồng không xác định TH</v>
          </cell>
          <cell r="G27" t="str">
            <v>Kỹ sư Nhiệt-Máy lạnh</v>
          </cell>
          <cell r="H27" t="str">
            <v>Đại học</v>
          </cell>
          <cell r="I27">
            <v>29444</v>
          </cell>
          <cell r="J27">
            <v>45779</v>
          </cell>
          <cell r="K27">
            <v>46118</v>
          </cell>
          <cell r="L27" t="str">
            <v xml:space="preserve">0 năm 11 tháng </v>
          </cell>
          <cell r="M27" t="str">
            <v>A</v>
          </cell>
          <cell r="O27" t="str">
            <v>Điều chỉnh lương</v>
          </cell>
          <cell r="P27" t="str">
            <v>02/05/2025</v>
          </cell>
          <cell r="Q27" t="e">
            <v>#N/A</v>
          </cell>
          <cell r="R27" t="e">
            <v>#N/A</v>
          </cell>
          <cell r="S27" t="e">
            <v>#N/A</v>
          </cell>
          <cell r="T27">
            <v>3300000</v>
          </cell>
          <cell r="U27" t="e">
            <v>#N/A</v>
          </cell>
          <cell r="V27" t="e">
            <v>#N/A</v>
          </cell>
          <cell r="W27">
            <v>0.1</v>
          </cell>
          <cell r="X27" t="e">
            <v>#N/A</v>
          </cell>
          <cell r="Y27" t="e">
            <v>#N/A</v>
          </cell>
          <cell r="Z27">
            <v>0.15</v>
          </cell>
          <cell r="AB27" t="str">
            <v>Tổ 180, P. Ngũ Hành Sơn, TP. Đà Nẵng</v>
          </cell>
          <cell r="AC27" t="str">
            <v>048080000698</v>
          </cell>
          <cell r="AD27">
            <v>44310</v>
          </cell>
          <cell r="AE27" t="str">
            <v>0407012241</v>
          </cell>
        </row>
        <row r="28">
          <cell r="C28" t="str">
            <v>Nguyễn Trần Thức</v>
          </cell>
          <cell r="D28" t="str">
            <v>GĐ Ban</v>
          </cell>
          <cell r="E28" t="str">
            <v xml:space="preserve">KẾ HOẠCH ĐẦU TƯ </v>
          </cell>
          <cell r="F28" t="str">
            <v>Hợp đồng không xác định TH</v>
          </cell>
          <cell r="G28" t="str">
            <v>Cử nhân Kinh tế- Chuyên ngành Quản trị KD Quốc Tế</v>
          </cell>
          <cell r="H28" t="str">
            <v>Đại học</v>
          </cell>
          <cell r="I28">
            <v>34915</v>
          </cell>
          <cell r="J28">
            <v>44958</v>
          </cell>
          <cell r="K28">
            <v>46118</v>
          </cell>
          <cell r="L28" t="str">
            <v xml:space="preserve">3 năm 2 tháng </v>
          </cell>
          <cell r="M28" t="str">
            <v>A</v>
          </cell>
          <cell r="O28" t="str">
            <v>Điều chỉnh lương</v>
          </cell>
          <cell r="P28" t="str">
            <v>01/02/2023</v>
          </cell>
          <cell r="Q28" t="e">
            <v>#N/A</v>
          </cell>
          <cell r="R28" t="e">
            <v>#N/A</v>
          </cell>
          <cell r="S28" t="e">
            <v>#N/A</v>
          </cell>
          <cell r="U28" t="e">
            <v>#N/A</v>
          </cell>
          <cell r="V28" t="e">
            <v>#N/A</v>
          </cell>
          <cell r="W28">
            <v>0.1</v>
          </cell>
          <cell r="X28" t="e">
            <v>#N/A</v>
          </cell>
          <cell r="Y28" t="e">
            <v>#N/A</v>
          </cell>
          <cell r="Z28">
            <v>0.15</v>
          </cell>
          <cell r="AB28" t="str">
            <v>K54/16 Hải Phòng, Tổ dân phố 26, Hải Châu, Đà Nẵng</v>
          </cell>
          <cell r="AC28" t="str">
            <v>048095008227</v>
          </cell>
          <cell r="AD28">
            <v>44375</v>
          </cell>
          <cell r="AE28" t="str">
            <v>4820549229</v>
          </cell>
        </row>
        <row r="29">
          <cell r="C29" t="str">
            <v>Nguyễn Đức Lợi</v>
          </cell>
          <cell r="D29" t="str">
            <v>P.GĐ</v>
          </cell>
          <cell r="E29" t="str">
            <v xml:space="preserve">KẾ HOẠCH ĐẦU TƯ </v>
          </cell>
          <cell r="F29" t="str">
            <v>Hợp đồng không xác định TH</v>
          </cell>
          <cell r="G29" t="str">
            <v>Kỹ sư quản lý môi trường - 2014</v>
          </cell>
          <cell r="H29" t="str">
            <v>Đại học</v>
          </cell>
          <cell r="I29" t="e">
            <v>#N/A</v>
          </cell>
          <cell r="J29" t="str">
            <v>15/01/2017</v>
          </cell>
          <cell r="K29">
            <v>46118</v>
          </cell>
          <cell r="L29" t="str">
            <v xml:space="preserve">9 năm 2 tháng </v>
          </cell>
          <cell r="M29" t="str">
            <v>A</v>
          </cell>
          <cell r="N29" t="str">
            <v>Lao động giỏi</v>
          </cell>
          <cell r="O29" t="str">
            <v>Điều chỉnh lương</v>
          </cell>
          <cell r="P29" t="str">
            <v>01/09/2025</v>
          </cell>
          <cell r="Q29" t="e">
            <v>#N/A</v>
          </cell>
          <cell r="R29" t="e">
            <v>#N/A</v>
          </cell>
          <cell r="S29" t="e">
            <v>#N/A</v>
          </cell>
          <cell r="U29" t="e">
            <v>#N/A</v>
          </cell>
          <cell r="V29" t="e">
            <v>#N/A</v>
          </cell>
          <cell r="W29">
            <v>0.1</v>
          </cell>
          <cell r="X29" t="e">
            <v>#N/A</v>
          </cell>
          <cell r="Y29" t="e">
            <v>#N/A</v>
          </cell>
          <cell r="Z29">
            <v>0.15</v>
          </cell>
          <cell r="AB29" t="str">
            <v>Tổ 58 CG, Thanh Khê, Đà Nẵng.</v>
          </cell>
          <cell r="AC29" t="str">
            <v>049091019974</v>
          </cell>
          <cell r="AD29">
            <v>44325</v>
          </cell>
          <cell r="AE29" t="str">
            <v>4815022961</v>
          </cell>
        </row>
        <row r="30">
          <cell r="C30" t="str">
            <v>Phan Thị Mỹ Hạnh</v>
          </cell>
          <cell r="D30" t="str">
            <v>P.GĐ</v>
          </cell>
          <cell r="E30" t="str">
            <v xml:space="preserve">KẾ HOẠCH ĐẦU TƯ </v>
          </cell>
          <cell r="F30" t="str">
            <v>Hợp đồng không xác định TH</v>
          </cell>
          <cell r="G30" t="str">
            <v>Kỹ sư Xây dựng cầu đường - Từ xa - 2010</v>
          </cell>
          <cell r="H30" t="str">
            <v>Đại học</v>
          </cell>
          <cell r="I30" t="str">
            <v>13/03/1979</v>
          </cell>
          <cell r="J30" t="str">
            <v>13/07/2017</v>
          </cell>
          <cell r="K30">
            <v>46118</v>
          </cell>
          <cell r="L30" t="str">
            <v xml:space="preserve">8 năm 8 tháng </v>
          </cell>
          <cell r="M30" t="str">
            <v>A</v>
          </cell>
          <cell r="O30" t="str">
            <v>Điều chỉnh lương</v>
          </cell>
          <cell r="P30" t="str">
            <v>01/04/2022</v>
          </cell>
          <cell r="Q30" t="e">
            <v>#N/A</v>
          </cell>
          <cell r="R30" t="e">
            <v>#N/A</v>
          </cell>
          <cell r="S30" t="e">
            <v>#N/A</v>
          </cell>
          <cell r="U30" t="e">
            <v>#N/A</v>
          </cell>
          <cell r="V30" t="e">
            <v>#N/A</v>
          </cell>
          <cell r="W30">
            <v>0.1</v>
          </cell>
          <cell r="X30" t="e">
            <v>#N/A</v>
          </cell>
          <cell r="Y30" t="e">
            <v>#N/A</v>
          </cell>
          <cell r="Z30">
            <v>0.15</v>
          </cell>
          <cell r="AB30" t="str">
            <v>Số nhà K21/23, Đường Dũng Sĩ Thanh Khê, Tổ 14, P. Thanh Khê, TP. Đà Nẵng</v>
          </cell>
          <cell r="AC30" t="str">
            <v>048179005289</v>
          </cell>
          <cell r="AD30">
            <v>44552</v>
          </cell>
          <cell r="AE30" t="str">
            <v>0402006721</v>
          </cell>
        </row>
        <row r="31">
          <cell r="C31" t="str">
            <v>Phan Thị Kim Cúc</v>
          </cell>
          <cell r="D31" t="str">
            <v xml:space="preserve">Nhân viên </v>
          </cell>
          <cell r="E31" t="str">
            <v xml:space="preserve">KẾ HOẠCH ĐẦU TƯ </v>
          </cell>
          <cell r="F31" t="str">
            <v>Hợp đồng không xác định TH</v>
          </cell>
          <cell r="G31" t="str">
            <v>CĐ Kiểm tra chất lượng thực phẩm 2010
Kỹ sư công nghệ sinh học - 2013</v>
          </cell>
          <cell r="H31" t="str">
            <v>Cao đẳng</v>
          </cell>
          <cell r="I31" t="str">
            <v>29/12/1988</v>
          </cell>
          <cell r="J31">
            <v>41799</v>
          </cell>
          <cell r="K31">
            <v>46118</v>
          </cell>
          <cell r="L31" t="str">
            <v xml:space="preserve">11 năm 9 tháng </v>
          </cell>
          <cell r="M31" t="str">
            <v>A</v>
          </cell>
          <cell r="O31" t="str">
            <v>Thay đổi vị trí</v>
          </cell>
          <cell r="P31" t="str">
            <v>01/05/2025</v>
          </cell>
          <cell r="Q31" t="e">
            <v>#N/A</v>
          </cell>
          <cell r="R31" t="e">
            <v>#N/A</v>
          </cell>
          <cell r="S31" t="e">
            <v>#N/A</v>
          </cell>
          <cell r="U31" t="e">
            <v>#N/A</v>
          </cell>
          <cell r="V31" t="e">
            <v>#N/A</v>
          </cell>
          <cell r="W31">
            <v>0.1</v>
          </cell>
          <cell r="X31" t="e">
            <v>#N/A</v>
          </cell>
          <cell r="Y31" t="e">
            <v>#N/A</v>
          </cell>
          <cell r="Z31">
            <v>0.15</v>
          </cell>
          <cell r="AB31" t="str">
            <v>Thôn Hà Lộc, xã Tam Xuân, TP.Đà Nẵng.</v>
          </cell>
          <cell r="AC31" t="str">
            <v>049188015053</v>
          </cell>
          <cell r="AD31" t="str">
            <v>10/12/2022.</v>
          </cell>
          <cell r="AE31" t="str">
            <v>4814026957</v>
          </cell>
        </row>
        <row r="32">
          <cell r="C32" t="str">
            <v>Lê Thị Giang Châu</v>
          </cell>
          <cell r="D32" t="str">
            <v xml:space="preserve">Nhân viên </v>
          </cell>
          <cell r="E32" t="str">
            <v xml:space="preserve">KẾ HOẠCH ĐẦU TƯ </v>
          </cell>
          <cell r="F32" t="str">
            <v>Hợp đồng không xác định TH</v>
          </cell>
          <cell r="G32" t="str">
            <v>Cử nhân kế toán</v>
          </cell>
          <cell r="H32" t="str">
            <v>Đại học</v>
          </cell>
          <cell r="I32">
            <v>33986</v>
          </cell>
          <cell r="J32">
            <v>43598</v>
          </cell>
          <cell r="K32">
            <v>46118</v>
          </cell>
          <cell r="L32" t="str">
            <v xml:space="preserve">6 năm 10 tháng </v>
          </cell>
          <cell r="M32" t="str">
            <v>A</v>
          </cell>
          <cell r="O32" t="str">
            <v>Điều chỉnh lương</v>
          </cell>
          <cell r="P32" t="str">
            <v>01/05/2025</v>
          </cell>
          <cell r="Q32" t="e">
            <v>#N/A</v>
          </cell>
          <cell r="R32" t="e">
            <v>#N/A</v>
          </cell>
          <cell r="S32" t="e">
            <v>#N/A</v>
          </cell>
          <cell r="U32" t="e">
            <v>#N/A</v>
          </cell>
          <cell r="V32" t="e">
            <v>#N/A</v>
          </cell>
          <cell r="W32">
            <v>0.1</v>
          </cell>
          <cell r="X32" t="e">
            <v>#N/A</v>
          </cell>
          <cell r="Y32" t="e">
            <v>#N/A</v>
          </cell>
          <cell r="Z32">
            <v>0.15</v>
          </cell>
          <cell r="AB32" t="str">
            <v>Tổ 12 Ngũ Hành Sơn,  Đà Nẵng</v>
          </cell>
          <cell r="AC32" t="str">
            <v>048193006603</v>
          </cell>
          <cell r="AD32">
            <v>44552</v>
          </cell>
          <cell r="AE32" t="str">
            <v>4821414009</v>
          </cell>
        </row>
        <row r="33">
          <cell r="C33" t="str">
            <v>Trần Tin</v>
          </cell>
          <cell r="D33" t="str">
            <v xml:space="preserve">Nhân viên </v>
          </cell>
          <cell r="E33" t="str">
            <v xml:space="preserve">KẾ HOẠCH ĐẦU TƯ </v>
          </cell>
          <cell r="F33" t="str">
            <v>Hợp đồng không xác định TH</v>
          </cell>
          <cell r="G33" t="str">
            <v xml:space="preserve">Đang đợi xét tốt nghiệp </v>
          </cell>
          <cell r="H33" t="str">
            <v>Đại học</v>
          </cell>
          <cell r="I33">
            <v>36472</v>
          </cell>
          <cell r="J33">
            <v>45006</v>
          </cell>
          <cell r="K33">
            <v>46118</v>
          </cell>
          <cell r="L33" t="str">
            <v xml:space="preserve">3 năm 0 tháng </v>
          </cell>
          <cell r="M33" t="str">
            <v>A</v>
          </cell>
          <cell r="O33" t="str">
            <v>Điều chỉnh lương</v>
          </cell>
          <cell r="P33" t="str">
            <v>01/05/2025</v>
          </cell>
          <cell r="Q33" t="e">
            <v>#N/A</v>
          </cell>
          <cell r="R33" t="e">
            <v>#N/A</v>
          </cell>
          <cell r="S33" t="e">
            <v>#N/A</v>
          </cell>
          <cell r="U33" t="e">
            <v>#N/A</v>
          </cell>
          <cell r="V33" t="e">
            <v>#N/A</v>
          </cell>
          <cell r="W33">
            <v>0.1</v>
          </cell>
          <cell r="X33" t="e">
            <v>#N/A</v>
          </cell>
          <cell r="Y33" t="e">
            <v>#N/A</v>
          </cell>
          <cell r="Z33">
            <v>0.15</v>
          </cell>
          <cell r="AB33" t="str">
            <v>Thôn Hương Lam, xã Hoà Tiến, thành phố Đà Nẵng</v>
          </cell>
          <cell r="AC33" t="str">
            <v>048099006638</v>
          </cell>
          <cell r="AD33">
            <v>45663</v>
          </cell>
          <cell r="AE33" t="str">
            <v>4820999781</v>
          </cell>
        </row>
        <row r="34">
          <cell r="C34" t="str">
            <v>Trần Văn Trung</v>
          </cell>
          <cell r="D34" t="str">
            <v xml:space="preserve">Nhân viên </v>
          </cell>
          <cell r="E34" t="str">
            <v xml:space="preserve">KẾ HOẠCH ĐẦU TƯ </v>
          </cell>
          <cell r="G34" t="str">
            <v>Kỹ sư xây dựng cầu đường</v>
          </cell>
          <cell r="H34" t="str">
            <v>Đại học</v>
          </cell>
          <cell r="I34" t="str">
            <v>3/1/1967</v>
          </cell>
          <cell r="J34">
            <v>43118</v>
          </cell>
          <cell r="K34">
            <v>46118</v>
          </cell>
          <cell r="L34" t="str">
            <v xml:space="preserve">8 năm 2 tháng </v>
          </cell>
          <cell r="AE34">
            <v>3496014692</v>
          </cell>
        </row>
        <row r="35">
          <cell r="C35" t="str">
            <v>Hồ Văn Khoa</v>
          </cell>
          <cell r="D35" t="str">
            <v xml:space="preserve">Nhân viên </v>
          </cell>
          <cell r="E35" t="str">
            <v xml:space="preserve">KẾ HOẠCH ĐẦU TƯ </v>
          </cell>
          <cell r="I35">
            <v>26978</v>
          </cell>
          <cell r="J35">
            <v>46113</v>
          </cell>
          <cell r="K35">
            <v>46118</v>
          </cell>
          <cell r="L35" t="str">
            <v xml:space="preserve">0 năm 0 tháng </v>
          </cell>
          <cell r="AB35" t="str">
            <v>48 Bùi Xương Tự, Cẩm Lệ, Đà Nẵng</v>
          </cell>
          <cell r="AC35" t="str">
            <v>048073000277</v>
          </cell>
          <cell r="AD35">
            <v>45895</v>
          </cell>
          <cell r="AE35" t="str">
            <v>0400006410</v>
          </cell>
        </row>
        <row r="36">
          <cell r="C36" t="str">
            <v>Đặng Công Nhựt</v>
          </cell>
          <cell r="D36" t="str">
            <v xml:space="preserve">Nhân viên </v>
          </cell>
          <cell r="E36" t="str">
            <v>ĐỀN BÙ GIẢI TỎA</v>
          </cell>
          <cell r="F36" t="str">
            <v>Hợp đồng không xác định TH</v>
          </cell>
          <cell r="G36" t="str">
            <v>Trung cấp xây dựng dân dụng &amp; công nghiệp - 2000</v>
          </cell>
          <cell r="H36" t="str">
            <v>Trung cấp</v>
          </cell>
          <cell r="I36" t="str">
            <v>09/03/1977</v>
          </cell>
          <cell r="J36">
            <v>39742</v>
          </cell>
          <cell r="K36">
            <v>46118</v>
          </cell>
          <cell r="L36" t="str">
            <v xml:space="preserve">17 năm 5 tháng </v>
          </cell>
          <cell r="M36" t="str">
            <v>A</v>
          </cell>
          <cell r="O36" t="str">
            <v>Điều chỉnh lương</v>
          </cell>
          <cell r="P36" t="str">
            <v>01/05/2025</v>
          </cell>
          <cell r="Q36" t="e">
            <v>#N/A</v>
          </cell>
          <cell r="R36" t="e">
            <v>#N/A</v>
          </cell>
          <cell r="S36" t="e">
            <v>#N/A</v>
          </cell>
          <cell r="T36">
            <v>1500000</v>
          </cell>
          <cell r="U36" t="e">
            <v>#N/A</v>
          </cell>
          <cell r="V36" t="e">
            <v>#N/A</v>
          </cell>
          <cell r="W36">
            <v>0.1</v>
          </cell>
          <cell r="X36" t="e">
            <v>#N/A</v>
          </cell>
          <cell r="Y36" t="e">
            <v>#N/A</v>
          </cell>
          <cell r="Z36">
            <v>0.15</v>
          </cell>
          <cell r="AB36" t="str">
            <v>Thôn Cẩm Toại Đông, xã Hoà Vang, TP. Đà Nẵng</v>
          </cell>
          <cell r="AC36" t="str">
            <v>048077002933</v>
          </cell>
          <cell r="AD36">
            <v>44423</v>
          </cell>
          <cell r="AE36" t="str">
            <v>0403012361</v>
          </cell>
        </row>
        <row r="37">
          <cell r="C37" t="str">
            <v>Đặng Thị Mỹ Hạnh</v>
          </cell>
          <cell r="D37" t="str">
            <v xml:space="preserve">Nhân viên </v>
          </cell>
          <cell r="E37" t="str">
            <v>ĐỀN BÙ GIẢI TỎA</v>
          </cell>
          <cell r="F37" t="str">
            <v>Hợp đồng không xác định TH</v>
          </cell>
          <cell r="G37" t="str">
            <v xml:space="preserve">Cử nhân Quản trị kinh doanh - 2011  </v>
          </cell>
          <cell r="H37" t="str">
            <v>Đại học</v>
          </cell>
          <cell r="I37" t="str">
            <v>03/11/1989</v>
          </cell>
          <cell r="J37">
            <v>41927</v>
          </cell>
          <cell r="K37">
            <v>46118</v>
          </cell>
          <cell r="L37" t="str">
            <v xml:space="preserve">11 năm 5 tháng </v>
          </cell>
          <cell r="M37" t="str">
            <v>A</v>
          </cell>
          <cell r="O37" t="str">
            <v>Điều chỉnh lương</v>
          </cell>
          <cell r="P37" t="str">
            <v>01/05/2025</v>
          </cell>
          <cell r="Q37" t="e">
            <v>#N/A</v>
          </cell>
          <cell r="R37" t="e">
            <v>#N/A</v>
          </cell>
          <cell r="S37" t="e">
            <v>#N/A</v>
          </cell>
          <cell r="T37">
            <v>1000000</v>
          </cell>
          <cell r="U37" t="e">
            <v>#N/A</v>
          </cell>
          <cell r="V37" t="e">
            <v>#N/A</v>
          </cell>
          <cell r="W37">
            <v>0.1</v>
          </cell>
          <cell r="X37" t="e">
            <v>#N/A</v>
          </cell>
          <cell r="Y37" t="e">
            <v>#N/A</v>
          </cell>
          <cell r="Z37">
            <v>0.15</v>
          </cell>
          <cell r="AB37" t="str">
            <v>16/2 Phước Tường 11, Phường An Khê, Tp Đà Nẵng.</v>
          </cell>
          <cell r="AC37" t="str">
            <v>048189004898</v>
          </cell>
          <cell r="AD37">
            <v>44715</v>
          </cell>
          <cell r="AE37" t="str">
            <v>4812004713</v>
          </cell>
        </row>
        <row r="38">
          <cell r="C38" t="str">
            <v>Đặng Thanh Quang</v>
          </cell>
          <cell r="D38" t="str">
            <v xml:space="preserve">Nhân viên </v>
          </cell>
          <cell r="E38" t="str">
            <v>ĐỀN BÙ GIẢI TỎA</v>
          </cell>
          <cell r="F38" t="str">
            <v>Hợp đồng không xác định TH</v>
          </cell>
          <cell r="G38" t="str">
            <v>Trung cấp thủy lợi</v>
          </cell>
          <cell r="H38" t="str">
            <v>Trung cấp</v>
          </cell>
          <cell r="I38">
            <v>29943</v>
          </cell>
          <cell r="J38">
            <v>44652</v>
          </cell>
          <cell r="K38">
            <v>46118</v>
          </cell>
          <cell r="L38" t="str">
            <v xml:space="preserve">4 năm 0 tháng </v>
          </cell>
          <cell r="M38" t="str">
            <v>A</v>
          </cell>
          <cell r="O38" t="str">
            <v>Điều chỉnh lương</v>
          </cell>
          <cell r="P38" t="str">
            <v>01/05/2025</v>
          </cell>
          <cell r="Q38" t="e">
            <v>#N/A</v>
          </cell>
          <cell r="R38" t="e">
            <v>#N/A</v>
          </cell>
          <cell r="S38" t="e">
            <v>#N/A</v>
          </cell>
          <cell r="T38">
            <v>1500000</v>
          </cell>
          <cell r="U38" t="e">
            <v>#N/A</v>
          </cell>
          <cell r="V38" t="e">
            <v>#N/A</v>
          </cell>
          <cell r="W38">
            <v>0.1</v>
          </cell>
          <cell r="X38" t="e">
            <v>#N/A</v>
          </cell>
          <cell r="Y38" t="e">
            <v>#N/A</v>
          </cell>
          <cell r="Z38">
            <v>0.15</v>
          </cell>
          <cell r="AB38" t="str">
            <v>Tổ 76, P. Liên Chiểu, TP. Đà Nẵng</v>
          </cell>
          <cell r="AC38" t="str">
            <v>049081015577</v>
          </cell>
          <cell r="AD38">
            <v>44652</v>
          </cell>
          <cell r="AE38" t="str">
            <v>4811008669</v>
          </cell>
        </row>
        <row r="39">
          <cell r="C39" t="str">
            <v>Mai Văn Châu</v>
          </cell>
          <cell r="D39" t="str">
            <v xml:space="preserve">Nhân viên </v>
          </cell>
          <cell r="E39" t="str">
            <v>XN DUY TU BD</v>
          </cell>
          <cell r="F39" t="str">
            <v>Hợp đồng không xác định TH</v>
          </cell>
          <cell r="G39" t="str">
            <v xml:space="preserve">Cao đẳng Điện lực </v>
          </cell>
          <cell r="H39" t="str">
            <v>Đại học</v>
          </cell>
          <cell r="I39">
            <v>32948</v>
          </cell>
          <cell r="J39">
            <v>44470</v>
          </cell>
          <cell r="K39">
            <v>46118</v>
          </cell>
          <cell r="L39" t="str">
            <v xml:space="preserve">4 năm 6 tháng </v>
          </cell>
          <cell r="M39" t="str">
            <v>A</v>
          </cell>
          <cell r="O39" t="str">
            <v>Điều chỉnh lương</v>
          </cell>
          <cell r="P39">
            <v>0</v>
          </cell>
          <cell r="Q39" t="e">
            <v>#N/A</v>
          </cell>
          <cell r="R39" t="e">
            <v>#N/A</v>
          </cell>
          <cell r="S39" t="e">
            <v>#N/A</v>
          </cell>
          <cell r="U39" t="e">
            <v>#N/A</v>
          </cell>
          <cell r="V39" t="e">
            <v>#N/A</v>
          </cell>
          <cell r="W39">
            <v>0.1</v>
          </cell>
          <cell r="X39" t="e">
            <v>#N/A</v>
          </cell>
          <cell r="Y39" t="e">
            <v>#N/A</v>
          </cell>
          <cell r="Z39">
            <v>0.15</v>
          </cell>
          <cell r="AB39" t="str">
            <v>22 Hoà Minh 14, Hoà khánh, Đà Nẵng.</v>
          </cell>
          <cell r="AC39" t="str">
            <v>049090011138</v>
          </cell>
          <cell r="AD39">
            <v>44424</v>
          </cell>
          <cell r="AE39" t="str">
            <v>4813022061</v>
          </cell>
        </row>
        <row r="40">
          <cell r="C40" t="str">
            <v>Ngô Thị Tâm</v>
          </cell>
          <cell r="D40" t="str">
            <v>TK Sàn</v>
          </cell>
          <cell r="E40" t="str">
            <v xml:space="preserve">SÀN BĐS DMT </v>
          </cell>
          <cell r="F40" t="str">
            <v>Hợp đồng không xác định TH</v>
          </cell>
          <cell r="G40" t="str">
            <v>Cử nhân QTKD Du lịch&amp;Dịch vụ</v>
          </cell>
          <cell r="H40" t="str">
            <v>Đại học</v>
          </cell>
          <cell r="I40" t="str">
            <v>06/04/1987</v>
          </cell>
          <cell r="J40">
            <v>40529</v>
          </cell>
          <cell r="K40">
            <v>46118</v>
          </cell>
          <cell r="L40" t="str">
            <v xml:space="preserve">15 năm 3 tháng </v>
          </cell>
          <cell r="M40" t="str">
            <v>A</v>
          </cell>
          <cell r="O40" t="str">
            <v>Điều chỉnh lương</v>
          </cell>
          <cell r="P40" t="str">
            <v>01/07/2022</v>
          </cell>
          <cell r="Q40" t="e">
            <v>#N/A</v>
          </cell>
          <cell r="R40" t="e">
            <v>#N/A</v>
          </cell>
          <cell r="S40" t="e">
            <v>#N/A</v>
          </cell>
          <cell r="U40" t="e">
            <v>#N/A</v>
          </cell>
          <cell r="V40" t="e">
            <v>#N/A</v>
          </cell>
          <cell r="W40">
            <v>0.1</v>
          </cell>
          <cell r="X40" t="e">
            <v>#N/A</v>
          </cell>
          <cell r="Y40" t="e">
            <v>#N/A</v>
          </cell>
          <cell r="Z40">
            <v>0.15</v>
          </cell>
          <cell r="AB40" t="str">
            <v>Tổ 53 Ngũ Hành Sơn, Đà Nẵng</v>
          </cell>
          <cell r="AC40" t="str">
            <v>048187002521</v>
          </cell>
          <cell r="AD40">
            <v>44552</v>
          </cell>
          <cell r="AE40" t="str">
            <v>4811004942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"/>
      <sheetName val="Luong CBNV T05.2026"/>
      <sheetName val="TNCN khấu trừ lì xì 2023"/>
      <sheetName val="HDQT01,2023 "/>
      <sheetName val="UH nguoi ngheo"/>
      <sheetName val="uh MB"/>
      <sheetName val="T4.2026 CK BIDV DMT +XN"/>
      <sheetName val="BCC 05.2026"/>
      <sheetName val="CK Vietin DMT.XN "/>
      <sheetName val="CK BIDV DMT"/>
      <sheetName val="CK Thuc"/>
      <sheetName val="CK Vietin DMT + XN "/>
      <sheetName val="CK BIDV TVHDQT"/>
      <sheetName val="luong lam them (2)"/>
      <sheetName val="ngan hang  (2)"/>
      <sheetName val="Check Overtime"/>
      <sheetName val="Check Ngày phép"/>
      <sheetName val="chi TL anh Quang"/>
      <sheetName val="Mẫu-Overtime"/>
      <sheetName val="Danh sách"/>
      <sheetName val="luong cua San"/>
      <sheetName val="ngan hang san"/>
      <sheetName val="DS ung ho dbbl"/>
      <sheetName val="kinh phi cong doan"/>
      <sheetName val="CT HĐQT"/>
      <sheetName val="trinh lanh dao"/>
      <sheetName val="pc xang"/>
      <sheetName val="pc an trua"/>
      <sheetName val="Truy linh"/>
      <sheetName val="CC HC - NS"/>
      <sheetName val="Kinh phí công đoàn"/>
      <sheetName val="Sheet1"/>
      <sheetName val="Truy lĩnh Tâm"/>
      <sheetName val="Truy lĩnh Tâm (2)"/>
      <sheetName val="Phụ cấp trực tết"/>
      <sheetName val="Phụ cấp trực tết chính thức"/>
      <sheetName val="Vietin XN"/>
      <sheetName val="BIDV XN"/>
    </sheetNames>
    <sheetDataSet>
      <sheetData sheetId="0" refreshError="1"/>
      <sheetData sheetId="1" refreshError="1">
        <row r="13">
          <cell r="B13" t="str">
            <v>Đặng Thanh Bình</v>
          </cell>
          <cell r="C13" t="str">
            <v>CTHĐQT</v>
          </cell>
          <cell r="D13">
            <v>23</v>
          </cell>
          <cell r="E13">
            <v>0.5</v>
          </cell>
          <cell r="F13">
            <v>0</v>
          </cell>
          <cell r="G13">
            <v>55660000</v>
          </cell>
          <cell r="H13">
            <v>55660000</v>
          </cell>
        </row>
        <row r="14">
          <cell r="B14" t="str">
            <v>Trần Quốc Thể</v>
          </cell>
          <cell r="C14" t="str">
            <v>TGĐ</v>
          </cell>
          <cell r="D14">
            <v>23</v>
          </cell>
          <cell r="E14">
            <v>0.5</v>
          </cell>
          <cell r="F14">
            <v>0</v>
          </cell>
          <cell r="G14">
            <v>29000000</v>
          </cell>
          <cell r="H14">
            <v>29000000</v>
          </cell>
        </row>
        <row r="15">
          <cell r="B15" t="str">
            <v>Đoàn Thị Ngọc Nữ</v>
          </cell>
          <cell r="C15" t="str">
            <v xml:space="preserve"> P. TGĐ</v>
          </cell>
          <cell r="D15">
            <v>23</v>
          </cell>
          <cell r="E15">
            <v>0.5</v>
          </cell>
          <cell r="F15">
            <v>0</v>
          </cell>
          <cell r="G15">
            <v>26500000</v>
          </cell>
          <cell r="H15">
            <v>26500000</v>
          </cell>
        </row>
        <row r="16">
          <cell r="B16" t="str">
            <v>Nguyễn Ngọc Tôn</v>
          </cell>
          <cell r="C16" t="str">
            <v xml:space="preserve"> P. TGĐ</v>
          </cell>
          <cell r="D16">
            <v>23</v>
          </cell>
          <cell r="E16">
            <v>0.5</v>
          </cell>
          <cell r="F16">
            <v>0</v>
          </cell>
          <cell r="G16">
            <v>22000000</v>
          </cell>
          <cell r="H16">
            <v>22000000</v>
          </cell>
        </row>
        <row r="17">
          <cell r="B17" t="str">
            <v>BAN HCNS</v>
          </cell>
          <cell r="D17">
            <v>167</v>
          </cell>
          <cell r="E17">
            <v>4.5</v>
          </cell>
          <cell r="F17">
            <v>16.5</v>
          </cell>
          <cell r="G17">
            <v>73060000</v>
          </cell>
          <cell r="H17">
            <v>73060000</v>
          </cell>
        </row>
        <row r="18">
          <cell r="B18" t="str">
            <v>Trần Thị Diễm My</v>
          </cell>
          <cell r="C18" t="str">
            <v>P GĐ phụ trách Ban</v>
          </cell>
          <cell r="D18">
            <v>6.5</v>
          </cell>
          <cell r="E18">
            <v>0.5</v>
          </cell>
          <cell r="F18">
            <v>16.5</v>
          </cell>
          <cell r="G18">
            <v>20000000</v>
          </cell>
          <cell r="H18">
            <v>20000000</v>
          </cell>
        </row>
        <row r="19">
          <cell r="B19" t="str">
            <v xml:space="preserve"> Nguyễn Băng Trinh </v>
          </cell>
          <cell r="C19" t="str">
            <v xml:space="preserve">Nhân viên </v>
          </cell>
          <cell r="D19">
            <v>23</v>
          </cell>
          <cell r="E19">
            <v>0.5</v>
          </cell>
          <cell r="F19">
            <v>0</v>
          </cell>
          <cell r="G19">
            <v>10000000</v>
          </cell>
          <cell r="H19">
            <v>10000000</v>
          </cell>
        </row>
        <row r="20">
          <cell r="B20" t="str">
            <v>Lê Ngọc Tú Uyên</v>
          </cell>
          <cell r="C20" t="str">
            <v xml:space="preserve">Nhân viên </v>
          </cell>
          <cell r="D20">
            <v>22.5</v>
          </cell>
          <cell r="E20">
            <v>1</v>
          </cell>
          <cell r="F20">
            <v>0</v>
          </cell>
          <cell r="G20">
            <v>8170000</v>
          </cell>
          <cell r="H20">
            <v>8170000</v>
          </cell>
        </row>
        <row r="21">
          <cell r="B21" t="str">
            <v>Phan Văn Anh</v>
          </cell>
          <cell r="C21" t="str">
            <v xml:space="preserve">Nhân viên </v>
          </cell>
          <cell r="D21">
            <v>23</v>
          </cell>
          <cell r="E21">
            <v>0.5</v>
          </cell>
          <cell r="F21">
            <v>0</v>
          </cell>
          <cell r="G21">
            <v>9260000</v>
          </cell>
          <cell r="H21">
            <v>9260000</v>
          </cell>
        </row>
        <row r="22">
          <cell r="B22" t="str">
            <v>Đặng Văn Quang</v>
          </cell>
          <cell r="C22" t="str">
            <v>Bảo vệ</v>
          </cell>
          <cell r="D22">
            <v>23</v>
          </cell>
          <cell r="E22">
            <v>0.5</v>
          </cell>
          <cell r="F22">
            <v>0</v>
          </cell>
          <cell r="G22">
            <v>7590000</v>
          </cell>
          <cell r="H22">
            <v>7590000</v>
          </cell>
        </row>
        <row r="23">
          <cell r="B23" t="str">
            <v>Đặng Thanh Hồng</v>
          </cell>
          <cell r="C23" t="str">
            <v>Bảo vệ</v>
          </cell>
          <cell r="D23">
            <v>23</v>
          </cell>
          <cell r="E23">
            <v>0.5</v>
          </cell>
          <cell r="F23">
            <v>0</v>
          </cell>
          <cell r="G23">
            <v>7590000</v>
          </cell>
          <cell r="H23">
            <v>7590000</v>
          </cell>
        </row>
        <row r="24">
          <cell r="B24" t="str">
            <v>Trương Thị Bích Ngọc</v>
          </cell>
          <cell r="C24" t="str">
            <v>Tạp vụ</v>
          </cell>
          <cell r="D24">
            <v>23</v>
          </cell>
          <cell r="E24">
            <v>0.5</v>
          </cell>
          <cell r="F24">
            <v>0</v>
          </cell>
          <cell r="G24">
            <v>6000000</v>
          </cell>
          <cell r="H24">
            <v>6000000</v>
          </cell>
        </row>
        <row r="25">
          <cell r="B25" t="str">
            <v>Đặng Thị Hoa</v>
          </cell>
          <cell r="C25" t="str">
            <v>Tạp vụ</v>
          </cell>
          <cell r="D25">
            <v>23</v>
          </cell>
          <cell r="E25">
            <v>0.5</v>
          </cell>
          <cell r="F25">
            <v>0</v>
          </cell>
          <cell r="G25">
            <v>4450000</v>
          </cell>
          <cell r="H25">
            <v>4450000</v>
          </cell>
        </row>
        <row r="26">
          <cell r="B26" t="str">
            <v>BAN TCKT</v>
          </cell>
          <cell r="D26">
            <v>81</v>
          </cell>
          <cell r="E26">
            <v>2</v>
          </cell>
          <cell r="F26">
            <v>11</v>
          </cell>
          <cell r="G26">
            <v>57850000</v>
          </cell>
          <cell r="H26">
            <v>57850000</v>
          </cell>
        </row>
        <row r="27">
          <cell r="B27" t="str">
            <v>Đồng Thị Nguyệt Nga</v>
          </cell>
          <cell r="C27" t="str">
            <v>GĐ Ban</v>
          </cell>
          <cell r="D27">
            <v>23</v>
          </cell>
          <cell r="E27">
            <v>0.5</v>
          </cell>
          <cell r="F27">
            <v>0</v>
          </cell>
          <cell r="G27">
            <v>22000000</v>
          </cell>
          <cell r="H27">
            <v>22000000</v>
          </cell>
        </row>
        <row r="28">
          <cell r="B28" t="str">
            <v>Huỳnh Thị Hoàng Hà</v>
          </cell>
          <cell r="C28" t="str">
            <v xml:space="preserve">Phó GĐ </v>
          </cell>
          <cell r="D28">
            <v>23</v>
          </cell>
          <cell r="E28">
            <v>0.5</v>
          </cell>
          <cell r="F28">
            <v>0</v>
          </cell>
          <cell r="G28">
            <v>15500000</v>
          </cell>
          <cell r="H28">
            <v>15500000</v>
          </cell>
        </row>
        <row r="29">
          <cell r="B29" t="str">
            <v>Nguyễn Thị Thảo</v>
          </cell>
          <cell r="C29" t="str">
            <v xml:space="preserve">Nhân viên </v>
          </cell>
          <cell r="D29">
            <v>12</v>
          </cell>
          <cell r="E29">
            <v>0.5</v>
          </cell>
          <cell r="F29">
            <v>11</v>
          </cell>
          <cell r="G29">
            <v>10350000</v>
          </cell>
          <cell r="H29">
            <v>10350000</v>
          </cell>
        </row>
        <row r="30">
          <cell r="B30" t="str">
            <v>Nguyễn Thị Nhật Sang</v>
          </cell>
          <cell r="C30" t="str">
            <v xml:space="preserve">Nhân viên </v>
          </cell>
          <cell r="D30">
            <v>23</v>
          </cell>
          <cell r="E30">
            <v>0.5</v>
          </cell>
          <cell r="F30">
            <v>0</v>
          </cell>
          <cell r="G30">
            <v>10000000</v>
          </cell>
          <cell r="H30">
            <v>10000000</v>
          </cell>
        </row>
        <row r="31">
          <cell r="B31" t="str">
            <v>BAN KTXD</v>
          </cell>
          <cell r="D31">
            <v>23</v>
          </cell>
          <cell r="E31">
            <v>0.5</v>
          </cell>
          <cell r="F31">
            <v>0</v>
          </cell>
          <cell r="G31">
            <v>13500000</v>
          </cell>
          <cell r="H31">
            <v>13500000</v>
          </cell>
        </row>
        <row r="32">
          <cell r="B32" t="str">
            <v>Nguyễn Văn Bồn</v>
          </cell>
          <cell r="C32" t="str">
            <v xml:space="preserve">Nhân viên </v>
          </cell>
          <cell r="D32">
            <v>23</v>
          </cell>
          <cell r="E32">
            <v>0.5</v>
          </cell>
          <cell r="F32">
            <v>0</v>
          </cell>
          <cell r="G32">
            <v>13500000</v>
          </cell>
          <cell r="H32">
            <v>13500000</v>
          </cell>
        </row>
        <row r="33">
          <cell r="B33" t="str">
            <v>KỸ SƯ DỰ ÁN</v>
          </cell>
          <cell r="D33">
            <v>46</v>
          </cell>
          <cell r="E33">
            <v>1</v>
          </cell>
          <cell r="F33">
            <v>0</v>
          </cell>
          <cell r="G33">
            <v>48100000</v>
          </cell>
          <cell r="H33">
            <v>48100000</v>
          </cell>
        </row>
        <row r="34">
          <cell r="B34" t="str">
            <v>Nguyễn Đình Thắng</v>
          </cell>
          <cell r="C34" t="str">
            <v>KSDA</v>
          </cell>
          <cell r="D34">
            <v>23</v>
          </cell>
          <cell r="E34">
            <v>0.5</v>
          </cell>
          <cell r="F34">
            <v>0</v>
          </cell>
          <cell r="G34">
            <v>23300000</v>
          </cell>
          <cell r="H34">
            <v>23300000</v>
          </cell>
        </row>
        <row r="35">
          <cell r="B35" t="str">
            <v>Nguyễn Đình Hiếu</v>
          </cell>
          <cell r="C35" t="str">
            <v>KSDA</v>
          </cell>
          <cell r="D35">
            <v>23</v>
          </cell>
          <cell r="E35">
            <v>0.5</v>
          </cell>
          <cell r="F35">
            <v>0</v>
          </cell>
          <cell r="G35">
            <v>24800000</v>
          </cell>
          <cell r="H35">
            <v>24800000</v>
          </cell>
        </row>
        <row r="36">
          <cell r="B36" t="str">
            <v>BAN KHĐT</v>
          </cell>
          <cell r="D36">
            <v>161</v>
          </cell>
          <cell r="E36">
            <v>3.5</v>
          </cell>
          <cell r="F36">
            <v>0</v>
          </cell>
          <cell r="G36">
            <v>100200000</v>
          </cell>
          <cell r="H36">
            <v>100200000</v>
          </cell>
        </row>
        <row r="37">
          <cell r="B37" t="str">
            <v>Nguyễn Trần Thức</v>
          </cell>
          <cell r="C37" t="str">
            <v>GĐ Ban</v>
          </cell>
          <cell r="D37">
            <v>23</v>
          </cell>
          <cell r="E37">
            <v>0.5</v>
          </cell>
          <cell r="F37">
            <v>0</v>
          </cell>
          <cell r="G37">
            <v>20000000</v>
          </cell>
          <cell r="H37">
            <v>20000000</v>
          </cell>
        </row>
        <row r="38">
          <cell r="B38" t="str">
            <v>Hồ Văn Khoa</v>
          </cell>
          <cell r="C38" t="str">
            <v>TKCTHĐQT</v>
          </cell>
          <cell r="D38">
            <v>23</v>
          </cell>
          <cell r="E38">
            <v>0.5</v>
          </cell>
          <cell r="F38">
            <v>0</v>
          </cell>
          <cell r="G38">
            <v>20000000</v>
          </cell>
          <cell r="H38">
            <v>20000000</v>
          </cell>
        </row>
        <row r="39">
          <cell r="B39" t="str">
            <v xml:space="preserve">Nguyễn Đức Lợi </v>
          </cell>
          <cell r="C39" t="str">
            <v>P.GĐ</v>
          </cell>
          <cell r="D39">
            <v>23</v>
          </cell>
          <cell r="E39">
            <v>0.5</v>
          </cell>
          <cell r="F39">
            <v>0</v>
          </cell>
          <cell r="G39">
            <v>15500000</v>
          </cell>
          <cell r="H39">
            <v>15500000</v>
          </cell>
        </row>
        <row r="40">
          <cell r="B40" t="str">
            <v>Phan Thị Mỹ Hạnh</v>
          </cell>
          <cell r="C40" t="str">
            <v>P.GĐ</v>
          </cell>
          <cell r="D40">
            <v>23</v>
          </cell>
          <cell r="E40">
            <v>0.5</v>
          </cell>
          <cell r="F40">
            <v>0</v>
          </cell>
          <cell r="G40">
            <v>20000000</v>
          </cell>
          <cell r="H40">
            <v>20000000</v>
          </cell>
        </row>
        <row r="41">
          <cell r="B41" t="str">
            <v>Phan Thị Kim Cúc</v>
          </cell>
          <cell r="C41" t="str">
            <v xml:space="preserve">Nhân viên </v>
          </cell>
          <cell r="D41">
            <v>23</v>
          </cell>
          <cell r="E41">
            <v>0.5</v>
          </cell>
          <cell r="F41">
            <v>0</v>
          </cell>
          <cell r="G41">
            <v>9000000</v>
          </cell>
          <cell r="H41">
            <v>9000000</v>
          </cell>
        </row>
        <row r="42">
          <cell r="B42" t="str">
            <v>Lê Thị Giang Châu</v>
          </cell>
          <cell r="C42" t="str">
            <v xml:space="preserve">Nhân viên </v>
          </cell>
          <cell r="D42">
            <v>23</v>
          </cell>
          <cell r="E42">
            <v>0.5</v>
          </cell>
          <cell r="F42">
            <v>0</v>
          </cell>
          <cell r="G42">
            <v>8400000</v>
          </cell>
          <cell r="H42">
            <v>8400000</v>
          </cell>
        </row>
        <row r="43">
          <cell r="B43" t="str">
            <v>Trần Tin</v>
          </cell>
          <cell r="C43" t="str">
            <v xml:space="preserve">Nhân viên </v>
          </cell>
          <cell r="D43">
            <v>23</v>
          </cell>
          <cell r="E43">
            <v>0.5</v>
          </cell>
          <cell r="F43">
            <v>0</v>
          </cell>
          <cell r="G43">
            <v>7300000</v>
          </cell>
          <cell r="H43">
            <v>7300000</v>
          </cell>
        </row>
        <row r="44">
          <cell r="B44" t="str">
            <v>BAN ĐBGT</v>
          </cell>
          <cell r="D44">
            <v>69</v>
          </cell>
          <cell r="E44">
            <v>1.5</v>
          </cell>
          <cell r="F44">
            <v>0</v>
          </cell>
          <cell r="G44">
            <v>25080000</v>
          </cell>
          <cell r="H44">
            <v>25080000</v>
          </cell>
        </row>
        <row r="45">
          <cell r="B45" t="str">
            <v>Đặng Công Nhựt</v>
          </cell>
          <cell r="C45" t="str">
            <v xml:space="preserve">Nhân viên </v>
          </cell>
          <cell r="D45">
            <v>23</v>
          </cell>
          <cell r="E45">
            <v>0.5</v>
          </cell>
          <cell r="F45">
            <v>0</v>
          </cell>
          <cell r="G45">
            <v>9000000</v>
          </cell>
          <cell r="H45">
            <v>9000000</v>
          </cell>
        </row>
        <row r="46">
          <cell r="B46" t="str">
            <v>Đặng Thị Mỹ Hạnh</v>
          </cell>
          <cell r="C46" t="str">
            <v xml:space="preserve">Nhân viên </v>
          </cell>
          <cell r="D46">
            <v>23</v>
          </cell>
          <cell r="E46">
            <v>0.5</v>
          </cell>
          <cell r="F46">
            <v>0</v>
          </cell>
          <cell r="G46">
            <v>8040000</v>
          </cell>
          <cell r="H46">
            <v>8040000</v>
          </cell>
        </row>
        <row r="47">
          <cell r="B47" t="str">
            <v>Đặng Thanh Quang</v>
          </cell>
          <cell r="C47" t="str">
            <v xml:space="preserve">Nhân viên </v>
          </cell>
          <cell r="D47">
            <v>23</v>
          </cell>
          <cell r="E47">
            <v>0.5</v>
          </cell>
          <cell r="F47">
            <v>0</v>
          </cell>
          <cell r="G47">
            <v>8040000</v>
          </cell>
          <cell r="H47">
            <v>8040000</v>
          </cell>
        </row>
        <row r="48">
          <cell r="B48" t="str">
            <v>BAN KDTT</v>
          </cell>
          <cell r="D48">
            <v>23</v>
          </cell>
          <cell r="E48">
            <v>0.5</v>
          </cell>
          <cell r="F48">
            <v>0</v>
          </cell>
          <cell r="G48">
            <v>6080000</v>
          </cell>
          <cell r="H48">
            <v>6080000</v>
          </cell>
        </row>
        <row r="49">
          <cell r="B49" t="str">
            <v xml:space="preserve">Trần Cường </v>
          </cell>
          <cell r="C49" t="str">
            <v>GĐ Ban</v>
          </cell>
          <cell r="D49">
            <v>23</v>
          </cell>
          <cell r="E49">
            <v>0.5</v>
          </cell>
          <cell r="F49">
            <v>0</v>
          </cell>
          <cell r="G49">
            <v>6080000</v>
          </cell>
          <cell r="H49">
            <v>6080000</v>
          </cell>
        </row>
        <row r="50">
          <cell r="B50" t="str">
            <v>XN Duy tu Bão dưỡng</v>
          </cell>
          <cell r="D50">
            <v>23</v>
          </cell>
          <cell r="E50">
            <v>0.5</v>
          </cell>
          <cell r="F50">
            <v>0</v>
          </cell>
          <cell r="G50">
            <v>13940000</v>
          </cell>
          <cell r="H50">
            <v>13940000</v>
          </cell>
        </row>
        <row r="51">
          <cell r="B51" t="str">
            <v>Mai Văn Châu</v>
          </cell>
          <cell r="C51" t="str">
            <v xml:space="preserve">Nhân viên </v>
          </cell>
          <cell r="D51">
            <v>23</v>
          </cell>
          <cell r="E51">
            <v>0.5</v>
          </cell>
          <cell r="F51">
            <v>0</v>
          </cell>
          <cell r="G51">
            <v>13940000</v>
          </cell>
          <cell r="H51">
            <v>13940000</v>
          </cell>
        </row>
        <row r="52">
          <cell r="B52" t="str">
            <v>SÀN GIAO DỊCH BĐS</v>
          </cell>
          <cell r="D52">
            <v>23</v>
          </cell>
          <cell r="E52">
            <v>0.5</v>
          </cell>
          <cell r="F52">
            <v>0</v>
          </cell>
          <cell r="G52">
            <v>4970000</v>
          </cell>
          <cell r="H52">
            <v>4970000</v>
          </cell>
        </row>
        <row r="53">
          <cell r="B53" t="str">
            <v>Ngô Thị Tâm</v>
          </cell>
          <cell r="C53" t="str">
            <v>TK Sàn</v>
          </cell>
          <cell r="D53">
            <v>23</v>
          </cell>
          <cell r="E53">
            <v>0.5</v>
          </cell>
          <cell r="F53">
            <v>0</v>
          </cell>
          <cell r="G53">
            <v>4970000</v>
          </cell>
          <cell r="H53">
            <v>4970000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C7" t="str">
            <v>Đặng Thanh Bình</v>
          </cell>
          <cell r="D7" t="str">
            <v>CTHĐQT</v>
          </cell>
          <cell r="E7">
            <v>51813106</v>
          </cell>
          <cell r="F7">
            <v>5600006310</v>
          </cell>
        </row>
        <row r="8">
          <cell r="C8" t="str">
            <v>Trần Quốc Thể</v>
          </cell>
          <cell r="D8" t="str">
            <v>TGĐ</v>
          </cell>
          <cell r="E8">
            <v>27245106</v>
          </cell>
          <cell r="F8">
            <v>5600788070</v>
          </cell>
        </row>
        <row r="9">
          <cell r="C9" t="str">
            <v>Đoàn Thị Ngọc Nữ</v>
          </cell>
          <cell r="D9" t="str">
            <v xml:space="preserve"> P. TGĐ</v>
          </cell>
          <cell r="E9">
            <v>24920106</v>
          </cell>
          <cell r="F9">
            <v>5600063315</v>
          </cell>
        </row>
        <row r="10">
          <cell r="C10" t="str">
            <v>Nguyễn Ngọc Tôn</v>
          </cell>
          <cell r="D10" t="str">
            <v xml:space="preserve"> P. TGĐ</v>
          </cell>
          <cell r="E10">
            <v>23351276</v>
          </cell>
          <cell r="F10">
            <v>5600784616</v>
          </cell>
        </row>
        <row r="11">
          <cell r="C11" t="str">
            <v xml:space="preserve"> Nguyễn Băng Trinh </v>
          </cell>
          <cell r="D11" t="str">
            <v xml:space="preserve">Nhân viên </v>
          </cell>
          <cell r="E11">
            <v>10234042</v>
          </cell>
          <cell r="F11">
            <v>5650273687</v>
          </cell>
        </row>
        <row r="12">
          <cell r="C12" t="str">
            <v>Lê Ngọc Tú Uyên</v>
          </cell>
          <cell r="D12" t="str">
            <v xml:space="preserve">Nhân viên </v>
          </cell>
          <cell r="E12">
            <v>8321885</v>
          </cell>
          <cell r="F12">
            <v>8888212054</v>
          </cell>
        </row>
        <row r="13">
          <cell r="C13" t="str">
            <v>Phan Văn Anh</v>
          </cell>
          <cell r="D13" t="str">
            <v xml:space="preserve">Nhân viên </v>
          </cell>
          <cell r="E13">
            <v>9176506</v>
          </cell>
          <cell r="F13">
            <v>5600785798</v>
          </cell>
        </row>
        <row r="14">
          <cell r="C14" t="str">
            <v>Đặng Văn Quang</v>
          </cell>
          <cell r="D14" t="str">
            <v>Bảo vệ</v>
          </cell>
          <cell r="E14">
            <v>7690206</v>
          </cell>
          <cell r="F14">
            <v>5600785725</v>
          </cell>
        </row>
        <row r="15">
          <cell r="C15" t="str">
            <v>Đặng Thanh Hồng</v>
          </cell>
          <cell r="D15" t="str">
            <v>Bảo vệ</v>
          </cell>
          <cell r="E15">
            <v>7690206</v>
          </cell>
          <cell r="F15">
            <v>5600494331</v>
          </cell>
        </row>
        <row r="16">
          <cell r="C16" t="str">
            <v>Trương Thị Bích Ngọc</v>
          </cell>
          <cell r="D16" t="str">
            <v>Tạp vụ</v>
          </cell>
          <cell r="E16">
            <v>6905106</v>
          </cell>
          <cell r="F16">
            <v>5611047294</v>
          </cell>
        </row>
        <row r="17">
          <cell r="C17" t="str">
            <v>Đặng Thị Hoa</v>
          </cell>
          <cell r="D17" t="str">
            <v>Tạp vụ</v>
          </cell>
          <cell r="E17">
            <v>5362856</v>
          </cell>
          <cell r="F17">
            <v>5600787907</v>
          </cell>
        </row>
        <row r="18">
          <cell r="C18" t="str">
            <v>Đồng Thị Nguyệt Nga</v>
          </cell>
          <cell r="D18" t="str">
            <v>GĐ Ban</v>
          </cell>
          <cell r="E18">
            <v>20578106</v>
          </cell>
          <cell r="F18">
            <v>5610878118</v>
          </cell>
        </row>
        <row r="19">
          <cell r="C19" t="str">
            <v>Nguyễn Thị Nhật Sang</v>
          </cell>
          <cell r="D19" t="str">
            <v xml:space="preserve">Nhân viên </v>
          </cell>
          <cell r="E19">
            <v>9835106</v>
          </cell>
          <cell r="F19">
            <v>8823176894</v>
          </cell>
        </row>
        <row r="20">
          <cell r="C20" t="str">
            <v>Huỳnh Thị Hoàng Hà</v>
          </cell>
          <cell r="D20" t="str">
            <v xml:space="preserve">Phó GĐ </v>
          </cell>
          <cell r="E20">
            <v>16024787</v>
          </cell>
          <cell r="F20">
            <v>5601113596</v>
          </cell>
        </row>
        <row r="21">
          <cell r="C21" t="str">
            <v>Nguyễn Văn Bồn</v>
          </cell>
          <cell r="D21" t="str">
            <v xml:space="preserve">Nhân viên </v>
          </cell>
          <cell r="E21">
            <v>15376170</v>
          </cell>
          <cell r="F21">
            <v>5600945273</v>
          </cell>
        </row>
        <row r="22">
          <cell r="C22" t="str">
            <v>Nguyễn Đình Thắng</v>
          </cell>
          <cell r="D22" t="str">
            <v>KSDA</v>
          </cell>
          <cell r="E22">
            <v>25922106</v>
          </cell>
          <cell r="F22">
            <v>8834955087</v>
          </cell>
        </row>
        <row r="23">
          <cell r="C23" t="str">
            <v>Nguyễn Đình Hiếu</v>
          </cell>
          <cell r="D23" t="str">
            <v>KSDA</v>
          </cell>
          <cell r="E23">
            <v>27257106</v>
          </cell>
          <cell r="F23">
            <v>8862438005</v>
          </cell>
        </row>
        <row r="24">
          <cell r="C24" t="str">
            <v>Phan Thị Mỹ Hạnh</v>
          </cell>
          <cell r="D24" t="str">
            <v>P.GĐ</v>
          </cell>
          <cell r="E24">
            <v>26521808</v>
          </cell>
          <cell r="F24">
            <v>5610518414</v>
          </cell>
        </row>
        <row r="25">
          <cell r="C25" t="str">
            <v>Nguyễn Trần Thức</v>
          </cell>
          <cell r="D25" t="str">
            <v>GĐ Ban</v>
          </cell>
          <cell r="E25">
            <v>18887606</v>
          </cell>
          <cell r="F25">
            <v>5650185560</v>
          </cell>
        </row>
        <row r="26">
          <cell r="C26" t="str">
            <v xml:space="preserve">Nguyễn Đức Lợi </v>
          </cell>
          <cell r="D26" t="str">
            <v>P.GĐ</v>
          </cell>
          <cell r="E26">
            <v>19976915</v>
          </cell>
          <cell r="F26">
            <v>5650185092</v>
          </cell>
        </row>
        <row r="27">
          <cell r="C27" t="str">
            <v>Lê Thị Giang Châu</v>
          </cell>
          <cell r="D27" t="str">
            <v xml:space="preserve">Nhân viên </v>
          </cell>
          <cell r="E27">
            <v>9683446</v>
          </cell>
          <cell r="F27">
            <v>5601343375</v>
          </cell>
        </row>
        <row r="28">
          <cell r="C28" t="str">
            <v>Phan Thị Kim Cúc</v>
          </cell>
          <cell r="D28" t="str">
            <v xml:space="preserve">Nhân viên </v>
          </cell>
          <cell r="E28">
            <v>10294042</v>
          </cell>
          <cell r="F28">
            <v>5600784971</v>
          </cell>
        </row>
        <row r="29">
          <cell r="C29" t="str">
            <v>Trần Tin</v>
          </cell>
          <cell r="D29" t="str">
            <v xml:space="preserve">Nhân viên </v>
          </cell>
          <cell r="E29">
            <v>7632106</v>
          </cell>
          <cell r="F29">
            <v>5602078777</v>
          </cell>
        </row>
        <row r="30">
          <cell r="C30" t="str">
            <v>Đặng Công Nhựt</v>
          </cell>
          <cell r="D30" t="str">
            <v xml:space="preserve">Nhân viên </v>
          </cell>
          <cell r="E30">
            <v>11698297</v>
          </cell>
          <cell r="F30">
            <v>5600785248</v>
          </cell>
        </row>
        <row r="31">
          <cell r="C31" t="str">
            <v>Đặng Thị Mỹ Hạnh</v>
          </cell>
          <cell r="D31" t="str">
            <v xml:space="preserve">Nhân viên </v>
          </cell>
          <cell r="E31">
            <v>10231557</v>
          </cell>
          <cell r="F31">
            <v>5600785503</v>
          </cell>
        </row>
        <row r="32">
          <cell r="C32" t="str">
            <v>Đặng Thanh Quang</v>
          </cell>
          <cell r="D32" t="str">
            <v xml:space="preserve">Nhân viên </v>
          </cell>
          <cell r="E32">
            <v>9790706</v>
          </cell>
          <cell r="F32">
            <v>5600494687</v>
          </cell>
        </row>
        <row r="33">
          <cell r="C33" t="str">
            <v xml:space="preserve">Trần Cường </v>
          </cell>
          <cell r="D33" t="str">
            <v>GĐ Ban</v>
          </cell>
          <cell r="E33">
            <v>5745600</v>
          </cell>
          <cell r="F33">
            <v>5600784917</v>
          </cell>
        </row>
        <row r="34">
          <cell r="C34" t="str">
            <v>Mai Văn Châu</v>
          </cell>
          <cell r="D34" t="str">
            <v xml:space="preserve">Nhân viên </v>
          </cell>
          <cell r="E34">
            <v>13341706</v>
          </cell>
          <cell r="F34">
            <v>5601210521</v>
          </cell>
        </row>
        <row r="35">
          <cell r="C35" t="str">
            <v>Ngô Thị Tâm</v>
          </cell>
          <cell r="D35" t="str">
            <v>TK Sàn</v>
          </cell>
          <cell r="E35">
            <v>4623300</v>
          </cell>
          <cell r="F35">
            <v>5600784999</v>
          </cell>
        </row>
        <row r="36">
          <cell r="C36" t="str">
            <v>Nguyễn Thị Thảo</v>
          </cell>
          <cell r="D36" t="str">
            <v xml:space="preserve">Nhân viên </v>
          </cell>
          <cell r="E36">
            <v>4974266</v>
          </cell>
          <cell r="F36">
            <v>8800011901</v>
          </cell>
        </row>
        <row r="37">
          <cell r="C37" t="str">
            <v>Trần Thị Diễm My</v>
          </cell>
          <cell r="D37" t="str">
            <v>P GĐ phụ trách Ban</v>
          </cell>
          <cell r="E37">
            <v>6301064</v>
          </cell>
          <cell r="F37" t="str">
            <v>5650405417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TỔNG"/>
    </sheetNames>
    <sheetDataSet>
      <sheetData sheetId="0">
        <row r="8">
          <cell r="C8" t="str">
            <v>Đặng Thanh Bình</v>
          </cell>
          <cell r="D8" t="str">
            <v>CTHĐQT</v>
          </cell>
          <cell r="E8" t="str">
            <v>Hợp đồng không xác định TH</v>
          </cell>
          <cell r="F8" t="str">
            <v>Cử nhân Luật</v>
          </cell>
          <cell r="G8" t="str">
            <v>Đại học</v>
          </cell>
          <cell r="H8">
            <v>39267</v>
          </cell>
          <cell r="I8">
            <v>46118</v>
          </cell>
          <cell r="J8" t="str">
            <v xml:space="preserve">18 năm 9 tháng </v>
          </cell>
          <cell r="M8" t="str">
            <v>Điều chỉnh lương</v>
          </cell>
        </row>
        <row r="9">
          <cell r="C9" t="str">
            <v>Trần Quốc Thể</v>
          </cell>
          <cell r="D9" t="str">
            <v>TGĐ</v>
          </cell>
          <cell r="E9" t="str">
            <v>Hợp đồng không xác định TH</v>
          </cell>
          <cell r="F9" t="str">
            <v>Kiến trúc sư - 2000</v>
          </cell>
          <cell r="G9" t="str">
            <v>Đại học</v>
          </cell>
          <cell r="H9">
            <v>40210</v>
          </cell>
          <cell r="I9">
            <v>46118</v>
          </cell>
          <cell r="J9" t="str">
            <v xml:space="preserve">16 năm 2 tháng </v>
          </cell>
          <cell r="K9" t="str">
            <v>A</v>
          </cell>
          <cell r="M9" t="str">
            <v>Điều chỉnh lương</v>
          </cell>
        </row>
        <row r="10">
          <cell r="C10" t="str">
            <v>Đoàn Thị Ngọc Nữ</v>
          </cell>
          <cell r="D10" t="str">
            <v xml:space="preserve"> P. TGĐ</v>
          </cell>
          <cell r="E10" t="str">
            <v>Hợp đồng không xác định TH</v>
          </cell>
          <cell r="F10" t="str">
            <v>Cử nhân kế toán - 2006</v>
          </cell>
          <cell r="G10" t="str">
            <v>Đại học</v>
          </cell>
          <cell r="H10">
            <v>39270</v>
          </cell>
          <cell r="I10">
            <v>46118</v>
          </cell>
          <cell r="J10" t="str">
            <v xml:space="preserve">18 năm 9 tháng </v>
          </cell>
          <cell r="K10" t="str">
            <v>A</v>
          </cell>
          <cell r="M10" t="str">
            <v>Điều chỉnh lương</v>
          </cell>
        </row>
        <row r="11">
          <cell r="C11" t="str">
            <v>Nguyễn Ngọc Tôn</v>
          </cell>
          <cell r="D11" t="str">
            <v xml:space="preserve"> P. TGĐ</v>
          </cell>
          <cell r="E11" t="str">
            <v>Hợp đồng không xác định TH</v>
          </cell>
          <cell r="F11" t="str">
            <v>Cử nhân cao đẳng - KTCN - 2001</v>
          </cell>
          <cell r="G11" t="str">
            <v>Cao đẳng</v>
          </cell>
          <cell r="H11">
            <v>40280</v>
          </cell>
          <cell r="I11">
            <v>46118</v>
          </cell>
          <cell r="J11" t="str">
            <v xml:space="preserve">15 năm 11 tháng </v>
          </cell>
          <cell r="K11" t="str">
            <v>A</v>
          </cell>
          <cell r="M11" t="str">
            <v>Điều chỉnh lương</v>
          </cell>
        </row>
        <row r="12">
          <cell r="C12" t="str">
            <v>Trần Thị Diễm My</v>
          </cell>
          <cell r="D12" t="str">
            <v>P GĐ Ban</v>
          </cell>
          <cell r="E12" t="str">
            <v>HĐ lao động 01 năm</v>
          </cell>
          <cell r="F12" t="str">
            <v>Thạc sĩ TCDN - Cử nhân luật Kinh tế</v>
          </cell>
          <cell r="G12" t="str">
            <v>Thạc sỹ</v>
          </cell>
          <cell r="H12">
            <v>46024</v>
          </cell>
          <cell r="I12">
            <v>46118</v>
          </cell>
          <cell r="J12" t="str">
            <v xml:space="preserve">0 năm 3 tháng </v>
          </cell>
          <cell r="M12" t="str">
            <v>Khác</v>
          </cell>
        </row>
        <row r="13">
          <cell r="C13" t="str">
            <v xml:space="preserve"> Nguyễn Băng Trinh </v>
          </cell>
          <cell r="D13" t="str">
            <v xml:space="preserve">Nhân viên </v>
          </cell>
          <cell r="E13" t="str">
            <v>Hợp đồng không xác định TH</v>
          </cell>
          <cell r="F13" t="str">
            <v>Cử nhân kinh tế đầu tư -2021</v>
          </cell>
          <cell r="G13" t="str">
            <v>Đại học</v>
          </cell>
          <cell r="H13">
            <v>44907</v>
          </cell>
          <cell r="I13">
            <v>46118</v>
          </cell>
          <cell r="J13" t="str">
            <v xml:space="preserve">3 năm 3 tháng </v>
          </cell>
          <cell r="K13" t="str">
            <v>A</v>
          </cell>
          <cell r="M13" t="str">
            <v>Thay đổi vị trí</v>
          </cell>
        </row>
        <row r="14">
          <cell r="C14" t="str">
            <v>Lê Ngọc Tú Uyên</v>
          </cell>
          <cell r="D14" t="str">
            <v xml:space="preserve">Nhân viên </v>
          </cell>
          <cell r="E14" t="str">
            <v>HĐ lao động 01 năm</v>
          </cell>
          <cell r="F14" t="str">
            <v>Cử nhân Quản trị nguồn nhân lực - 2025</v>
          </cell>
          <cell r="G14" t="str">
            <v>Đại học</v>
          </cell>
          <cell r="H14">
            <v>46082</v>
          </cell>
          <cell r="I14">
            <v>46118</v>
          </cell>
          <cell r="J14" t="str">
            <v xml:space="preserve">0 năm 1 tháng </v>
          </cell>
          <cell r="M14" t="str">
            <v>Khác</v>
          </cell>
        </row>
        <row r="15">
          <cell r="C15" t="str">
            <v>Phan Văn Anh</v>
          </cell>
          <cell r="D15" t="str">
            <v xml:space="preserve">Nhân viên </v>
          </cell>
          <cell r="E15" t="str">
            <v>Hợp đồng không xác định TH</v>
          </cell>
          <cell r="F15" t="str">
            <v>Lái xe - 1993</v>
          </cell>
          <cell r="G15" t="str">
            <v>Bằng nghề</v>
          </cell>
          <cell r="H15">
            <v>39602</v>
          </cell>
          <cell r="I15">
            <v>46118</v>
          </cell>
          <cell r="J15" t="str">
            <v xml:space="preserve">17 năm 10 tháng </v>
          </cell>
          <cell r="K15" t="str">
            <v>A</v>
          </cell>
          <cell r="M15" t="str">
            <v>Điều chỉnh lương</v>
          </cell>
        </row>
        <row r="16">
          <cell r="C16" t="str">
            <v>Đặng Văn Quang</v>
          </cell>
          <cell r="D16" t="str">
            <v>Bảo vệ</v>
          </cell>
          <cell r="E16" t="str">
            <v>Hợp đồng không xác định TH</v>
          </cell>
          <cell r="F16" t="str">
            <v xml:space="preserve">Bảo vệ </v>
          </cell>
          <cell r="G16" t="str">
            <v>THPT</v>
          </cell>
          <cell r="H16">
            <v>41397</v>
          </cell>
          <cell r="I16">
            <v>46118</v>
          </cell>
          <cell r="J16" t="str">
            <v xml:space="preserve">12 năm 11 tháng </v>
          </cell>
          <cell r="K16" t="str">
            <v>A</v>
          </cell>
          <cell r="M16" t="str">
            <v>Điều chỉnh lương</v>
          </cell>
        </row>
        <row r="17">
          <cell r="C17" t="str">
            <v>Đặng Thanh Hồng</v>
          </cell>
          <cell r="D17" t="str">
            <v>Bảo vệ</v>
          </cell>
          <cell r="E17" t="str">
            <v>Hợp đồng không xác định TH</v>
          </cell>
          <cell r="F17" t="str">
            <v>Bảo vệ - 2007</v>
          </cell>
          <cell r="G17" t="str">
            <v>THPT</v>
          </cell>
          <cell r="H17">
            <v>41603</v>
          </cell>
          <cell r="I17">
            <v>46118</v>
          </cell>
          <cell r="J17" t="str">
            <v xml:space="preserve">12 năm 4 tháng </v>
          </cell>
          <cell r="K17" t="str">
            <v>A</v>
          </cell>
          <cell r="M17" t="str">
            <v>Điều chỉnh lương</v>
          </cell>
        </row>
        <row r="18">
          <cell r="C18" t="str">
            <v>Phạm Hùng</v>
          </cell>
          <cell r="D18" t="str">
            <v>Bảo vệ</v>
          </cell>
          <cell r="E18" t="str">
            <v>Hợp đồng không xác định TH</v>
          </cell>
          <cell r="F18" t="str">
            <v>Lao động phổ thông</v>
          </cell>
          <cell r="G18" t="str">
            <v>THPT</v>
          </cell>
          <cell r="H18" t="str">
            <v>01/08/2017</v>
          </cell>
          <cell r="I18">
            <v>46118</v>
          </cell>
          <cell r="J18" t="str">
            <v xml:space="preserve">8 năm 8 tháng </v>
          </cell>
          <cell r="K18" t="str">
            <v>A</v>
          </cell>
          <cell r="M18" t="str">
            <v>Điều chỉnh lương</v>
          </cell>
        </row>
        <row r="19">
          <cell r="C19" t="str">
            <v>Trương Thị Bích Ngọc</v>
          </cell>
          <cell r="D19" t="str">
            <v>Tạp vụ</v>
          </cell>
          <cell r="E19" t="str">
            <v>Hợp đồng không xác định TH</v>
          </cell>
          <cell r="F19" t="str">
            <v>Tạp vụ</v>
          </cell>
          <cell r="G19" t="str">
            <v>THPT</v>
          </cell>
          <cell r="H19" t="str">
            <v>11/10/2017</v>
          </cell>
          <cell r="I19">
            <v>46118</v>
          </cell>
          <cell r="J19" t="str">
            <v xml:space="preserve">8 năm 5 tháng </v>
          </cell>
          <cell r="K19" t="str">
            <v>A</v>
          </cell>
          <cell r="M19" t="str">
            <v>Điều chỉnh lương</v>
          </cell>
        </row>
        <row r="20">
          <cell r="C20" t="str">
            <v>Đặng Thị Hoa</v>
          </cell>
          <cell r="D20" t="str">
            <v>Tạp vụ</v>
          </cell>
          <cell r="E20" t="str">
            <v>Hợp đồng không xác định TH</v>
          </cell>
          <cell r="F20" t="str">
            <v>Tạp vụ</v>
          </cell>
          <cell r="G20" t="str">
            <v>THPT</v>
          </cell>
          <cell r="H20" t="str">
            <v>01/01/2016</v>
          </cell>
          <cell r="I20">
            <v>46118</v>
          </cell>
          <cell r="J20" t="str">
            <v xml:space="preserve">10 năm 3 tháng </v>
          </cell>
          <cell r="K20" t="str">
            <v>A</v>
          </cell>
          <cell r="M20" t="str">
            <v>Điều chỉnh lương</v>
          </cell>
        </row>
        <row r="21">
          <cell r="C21" t="str">
            <v>Đồng Thị Nguyệt Nga</v>
          </cell>
          <cell r="D21" t="str">
            <v>GĐ Ban</v>
          </cell>
          <cell r="E21" t="str">
            <v>Hợp đồng không xác định TH</v>
          </cell>
          <cell r="F21" t="str">
            <v>Thạc sĩ kế toán - 2010</v>
          </cell>
          <cell r="G21" t="str">
            <v>Thạc sỹ</v>
          </cell>
          <cell r="H21">
            <v>42534</v>
          </cell>
          <cell r="I21">
            <v>46118</v>
          </cell>
          <cell r="J21" t="str">
            <v xml:space="preserve">9 năm 9 tháng </v>
          </cell>
          <cell r="K21" t="str">
            <v>A</v>
          </cell>
          <cell r="M21" t="str">
            <v>Điều chỉnh lương</v>
          </cell>
        </row>
        <row r="22">
          <cell r="C22" t="str">
            <v>Huỳnh Thị Hoàng Hà</v>
          </cell>
          <cell r="D22" t="str">
            <v xml:space="preserve">Phó GĐ </v>
          </cell>
          <cell r="E22" t="str">
            <v>Hợp đồng không xác định TH</v>
          </cell>
          <cell r="F22" t="str">
            <v>Cử nhân Kế toán</v>
          </cell>
          <cell r="G22" t="str">
            <v>Đại học</v>
          </cell>
          <cell r="H22" t="str">
            <v>30/06/2017</v>
          </cell>
          <cell r="I22">
            <v>46118</v>
          </cell>
          <cell r="J22" t="str">
            <v xml:space="preserve">8 năm 9 tháng </v>
          </cell>
          <cell r="K22" t="str">
            <v>A</v>
          </cell>
          <cell r="M22" t="str">
            <v>Điều chỉnh lương</v>
          </cell>
        </row>
        <row r="23">
          <cell r="C23" t="str">
            <v>Nguyễn Thị Thảo</v>
          </cell>
          <cell r="D23" t="str">
            <v xml:space="preserve">Nhân viên </v>
          </cell>
          <cell r="E23" t="str">
            <v>Hợp đồng không xác định TH</v>
          </cell>
          <cell r="F23" t="str">
            <v>Kế toán - 2013</v>
          </cell>
          <cell r="G23" t="str">
            <v>Đại học</v>
          </cell>
          <cell r="H23" t="str">
            <v>02/08/2016</v>
          </cell>
          <cell r="I23">
            <v>46118</v>
          </cell>
          <cell r="J23" t="str">
            <v xml:space="preserve">9 năm 8 tháng </v>
          </cell>
          <cell r="K23" t="str">
            <v>A</v>
          </cell>
          <cell r="M23" t="str">
            <v>Điều chỉnh lương</v>
          </cell>
        </row>
        <row r="24">
          <cell r="C24" t="str">
            <v>Nguyễn Thị Nhật Sang</v>
          </cell>
          <cell r="D24" t="str">
            <v xml:space="preserve">Nhân viên </v>
          </cell>
          <cell r="E24" t="str">
            <v>Hợp đồng không xác định TH</v>
          </cell>
          <cell r="F24" t="str">
            <v>Cử nhân ngành Kế toán</v>
          </cell>
          <cell r="G24" t="str">
            <v>Đại học</v>
          </cell>
          <cell r="H24">
            <v>45519</v>
          </cell>
          <cell r="I24">
            <v>46118</v>
          </cell>
          <cell r="J24" t="str">
            <v xml:space="preserve">1 năm 7 tháng </v>
          </cell>
          <cell r="K24" t="str">
            <v>A</v>
          </cell>
          <cell r="M24" t="str">
            <v>Điều chỉnh lương</v>
          </cell>
        </row>
        <row r="25">
          <cell r="C25" t="str">
            <v>Nguyễn Văn Bồn</v>
          </cell>
          <cell r="D25" t="str">
            <v xml:space="preserve">Nhân viên </v>
          </cell>
          <cell r="E25" t="str">
            <v>Hợp đồng không xác định TH</v>
          </cell>
          <cell r="F25" t="str">
            <v>Kỹ thuật công trình xây dựng - 2016</v>
          </cell>
          <cell r="G25" t="str">
            <v>Đại học</v>
          </cell>
          <cell r="H25">
            <v>42604</v>
          </cell>
          <cell r="I25">
            <v>46118</v>
          </cell>
          <cell r="J25" t="str">
            <v xml:space="preserve">9 năm 7 tháng </v>
          </cell>
          <cell r="K25" t="str">
            <v>A</v>
          </cell>
          <cell r="M25" t="str">
            <v>Điều chỉnh lương</v>
          </cell>
        </row>
        <row r="26">
          <cell r="C26" t="str">
            <v>Nguyễn Đình Thắng</v>
          </cell>
          <cell r="D26" t="str">
            <v>KSDA</v>
          </cell>
          <cell r="E26" t="str">
            <v>Hợp đồng không xác định TH</v>
          </cell>
          <cell r="F26" t="str">
            <v xml:space="preserve">Kỹ sư Xây dựng   </v>
          </cell>
          <cell r="G26" t="str">
            <v>Đại học</v>
          </cell>
          <cell r="H26">
            <v>45748</v>
          </cell>
          <cell r="I26">
            <v>46118</v>
          </cell>
          <cell r="J26" t="str">
            <v xml:space="preserve">1 năm 0 tháng </v>
          </cell>
          <cell r="K26" t="str">
            <v>A</v>
          </cell>
          <cell r="M26" t="str">
            <v>Điều chỉnh lương</v>
          </cell>
        </row>
        <row r="27">
          <cell r="C27" t="str">
            <v>Nguyễn Đình Hiếu</v>
          </cell>
          <cell r="D27" t="str">
            <v>KSDA</v>
          </cell>
          <cell r="E27" t="str">
            <v>Hợp đồng không xác định TH</v>
          </cell>
          <cell r="F27" t="str">
            <v>Kỹ sư Nhiệt-Máy lạnh</v>
          </cell>
          <cell r="G27" t="str">
            <v>Đại học</v>
          </cell>
          <cell r="H27">
            <v>45779</v>
          </cell>
          <cell r="I27">
            <v>46118</v>
          </cell>
          <cell r="J27" t="str">
            <v xml:space="preserve">0 năm 11 tháng </v>
          </cell>
          <cell r="K27" t="str">
            <v>A</v>
          </cell>
          <cell r="M27" t="str">
            <v>Điều chỉnh lương</v>
          </cell>
        </row>
        <row r="28">
          <cell r="C28" t="str">
            <v>Nguyễn Trần Thức</v>
          </cell>
          <cell r="D28" t="str">
            <v>GĐ Ban</v>
          </cell>
          <cell r="E28" t="str">
            <v>Hợp đồng không xác định TH</v>
          </cell>
          <cell r="F28" t="str">
            <v>Cử nhân Kinh tế- Chuyên ngành Quản trị KD Quốc Tế</v>
          </cell>
          <cell r="G28" t="str">
            <v>Đại học</v>
          </cell>
          <cell r="H28">
            <v>44958</v>
          </cell>
          <cell r="I28">
            <v>46118</v>
          </cell>
          <cell r="J28" t="str">
            <v xml:space="preserve">3 năm 2 tháng </v>
          </cell>
          <cell r="K28" t="str">
            <v>A</v>
          </cell>
          <cell r="M28" t="str">
            <v>Điều chỉnh lương</v>
          </cell>
        </row>
        <row r="29">
          <cell r="C29" t="str">
            <v xml:space="preserve">Nguyễn Đức Lợi </v>
          </cell>
          <cell r="D29" t="str">
            <v>P.GĐ</v>
          </cell>
          <cell r="E29" t="str">
            <v>Hợp đồng không xác định TH</v>
          </cell>
          <cell r="F29" t="str">
            <v>Kỹ sư quản lý môi trường - 2014</v>
          </cell>
          <cell r="G29" t="str">
            <v>Đại học</v>
          </cell>
          <cell r="H29" t="str">
            <v>15/01/2017</v>
          </cell>
          <cell r="I29">
            <v>46118</v>
          </cell>
          <cell r="J29" t="str">
            <v xml:space="preserve">9 năm 2 tháng </v>
          </cell>
          <cell r="K29" t="str">
            <v>A</v>
          </cell>
          <cell r="L29" t="str">
            <v>Lao động giỏi</v>
          </cell>
          <cell r="M29" t="str">
            <v>Điều chỉnh lương</v>
          </cell>
        </row>
        <row r="30">
          <cell r="C30" t="str">
            <v>Phan Thị Mỹ Hạnh</v>
          </cell>
          <cell r="D30" t="str">
            <v>P.GĐ</v>
          </cell>
          <cell r="E30" t="str">
            <v>Hợp đồng không xác định TH</v>
          </cell>
          <cell r="F30" t="str">
            <v>Kỹ sư Xây dựng cầu đường - Từ xa - 2010</v>
          </cell>
          <cell r="G30" t="str">
            <v>Đại học</v>
          </cell>
          <cell r="H30" t="str">
            <v>13/07/2017</v>
          </cell>
          <cell r="I30">
            <v>46118</v>
          </cell>
          <cell r="J30" t="str">
            <v xml:space="preserve">8 năm 8 tháng </v>
          </cell>
          <cell r="K30" t="str">
            <v>A</v>
          </cell>
          <cell r="M30" t="str">
            <v>Điều chỉnh lương</v>
          </cell>
        </row>
        <row r="31">
          <cell r="C31" t="str">
            <v>Phan Thị Kim Cúc</v>
          </cell>
          <cell r="D31" t="str">
            <v xml:space="preserve">Nhân viên </v>
          </cell>
          <cell r="E31" t="str">
            <v>Hợp đồng không xác định TH</v>
          </cell>
          <cell r="F31" t="str">
            <v>CĐ Kiểm tra chất lượng thực phẩm 2010
Kỹ sư công nghệ sinh học - 2013</v>
          </cell>
          <cell r="G31" t="str">
            <v>Cao đẳng</v>
          </cell>
          <cell r="H31">
            <v>41799</v>
          </cell>
          <cell r="I31">
            <v>46118</v>
          </cell>
          <cell r="J31" t="str">
            <v xml:space="preserve">11 năm 9 tháng </v>
          </cell>
          <cell r="K31" t="str">
            <v>A</v>
          </cell>
          <cell r="M31" t="str">
            <v>Thay đổi vị trí</v>
          </cell>
        </row>
        <row r="32">
          <cell r="C32" t="str">
            <v>Lê Thị Giang Châu</v>
          </cell>
          <cell r="D32" t="str">
            <v xml:space="preserve">Nhân viên </v>
          </cell>
          <cell r="E32" t="str">
            <v>Hợp đồng không xác định TH</v>
          </cell>
          <cell r="F32" t="str">
            <v>Cử nhân kế toán</v>
          </cell>
          <cell r="G32" t="str">
            <v>Đại học</v>
          </cell>
          <cell r="H32">
            <v>43598</v>
          </cell>
          <cell r="I32">
            <v>46118</v>
          </cell>
          <cell r="J32" t="str">
            <v xml:space="preserve">6 năm 10 tháng </v>
          </cell>
          <cell r="K32" t="str">
            <v>A</v>
          </cell>
          <cell r="M32" t="str">
            <v>Điều chỉnh lương</v>
          </cell>
        </row>
        <row r="33">
          <cell r="C33" t="str">
            <v>Trần Tin</v>
          </cell>
          <cell r="D33" t="str">
            <v xml:space="preserve">Nhân viên </v>
          </cell>
          <cell r="E33" t="str">
            <v>Hợp đồng không xác định TH</v>
          </cell>
          <cell r="F33" t="str">
            <v xml:space="preserve">Đang đợi xét tốt nghiệp </v>
          </cell>
          <cell r="G33" t="str">
            <v>Đại học</v>
          </cell>
          <cell r="H33">
            <v>45006</v>
          </cell>
          <cell r="I33">
            <v>46118</v>
          </cell>
          <cell r="J33" t="str">
            <v xml:space="preserve">3 năm 0 tháng </v>
          </cell>
          <cell r="K33" t="str">
            <v>A</v>
          </cell>
          <cell r="M33" t="str">
            <v>Điều chỉnh lương</v>
          </cell>
        </row>
        <row r="34">
          <cell r="C34" t="str">
            <v>Đặng Công Nhựt</v>
          </cell>
          <cell r="D34" t="str">
            <v xml:space="preserve">Nhân viên </v>
          </cell>
          <cell r="E34" t="str">
            <v>Hợp đồng không xác định TH</v>
          </cell>
          <cell r="F34" t="str">
            <v>Trung cấp xây dựng dân dụng &amp; công nghiệp - 2000</v>
          </cell>
          <cell r="G34" t="str">
            <v>Trung cấp</v>
          </cell>
          <cell r="H34">
            <v>39742</v>
          </cell>
          <cell r="I34">
            <v>46118</v>
          </cell>
          <cell r="J34" t="str">
            <v xml:space="preserve">17 năm 5 tháng </v>
          </cell>
          <cell r="K34" t="str">
            <v>A</v>
          </cell>
          <cell r="M34" t="str">
            <v>Điều chỉnh lương</v>
          </cell>
        </row>
        <row r="35">
          <cell r="C35" t="str">
            <v>Đặng Thị Mỹ Hạnh</v>
          </cell>
          <cell r="D35" t="str">
            <v xml:space="preserve">Nhân viên </v>
          </cell>
          <cell r="E35" t="str">
            <v>Hợp đồng không xác định TH</v>
          </cell>
          <cell r="F35" t="str">
            <v xml:space="preserve">Cử nhân Quản trị kinh doanh - 2011  </v>
          </cell>
          <cell r="G35" t="str">
            <v>Đại học</v>
          </cell>
          <cell r="H35">
            <v>41927</v>
          </cell>
          <cell r="I35">
            <v>46118</v>
          </cell>
          <cell r="J35" t="str">
            <v xml:space="preserve">11 năm 5 tháng </v>
          </cell>
          <cell r="K35" t="str">
            <v>A</v>
          </cell>
          <cell r="M35" t="str">
            <v>Điều chỉnh lương</v>
          </cell>
        </row>
        <row r="36">
          <cell r="C36" t="str">
            <v>Đặng Thanh Quang</v>
          </cell>
          <cell r="D36" t="str">
            <v xml:space="preserve">Nhân viên </v>
          </cell>
          <cell r="E36" t="str">
            <v>Hợp đồng không xác định TH</v>
          </cell>
          <cell r="F36" t="str">
            <v>Trung cấp thủy lợi</v>
          </cell>
          <cell r="G36" t="str">
            <v>Trung cấp</v>
          </cell>
          <cell r="H36">
            <v>44652</v>
          </cell>
          <cell r="I36">
            <v>46118</v>
          </cell>
          <cell r="J36" t="str">
            <v xml:space="preserve">4 năm 0 tháng </v>
          </cell>
          <cell r="K36" t="str">
            <v>A</v>
          </cell>
          <cell r="M36" t="str">
            <v>Điều chỉnh lương</v>
          </cell>
        </row>
        <row r="37">
          <cell r="C37" t="str">
            <v>Mai Văn Châu</v>
          </cell>
          <cell r="D37" t="str">
            <v xml:space="preserve">Nhân viên </v>
          </cell>
          <cell r="E37" t="str">
            <v>Hợp đồng không xác định TH</v>
          </cell>
          <cell r="F37" t="str">
            <v xml:space="preserve">Cao đẳng Điện lực </v>
          </cell>
          <cell r="G37" t="str">
            <v>Đại học</v>
          </cell>
          <cell r="H37">
            <v>44470</v>
          </cell>
          <cell r="I37">
            <v>46118</v>
          </cell>
          <cell r="J37" t="str">
            <v xml:space="preserve">4 năm 6 tháng </v>
          </cell>
          <cell r="K37" t="str">
            <v>A</v>
          </cell>
          <cell r="M37" t="str">
            <v>Điều chỉnh lương</v>
          </cell>
        </row>
        <row r="38">
          <cell r="C38" t="str">
            <v>Ngô Thị Tâm</v>
          </cell>
          <cell r="D38" t="str">
            <v>TK Sàn</v>
          </cell>
          <cell r="E38" t="str">
            <v>Hợp đồng không xác định TH</v>
          </cell>
          <cell r="F38" t="str">
            <v>Cử nhân QTKD Du lịch&amp;Dịch vụ</v>
          </cell>
          <cell r="G38" t="str">
            <v>Đại học</v>
          </cell>
          <cell r="H38">
            <v>40529</v>
          </cell>
          <cell r="I38">
            <v>46118</v>
          </cell>
          <cell r="J38" t="str">
            <v xml:space="preserve">15 năm 3 tháng </v>
          </cell>
          <cell r="K38" t="str">
            <v>A</v>
          </cell>
          <cell r="M38" t="str">
            <v>Điều chỉnh lương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25">
          <cell r="B25" t="str">
            <v>Đặng Thanh Bình</v>
          </cell>
          <cell r="C25" t="str">
            <v>3496004373</v>
          </cell>
          <cell r="D25" t="str">
            <v>01/01/1963</v>
          </cell>
          <cell r="E25" t="str">
            <v>Nam</v>
          </cell>
          <cell r="F25" t="str">
            <v>049063014707</v>
          </cell>
          <cell r="G25" t="str">
            <v xml:space="preserve">Chủ tịch Hội đồng Quản trị - Ban điều hành </v>
          </cell>
          <cell r="H25" t="str">
            <v>X</v>
          </cell>
          <cell r="L25">
            <v>55660000</v>
          </cell>
          <cell r="U25">
            <v>39267</v>
          </cell>
        </row>
        <row r="26">
          <cell r="B26" t="str">
            <v>Đoàn Thị Ngọc Nữ</v>
          </cell>
          <cell r="C26" t="str">
            <v>0403011235</v>
          </cell>
          <cell r="D26" t="str">
            <v>23/05/1980</v>
          </cell>
          <cell r="E26" t="str">
            <v>Nữ</v>
          </cell>
          <cell r="F26" t="str">
            <v>049180017005</v>
          </cell>
          <cell r="G26" t="str">
            <v xml:space="preserve">Phó Tổng Giám đốc - Ban điều hành </v>
          </cell>
          <cell r="H26" t="str">
            <v>X</v>
          </cell>
          <cell r="L26">
            <v>26500000</v>
          </cell>
          <cell r="U26">
            <v>43102</v>
          </cell>
          <cell r="Z26">
            <v>39295</v>
          </cell>
        </row>
        <row r="27">
          <cell r="B27" t="str">
            <v>Nguyễn Ngọc Tôn</v>
          </cell>
          <cell r="C27" t="str">
            <v>0405014684</v>
          </cell>
          <cell r="D27" t="str">
            <v>20/12/1978</v>
          </cell>
          <cell r="E27" t="str">
            <v>Nam</v>
          </cell>
          <cell r="F27" t="str">
            <v>049078016612</v>
          </cell>
          <cell r="G27" t="str">
            <v xml:space="preserve">Phó Tổng Giám đốc kiêm 
 - Ban điều hành </v>
          </cell>
          <cell r="H27" t="str">
            <v>X</v>
          </cell>
          <cell r="L27">
            <v>22000000</v>
          </cell>
          <cell r="U27">
            <v>43102</v>
          </cell>
          <cell r="Z27">
            <v>40299</v>
          </cell>
        </row>
        <row r="28">
          <cell r="B28" t="str">
            <v>Trần Quốc Thể</v>
          </cell>
          <cell r="C28" t="str">
            <v>0402007477</v>
          </cell>
          <cell r="D28" t="str">
            <v>15/02/1976</v>
          </cell>
          <cell r="E28" t="str">
            <v>Nam</v>
          </cell>
          <cell r="F28" t="str">
            <v>049076015199</v>
          </cell>
          <cell r="G28" t="str">
            <v xml:space="preserve">Phó Tổng Giám đốc kiêm 
 - Ban điều hành </v>
          </cell>
          <cell r="H28" t="str">
            <v>X</v>
          </cell>
          <cell r="L28">
            <v>29000000</v>
          </cell>
          <cell r="U28">
            <v>43102</v>
          </cell>
          <cell r="Z28">
            <v>40210</v>
          </cell>
        </row>
        <row r="29">
          <cell r="B29" t="str">
            <v>Trần Thị Thu Thủy</v>
          </cell>
          <cell r="C29">
            <v>403011143</v>
          </cell>
          <cell r="D29" t="str">
            <v>23/11/1978</v>
          </cell>
          <cell r="E29" t="str">
            <v>Nữ</v>
          </cell>
          <cell r="F29" t="str">
            <v>049178017842</v>
          </cell>
          <cell r="G29" t="str">
            <v>Giám đốc Ban Hành chính Nhân sự</v>
          </cell>
          <cell r="I29" t="str">
            <v>X</v>
          </cell>
          <cell r="L29">
            <v>16500000</v>
          </cell>
          <cell r="U29">
            <v>43102</v>
          </cell>
          <cell r="Z29">
            <v>42737</v>
          </cell>
        </row>
        <row r="30">
          <cell r="B30" t="str">
            <v>Hồ Thị Thùy Trang</v>
          </cell>
          <cell r="C30" t="str">
            <v>0204357398</v>
          </cell>
          <cell r="D30" t="str">
            <v>18/02/1979</v>
          </cell>
          <cell r="E30" t="str">
            <v>Nữ</v>
          </cell>
          <cell r="F30" t="str">
            <v>049179002730</v>
          </cell>
          <cell r="G30" t="str">
            <v>Phó Giám đốc Ban Hành chính Nhân sự</v>
          </cell>
          <cell r="I30" t="str">
            <v>X</v>
          </cell>
          <cell r="L30">
            <v>12340000</v>
          </cell>
          <cell r="U30">
            <v>43102</v>
          </cell>
          <cell r="Z30">
            <v>42870</v>
          </cell>
        </row>
        <row r="31">
          <cell r="B31" t="str">
            <v>Nguyễn Băng Trinh</v>
          </cell>
          <cell r="C31" t="str">
            <v>4420922734</v>
          </cell>
          <cell r="D31">
            <v>36166</v>
          </cell>
          <cell r="E31" t="str">
            <v>Nữ</v>
          </cell>
          <cell r="F31" t="str">
            <v>044199003957</v>
          </cell>
          <cell r="G31" t="str">
            <v>Nhân viên Ban HCNS</v>
          </cell>
          <cell r="I31" t="str">
            <v>X</v>
          </cell>
          <cell r="L31">
            <v>10000000</v>
          </cell>
          <cell r="U31">
            <v>45334</v>
          </cell>
          <cell r="Z31">
            <v>44958</v>
          </cell>
        </row>
        <row r="32">
          <cell r="B32" t="str">
            <v>Phan Văn Anh</v>
          </cell>
          <cell r="C32" t="str">
            <v>3496014719</v>
          </cell>
          <cell r="D32" t="str">
            <v>11/03/1967</v>
          </cell>
          <cell r="E32" t="str">
            <v>Nam</v>
          </cell>
          <cell r="F32" t="str">
            <v>049067013938</v>
          </cell>
          <cell r="G32" t="str">
            <v>Nhân viên lái xe ô tô 4, 7 chỗ - HCNS</v>
          </cell>
          <cell r="K32" t="str">
            <v>X</v>
          </cell>
          <cell r="L32">
            <v>9260000</v>
          </cell>
          <cell r="U32">
            <v>43102</v>
          </cell>
          <cell r="Z32">
            <v>40513</v>
          </cell>
        </row>
        <row r="33">
          <cell r="B33" t="str">
            <v xml:space="preserve"> Võ Văn Hồng </v>
          </cell>
          <cell r="C33">
            <v>4912002751</v>
          </cell>
          <cell r="D33">
            <v>30275</v>
          </cell>
          <cell r="E33" t="str">
            <v>Nam</v>
          </cell>
          <cell r="F33" t="str">
            <v>049082018307</v>
          </cell>
          <cell r="G33" t="str">
            <v>Nhân viên lái xe ô tô 4, 7 chỗ - HCNS</v>
          </cell>
          <cell r="J33" t="str">
            <v>X</v>
          </cell>
          <cell r="L33">
            <v>6996000</v>
          </cell>
          <cell r="V33">
            <v>45748</v>
          </cell>
          <cell r="W33">
            <v>46112</v>
          </cell>
          <cell r="Z33">
            <v>45778</v>
          </cell>
        </row>
        <row r="34">
          <cell r="B34" t="str">
            <v>Đặng Văn Quang</v>
          </cell>
          <cell r="C34" t="str">
            <v>4908012195</v>
          </cell>
          <cell r="D34" t="str">
            <v>14/06/1975</v>
          </cell>
          <cell r="E34" t="str">
            <v>Nam</v>
          </cell>
          <cell r="F34" t="str">
            <v>049075019332</v>
          </cell>
          <cell r="G34" t="str">
            <v>Nhân viên bảo vệ - HCNS</v>
          </cell>
          <cell r="K34" t="str">
            <v>X</v>
          </cell>
          <cell r="L34">
            <v>7590000</v>
          </cell>
          <cell r="U34">
            <v>43102</v>
          </cell>
          <cell r="Z34">
            <v>42795</v>
          </cell>
        </row>
        <row r="35">
          <cell r="B35" t="str">
            <v>Đặng Thanh Hồng</v>
          </cell>
          <cell r="C35" t="str">
            <v>4809014651</v>
          </cell>
          <cell r="D35" t="str">
            <v>15/06/1963</v>
          </cell>
          <cell r="E35" t="str">
            <v>Nam</v>
          </cell>
          <cell r="F35" t="str">
            <v>049063006090</v>
          </cell>
          <cell r="G35" t="str">
            <v>Nhân viên bảo vệ - HCNS</v>
          </cell>
          <cell r="K35" t="str">
            <v>X</v>
          </cell>
          <cell r="L35">
            <v>7590000</v>
          </cell>
          <cell r="U35">
            <v>43102</v>
          </cell>
          <cell r="Z35">
            <v>42795</v>
          </cell>
        </row>
        <row r="36">
          <cell r="B36" t="str">
            <v>Phạm Hùng</v>
          </cell>
          <cell r="C36">
            <v>4815029671</v>
          </cell>
          <cell r="D36" t="str">
            <v>14/05/1968</v>
          </cell>
          <cell r="E36" t="str">
            <v>Nam</v>
          </cell>
          <cell r="F36" t="str">
            <v>049068005493</v>
          </cell>
          <cell r="G36" t="str">
            <v>Nhân viên bảo vệ  - HCNS</v>
          </cell>
          <cell r="K36" t="str">
            <v>X</v>
          </cell>
          <cell r="L36">
            <v>5000000</v>
          </cell>
          <cell r="U36" t="str">
            <v>01/08/2017</v>
          </cell>
        </row>
        <row r="37">
          <cell r="B37" t="str">
            <v>Trương Thị Bích Ngọc</v>
          </cell>
          <cell r="C37" t="str">
            <v>hưởng hưu</v>
          </cell>
          <cell r="D37" t="str">
            <v>12/12/1971</v>
          </cell>
          <cell r="E37" t="str">
            <v>Nữ</v>
          </cell>
          <cell r="F37" t="str">
            <v>048171000955</v>
          </cell>
          <cell r="G37" t="str">
            <v>Nhân viên tạp vụ - HCNS</v>
          </cell>
          <cell r="K37" t="str">
            <v>X</v>
          </cell>
          <cell r="L37">
            <v>6000000</v>
          </cell>
          <cell r="U37">
            <v>43101</v>
          </cell>
        </row>
        <row r="38">
          <cell r="B38" t="str">
            <v>Đặng Thị Hoa</v>
          </cell>
          <cell r="C38" t="str">
            <v>hưởng hưu</v>
          </cell>
          <cell r="D38">
            <v>25180</v>
          </cell>
          <cell r="E38" t="str">
            <v>Nữ</v>
          </cell>
          <cell r="F38" t="str">
            <v>048168000549</v>
          </cell>
          <cell r="G38" t="str">
            <v>Nhân viên tạp vụ - HCNS</v>
          </cell>
          <cell r="K38" t="str">
            <v>X</v>
          </cell>
          <cell r="L38">
            <v>4450000</v>
          </cell>
          <cell r="U38">
            <v>43102</v>
          </cell>
        </row>
        <row r="39">
          <cell r="B39" t="str">
            <v>Đồng Thị Nguyệt Nga</v>
          </cell>
          <cell r="C39" t="str">
            <v>4812038931</v>
          </cell>
          <cell r="D39" t="str">
            <v>10/06/1985</v>
          </cell>
          <cell r="E39" t="str">
            <v>Nữ</v>
          </cell>
          <cell r="F39" t="str">
            <v>049185012250</v>
          </cell>
          <cell r="G39" t="str">
            <v>Giám đốc Ban Tài chính Kế toán - TÀI CHÍNH KẾ TOÁN</v>
          </cell>
          <cell r="I39" t="str">
            <v>X</v>
          </cell>
          <cell r="L39">
            <v>22000000</v>
          </cell>
          <cell r="U39">
            <v>43102</v>
          </cell>
          <cell r="Z39">
            <v>42917</v>
          </cell>
        </row>
        <row r="40">
          <cell r="B40" t="str">
            <v>Huỳnh Thị Hoàng Hà</v>
          </cell>
          <cell r="C40">
            <v>7508220899</v>
          </cell>
          <cell r="D40" t="str">
            <v>26/02/1984</v>
          </cell>
          <cell r="E40" t="str">
            <v>Nữ</v>
          </cell>
          <cell r="F40" t="str">
            <v>048184002606</v>
          </cell>
          <cell r="G40" t="str">
            <v>Phó GĐ Ban Tài chính Kế toán - TÀI CHÍNH KẾ TOÁN</v>
          </cell>
          <cell r="I40" t="str">
            <v>X</v>
          </cell>
          <cell r="L40">
            <v>15500000</v>
          </cell>
          <cell r="U40">
            <v>43102</v>
          </cell>
          <cell r="Z40">
            <v>42917</v>
          </cell>
        </row>
        <row r="41">
          <cell r="B41" t="str">
            <v>Nguyễn Thị Thảo</v>
          </cell>
          <cell r="C41" t="str">
            <v>4809000009</v>
          </cell>
          <cell r="D41" t="str">
            <v>09/01/1986</v>
          </cell>
          <cell r="E41" t="str">
            <v>Nữ</v>
          </cell>
          <cell r="F41" t="str">
            <v>040186038815</v>
          </cell>
          <cell r="G41" t="str">
            <v>Nhân viên Ban Tài chính Kế toán - TÀI CHÍNH KẾ TOÁN</v>
          </cell>
          <cell r="I41" t="str">
            <v>X</v>
          </cell>
          <cell r="L41">
            <v>10350000</v>
          </cell>
          <cell r="U41">
            <v>43102</v>
          </cell>
        </row>
        <row r="42">
          <cell r="B42" t="str">
            <v>Nguyễn Thị Nhật Sang</v>
          </cell>
          <cell r="C42" t="str">
            <v>4820841336</v>
          </cell>
          <cell r="D42">
            <v>36207</v>
          </cell>
          <cell r="E42" t="str">
            <v>Nữ</v>
          </cell>
          <cell r="F42" t="str">
            <v>049199010621</v>
          </cell>
          <cell r="G42" t="str">
            <v>Nhân viên Ban Tài chính Kế toán - TÀI CHÍNH KẾ TOÁN</v>
          </cell>
          <cell r="I42" t="str">
            <v>X</v>
          </cell>
          <cell r="L42">
            <v>10000000</v>
          </cell>
          <cell r="U42">
            <v>45945</v>
          </cell>
          <cell r="Z42">
            <v>45566</v>
          </cell>
        </row>
        <row r="43">
          <cell r="B43" t="str">
            <v>Phan Duy Sâm</v>
          </cell>
          <cell r="C43">
            <v>4815029674</v>
          </cell>
          <cell r="D43">
            <v>31168</v>
          </cell>
          <cell r="E43" t="str">
            <v>Nam</v>
          </cell>
          <cell r="F43" t="str">
            <v>049085019390</v>
          </cell>
          <cell r="G43" t="str">
            <v>Phó Giám đốc Ban Kỹ thuật Xây dựng - KỸ THUẬT XÂY DỰNG</v>
          </cell>
          <cell r="I43" t="str">
            <v>X</v>
          </cell>
          <cell r="L43">
            <v>14720000</v>
          </cell>
          <cell r="U43">
            <v>43662</v>
          </cell>
        </row>
        <row r="44">
          <cell r="B44" t="str">
            <v>Nguyễn Văn Bồn</v>
          </cell>
          <cell r="C44" t="str">
            <v>4816024231</v>
          </cell>
          <cell r="D44" t="str">
            <v>03/09/1982</v>
          </cell>
          <cell r="E44" t="str">
            <v>Nam</v>
          </cell>
          <cell r="F44" t="str">
            <v>049082012211</v>
          </cell>
          <cell r="G44" t="str">
            <v>Nhân viên Ban Kỹ thuật Xây dựng - KỸ THUẬT XÂY DỰNG</v>
          </cell>
          <cell r="I44" t="str">
            <v>X</v>
          </cell>
          <cell r="L44">
            <v>13500000</v>
          </cell>
          <cell r="U44">
            <v>43102</v>
          </cell>
          <cell r="Z44">
            <v>43101</v>
          </cell>
        </row>
        <row r="45">
          <cell r="B45" t="str">
            <v>Nguyễn Đình Thắng</v>
          </cell>
          <cell r="C45" t="str">
            <v>7909335919</v>
          </cell>
          <cell r="D45">
            <v>31754</v>
          </cell>
          <cell r="E45" t="str">
            <v>Nam</v>
          </cell>
          <cell r="F45" t="str">
            <v>048086006997</v>
          </cell>
          <cell r="G45" t="str">
            <v>Kỹ sư dự án - KỸ THUẬT XÂY DỰNG</v>
          </cell>
          <cell r="I45" t="str">
            <v>X</v>
          </cell>
          <cell r="L45">
            <v>23300000</v>
          </cell>
          <cell r="V45" t="str">
            <v>01/04/2025</v>
          </cell>
          <cell r="W45">
            <v>46112</v>
          </cell>
          <cell r="Z45">
            <v>45748</v>
          </cell>
        </row>
        <row r="46">
          <cell r="B46" t="str">
            <v>Nguyễn Đình Hiếu</v>
          </cell>
          <cell r="C46" t="str">
            <v>0407012241</v>
          </cell>
          <cell r="D46">
            <v>29444</v>
          </cell>
          <cell r="E46" t="str">
            <v>Nam</v>
          </cell>
          <cell r="F46" t="str">
            <v>048080000698</v>
          </cell>
          <cell r="G46" t="str">
            <v>Kỹ sư cơ điện - KỸ THUẬT XÂY DỰNG</v>
          </cell>
          <cell r="I46" t="str">
            <v>X</v>
          </cell>
          <cell r="L46">
            <v>24800000</v>
          </cell>
          <cell r="V46" t="str">
            <v>02/05/2025</v>
          </cell>
          <cell r="W46">
            <v>46143</v>
          </cell>
          <cell r="Z46">
            <v>45778</v>
          </cell>
        </row>
        <row r="47">
          <cell r="B47" t="str">
            <v>Mai Văn Châu</v>
          </cell>
          <cell r="C47" t="str">
            <v>4813022061</v>
          </cell>
          <cell r="D47">
            <v>32948</v>
          </cell>
          <cell r="E47" t="str">
            <v>Nam</v>
          </cell>
          <cell r="F47" t="str">
            <v>049090011138</v>
          </cell>
          <cell r="G47" t="str">
            <v>Nhân viên Xí nghiệp Duy tu Bảo dưỡng - XN DUY TU BD</v>
          </cell>
          <cell r="J47" t="str">
            <v>X</v>
          </cell>
          <cell r="L47">
            <v>13940000</v>
          </cell>
          <cell r="U47" t="str">
            <v>01/10/2021</v>
          </cell>
          <cell r="Z47">
            <v>44470</v>
          </cell>
        </row>
        <row r="48">
          <cell r="B48" t="str">
            <v>Phan Thị Mỹ Hạnh</v>
          </cell>
          <cell r="C48" t="str">
            <v>0402006721</v>
          </cell>
          <cell r="D48" t="str">
            <v>13/03/1979</v>
          </cell>
          <cell r="E48" t="str">
            <v>Nữ</v>
          </cell>
          <cell r="F48" t="str">
            <v>048179005289</v>
          </cell>
          <cell r="G48" t="str">
            <v xml:space="preserve">P.GĐ Ban KHĐT - KẾ HOẠCH ĐẦU TƯ </v>
          </cell>
          <cell r="I48" t="str">
            <v>X</v>
          </cell>
          <cell r="L48">
            <v>20000000</v>
          </cell>
          <cell r="U48">
            <v>43102</v>
          </cell>
          <cell r="Z48">
            <v>42948</v>
          </cell>
        </row>
        <row r="49">
          <cell r="B49" t="str">
            <v>Phan Thị Kim Cúc</v>
          </cell>
          <cell r="C49" t="str">
            <v>4814026957</v>
          </cell>
          <cell r="D49" t="str">
            <v>29/12/1988</v>
          </cell>
          <cell r="E49" t="str">
            <v>Nữ</v>
          </cell>
          <cell r="F49" t="str">
            <v>049188015053</v>
          </cell>
          <cell r="G49" t="str">
            <v xml:space="preserve">Nhân viên Ban Kế hoạch Đầu tư - KẾ HOẠCH ĐẦU TƯ </v>
          </cell>
          <cell r="J49" t="str">
            <v>X</v>
          </cell>
          <cell r="L49">
            <v>9000000</v>
          </cell>
          <cell r="U49">
            <v>43102</v>
          </cell>
          <cell r="Z49">
            <v>42795</v>
          </cell>
        </row>
        <row r="50">
          <cell r="B50" t="str">
            <v>Nguyễn Đức Lợi</v>
          </cell>
          <cell r="C50" t="str">
            <v>4815022961</v>
          </cell>
          <cell r="D50">
            <v>33270</v>
          </cell>
          <cell r="E50" t="str">
            <v>Nam</v>
          </cell>
          <cell r="F50" t="str">
            <v>049091019974</v>
          </cell>
          <cell r="G50" t="str">
            <v xml:space="preserve">Phó GĐ Ban Kế hoạch Đầu tư - KẾ HOẠCH ĐẦU TƯ </v>
          </cell>
          <cell r="I50" t="str">
            <v>X</v>
          </cell>
          <cell r="L50">
            <v>15500000</v>
          </cell>
          <cell r="U50">
            <v>43467</v>
          </cell>
          <cell r="Z50">
            <v>43132</v>
          </cell>
        </row>
        <row r="51">
          <cell r="B51" t="str">
            <v>Trần Văn Trung</v>
          </cell>
          <cell r="C51">
            <v>3496014692</v>
          </cell>
          <cell r="D51" t="str">
            <v>3/1/1967</v>
          </cell>
          <cell r="E51" t="str">
            <v>Nam</v>
          </cell>
          <cell r="F51" t="str">
            <v>049067016894</v>
          </cell>
          <cell r="G51" t="str">
            <v xml:space="preserve">Nhân viên Ban Kế hoạch đầu tư  - KẾ HOẠCH ĐẦU TƯ </v>
          </cell>
          <cell r="I51" t="str">
            <v>X</v>
          </cell>
          <cell r="L51">
            <v>11682000</v>
          </cell>
          <cell r="U51">
            <v>43118</v>
          </cell>
          <cell r="Z51">
            <v>40756</v>
          </cell>
        </row>
        <row r="52">
          <cell r="B52" t="str">
            <v>Nguyễn Trần Thức</v>
          </cell>
          <cell r="C52">
            <v>4820549229</v>
          </cell>
          <cell r="D52">
            <v>34915</v>
          </cell>
          <cell r="E52" t="str">
            <v>Nam</v>
          </cell>
          <cell r="F52" t="str">
            <v>048095008227</v>
          </cell>
          <cell r="G52" t="str">
            <v xml:space="preserve">Giám đốc Ban Kế hoạch đầu tư  - KẾ HOẠCH ĐẦU TƯ </v>
          </cell>
          <cell r="I52" t="str">
            <v>X</v>
          </cell>
          <cell r="L52">
            <v>20000000</v>
          </cell>
          <cell r="U52" t="str">
            <v>01/02/2023</v>
          </cell>
          <cell r="Z52">
            <v>43313</v>
          </cell>
        </row>
        <row r="53">
          <cell r="B53" t="str">
            <v>Lê Thị Giang Châu</v>
          </cell>
          <cell r="C53">
            <v>4821414009</v>
          </cell>
          <cell r="D53">
            <v>33986</v>
          </cell>
          <cell r="E53" t="str">
            <v>Nữ</v>
          </cell>
          <cell r="F53" t="str">
            <v>048193006603</v>
          </cell>
          <cell r="G53" t="str">
            <v xml:space="preserve">Nhân viên Ban Kế hoạch đầu tư - KẾ HOẠCH ĐẦU TƯ </v>
          </cell>
          <cell r="I53" t="str">
            <v>X</v>
          </cell>
          <cell r="L53">
            <v>8400000</v>
          </cell>
          <cell r="U53">
            <v>44329</v>
          </cell>
          <cell r="Z53">
            <v>43586</v>
          </cell>
        </row>
        <row r="54">
          <cell r="B54" t="str">
            <v>Trần Tin</v>
          </cell>
          <cell r="C54" t="str">
            <v>4820999781</v>
          </cell>
          <cell r="D54">
            <v>36472</v>
          </cell>
          <cell r="E54" t="str">
            <v>Nam</v>
          </cell>
          <cell r="F54" t="str">
            <v>048099006638</v>
          </cell>
          <cell r="G54" t="str">
            <v xml:space="preserve">Nhân viên Ban Kế hoạch đầu tư - KẾ HOẠCH ĐẦU TƯ </v>
          </cell>
          <cell r="J54" t="str">
            <v>X</v>
          </cell>
          <cell r="L54">
            <v>7300000</v>
          </cell>
          <cell r="U54">
            <v>45372</v>
          </cell>
          <cell r="Z54">
            <v>45017</v>
          </cell>
        </row>
        <row r="55">
          <cell r="B55" t="str">
            <v>Đặng Công Nhựt</v>
          </cell>
          <cell r="C55" t="str">
            <v>0403012361</v>
          </cell>
          <cell r="D55" t="str">
            <v>09/03/1977</v>
          </cell>
          <cell r="E55" t="str">
            <v>Nam</v>
          </cell>
          <cell r="F55" t="str">
            <v>048077002933</v>
          </cell>
          <cell r="G55" t="str">
            <v>Nhân viên Ban Đền bù Giải tỏa - ĐỀN BÙ GIẢI TỎA</v>
          </cell>
          <cell r="J55" t="str">
            <v>X</v>
          </cell>
          <cell r="L55">
            <v>9000000</v>
          </cell>
          <cell r="U55">
            <v>43102</v>
          </cell>
          <cell r="Z55">
            <v>42795</v>
          </cell>
        </row>
        <row r="56">
          <cell r="B56" t="str">
            <v>Đặng Thị Mỹ Hạnh</v>
          </cell>
          <cell r="C56" t="str">
            <v>4812004713</v>
          </cell>
          <cell r="D56" t="str">
            <v>03/11/1989</v>
          </cell>
          <cell r="E56" t="str">
            <v>Nữ</v>
          </cell>
          <cell r="F56" t="str">
            <v>048189004898</v>
          </cell>
          <cell r="G56" t="str">
            <v>Nhân viên Ban Đền bù Giải tỏa - ĐỀN BÙ GIẢI TỎA</v>
          </cell>
          <cell r="I56" t="str">
            <v>X</v>
          </cell>
          <cell r="L56">
            <v>8040000</v>
          </cell>
          <cell r="U56">
            <v>43102</v>
          </cell>
          <cell r="Z56">
            <v>42795</v>
          </cell>
        </row>
        <row r="57">
          <cell r="B57" t="str">
            <v>Đặng Thanh Quang</v>
          </cell>
          <cell r="C57">
            <v>4811008669</v>
          </cell>
          <cell r="D57">
            <v>29943</v>
          </cell>
          <cell r="E57" t="str">
            <v>Nam</v>
          </cell>
          <cell r="F57" t="str">
            <v>049081015577</v>
          </cell>
          <cell r="G57" t="str">
            <v>Nhân viên Ban Đền bù Giải tỏa - ĐỀN BÙ GIẢI TỎA</v>
          </cell>
          <cell r="J57" t="str">
            <v>X</v>
          </cell>
          <cell r="L57">
            <v>8040000</v>
          </cell>
          <cell r="U57" t="str">
            <v>01/04/2022</v>
          </cell>
          <cell r="Z57">
            <v>44652</v>
          </cell>
        </row>
        <row r="58">
          <cell r="B58" t="str">
            <v>Trần Cường</v>
          </cell>
          <cell r="C58" t="str">
            <v>0401003087</v>
          </cell>
          <cell r="D58" t="str">
            <v>01/04/1978</v>
          </cell>
          <cell r="E58" t="str">
            <v>Nam</v>
          </cell>
          <cell r="F58" t="str">
            <v>048078002791</v>
          </cell>
          <cell r="G58" t="str">
            <v>Giám đốc Ban Kinh doanh Tiếp thị - KINH DOANH TIẾP THỊ</v>
          </cell>
          <cell r="I58" t="str">
            <v>X</v>
          </cell>
          <cell r="L58">
            <v>6080000</v>
          </cell>
          <cell r="U58">
            <v>43347</v>
          </cell>
          <cell r="Z58">
            <v>41609</v>
          </cell>
        </row>
        <row r="59">
          <cell r="B59" t="str">
            <v>Ngô Thị Tâm</v>
          </cell>
          <cell r="C59" t="str">
            <v>4811004942</v>
          </cell>
          <cell r="D59" t="str">
            <v>06/04/1987</v>
          </cell>
          <cell r="E59" t="str">
            <v>Nữ</v>
          </cell>
          <cell r="F59" t="str">
            <v>048187002521</v>
          </cell>
          <cell r="G59" t="str">
            <v xml:space="preserve">Thư ký Sàn giao dịch Bất động sản DMT Land - SÀN BĐS DMT </v>
          </cell>
          <cell r="I59" t="str">
            <v>X</v>
          </cell>
          <cell r="L59">
            <v>4970000</v>
          </cell>
          <cell r="U59">
            <v>43466</v>
          </cell>
          <cell r="Z59">
            <v>43009</v>
          </cell>
        </row>
        <row r="60">
          <cell r="B60" t="str">
            <v>Nguyễn Thị Thuý Ngân</v>
          </cell>
          <cell r="C60">
            <v>4810007056</v>
          </cell>
          <cell r="D60">
            <v>32236</v>
          </cell>
          <cell r="E60" t="str">
            <v>Nữ</v>
          </cell>
          <cell r="F60" t="str">
            <v>049188008957</v>
          </cell>
          <cell r="G60" t="str">
            <v xml:space="preserve">Giám đốc Ban HCNS </v>
          </cell>
          <cell r="I60" t="str">
            <v>X</v>
          </cell>
          <cell r="L60">
            <v>21970000</v>
          </cell>
          <cell r="V60">
            <v>45999</v>
          </cell>
          <cell r="W60">
            <v>46363</v>
          </cell>
          <cell r="Z60">
            <v>45999</v>
          </cell>
        </row>
        <row r="61">
          <cell r="B61" t="str">
            <v>Trần Thị Diễm My</v>
          </cell>
          <cell r="C61">
            <v>403011143</v>
          </cell>
          <cell r="D61">
            <v>28817</v>
          </cell>
          <cell r="E61" t="str">
            <v>Nữ</v>
          </cell>
          <cell r="F61" t="str">
            <v>045192009351</v>
          </cell>
          <cell r="G61" t="str">
            <v xml:space="preserve">Giám đốc ban hành chính nhân sự - HCNS </v>
          </cell>
          <cell r="I61" t="str">
            <v>X</v>
          </cell>
          <cell r="L61">
            <v>20000000</v>
          </cell>
          <cell r="V61">
            <v>46023</v>
          </cell>
          <cell r="W61">
            <v>46388</v>
          </cell>
          <cell r="Z61">
            <v>46023</v>
          </cell>
        </row>
        <row r="62">
          <cell r="B62" t="str">
            <v>Lê Ngọc Tú Uyên</v>
          </cell>
          <cell r="C62" t="str">
            <v>0204357398</v>
          </cell>
          <cell r="D62">
            <v>28904</v>
          </cell>
          <cell r="E62" t="str">
            <v>Nữ</v>
          </cell>
          <cell r="F62" t="str">
            <v>049320008268</v>
          </cell>
          <cell r="G62" t="str">
            <v xml:space="preserve">Nhân viên  Ban hành chính nhân sự - HCNS </v>
          </cell>
          <cell r="I62" t="str">
            <v>X</v>
          </cell>
          <cell r="L62">
            <v>8170000</v>
          </cell>
          <cell r="V62">
            <v>46082</v>
          </cell>
          <cell r="W62">
            <v>46447</v>
          </cell>
          <cell r="Z62">
            <v>46082</v>
          </cell>
        </row>
        <row r="63">
          <cell r="B63" t="str">
            <v>Hồ Văn Khoa</v>
          </cell>
          <cell r="C63" t="str">
            <v>'0400006410</v>
          </cell>
          <cell r="D63">
            <v>26978</v>
          </cell>
          <cell r="E63" t="str">
            <v>Nam</v>
          </cell>
          <cell r="F63" t="str">
            <v>048073000277</v>
          </cell>
          <cell r="G63" t="str">
            <v>Thư ký Chủ tịch HĐQT</v>
          </cell>
          <cell r="I63" t="str">
            <v>X</v>
          </cell>
          <cell r="L63">
            <v>20000000</v>
          </cell>
          <cell r="V63">
            <v>46113</v>
          </cell>
          <cell r="W63">
            <v>46478</v>
          </cell>
          <cell r="Z63">
            <v>46113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a phòng QN 2026"/>
      <sheetName val="QN 2026"/>
      <sheetName val="chia phòng"/>
      <sheetName val="chia xe"/>
    </sheetNames>
    <sheetDataSet>
      <sheetData sheetId="0">
        <row r="4">
          <cell r="B4" t="str">
            <v>Đặng Ngọc Hoàng</v>
          </cell>
          <cell r="C4" t="str">
            <v>Phó Chủ tịch HĐQT</v>
          </cell>
          <cell r="E4" t="str">
            <v>0905640055</v>
          </cell>
        </row>
        <row r="5">
          <cell r="B5" t="str">
            <v>Nguyễn Thị Hạnh Tiên</v>
          </cell>
          <cell r="C5" t="str">
            <v>Trưởng Ban HCNS Marina</v>
          </cell>
          <cell r="E5" t="str">
            <v>0905917184</v>
          </cell>
        </row>
        <row r="6">
          <cell r="B6" t="str">
            <v>Đặng Thị Lan Ngọc</v>
          </cell>
          <cell r="C6" t="str">
            <v>Chủ tịch HĐQT Cienco</v>
          </cell>
          <cell r="E6" t="str">
            <v>0905235239</v>
          </cell>
        </row>
        <row r="7">
          <cell r="B7" t="str">
            <v>Trần Quốc Thể</v>
          </cell>
          <cell r="C7" t="str">
            <v>Tổng giám đốc DMT Group</v>
          </cell>
          <cell r="E7" t="str">
            <v>0913459440</v>
          </cell>
        </row>
        <row r="8">
          <cell r="B8" t="str">
            <v>Nguyễn Đức Lợi</v>
          </cell>
          <cell r="C8" t="str">
            <v>Phó Giám đốc Ban KHĐT DMT</v>
          </cell>
          <cell r="E8" t="str">
            <v>0935074474</v>
          </cell>
        </row>
        <row r="9">
          <cell r="B9" t="str">
            <v>Trần Cường</v>
          </cell>
          <cell r="C9" t="str">
            <v>Giám đốc DMT Marina</v>
          </cell>
          <cell r="E9" t="str">
            <v>0905454145</v>
          </cell>
        </row>
        <row r="10">
          <cell r="B10" t="str">
            <v>Nguyễn Ngọc Tôn</v>
          </cell>
          <cell r="C10" t="str">
            <v>Phó Tổng giám đốc DMT Group</v>
          </cell>
          <cell r="E10" t="str">
            <v>0905002822</v>
          </cell>
        </row>
        <row r="11">
          <cell r="B11" t="str">
            <v>Đoàn Thị Ngọc Nữ</v>
          </cell>
          <cell r="C11" t="str">
            <v>Phó Tổng giám đốc DMT Group</v>
          </cell>
          <cell r="E11" t="str">
            <v>0914009872</v>
          </cell>
        </row>
        <row r="12">
          <cell r="B12" t="str">
            <v>Đồng Thị Nguyệt Nga</v>
          </cell>
          <cell r="C12" t="str">
            <v>Giám đốc Ban TCKT DMT</v>
          </cell>
          <cell r="E12" t="str">
            <v>0935225485</v>
          </cell>
        </row>
        <row r="13">
          <cell r="B13" t="str">
            <v>Thái Văn Thành</v>
          </cell>
          <cell r="C13" t="str">
            <v>Tổng Giám đốc DMT Cienco</v>
          </cell>
          <cell r="E13" t="str">
            <v>0976988928</v>
          </cell>
        </row>
        <row r="14">
          <cell r="B14" t="str">
            <v>Trần Văn Trọng</v>
          </cell>
          <cell r="C14" t="str">
            <v>Phó Tổng giám đốc DMT Cienco</v>
          </cell>
          <cell r="E14" t="str">
            <v>0905334811</v>
          </cell>
        </row>
        <row r="15">
          <cell r="B15" t="str">
            <v>Nguyễn Trần Thức</v>
          </cell>
          <cell r="C15" t="str">
            <v xml:space="preserve">Giám đốc Ban KHĐT </v>
          </cell>
          <cell r="E15" t="str">
            <v>0795696969</v>
          </cell>
        </row>
        <row r="16">
          <cell r="B16" t="str">
            <v>Trần Tin</v>
          </cell>
          <cell r="C16" t="str">
            <v>Nhân viên Ban KHĐT</v>
          </cell>
          <cell r="E16" t="str">
            <v>0708107565</v>
          </cell>
        </row>
        <row r="17">
          <cell r="B17" t="str">
            <v>Lê Ngọc Thành Đạt</v>
          </cell>
          <cell r="C17" t="str">
            <v>Nhân viên DMT Marina</v>
          </cell>
          <cell r="E17" t="str">
            <v>0905667537</v>
          </cell>
        </row>
        <row r="18">
          <cell r="B18" t="str">
            <v>Phan Văn Anh</v>
          </cell>
          <cell r="C18" t="str">
            <v>Nhân viên Lái xe</v>
          </cell>
          <cell r="E18" t="str">
            <v>0949094777</v>
          </cell>
        </row>
        <row r="19">
          <cell r="B19" t="str">
            <v>Nguyễn Hoài Trung</v>
          </cell>
          <cell r="C19" t="str">
            <v>Nhân viên Lái xe</v>
          </cell>
          <cell r="E19" t="str">
            <v>0941555501</v>
          </cell>
        </row>
        <row r="20">
          <cell r="B20" t="str">
            <v>Nguyễn Thị Ngọc Hà</v>
          </cell>
          <cell r="C20" t="str">
            <v>Phó GĐ Ban Tài chính Kế toán DMT Cienco</v>
          </cell>
          <cell r="E20" t="str">
            <v>0931964990</v>
          </cell>
        </row>
        <row r="21">
          <cell r="B21" t="str">
            <v>Nguyễn Thị Mỹ Phương</v>
          </cell>
          <cell r="C21" t="str">
            <v>P hó GĐ Ban HCNS DMT Cienco</v>
          </cell>
          <cell r="E21" t="str">
            <v>0989686487</v>
          </cell>
        </row>
        <row r="22">
          <cell r="B22" t="str">
            <v>Huỳnh Thị Hoàng Hà</v>
          </cell>
          <cell r="C22" t="str">
            <v>Phó Giám đốc Ban TCKT DMT Group</v>
          </cell>
          <cell r="E22" t="str">
            <v>0905020798</v>
          </cell>
        </row>
        <row r="23">
          <cell r="B23" t="str">
            <v>Nguyễn Thị Như Can</v>
          </cell>
          <cell r="C23" t="str">
            <v>Nhân viên Ban TCKT DMT Cienco</v>
          </cell>
          <cell r="E23" t="str">
            <v>0905724988</v>
          </cell>
        </row>
        <row r="24">
          <cell r="B24" t="str">
            <v>Lê Thị Hải</v>
          </cell>
          <cell r="C24" t="str">
            <v>Phụ trách Kế toán DMT Marina</v>
          </cell>
          <cell r="E24" t="str">
            <v>0973961629</v>
          </cell>
        </row>
        <row r="25">
          <cell r="B25" t="str">
            <v>Lê Thị Giang Châu</v>
          </cell>
          <cell r="C25" t="str">
            <v>Nhân viên Ban KHĐT</v>
          </cell>
          <cell r="E25" t="str">
            <v>0915746303</v>
          </cell>
        </row>
        <row r="26">
          <cell r="B26" t="str">
            <v>Nguyễn Thị Nhật Sang</v>
          </cell>
          <cell r="C26" t="str">
            <v>Nhân viên Kế toán DMT</v>
          </cell>
          <cell r="E26" t="str">
            <v>0982031836</v>
          </cell>
        </row>
        <row r="27">
          <cell r="B27" t="str">
            <v>Nguyễn Băng Trinh</v>
          </cell>
          <cell r="C27" t="str">
            <v>Nhân viên HCNS</v>
          </cell>
          <cell r="E27" t="str">
            <v>0967836950</v>
          </cell>
        </row>
        <row r="28">
          <cell r="B28" t="str">
            <v>Phan Thị Mỹ Hạnh</v>
          </cell>
          <cell r="C28" t="str">
            <v>PGĐ Ban KHĐT</v>
          </cell>
          <cell r="E28" t="str">
            <v>0935135138</v>
          </cell>
        </row>
        <row r="29">
          <cell r="B29" t="str">
            <v>Phan Thị Kim Cúc</v>
          </cell>
          <cell r="C29" t="str">
            <v>Nhân viên Ban KHĐT</v>
          </cell>
          <cell r="E29" t="str">
            <v>0935291268</v>
          </cell>
        </row>
        <row r="30">
          <cell r="B30" t="str">
            <v>Mai Văn Châu</v>
          </cell>
          <cell r="C30" t="str">
            <v>NV Xí nghiệp duy ty BD</v>
          </cell>
          <cell r="E30" t="str">
            <v>0935145369</v>
          </cell>
        </row>
        <row r="31">
          <cell r="B31" t="str">
            <v>Nguyễn Văn Bồn</v>
          </cell>
          <cell r="C31" t="str">
            <v>Nhân viên Ban KTXD DMT</v>
          </cell>
          <cell r="E31" t="str">
            <v>0935613913</v>
          </cell>
        </row>
        <row r="32">
          <cell r="B32" t="str">
            <v>Đặng Công Nhựt</v>
          </cell>
          <cell r="C32" t="str">
            <v>Nhân viên Ban ĐBGT</v>
          </cell>
          <cell r="E32" t="str">
            <v>0905800890</v>
          </cell>
        </row>
        <row r="33">
          <cell r="B33" t="str">
            <v>Đặng Thanh Quang</v>
          </cell>
          <cell r="C33" t="str">
            <v>Nhân viên Ban ĐBGT</v>
          </cell>
          <cell r="E33" t="str">
            <v>0903512986</v>
          </cell>
        </row>
        <row r="34">
          <cell r="B34" t="str">
            <v>Đặng Thị Mỹ Hạnh</v>
          </cell>
          <cell r="C34" t="str">
            <v>Nhân viên Ban ĐBGT</v>
          </cell>
          <cell r="E34" t="str">
            <v>0906439294</v>
          </cell>
        </row>
        <row r="35">
          <cell r="B35" t="str">
            <v>Ngô Thị Tâm</v>
          </cell>
          <cell r="C35" t="str">
            <v>TK Sàn</v>
          </cell>
          <cell r="E35" t="str">
            <v>0913331245</v>
          </cell>
        </row>
        <row r="36">
          <cell r="B36" t="str">
            <v>Nguyễn Đình Thắng</v>
          </cell>
          <cell r="C36" t="str">
            <v>KSDA</v>
          </cell>
          <cell r="E36" t="str">
            <v>0905730391</v>
          </cell>
        </row>
        <row r="37">
          <cell r="B37" t="str">
            <v>Hồ Văn Khoa</v>
          </cell>
          <cell r="C37" t="str">
            <v>Thư Ký Chủ tịch HĐQT</v>
          </cell>
          <cell r="E37" t="str">
            <v>0914010001</v>
          </cell>
        </row>
        <row r="38">
          <cell r="B38" t="str">
            <v>Đặng Hiền</v>
          </cell>
          <cell r="C38" t="str">
            <v>Xí nghiệp xe máy thiết bị</v>
          </cell>
          <cell r="E38" t="str">
            <v>0934969061</v>
          </cell>
        </row>
        <row r="39">
          <cell r="B39" t="str">
            <v>Nguyễn Phong Trung</v>
          </cell>
          <cell r="C39" t="str">
            <v>Phụ trách công trình Cienco</v>
          </cell>
          <cell r="E39" t="str">
            <v>0913459238</v>
          </cell>
        </row>
        <row r="40">
          <cell r="B40" t="str">
            <v>Phạm Tấn Vinh</v>
          </cell>
          <cell r="C40" t="str">
            <v>Tổng Giám đốc Việt Tín</v>
          </cell>
        </row>
        <row r="41">
          <cell r="B41" t="str">
            <v>Nguyễn Đình Thành Nhân</v>
          </cell>
          <cell r="C41" t="str">
            <v>Nhân viên Việt Tín</v>
          </cell>
        </row>
        <row r="42">
          <cell r="B42" t="str">
            <v>Nguyễn Văn Sang</v>
          </cell>
          <cell r="C42" t="str">
            <v>Phó GĐ KTXD Cienco</v>
          </cell>
          <cell r="E42" t="str">
            <v>0905758821</v>
          </cell>
        </row>
        <row r="43">
          <cell r="B43" t="str">
            <v>Phạm Quang Nghĩa</v>
          </cell>
          <cell r="C43" t="str">
            <v>Phó GĐ KTXD Cienco</v>
          </cell>
          <cell r="E43" t="str">
            <v>0905113016</v>
          </cell>
        </row>
        <row r="44">
          <cell r="B44" t="str">
            <v>Lê Trần Minh Phúc</v>
          </cell>
          <cell r="C44" t="str">
            <v>Con anh Đông</v>
          </cell>
        </row>
        <row r="45">
          <cell r="B45" t="str">
            <v>Lê Đông</v>
          </cell>
          <cell r="C45" t="str">
            <v>Phụ trách công trình DMT Cienco</v>
          </cell>
          <cell r="E45" t="str">
            <v>0905766306</v>
          </cell>
        </row>
        <row r="46">
          <cell r="B46" t="str">
            <v>Phạm Văn Long</v>
          </cell>
          <cell r="C46" t="str">
            <v>Phụ trách công trình DMT Cienco</v>
          </cell>
          <cell r="E46" t="str">
            <v>0906494336</v>
          </cell>
        </row>
        <row r="47">
          <cell r="B47" t="str">
            <v>Ngô Văn Hoàng</v>
          </cell>
          <cell r="C47" t="str">
            <v>Nhân viên kỹ thuật DMT Cienco</v>
          </cell>
          <cell r="E47" t="str">
            <v>0899921149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ồ sơ"/>
      <sheetName val="Sheet1"/>
      <sheetName val="Báo cáo TH theo đơn vị  12.2025"/>
    </sheetNames>
    <sheetDataSet>
      <sheetData sheetId="0" refreshError="1">
        <row r="2">
          <cell r="B2" t="str">
            <v>Đặng Thanh Bình</v>
          </cell>
          <cell r="C2" t="str">
            <v>Nam</v>
          </cell>
          <cell r="E2" t="str">
            <v>01/01/1963</v>
          </cell>
          <cell r="F2" t="str">
            <v>200800437</v>
          </cell>
          <cell r="I2" t="str">
            <v>3496004373</v>
          </cell>
          <cell r="J2" t="str">
            <v>0913 404 319
0937127999</v>
          </cell>
          <cell r="K2">
            <v>1</v>
          </cell>
          <cell r="L2">
            <v>63</v>
          </cell>
          <cell r="M2">
            <v>39267</v>
          </cell>
          <cell r="O2" t="str">
            <v>Chủ tịch Hội đồng Quản trị</v>
          </cell>
          <cell r="P2" t="str">
            <v>12/12</v>
          </cell>
          <cell r="Q2" t="str">
            <v>Cử nhân Luật</v>
          </cell>
          <cell r="S2" t="str">
            <v>Cử nhân Luật</v>
          </cell>
          <cell r="U2" t="str">
            <v>CTHĐQT</v>
          </cell>
          <cell r="V2">
            <v>39267</v>
          </cell>
          <cell r="W2">
            <v>18</v>
          </cell>
          <cell r="Y2" t="str">
            <v xml:space="preserve">Ban điều hành </v>
          </cell>
        </row>
        <row r="3">
          <cell r="B3" t="str">
            <v>Đặng Ngọc Hoàng</v>
          </cell>
          <cell r="C3" t="str">
            <v>Nam</v>
          </cell>
          <cell r="I3" t="str">
            <v>4821073945</v>
          </cell>
          <cell r="O3" t="str">
            <v>Phó Chủ tịch hội đồng Quản trị</v>
          </cell>
          <cell r="Q3" t="str">
            <v>Thạc sĩ</v>
          </cell>
          <cell r="Y3" t="str">
            <v xml:space="preserve">Ban điều hành </v>
          </cell>
        </row>
        <row r="4">
          <cell r="B4" t="str">
            <v>Đặng Thị Lan Ngọc</v>
          </cell>
          <cell r="D4" t="str">
            <v>Nữ</v>
          </cell>
          <cell r="O4" t="str">
            <v>Phó Tổng Giám đốc</v>
          </cell>
          <cell r="Q4" t="str">
            <v xml:space="preserve">Thạc sĩ kế toán </v>
          </cell>
          <cell r="Y4" t="str">
            <v xml:space="preserve">Ban điều hành </v>
          </cell>
        </row>
        <row r="5">
          <cell r="B5" t="str">
            <v>Đoàn Thị Ngọc Nữ</v>
          </cell>
          <cell r="D5" t="str">
            <v>Nữ</v>
          </cell>
          <cell r="E5" t="str">
            <v>23/05/1980</v>
          </cell>
          <cell r="F5" t="str">
            <v>201657095</v>
          </cell>
          <cell r="I5" t="str">
            <v>0403011235</v>
          </cell>
          <cell r="J5" t="str">
            <v xml:space="preserve"> 0914009872</v>
          </cell>
          <cell r="K5">
            <v>5</v>
          </cell>
          <cell r="L5">
            <v>45</v>
          </cell>
          <cell r="M5">
            <v>39270</v>
          </cell>
          <cell r="N5" t="str">
            <v>02/2018</v>
          </cell>
          <cell r="O5" t="str">
            <v>Phó Tổng Giám đốc</v>
          </cell>
          <cell r="P5" t="str">
            <v>12/12</v>
          </cell>
          <cell r="Q5" t="str">
            <v>Cử nhân kế toán - 2006</v>
          </cell>
          <cell r="S5" t="str">
            <v>Cử nhân kế toán - 2006</v>
          </cell>
          <cell r="T5" t="str">
            <v>ĐH Kinh tế Đà Nẵng
(Hệ tại chức)</v>
          </cell>
          <cell r="U5" t="str">
            <v>PTGĐ</v>
          </cell>
          <cell r="V5">
            <v>39270</v>
          </cell>
          <cell r="W5">
            <v>18</v>
          </cell>
          <cell r="Y5" t="str">
            <v xml:space="preserve">Ban điều hành </v>
          </cell>
        </row>
        <row r="6">
          <cell r="B6" t="str">
            <v>Nguyễn Ngọc Tôn</v>
          </cell>
          <cell r="C6" t="str">
            <v>Nam</v>
          </cell>
          <cell r="E6" t="str">
            <v>20/12/1978</v>
          </cell>
          <cell r="F6" t="str">
            <v>201639874</v>
          </cell>
          <cell r="I6" t="str">
            <v>0405014684</v>
          </cell>
          <cell r="J6" t="str">
            <v>0905 161 927</v>
          </cell>
          <cell r="K6">
            <v>12</v>
          </cell>
          <cell r="L6">
            <v>47</v>
          </cell>
          <cell r="M6">
            <v>40280</v>
          </cell>
          <cell r="N6" t="str">
            <v>03/2018</v>
          </cell>
          <cell r="O6" t="str">
            <v xml:space="preserve">Phó Tổng Giám đốc kiêm 
</v>
          </cell>
          <cell r="P6" t="str">
            <v>12/12</v>
          </cell>
          <cell r="Q6" t="str">
            <v>Cử nhân cao đẳng - KTCN - 2001</v>
          </cell>
          <cell r="S6" t="str">
            <v>Cử nhân cao đẳng - KTCN - 2001</v>
          </cell>
          <cell r="T6" t="str">
            <v>CĐ Sư phạm Đà Nẵng</v>
          </cell>
          <cell r="V6">
            <v>40280</v>
          </cell>
          <cell r="W6">
            <v>16</v>
          </cell>
          <cell r="Y6" t="str">
            <v xml:space="preserve">Ban điều hành </v>
          </cell>
        </row>
        <row r="7">
          <cell r="B7" t="str">
            <v>Trần Quốc Thể</v>
          </cell>
          <cell r="C7" t="str">
            <v>Nam</v>
          </cell>
          <cell r="E7" t="str">
            <v>15/02/1976</v>
          </cell>
          <cell r="F7" t="str">
            <v>201296830</v>
          </cell>
          <cell r="I7" t="str">
            <v>0402007477</v>
          </cell>
          <cell r="J7" t="str">
            <v>0913 459 440</v>
          </cell>
          <cell r="K7">
            <v>2</v>
          </cell>
          <cell r="L7">
            <v>50</v>
          </cell>
          <cell r="M7">
            <v>40210</v>
          </cell>
          <cell r="N7" t="str">
            <v>06/2018</v>
          </cell>
          <cell r="O7" t="str">
            <v xml:space="preserve">Phó Tổng Giám đốc kiêm 
</v>
          </cell>
          <cell r="P7" t="e">
            <v>#REF!</v>
          </cell>
          <cell r="Q7" t="str">
            <v>Kiến trúc sư - 2000</v>
          </cell>
          <cell r="S7" t="str">
            <v>Kiến trúc sư - 2000</v>
          </cell>
          <cell r="T7" t="str">
            <v xml:space="preserve">ĐH Kiến trúc TP HCM </v>
          </cell>
          <cell r="V7">
            <v>40210</v>
          </cell>
          <cell r="W7">
            <v>16</v>
          </cell>
          <cell r="Y7" t="str">
            <v xml:space="preserve">Ban điều hành </v>
          </cell>
        </row>
        <row r="8">
          <cell r="B8" t="str">
            <v>Trần Thị Thu Thủy</v>
          </cell>
          <cell r="D8" t="str">
            <v>Nữ</v>
          </cell>
          <cell r="E8" t="str">
            <v>23/11/1978</v>
          </cell>
          <cell r="F8">
            <v>201604340</v>
          </cell>
          <cell r="I8">
            <v>403011143</v>
          </cell>
          <cell r="J8" t="str">
            <v>0913 597 478</v>
          </cell>
          <cell r="K8">
            <v>11</v>
          </cell>
          <cell r="L8">
            <v>47</v>
          </cell>
          <cell r="M8" t="str">
            <v>03/10/2016</v>
          </cell>
          <cell r="N8" t="str">
            <v>07/2018</v>
          </cell>
          <cell r="O8" t="str">
            <v>Giám đốc Ban Hành chính Nhân sự</v>
          </cell>
          <cell r="P8" t="e">
            <v>#REF!</v>
          </cell>
          <cell r="Q8" t="str">
            <v>Cử nhân Luật - 2009</v>
          </cell>
          <cell r="S8" t="str">
            <v>Cử nhân Luật - 2009</v>
          </cell>
          <cell r="T8" t="str">
            <v>ĐH Huế</v>
          </cell>
          <cell r="V8" t="str">
            <v>03/10/2016</v>
          </cell>
          <cell r="W8">
            <v>9</v>
          </cell>
          <cell r="Y8" t="str">
            <v>HCNS</v>
          </cell>
        </row>
        <row r="9">
          <cell r="B9" t="str">
            <v>Hồ Thị Thùy Trang</v>
          </cell>
          <cell r="D9" t="str">
            <v>Nữ</v>
          </cell>
          <cell r="E9" t="str">
            <v>18/02/1979</v>
          </cell>
          <cell r="F9" t="str">
            <v>201308610</v>
          </cell>
          <cell r="I9" t="str">
            <v>0204357398</v>
          </cell>
          <cell r="J9" t="str">
            <v>0903 556 518</v>
          </cell>
          <cell r="K9">
            <v>2</v>
          </cell>
          <cell r="L9">
            <v>47</v>
          </cell>
          <cell r="M9" t="str">
            <v>15/05/2017</v>
          </cell>
          <cell r="N9" t="str">
            <v>08/2018</v>
          </cell>
          <cell r="O9" t="str">
            <v>Phó Giám đốc Ban Hành chính Nhân sự</v>
          </cell>
          <cell r="P9" t="e">
            <v>#REF!</v>
          </cell>
          <cell r="Q9" t="str">
            <v>Cử nhân ngoại ngữ - 2002</v>
          </cell>
          <cell r="S9" t="str">
            <v>Cử nhân ngoại ngữ - 2002</v>
          </cell>
          <cell r="T9" t="str">
            <v>ĐH Dân lập Văn Lang</v>
          </cell>
          <cell r="V9" t="str">
            <v>15/05/2017</v>
          </cell>
          <cell r="W9">
            <v>8</v>
          </cell>
          <cell r="Y9" t="str">
            <v>HCNS</v>
          </cell>
        </row>
        <row r="10">
          <cell r="B10" t="str">
            <v xml:space="preserve"> Nguyễn Băng Trinh </v>
          </cell>
          <cell r="D10" t="str">
            <v>Nữ</v>
          </cell>
          <cell r="E10">
            <v>36166</v>
          </cell>
          <cell r="F10" t="str">
            <v>044099001472</v>
          </cell>
          <cell r="J10" t="str">
            <v>0967836950</v>
          </cell>
          <cell r="K10">
            <v>1</v>
          </cell>
          <cell r="L10">
            <v>27</v>
          </cell>
          <cell r="M10">
            <v>44907</v>
          </cell>
          <cell r="N10" t="str">
            <v>02/2022</v>
          </cell>
          <cell r="O10" t="str">
            <v>Nhân viên lễ tân</v>
          </cell>
          <cell r="P10" t="e">
            <v>#REF!</v>
          </cell>
          <cell r="Q10" t="str">
            <v>Cử nhân kinh tế đầu tư -2021</v>
          </cell>
          <cell r="Y10" t="str">
            <v>HCNS</v>
          </cell>
        </row>
        <row r="11">
          <cell r="B11" t="str">
            <v>Phan Văn Anh</v>
          </cell>
          <cell r="C11" t="str">
            <v>Nam</v>
          </cell>
          <cell r="E11" t="str">
            <v>11/03/1967</v>
          </cell>
          <cell r="F11">
            <v>200886347</v>
          </cell>
          <cell r="I11" t="str">
            <v>3496014719</v>
          </cell>
          <cell r="J11" t="str">
            <v>0949094777</v>
          </cell>
          <cell r="K11">
            <v>3</v>
          </cell>
          <cell r="L11">
            <v>59</v>
          </cell>
          <cell r="M11">
            <v>39602</v>
          </cell>
          <cell r="N11" t="str">
            <v>12/2018</v>
          </cell>
          <cell r="O11" t="str">
            <v>Nhân viên lái xe ô tô 4, 7 chỗ</v>
          </cell>
          <cell r="P11" t="e">
            <v>#REF!</v>
          </cell>
          <cell r="Q11" t="str">
            <v>Lái xe - 1993</v>
          </cell>
          <cell r="S11" t="str">
            <v>Lái xe - 1993</v>
          </cell>
          <cell r="T11" t="str">
            <v>Bằng Nghề</v>
          </cell>
          <cell r="V11">
            <v>39602</v>
          </cell>
          <cell r="W11">
            <v>17</v>
          </cell>
          <cell r="Y11" t="str">
            <v>HCNS</v>
          </cell>
        </row>
        <row r="12">
          <cell r="B12" t="str">
            <v xml:space="preserve"> Võ Văn Hồng </v>
          </cell>
          <cell r="C12" t="str">
            <v>Nam</v>
          </cell>
          <cell r="E12">
            <v>30275</v>
          </cell>
          <cell r="F12">
            <v>49082018307</v>
          </cell>
          <cell r="G12">
            <v>44439</v>
          </cell>
          <cell r="I12">
            <v>4912002751</v>
          </cell>
          <cell r="J12" t="str">
            <v>0905222343</v>
          </cell>
          <cell r="K12">
            <v>11</v>
          </cell>
          <cell r="L12">
            <v>43</v>
          </cell>
          <cell r="M12">
            <v>45748</v>
          </cell>
          <cell r="N12" t="str">
            <v>01/05/2025</v>
          </cell>
          <cell r="O12" t="str">
            <v>Nhân viên lái xe ô tô 4, 7 chỗ</v>
          </cell>
          <cell r="P12" t="e">
            <v>#REF!</v>
          </cell>
          <cell r="Q12" t="str">
            <v>Lái xe</v>
          </cell>
          <cell r="Y12" t="str">
            <v>HCNS</v>
          </cell>
        </row>
        <row r="13">
          <cell r="B13" t="str">
            <v>Đặng Văn Quang</v>
          </cell>
          <cell r="C13" t="str">
            <v>Nam</v>
          </cell>
          <cell r="E13" t="str">
            <v>14/06/1975</v>
          </cell>
          <cell r="F13">
            <v>205996940</v>
          </cell>
          <cell r="I13" t="str">
            <v>4908012195</v>
          </cell>
          <cell r="J13" t="str">
            <v>0976 523 379</v>
          </cell>
          <cell r="K13">
            <v>6</v>
          </cell>
          <cell r="L13">
            <v>50</v>
          </cell>
          <cell r="M13">
            <v>41397</v>
          </cell>
          <cell r="N13" t="str">
            <v>14/2018</v>
          </cell>
          <cell r="O13" t="str">
            <v>Nhân viên bảo vệ</v>
          </cell>
          <cell r="P13" t="e">
            <v>#REF!</v>
          </cell>
          <cell r="Q13" t="str">
            <v xml:space="preserve">Bảo vệ </v>
          </cell>
          <cell r="S13" t="str">
            <v xml:space="preserve">Bảo vệ </v>
          </cell>
          <cell r="T13" t="str">
            <v>Lao động phổ thông</v>
          </cell>
          <cell r="V13">
            <v>41397</v>
          </cell>
          <cell r="W13">
            <v>12</v>
          </cell>
          <cell r="Y13" t="str">
            <v>HCNS</v>
          </cell>
        </row>
        <row r="14">
          <cell r="B14" t="str">
            <v>Đặng Thanh Hồng</v>
          </cell>
          <cell r="C14" t="str">
            <v>Nam</v>
          </cell>
          <cell r="E14" t="str">
            <v>15/06/1963</v>
          </cell>
          <cell r="F14">
            <v>205964693</v>
          </cell>
          <cell r="I14" t="str">
            <v>4809014651</v>
          </cell>
          <cell r="J14" t="str">
            <v>0935 775 229</v>
          </cell>
          <cell r="K14">
            <v>6</v>
          </cell>
          <cell r="L14">
            <v>62</v>
          </cell>
          <cell r="M14">
            <v>41603</v>
          </cell>
          <cell r="N14" t="str">
            <v>15/2018</v>
          </cell>
          <cell r="O14" t="str">
            <v>Nhân viên bảo vệ</v>
          </cell>
          <cell r="P14" t="e">
            <v>#REF!</v>
          </cell>
          <cell r="Q14" t="str">
            <v>Bảo vệ - 2007</v>
          </cell>
          <cell r="S14" t="str">
            <v>Bảo vệ - 2007</v>
          </cell>
          <cell r="T14" t="str">
            <v>Lao động phổ thông</v>
          </cell>
          <cell r="V14">
            <v>41603</v>
          </cell>
          <cell r="W14">
            <v>12</v>
          </cell>
          <cell r="Y14" t="str">
            <v>HCNS</v>
          </cell>
        </row>
        <row r="15">
          <cell r="B15" t="str">
            <v>Phạm Hùng</v>
          </cell>
          <cell r="C15" t="str">
            <v>Nam</v>
          </cell>
          <cell r="E15" t="str">
            <v>14/05/1968</v>
          </cell>
          <cell r="F15" t="str">
            <v>205688987</v>
          </cell>
          <cell r="I15">
            <v>4815029671</v>
          </cell>
          <cell r="J15" t="str">
            <v>01254 587 284</v>
          </cell>
          <cell r="K15">
            <v>5</v>
          </cell>
          <cell r="L15">
            <v>57</v>
          </cell>
          <cell r="M15" t="str">
            <v>01/08/2017</v>
          </cell>
          <cell r="N15" t="str">
            <v>66/2018</v>
          </cell>
          <cell r="O15" t="str">
            <v xml:space="preserve">Nhân viên bảo vệ </v>
          </cell>
          <cell r="P15" t="e">
            <v>#REF!</v>
          </cell>
          <cell r="Q15" t="str">
            <v>Lao động phổ thông</v>
          </cell>
          <cell r="S15" t="str">
            <v>Lao động phổ thông</v>
          </cell>
          <cell r="T15" t="str">
            <v>Lao động phổ thông</v>
          </cell>
          <cell r="V15" t="str">
            <v>01/08/2017</v>
          </cell>
          <cell r="W15">
            <v>8</v>
          </cell>
          <cell r="Y15" t="str">
            <v>HCNS</v>
          </cell>
        </row>
        <row r="16">
          <cell r="B16" t="str">
            <v>Trương Thị Bích Ngọc</v>
          </cell>
          <cell r="D16" t="str">
            <v>Nữ</v>
          </cell>
          <cell r="E16" t="str">
            <v>12/12/1971</v>
          </cell>
          <cell r="F16" t="str">
            <v>201615069</v>
          </cell>
          <cell r="I16" t="str">
            <v>hưởng hưu</v>
          </cell>
          <cell r="J16" t="str">
            <v>0934 884 423</v>
          </cell>
          <cell r="K16">
            <v>12</v>
          </cell>
          <cell r="L16">
            <v>54</v>
          </cell>
          <cell r="M16" t="str">
            <v>11/10/2017</v>
          </cell>
          <cell r="O16" t="str">
            <v>Nhân viên tạp vụ</v>
          </cell>
          <cell r="P16" t="e">
            <v>#REF!</v>
          </cell>
          <cell r="Q16" t="str">
            <v>Tạp vụ</v>
          </cell>
          <cell r="S16" t="str">
            <v>Tạp vụ</v>
          </cell>
          <cell r="T16" t="str">
            <v>Lao động phổ thông</v>
          </cell>
          <cell r="V16" t="str">
            <v>11/10/2017</v>
          </cell>
          <cell r="W16">
            <v>8</v>
          </cell>
          <cell r="Y16" t="str">
            <v>HCNS</v>
          </cell>
        </row>
        <row r="17">
          <cell r="B17" t="str">
            <v>Đặng Thị Hoa</v>
          </cell>
          <cell r="D17" t="str">
            <v>Nữ</v>
          </cell>
          <cell r="E17">
            <v>25180</v>
          </cell>
          <cell r="F17" t="str">
            <v>201081915</v>
          </cell>
          <cell r="I17" t="str">
            <v>hưởng hưu</v>
          </cell>
          <cell r="J17" t="str">
            <v>0915 662 262</v>
          </cell>
          <cell r="K17">
            <v>12</v>
          </cell>
          <cell r="L17">
            <v>57</v>
          </cell>
          <cell r="M17" t="str">
            <v>01/01/2016</v>
          </cell>
          <cell r="N17" t="str">
            <v>16/2018</v>
          </cell>
          <cell r="O17" t="str">
            <v>Nhân viên tạp vụ</v>
          </cell>
          <cell r="P17" t="e">
            <v>#REF!</v>
          </cell>
          <cell r="Q17" t="str">
            <v>Tạp vụ</v>
          </cell>
          <cell r="S17" t="str">
            <v>Tạp vụ</v>
          </cell>
          <cell r="T17" t="str">
            <v>Lao động phổ thông</v>
          </cell>
          <cell r="V17" t="str">
            <v>01/01/2016</v>
          </cell>
          <cell r="W17">
            <v>10</v>
          </cell>
          <cell r="Y17" t="str">
            <v>HCNS</v>
          </cell>
        </row>
        <row r="18">
          <cell r="B18" t="str">
            <v>Đồng Thị Nguyệt Nga</v>
          </cell>
          <cell r="D18" t="str">
            <v>Nữ</v>
          </cell>
          <cell r="E18" t="str">
            <v>10/06/1985</v>
          </cell>
          <cell r="F18">
            <v>205272753</v>
          </cell>
          <cell r="I18" t="str">
            <v>4812038931</v>
          </cell>
          <cell r="J18" t="str">
            <v>0935 225 485</v>
          </cell>
          <cell r="K18">
            <v>6</v>
          </cell>
          <cell r="L18">
            <v>40</v>
          </cell>
          <cell r="M18">
            <v>42534</v>
          </cell>
          <cell r="N18" t="str">
            <v>21/2018</v>
          </cell>
          <cell r="O18" t="str">
            <v>Giám đốc Ban Tài chính Kế toán</v>
          </cell>
          <cell r="P18" t="e">
            <v>#REF!</v>
          </cell>
          <cell r="Q18" t="str">
            <v>Thạc sĩ kế toán - 2010</v>
          </cell>
          <cell r="S18" t="str">
            <v>Thạc sĩ kế toán - 2010</v>
          </cell>
          <cell r="T18" t="str">
            <v xml:space="preserve">Cao học Đại học Đà Nẵng </v>
          </cell>
          <cell r="V18">
            <v>42534</v>
          </cell>
          <cell r="W18">
            <v>9</v>
          </cell>
          <cell r="Y18" t="str">
            <v>TÀI CHÍNH KẾ TOÁN</v>
          </cell>
        </row>
        <row r="19">
          <cell r="B19" t="str">
            <v>Huỳnh Thị Hoàng Hà</v>
          </cell>
          <cell r="D19" t="str">
            <v>Nữ</v>
          </cell>
          <cell r="E19" t="str">
            <v>26/02/1984</v>
          </cell>
          <cell r="F19" t="str">
            <v>201504524</v>
          </cell>
          <cell r="I19">
            <v>7508220899</v>
          </cell>
          <cell r="J19" t="str">
            <v>0905 020 798</v>
          </cell>
          <cell r="K19">
            <v>2</v>
          </cell>
          <cell r="L19">
            <v>42</v>
          </cell>
          <cell r="M19" t="str">
            <v>30/06/2017</v>
          </cell>
          <cell r="N19" t="str">
            <v>22/2018</v>
          </cell>
          <cell r="O19" t="str">
            <v>Phó GĐ Ban Tài chính Kế toán</v>
          </cell>
          <cell r="P19" t="e">
            <v>#REF!</v>
          </cell>
          <cell r="Q19" t="str">
            <v>Cử nhân Kế toán</v>
          </cell>
          <cell r="S19" t="str">
            <v>Cử nhân Kế toán</v>
          </cell>
          <cell r="T19" t="str">
            <v>ĐH Kinh tế HCM</v>
          </cell>
          <cell r="V19" t="str">
            <v>30/06/2017</v>
          </cell>
          <cell r="W19">
            <v>8</v>
          </cell>
          <cell r="Y19" t="str">
            <v>TÀI CHÍNH KẾ TOÁN</v>
          </cell>
        </row>
        <row r="20">
          <cell r="B20" t="str">
            <v>Nguyễn Thị Thảo</v>
          </cell>
          <cell r="D20" t="str">
            <v>Nữ</v>
          </cell>
          <cell r="E20" t="str">
            <v>09/01/1986</v>
          </cell>
          <cell r="F20">
            <v>201522186</v>
          </cell>
          <cell r="I20" t="str">
            <v>4809000009</v>
          </cell>
          <cell r="J20" t="str">
            <v>0905313568</v>
          </cell>
          <cell r="K20">
            <v>1</v>
          </cell>
          <cell r="L20">
            <v>40</v>
          </cell>
          <cell r="M20" t="str">
            <v>02/08/2016</v>
          </cell>
          <cell r="N20" t="str">
            <v>67/2018</v>
          </cell>
          <cell r="O20" t="str">
            <v>Nhân viên Ban Tài chính Kế toán</v>
          </cell>
          <cell r="P20" t="e">
            <v>#REF!</v>
          </cell>
          <cell r="Q20" t="str">
            <v>Kế toán - 2013</v>
          </cell>
          <cell r="S20" t="str">
            <v>Kế toán - 2013</v>
          </cell>
          <cell r="T20" t="str">
            <v xml:space="preserve">ĐH Kinh tế Đà Nẵng </v>
          </cell>
          <cell r="V20" t="str">
            <v>02/08/2016</v>
          </cell>
          <cell r="W20">
            <v>9</v>
          </cell>
          <cell r="Y20" t="str">
            <v>TÀI CHÍNH KẾ TOÁN</v>
          </cell>
        </row>
        <row r="21">
          <cell r="B21" t="str">
            <v>Nguyễn Thị Nhật Sang</v>
          </cell>
          <cell r="D21" t="str">
            <v>Nữ</v>
          </cell>
          <cell r="E21">
            <v>36207</v>
          </cell>
          <cell r="F21" t="str">
            <v>049199010621</v>
          </cell>
          <cell r="I21" t="str">
            <v>4820841336</v>
          </cell>
          <cell r="J21" t="str">
            <v>0982031836</v>
          </cell>
          <cell r="K21">
            <v>2</v>
          </cell>
          <cell r="L21">
            <v>27</v>
          </cell>
          <cell r="M21">
            <v>45519</v>
          </cell>
          <cell r="N21" t="str">
            <v>04/2024</v>
          </cell>
          <cell r="O21" t="str">
            <v>Nhân viên Ban Tài chính Kế toán</v>
          </cell>
          <cell r="Q21" t="str">
            <v>Cử nhân ngành Kế toán</v>
          </cell>
          <cell r="Y21" t="str">
            <v>TÀI CHÍNH KẾ TOÁN</v>
          </cell>
        </row>
        <row r="22">
          <cell r="B22" t="str">
            <v>Phan Duy Sâm</v>
          </cell>
          <cell r="C22" t="str">
            <v>Nam</v>
          </cell>
          <cell r="E22">
            <v>31168</v>
          </cell>
          <cell r="F22">
            <v>205081500</v>
          </cell>
          <cell r="I22">
            <v>4815029674</v>
          </cell>
          <cell r="J22" t="str">
            <v>0934465416</v>
          </cell>
          <cell r="K22">
            <v>5</v>
          </cell>
          <cell r="L22">
            <v>40</v>
          </cell>
          <cell r="M22">
            <v>43662</v>
          </cell>
          <cell r="N22" t="str">
            <v>69/2019</v>
          </cell>
          <cell r="O22" t="str">
            <v>Phó Giám đốc Ban Kỹ thuật Xây dựng</v>
          </cell>
          <cell r="Q22" t="str">
            <v>Kỹ sư Công nghệ Kỹ thuật công trình Xây dựng</v>
          </cell>
          <cell r="S22" t="str">
            <v>Kỹ sư Công nghệ Kỹ thuật công trình xây dựng</v>
          </cell>
          <cell r="T22" t="str">
            <v>Đại học Duy Tân - Đà Nẵng</v>
          </cell>
          <cell r="Y22" t="str">
            <v>KỸ THUẬT XÂY DỰNG</v>
          </cell>
        </row>
        <row r="23">
          <cell r="B23" t="str">
            <v>Nguyễn Văn Bồn</v>
          </cell>
          <cell r="C23" t="str">
            <v>Nam</v>
          </cell>
          <cell r="E23" t="str">
            <v>03/09/1982</v>
          </cell>
          <cell r="F23">
            <v>205043963</v>
          </cell>
          <cell r="I23" t="str">
            <v>4816024231</v>
          </cell>
          <cell r="J23" t="str">
            <v>0935613913</v>
          </cell>
          <cell r="K23">
            <v>9</v>
          </cell>
          <cell r="L23">
            <v>43</v>
          </cell>
          <cell r="M23">
            <v>42604</v>
          </cell>
          <cell r="N23" t="str">
            <v>28/2018</v>
          </cell>
          <cell r="O23" t="str">
            <v>Nhân viên Ban Kỹ thuật Xây dựng</v>
          </cell>
          <cell r="P23" t="e">
            <v>#REF!</v>
          </cell>
          <cell r="Q23" t="str">
            <v>Kỹ thuật công trình xây dựng - 2016</v>
          </cell>
          <cell r="S23" t="str">
            <v>Kỹ thuật công trình xây dựng - 2016</v>
          </cell>
          <cell r="T23" t="str">
            <v>ĐH Duy Tân Đà Nẵng</v>
          </cell>
          <cell r="V23">
            <v>42604</v>
          </cell>
          <cell r="W23">
            <v>9</v>
          </cell>
          <cell r="Y23" t="str">
            <v>KỸ THUẬT XÂY DỰNG</v>
          </cell>
        </row>
        <row r="24">
          <cell r="B24" t="str">
            <v>Nguyễn Đình Thắng</v>
          </cell>
          <cell r="C24" t="str">
            <v>Nam</v>
          </cell>
          <cell r="E24">
            <v>31754</v>
          </cell>
          <cell r="F24" t="str">
            <v>048086006997</v>
          </cell>
          <cell r="G24">
            <v>44436</v>
          </cell>
          <cell r="I24" t="str">
            <v>7909335919</v>
          </cell>
          <cell r="J24" t="str">
            <v>0905730391</v>
          </cell>
          <cell r="K24">
            <v>12</v>
          </cell>
          <cell r="L24">
            <v>39</v>
          </cell>
          <cell r="M24">
            <v>45748</v>
          </cell>
          <cell r="N24" t="str">
            <v>04/2025</v>
          </cell>
          <cell r="O24" t="str">
            <v>Kỹ sư dự án</v>
          </cell>
          <cell r="Q24" t="str">
            <v xml:space="preserve">Kỹ sư Xây dựng   </v>
          </cell>
          <cell r="Y24" t="str">
            <v>KỸ THUẬT XÂY DỰNG</v>
          </cell>
        </row>
        <row r="25">
          <cell r="B25" t="str">
            <v>Nguyễn Đình Hiếu</v>
          </cell>
          <cell r="C25" t="str">
            <v>Nam</v>
          </cell>
          <cell r="E25">
            <v>29444</v>
          </cell>
          <cell r="F25" t="str">
            <v>048080000698</v>
          </cell>
          <cell r="G25">
            <v>44310</v>
          </cell>
          <cell r="I25" t="str">
            <v>0407012241</v>
          </cell>
          <cell r="J25" t="str">
            <v>0941181980</v>
          </cell>
          <cell r="K25">
            <v>8</v>
          </cell>
          <cell r="L25">
            <v>45</v>
          </cell>
          <cell r="M25">
            <v>45779</v>
          </cell>
          <cell r="N25" t="str">
            <v>05/2025</v>
          </cell>
          <cell r="O25" t="str">
            <v>Kỹ sư cơ điện</v>
          </cell>
          <cell r="Q25" t="str">
            <v>Kỹ sư Nhiệt-Máy lạnh</v>
          </cell>
          <cell r="Y25" t="str">
            <v>KỸ THUẬT XÂY DỰNG</v>
          </cell>
        </row>
        <row r="26">
          <cell r="B26" t="str">
            <v>Mai Văn Châu</v>
          </cell>
          <cell r="C26" t="str">
            <v>Nam</v>
          </cell>
          <cell r="E26">
            <v>32948</v>
          </cell>
          <cell r="F26">
            <v>205430199</v>
          </cell>
          <cell r="I26" t="str">
            <v>4813022061</v>
          </cell>
          <cell r="J26" t="str">
            <v>0935145369</v>
          </cell>
          <cell r="K26">
            <v>3</v>
          </cell>
          <cell r="L26">
            <v>36</v>
          </cell>
          <cell r="M26">
            <v>44470</v>
          </cell>
          <cell r="N26" t="str">
            <v>9/2021</v>
          </cell>
          <cell r="O26" t="str">
            <v>Nhân viên Xí nghiệp Duy tu Bảo dưỡng</v>
          </cell>
          <cell r="Y26" t="str">
            <v>XN DUY TU BD</v>
          </cell>
        </row>
        <row r="27">
          <cell r="B27" t="str">
            <v>Phan Thị Mỹ Hạnh</v>
          </cell>
          <cell r="D27" t="str">
            <v>Nữ</v>
          </cell>
          <cell r="E27" t="str">
            <v>13/03/1979</v>
          </cell>
          <cell r="F27" t="str">
            <v>201418482</v>
          </cell>
          <cell r="I27" t="str">
            <v>0402006721</v>
          </cell>
          <cell r="J27" t="str">
            <v>0935135138</v>
          </cell>
          <cell r="K27">
            <v>3</v>
          </cell>
          <cell r="L27">
            <v>47</v>
          </cell>
          <cell r="M27" t="str">
            <v>13/07/2017</v>
          </cell>
          <cell r="N27" t="str">
            <v>30/2018</v>
          </cell>
          <cell r="O27" t="str">
            <v>P.GĐ Ban KHĐT</v>
          </cell>
          <cell r="P27" t="e">
            <v>#REF!</v>
          </cell>
          <cell r="Q27" t="str">
            <v>Kỹ sư Xây dựng cầu đường - Từ xa - 2010</v>
          </cell>
          <cell r="S27" t="str">
            <v>Kỹ sư Xây dựng cầu đường - Từ xa - 2010</v>
          </cell>
          <cell r="T27" t="str">
            <v xml:space="preserve">ĐH Đà Nẵng </v>
          </cell>
          <cell r="V27" t="str">
            <v>13/07/2017</v>
          </cell>
          <cell r="W27">
            <v>8</v>
          </cell>
          <cell r="Y27" t="str">
            <v xml:space="preserve">KẾ HOẠCH ĐẦU TƯ </v>
          </cell>
        </row>
        <row r="28">
          <cell r="B28" t="str">
            <v>Phan Thị Kim Cúc</v>
          </cell>
          <cell r="D28" t="str">
            <v>Nữ</v>
          </cell>
          <cell r="E28" t="str">
            <v>29/12/1988</v>
          </cell>
          <cell r="F28">
            <v>205480266</v>
          </cell>
          <cell r="I28" t="str">
            <v>4814026957</v>
          </cell>
          <cell r="J28" t="str">
            <v>0935291268</v>
          </cell>
          <cell r="K28">
            <v>12</v>
          </cell>
          <cell r="L28">
            <v>37</v>
          </cell>
          <cell r="M28">
            <v>41799</v>
          </cell>
          <cell r="N28" t="str">
            <v>31/2018</v>
          </cell>
          <cell r="O28" t="str">
            <v>Nhân viên Ban Kế hoạch Đầu tư</v>
          </cell>
          <cell r="P28" t="e">
            <v>#REF!</v>
          </cell>
          <cell r="Q28" t="str">
            <v>CĐ Kiểm tra chất lượng thực phẩm 2010
Kỹ sư công nghệ sinh học - 2013</v>
          </cell>
          <cell r="S28" t="str">
            <v>CĐ Kiểm tra chất lượng thực phẩm 2010
Kỹ sư công nghệ sinh học - 2013</v>
          </cell>
          <cell r="T28" t="str">
            <v>ĐH Bách Khoa Đà Nẵng và cao đẳng lương thực thực phẩm</v>
          </cell>
          <cell r="V28">
            <v>41799</v>
          </cell>
          <cell r="W28">
            <v>11</v>
          </cell>
          <cell r="Y28" t="str">
            <v xml:space="preserve">KẾ HOẠCH ĐẦU TƯ </v>
          </cell>
        </row>
        <row r="29">
          <cell r="B29" t="str">
            <v xml:space="preserve">Nguyễn Đức Lợi </v>
          </cell>
          <cell r="C29" t="str">
            <v>Nam</v>
          </cell>
          <cell r="E29">
            <v>33270</v>
          </cell>
          <cell r="F29">
            <v>205460129</v>
          </cell>
          <cell r="I29" t="str">
            <v>4815022961</v>
          </cell>
          <cell r="J29" t="str">
            <v>0935074474</v>
          </cell>
          <cell r="K29">
            <v>2</v>
          </cell>
          <cell r="L29">
            <v>35</v>
          </cell>
          <cell r="M29" t="str">
            <v>15/01/2017</v>
          </cell>
          <cell r="N29" t="str">
            <v>71/2018</v>
          </cell>
          <cell r="O29" t="str">
            <v>Phó GĐ Ban Kế hoạch Đầu tư</v>
          </cell>
          <cell r="P29" t="e">
            <v>#REF!</v>
          </cell>
          <cell r="Q29" t="str">
            <v>Kỹ sư quản lý môi trường - 2014</v>
          </cell>
          <cell r="S29" t="str">
            <v>Kỹ sư quản lý môi trường - 2014</v>
          </cell>
          <cell r="T29" t="str">
            <v>ĐH Bách Khoa Đà Nẵng</v>
          </cell>
          <cell r="V29" t="str">
            <v>15/01/2017</v>
          </cell>
          <cell r="W29">
            <v>9</v>
          </cell>
          <cell r="Y29" t="str">
            <v xml:space="preserve">KẾ HOẠCH ĐẦU TƯ </v>
          </cell>
        </row>
        <row r="30">
          <cell r="B30" t="str">
            <v>Trần Văn Trung</v>
          </cell>
          <cell r="C30" t="str">
            <v>Nam</v>
          </cell>
          <cell r="E30" t="str">
            <v>3/1/1967</v>
          </cell>
          <cell r="F30" t="str">
            <v>201821207</v>
          </cell>
          <cell r="I30">
            <v>3496014692</v>
          </cell>
          <cell r="J30" t="str">
            <v>0905929627</v>
          </cell>
          <cell r="K30">
            <v>1</v>
          </cell>
          <cell r="L30">
            <v>59</v>
          </cell>
          <cell r="M30">
            <v>43118</v>
          </cell>
          <cell r="N30" t="str">
            <v>72/2018</v>
          </cell>
          <cell r="O30" t="str">
            <v xml:space="preserve">Nhân viên Ban Kế hoạch đầu tư </v>
          </cell>
          <cell r="P30" t="e">
            <v>#REF!</v>
          </cell>
          <cell r="Q30" t="str">
            <v>Kỹ sư  Xây dựng cầu đường</v>
          </cell>
          <cell r="S30" t="str">
            <v>Kỹ sư  Xây dựng cầu đường</v>
          </cell>
          <cell r="T30" t="str">
            <v>ĐHBK Đà Nẵng</v>
          </cell>
          <cell r="V30">
            <v>43118</v>
          </cell>
          <cell r="W30">
            <v>8</v>
          </cell>
          <cell r="Y30" t="str">
            <v xml:space="preserve">KẾ HOẠCH ĐẦU TƯ </v>
          </cell>
        </row>
        <row r="31">
          <cell r="B31" t="str">
            <v>Nguyễn Trần Thức</v>
          </cell>
          <cell r="C31" t="str">
            <v>Nam</v>
          </cell>
          <cell r="E31">
            <v>34915</v>
          </cell>
          <cell r="F31" t="str">
            <v>048095008227</v>
          </cell>
          <cell r="I31">
            <v>4820549229</v>
          </cell>
          <cell r="J31" t="str">
            <v>0795696969</v>
          </cell>
          <cell r="K31">
            <v>8</v>
          </cell>
          <cell r="L31">
            <v>30</v>
          </cell>
          <cell r="M31">
            <v>44958</v>
          </cell>
          <cell r="N31" t="str">
            <v>01/2023</v>
          </cell>
          <cell r="O31" t="str">
            <v xml:space="preserve">Giám đốc Ban Kế hoạch đầu tư </v>
          </cell>
          <cell r="Q31" t="str">
            <v>Cử nhân Kinh tế- Chuyên ngành Quản trị KD Quốc Tế</v>
          </cell>
          <cell r="Y31" t="str">
            <v xml:space="preserve">KẾ HOẠCH ĐẦU TƯ </v>
          </cell>
        </row>
        <row r="32">
          <cell r="B32" t="str">
            <v>Lê Thị Giang Châu</v>
          </cell>
          <cell r="D32" t="str">
            <v xml:space="preserve">Nữ </v>
          </cell>
          <cell r="E32">
            <v>33986</v>
          </cell>
          <cell r="F32">
            <v>201654460</v>
          </cell>
          <cell r="I32">
            <v>4821414009</v>
          </cell>
          <cell r="J32" t="str">
            <v>0915746303</v>
          </cell>
          <cell r="K32">
            <v>1</v>
          </cell>
          <cell r="L32">
            <v>33</v>
          </cell>
          <cell r="M32">
            <v>43598</v>
          </cell>
          <cell r="N32" t="str">
            <v>67/2019</v>
          </cell>
          <cell r="O32" t="str">
            <v>Nhân viên Ban Kế hoạch đầu tư</v>
          </cell>
          <cell r="Q32" t="str">
            <v>Cử nhân kế toán</v>
          </cell>
          <cell r="S32" t="str">
            <v>Cử nhân kế toán</v>
          </cell>
          <cell r="T32" t="str">
            <v>Đại học Đông Á- Đà Nẵng</v>
          </cell>
          <cell r="Y32" t="str">
            <v xml:space="preserve">KẾ HOẠCH ĐẦU TƯ </v>
          </cell>
        </row>
        <row r="33">
          <cell r="B33" t="str">
            <v>Trần Tin</v>
          </cell>
          <cell r="C33" t="str">
            <v>Nam</v>
          </cell>
          <cell r="E33">
            <v>36472</v>
          </cell>
          <cell r="F33" t="str">
            <v>048099006638</v>
          </cell>
          <cell r="I33" t="str">
            <v>4820999781</v>
          </cell>
          <cell r="J33" t="str">
            <v>0708107565</v>
          </cell>
          <cell r="K33">
            <v>11</v>
          </cell>
          <cell r="L33">
            <v>26</v>
          </cell>
          <cell r="M33">
            <v>45006</v>
          </cell>
          <cell r="N33" t="str">
            <v>03/2023</v>
          </cell>
          <cell r="O33" t="str">
            <v>Nhân viên Ban Kế hoạch đầu tư</v>
          </cell>
          <cell r="Y33" t="str">
            <v xml:space="preserve">KẾ HOẠCH ĐẦU TƯ </v>
          </cell>
        </row>
        <row r="34">
          <cell r="B34" t="str">
            <v>Đặng Công Nhựt</v>
          </cell>
          <cell r="C34" t="str">
            <v>Nam</v>
          </cell>
          <cell r="E34" t="str">
            <v>09/03/1977</v>
          </cell>
          <cell r="F34">
            <v>201266085</v>
          </cell>
          <cell r="I34" t="str">
            <v>0403012361</v>
          </cell>
          <cell r="J34" t="str">
            <v>0905800890</v>
          </cell>
          <cell r="K34">
            <v>3</v>
          </cell>
          <cell r="L34">
            <v>49</v>
          </cell>
          <cell r="M34">
            <v>39742</v>
          </cell>
          <cell r="N34" t="str">
            <v>33/2018</v>
          </cell>
          <cell r="O34" t="str">
            <v>Nhân viên Ban Đền bù Giải tỏa</v>
          </cell>
          <cell r="P34" t="e">
            <v>#REF!</v>
          </cell>
          <cell r="Q34" t="str">
            <v>Trung cấp xây dựng dân dụng &amp; công nghiệp - 2000</v>
          </cell>
          <cell r="S34" t="str">
            <v>Trung cấp xây dựng dân dụng &amp; công nghiệp - 2000</v>
          </cell>
          <cell r="T34" t="str">
            <v xml:space="preserve">TC Xây dựng số 6 </v>
          </cell>
          <cell r="V34">
            <v>39742</v>
          </cell>
          <cell r="W34">
            <v>17</v>
          </cell>
          <cell r="Y34" t="str">
            <v>ĐỀN BÙ GIẢI TỎA</v>
          </cell>
        </row>
        <row r="35">
          <cell r="B35" t="str">
            <v>Đặng Thị Mỹ Hạnh</v>
          </cell>
          <cell r="D35" t="str">
            <v>Nữ</v>
          </cell>
          <cell r="E35" t="str">
            <v>03/11/1989</v>
          </cell>
          <cell r="F35">
            <v>201566140</v>
          </cell>
          <cell r="I35" t="str">
            <v>4812004713</v>
          </cell>
          <cell r="J35" t="str">
            <v>0906 439 294</v>
          </cell>
          <cell r="K35">
            <v>11</v>
          </cell>
          <cell r="L35">
            <v>36</v>
          </cell>
          <cell r="M35">
            <v>41927</v>
          </cell>
          <cell r="N35" t="str">
            <v>37/2018</v>
          </cell>
          <cell r="O35" t="str">
            <v>Nhân viên Ban Đền bù Giải tỏa</v>
          </cell>
          <cell r="P35" t="e">
            <v>#REF!</v>
          </cell>
          <cell r="Q35" t="str">
            <v xml:space="preserve">Cử nhân Quản trị kinh doanh - 2011  </v>
          </cell>
          <cell r="S35" t="str">
            <v xml:space="preserve">Cử nhân Quản trị kinh doanh - 2011  </v>
          </cell>
          <cell r="T35" t="str">
            <v>ĐH Duy Tân Đà Nẵng</v>
          </cell>
          <cell r="V35">
            <v>41927</v>
          </cell>
          <cell r="W35">
            <v>11</v>
          </cell>
          <cell r="Y35" t="str">
            <v>ĐỀN BÙ GIẢI TỎA</v>
          </cell>
        </row>
        <row r="36">
          <cell r="B36" t="str">
            <v>Đặng Thanh Quang</v>
          </cell>
          <cell r="C36" t="str">
            <v>Nam</v>
          </cell>
          <cell r="E36">
            <v>29943</v>
          </cell>
          <cell r="F36">
            <v>201879096</v>
          </cell>
          <cell r="I36">
            <v>4811008669</v>
          </cell>
          <cell r="J36" t="str">
            <v>0903512986</v>
          </cell>
          <cell r="K36">
            <v>12</v>
          </cell>
          <cell r="L36">
            <v>44</v>
          </cell>
          <cell r="M36">
            <v>44652</v>
          </cell>
          <cell r="N36" t="str">
            <v>01/2022</v>
          </cell>
          <cell r="O36" t="str">
            <v>Nhân viên Ban Đền bù Giải tỏa</v>
          </cell>
          <cell r="P36" t="e">
            <v>#REF!</v>
          </cell>
          <cell r="Q36" t="str">
            <v>Trung cấp thủy lợi</v>
          </cell>
          <cell r="Y36" t="str">
            <v>ĐỀN BÙ GIẢI TỎA</v>
          </cell>
        </row>
        <row r="37">
          <cell r="B37" t="str">
            <v>Nguyễn Xuân Lựu</v>
          </cell>
          <cell r="C37" t="str">
            <v>Nam</v>
          </cell>
          <cell r="E37" t="str">
            <v>30/12/1979</v>
          </cell>
          <cell r="F37" t="str">
            <v>205196494</v>
          </cell>
          <cell r="I37" t="str">
            <v>4816101026</v>
          </cell>
          <cell r="J37" t="str">
            <v>0905 315 610</v>
          </cell>
          <cell r="K37">
            <v>12</v>
          </cell>
          <cell r="L37">
            <v>46</v>
          </cell>
          <cell r="M37" t="str">
            <v>01/03/2016</v>
          </cell>
          <cell r="N37" t="str">
            <v>39/2018</v>
          </cell>
          <cell r="O37" t="str">
            <v>Nhân viên Ban Đền bù Giải tỏa</v>
          </cell>
          <cell r="P37" t="e">
            <v>#REF!</v>
          </cell>
          <cell r="Q37" t="str">
            <v>Không</v>
          </cell>
          <cell r="S37" t="str">
            <v>Không</v>
          </cell>
          <cell r="T37" t="str">
            <v>Không</v>
          </cell>
          <cell r="V37" t="str">
            <v>01/03/2016</v>
          </cell>
          <cell r="W37">
            <v>10</v>
          </cell>
          <cell r="Y37" t="str">
            <v>ĐỀN BÙ GIẢI TỎA</v>
          </cell>
        </row>
        <row r="38">
          <cell r="B38" t="str">
            <v>Trần Cường</v>
          </cell>
          <cell r="C38" t="str">
            <v>Nam</v>
          </cell>
          <cell r="E38" t="str">
            <v>01/04/1978</v>
          </cell>
          <cell r="F38" t="str">
            <v>201345529</v>
          </cell>
          <cell r="I38" t="str">
            <v>0401003087</v>
          </cell>
          <cell r="J38" t="str">
            <v>0905 455 145</v>
          </cell>
          <cell r="K38">
            <v>4</v>
          </cell>
          <cell r="L38">
            <v>48</v>
          </cell>
          <cell r="M38">
            <v>41610</v>
          </cell>
          <cell r="N38" t="str">
            <v>40/2018
85/2018</v>
          </cell>
          <cell r="O38" t="str">
            <v>Giám đốc Ban Kinh doanh Tiếp thị</v>
          </cell>
          <cell r="P38" t="e">
            <v>#REF!</v>
          </cell>
          <cell r="Q38" t="str">
            <v>Cử nhân tài chính kế toán - 2001</v>
          </cell>
          <cell r="S38" t="str">
            <v>Cử nhân tài chính kế toán - 2001</v>
          </cell>
          <cell r="T38" t="str">
            <v>ĐH Thương Mại Hà Nội</v>
          </cell>
          <cell r="V38">
            <v>41610</v>
          </cell>
          <cell r="W38">
            <v>12</v>
          </cell>
          <cell r="Y38" t="str">
            <v>KINH DOANH TIẾP THỊ</v>
          </cell>
        </row>
        <row r="39">
          <cell r="B39" t="str">
            <v>Ngô Thị Tâm</v>
          </cell>
          <cell r="D39" t="str">
            <v>Nữ</v>
          </cell>
          <cell r="E39" t="str">
            <v>06/04/1987</v>
          </cell>
          <cell r="F39">
            <v>201553311</v>
          </cell>
          <cell r="I39" t="str">
            <v>4811004942</v>
          </cell>
          <cell r="J39" t="str">
            <v>0934 706 297</v>
          </cell>
          <cell r="K39">
            <v>4</v>
          </cell>
          <cell r="L39">
            <v>39</v>
          </cell>
          <cell r="M39">
            <v>40529</v>
          </cell>
          <cell r="N39" t="str">
            <v>44/2018</v>
          </cell>
          <cell r="O39" t="str">
            <v>Thư ký Sàn giao dịch Bất động sản DMT Land</v>
          </cell>
          <cell r="P39" t="e">
            <v>#REF!</v>
          </cell>
          <cell r="Q39" t="str">
            <v>Cử nhân QTKD Du lịch&amp;Dịch vụ</v>
          </cell>
          <cell r="S39" t="str">
            <v>Cử nhân QTKD Du lịch&amp;Dịch vụ</v>
          </cell>
          <cell r="T39" t="str">
            <v>ĐH Kinh tế Đà Nẵng</v>
          </cell>
          <cell r="V39">
            <v>40529</v>
          </cell>
          <cell r="W39">
            <v>15</v>
          </cell>
          <cell r="Y39" t="str">
            <v xml:space="preserve">SÀN BĐS DMT </v>
          </cell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ÁNG 3.2026"/>
      <sheetName val="THÁNG 2.2026"/>
      <sheetName val="THÁNG 1.2026"/>
      <sheetName val="Thang 12 2025"/>
    </sheetNames>
    <sheetDataSet>
      <sheetData sheetId="0" refreshError="1">
        <row r="10">
          <cell r="B10" t="str">
            <v>Trần Quốc Thể</v>
          </cell>
          <cell r="C10" t="str">
            <v>Tổng Giám đốc</v>
          </cell>
          <cell r="D10" t="str">
            <v>0402007477</v>
          </cell>
        </row>
        <row r="11">
          <cell r="B11" t="str">
            <v>Đoàn Thị Ngọc Nữ</v>
          </cell>
          <cell r="C11" t="str">
            <v>P. Tổng Giám đốc</v>
          </cell>
          <cell r="D11" t="str">
            <v>0403011235</v>
          </cell>
        </row>
        <row r="12">
          <cell r="B12" t="str">
            <v>Nguyễn Ngọc Tôn</v>
          </cell>
          <cell r="C12" t="str">
            <v>P. Tổng Giám đốc</v>
          </cell>
          <cell r="D12" t="str">
            <v>0405014684</v>
          </cell>
        </row>
        <row r="13">
          <cell r="B13" t="str">
            <v>Trần Thị Diễm My</v>
          </cell>
          <cell r="C13" t="str">
            <v xml:space="preserve">PGĐ phụ trách ban </v>
          </cell>
          <cell r="D13" t="str">
            <v>4816042243</v>
          </cell>
        </row>
        <row r="14">
          <cell r="B14" t="str">
            <v xml:space="preserve"> Nguyễn Băng Trinh </v>
          </cell>
          <cell r="C14" t="str">
            <v xml:space="preserve">Nhân viên </v>
          </cell>
          <cell r="D14" t="str">
            <v>4420922734</v>
          </cell>
        </row>
        <row r="15">
          <cell r="B15" t="str">
            <v>Lê Ngọc Tú Uyên</v>
          </cell>
          <cell r="C15" t="str">
            <v xml:space="preserve">Nhân viên </v>
          </cell>
          <cell r="D15" t="str">
            <v>4920520332</v>
          </cell>
        </row>
        <row r="16">
          <cell r="B16" t="str">
            <v>Phan Văn Anh</v>
          </cell>
          <cell r="C16" t="str">
            <v xml:space="preserve">Nhân viên </v>
          </cell>
          <cell r="D16" t="str">
            <v>3496014719</v>
          </cell>
        </row>
        <row r="17">
          <cell r="B17" t="str">
            <v>Đặng Văn Quang</v>
          </cell>
          <cell r="C17" t="str">
            <v>Bảo vệ</v>
          </cell>
          <cell r="D17" t="str">
            <v>4920380363</v>
          </cell>
        </row>
        <row r="18">
          <cell r="B18" t="str">
            <v>Đặng Thanh Hồng</v>
          </cell>
          <cell r="C18" t="str">
            <v>Bảo vệ</v>
          </cell>
          <cell r="D18" t="str">
            <v>4809014651</v>
          </cell>
        </row>
        <row r="19">
          <cell r="B19" t="str">
            <v>Phạm Hùng</v>
          </cell>
          <cell r="C19" t="str">
            <v>Bảo vệ</v>
          </cell>
          <cell r="D19" t="str">
            <v>4815029671</v>
          </cell>
        </row>
        <row r="20">
          <cell r="B20" t="str">
            <v>Đồng Thị Nguyệt Nga</v>
          </cell>
          <cell r="C20" t="str">
            <v>GĐ Ban</v>
          </cell>
          <cell r="D20" t="str">
            <v>4812038931</v>
          </cell>
        </row>
        <row r="21">
          <cell r="B21" t="str">
            <v>Huỳnh Thị Hoàng Hà</v>
          </cell>
          <cell r="C21" t="str">
            <v xml:space="preserve">Phó GĐ </v>
          </cell>
          <cell r="D21" t="str">
            <v>7508220899</v>
          </cell>
        </row>
        <row r="22">
          <cell r="B22" t="str">
            <v>Nguyễn Thị Thảo</v>
          </cell>
          <cell r="C22" t="str">
            <v xml:space="preserve">Nhân viên </v>
          </cell>
          <cell r="D22" t="str">
            <v>4809000009</v>
          </cell>
        </row>
        <row r="23">
          <cell r="B23" t="str">
            <v>Nguyễn Thị Nhật Sang</v>
          </cell>
          <cell r="C23" t="str">
            <v xml:space="preserve">Nhân viên </v>
          </cell>
          <cell r="D23" t="str">
            <v>4820841336</v>
          </cell>
        </row>
        <row r="24">
          <cell r="B24" t="str">
            <v>Phan Duy Sâm</v>
          </cell>
          <cell r="C24" t="str">
            <v>PGĐ Ban</v>
          </cell>
          <cell r="D24" t="str">
            <v>4815029674</v>
          </cell>
        </row>
        <row r="25">
          <cell r="B25" t="str">
            <v>Nguyễn Văn Bồn</v>
          </cell>
          <cell r="C25" t="str">
            <v xml:space="preserve">Nhân viên </v>
          </cell>
          <cell r="D25" t="str">
            <v>4816024231</v>
          </cell>
        </row>
        <row r="26">
          <cell r="B26" t="str">
            <v>Nguyễn Đình Thắng</v>
          </cell>
          <cell r="C26" t="str">
            <v>KSDA</v>
          </cell>
          <cell r="D26" t="str">
            <v>7909335919</v>
          </cell>
        </row>
        <row r="27">
          <cell r="B27" t="str">
            <v>Nguyễn Đình Hiếu</v>
          </cell>
          <cell r="C27" t="str">
            <v>KSDA</v>
          </cell>
          <cell r="D27" t="str">
            <v>0407012241</v>
          </cell>
        </row>
        <row r="28">
          <cell r="B28" t="str">
            <v>Phan Thị Mỹ Hạnh</v>
          </cell>
          <cell r="C28" t="str">
            <v>P.GĐ</v>
          </cell>
          <cell r="D28" t="str">
            <v>0402006721</v>
          </cell>
        </row>
        <row r="29">
          <cell r="B29" t="str">
            <v>Nguyễn Đức Lợi</v>
          </cell>
          <cell r="C29" t="str">
            <v>P.GĐ</v>
          </cell>
          <cell r="D29" t="str">
            <v>4815022961</v>
          </cell>
        </row>
        <row r="30">
          <cell r="B30" t="str">
            <v>Trần Văn Trung</v>
          </cell>
          <cell r="C30" t="str">
            <v xml:space="preserve">Nhân viên </v>
          </cell>
          <cell r="D30" t="str">
            <v>3496014692</v>
          </cell>
        </row>
        <row r="31">
          <cell r="B31" t="str">
            <v>Nguyễn Trần Thức</v>
          </cell>
          <cell r="C31" t="str">
            <v>GĐ Ban</v>
          </cell>
          <cell r="D31" t="str">
            <v>4820549229</v>
          </cell>
        </row>
        <row r="32">
          <cell r="B32" t="str">
            <v>Lê Thị Giang Châu</v>
          </cell>
          <cell r="C32" t="str">
            <v xml:space="preserve">Nhân viên </v>
          </cell>
          <cell r="D32" t="str">
            <v>4821414009</v>
          </cell>
        </row>
        <row r="33">
          <cell r="B33" t="str">
            <v>Phan Thị Kim Cúc</v>
          </cell>
          <cell r="C33" t="str">
            <v xml:space="preserve">Nhân viên </v>
          </cell>
          <cell r="D33" t="str">
            <v>4814026957</v>
          </cell>
        </row>
        <row r="34">
          <cell r="B34" t="str">
            <v>Trần Tin</v>
          </cell>
          <cell r="C34" t="str">
            <v xml:space="preserve">Nhân viên </v>
          </cell>
          <cell r="D34" t="str">
            <v>4820999781</v>
          </cell>
        </row>
        <row r="35">
          <cell r="B35" t="str">
            <v>Đặng Công Nhựt</v>
          </cell>
          <cell r="C35" t="str">
            <v xml:space="preserve">Nhân viên </v>
          </cell>
          <cell r="D35" t="str">
            <v>0403012361</v>
          </cell>
        </row>
        <row r="36">
          <cell r="B36" t="str">
            <v>Đặng Thị Mỹ Hạnh</v>
          </cell>
          <cell r="C36" t="str">
            <v xml:space="preserve">Nhân viên </v>
          </cell>
          <cell r="D36" t="str">
            <v>4812004713</v>
          </cell>
        </row>
        <row r="37">
          <cell r="B37" t="str">
            <v>Đặng Thanh Quang</v>
          </cell>
          <cell r="C37" t="str">
            <v xml:space="preserve">Nhân viên </v>
          </cell>
          <cell r="D37" t="str">
            <v>4811008669</v>
          </cell>
        </row>
        <row r="38">
          <cell r="B38" t="str">
            <v>Mai Văn Châu</v>
          </cell>
          <cell r="C38" t="str">
            <v xml:space="preserve">Nhân viên </v>
          </cell>
          <cell r="D38" t="str">
            <v>4813022061</v>
          </cell>
        </row>
        <row r="39">
          <cell r="B39" t="str">
            <v>Trần Cường</v>
          </cell>
          <cell r="C39" t="str">
            <v>GĐ Ban</v>
          </cell>
          <cell r="D39" t="str">
            <v>0401003087</v>
          </cell>
        </row>
        <row r="40">
          <cell r="B40" t="str">
            <v>Ngô Thị Tâm</v>
          </cell>
          <cell r="C40" t="str">
            <v>TK Sàn</v>
          </cell>
          <cell r="D40" t="str">
            <v>4811004942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UONG Molly"/>
      <sheetName val="LUONG nội bộ"/>
      <sheetName val="TM nội bộ"/>
      <sheetName val="LUONG T05.2026"/>
      <sheetName val="CHAM CONG FINAL "/>
      <sheetName val="KHỐI VP + DV FN"/>
      <sheetName val="TMMolly HT"/>
      <sheetName val="TM HỢP THỨC"/>
      <sheetName val="LUONG HỢP THỨC"/>
    </sheetNames>
    <sheetDataSet>
      <sheetData sheetId="0"/>
      <sheetData sheetId="1"/>
      <sheetData sheetId="2"/>
      <sheetData sheetId="3">
        <row r="12">
          <cell r="B12" t="str">
            <v>Đặng Ngọc Hoàng</v>
          </cell>
          <cell r="C12" t="str">
            <v>CT HĐQT</v>
          </cell>
          <cell r="D12">
            <v>23.5</v>
          </cell>
          <cell r="G12">
            <v>28560000</v>
          </cell>
        </row>
        <row r="13">
          <cell r="B13" t="str">
            <v>Trần Cường</v>
          </cell>
          <cell r="C13" t="str">
            <v>Giám Đốc</v>
          </cell>
          <cell r="D13">
            <v>23.5</v>
          </cell>
          <cell r="G13">
            <v>18240000</v>
          </cell>
        </row>
        <row r="14">
          <cell r="B14" t="str">
            <v>Nguyễn Thị Hạnh Tiên</v>
          </cell>
          <cell r="C14" t="str">
            <v>Trưởng Ban</v>
          </cell>
          <cell r="D14">
            <v>22</v>
          </cell>
          <cell r="G14">
            <v>12000000</v>
          </cell>
        </row>
        <row r="15">
          <cell r="B15" t="str">
            <v>Lê Thị Hải</v>
          </cell>
          <cell r="C15" t="str">
            <v>Phó phòng</v>
          </cell>
          <cell r="D15">
            <v>23</v>
          </cell>
          <cell r="E15">
            <v>0.5</v>
          </cell>
          <cell r="G15">
            <v>12500000</v>
          </cell>
        </row>
        <row r="16">
          <cell r="B16" t="str">
            <v>Nguyễn Hoài Trung</v>
          </cell>
          <cell r="C16" t="str">
            <v xml:space="preserve">Nhân viên </v>
          </cell>
          <cell r="D16">
            <v>23.5</v>
          </cell>
          <cell r="G16">
            <v>8000000</v>
          </cell>
        </row>
        <row r="18">
          <cell r="B18" t="str">
            <v>Trương Ngọc Sỹ</v>
          </cell>
          <cell r="C18" t="str">
            <v>Bảo trì</v>
          </cell>
          <cell r="D18">
            <v>26</v>
          </cell>
          <cell r="G18">
            <v>7340000</v>
          </cell>
        </row>
        <row r="19">
          <cell r="B19" t="str">
            <v>Lê Ngọc Thành Đạt</v>
          </cell>
          <cell r="C19" t="str">
            <v>Bảo trì</v>
          </cell>
          <cell r="D19">
            <v>26</v>
          </cell>
          <cell r="G19">
            <v>6930000</v>
          </cell>
        </row>
        <row r="20">
          <cell r="B20" t="str">
            <v>Trần Thị Mỹ</v>
          </cell>
          <cell r="C20" t="str">
            <v>Tạp vụ</v>
          </cell>
          <cell r="D20">
            <v>25</v>
          </cell>
          <cell r="E20">
            <v>1</v>
          </cell>
          <cell r="G20">
            <v>4730000</v>
          </cell>
        </row>
        <row r="21">
          <cell r="B21" t="str">
            <v>Phạm Thị Quảng</v>
          </cell>
          <cell r="C21" t="str">
            <v>Cây xanh</v>
          </cell>
          <cell r="D21">
            <v>25</v>
          </cell>
          <cell r="E21">
            <v>1</v>
          </cell>
          <cell r="G21">
            <v>6220000</v>
          </cell>
        </row>
        <row r="22">
          <cell r="B22" t="str">
            <v>Thái Hữu Quý</v>
          </cell>
          <cell r="C22" t="str">
            <v>Bảo vệ</v>
          </cell>
          <cell r="D22">
            <v>26</v>
          </cell>
          <cell r="G22">
            <v>5060000</v>
          </cell>
        </row>
        <row r="23">
          <cell r="B23" t="str">
            <v>Phạm Ngọc Bình</v>
          </cell>
          <cell r="C23" t="str">
            <v>Bảo vệ</v>
          </cell>
          <cell r="D23">
            <v>26</v>
          </cell>
          <cell r="G23">
            <v>5060000</v>
          </cell>
        </row>
        <row r="24">
          <cell r="B24" t="str">
            <v>Võ Trọng Khanh</v>
          </cell>
          <cell r="C24" t="str">
            <v>Bảo vệ</v>
          </cell>
          <cell r="D24">
            <v>26</v>
          </cell>
          <cell r="G24">
            <v>5620000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36"/>
  <sheetViews>
    <sheetView tabSelected="1" zoomScale="85" zoomScaleNormal="85" zoomScaleSheetLayoutView="92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E11" sqref="E11"/>
    </sheetView>
  </sheetViews>
  <sheetFormatPr defaultColWidth="8.85546875" defaultRowHeight="15.75" x14ac:dyDescent="0.25"/>
  <cols>
    <col min="1" max="1" width="5.42578125" style="3" customWidth="1"/>
    <col min="2" max="2" width="14.85546875" style="35" customWidth="1"/>
    <col min="3" max="3" width="24.140625" style="25" customWidth="1"/>
    <col min="4" max="4" width="15.42578125" style="156" customWidth="1"/>
    <col min="5" max="5" width="15.85546875" style="156" customWidth="1"/>
    <col min="6" max="6" width="15.85546875" style="25" customWidth="1"/>
    <col min="7" max="7" width="0.140625" style="25" customWidth="1"/>
    <col min="8" max="8" width="15.5703125" style="25" bestFit="1" customWidth="1"/>
    <col min="9" max="9" width="12" style="25" bestFit="1" customWidth="1"/>
    <col min="10" max="10" width="15.85546875" style="25" customWidth="1"/>
    <col min="11" max="11" width="11.85546875" style="25" bestFit="1" customWidth="1"/>
    <col min="12" max="12" width="15.85546875" style="25" hidden="1" customWidth="1"/>
    <col min="13" max="13" width="37.7109375" style="25" customWidth="1"/>
    <col min="14" max="14" width="16.85546875" style="25" customWidth="1"/>
    <col min="15" max="15" width="11" style="25" customWidth="1"/>
    <col min="16" max="17" width="16" style="25" customWidth="1"/>
    <col min="18" max="18" width="15.140625" style="25" customWidth="1"/>
    <col min="19" max="19" width="18.140625" style="25" hidden="1" customWidth="1"/>
    <col min="20" max="20" width="18.85546875" style="25" customWidth="1"/>
    <col min="21" max="21" width="27.5703125" style="158" customWidth="1"/>
    <col min="22" max="22" width="13.85546875" style="59" customWidth="1"/>
    <col min="23" max="23" width="12.28515625" style="35" hidden="1" customWidth="1"/>
    <col min="24" max="24" width="10.42578125" style="3" hidden="1" customWidth="1"/>
    <col min="25" max="25" width="13.42578125" style="3" bestFit="1" customWidth="1"/>
    <col min="26" max="26" width="12.28515625" style="3" customWidth="1"/>
    <col min="27" max="27" width="18" style="3" customWidth="1"/>
    <col min="28" max="28" width="18.5703125" style="3" customWidth="1"/>
    <col min="29" max="29" width="22.28515625" style="3" bestFit="1" customWidth="1"/>
    <col min="30" max="30" width="31.5703125" style="3" bestFit="1" customWidth="1"/>
    <col min="31" max="31" width="10.7109375" style="194" customWidth="1"/>
    <col min="32" max="32" width="14.140625" style="3" customWidth="1"/>
    <col min="33" max="34" width="15.5703125" style="3" bestFit="1" customWidth="1"/>
    <col min="35" max="35" width="14.140625" style="3" customWidth="1"/>
    <col min="36" max="38" width="17.28515625" style="101" customWidth="1"/>
    <col min="39" max="39" width="8.85546875" style="3"/>
    <col min="40" max="41" width="12.42578125" style="3" customWidth="1"/>
    <col min="42" max="16384" width="8.85546875" style="3"/>
  </cols>
  <sheetData>
    <row r="1" spans="1:41" s="28" customFormat="1" ht="35.25" customHeight="1" x14ac:dyDescent="0.3">
      <c r="A1" s="27"/>
      <c r="B1" s="27"/>
      <c r="C1" s="206" t="s">
        <v>412</v>
      </c>
      <c r="D1" s="206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93"/>
      <c r="V1" s="52"/>
      <c r="W1" s="26"/>
      <c r="X1" s="27"/>
      <c r="Y1" s="27"/>
      <c r="Z1" s="27"/>
      <c r="AA1" s="27"/>
      <c r="AB1" s="27"/>
      <c r="AC1" s="27"/>
      <c r="AD1" s="27"/>
      <c r="AE1" s="26"/>
      <c r="AF1" s="27"/>
      <c r="AG1" s="27"/>
      <c r="AH1" s="27"/>
      <c r="AI1" s="27"/>
      <c r="AJ1" s="82"/>
      <c r="AK1" s="82"/>
      <c r="AL1" s="82"/>
    </row>
    <row r="2" spans="1:41" ht="15.75" customHeight="1" x14ac:dyDescent="0.25">
      <c r="A2" s="4"/>
      <c r="B2" s="27"/>
      <c r="C2" s="27"/>
      <c r="D2" s="27"/>
      <c r="E2" s="27"/>
      <c r="F2" s="2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93"/>
      <c r="V2" s="53"/>
      <c r="W2" s="30"/>
      <c r="X2" s="4"/>
      <c r="Y2" s="4"/>
      <c r="Z2" s="4"/>
      <c r="AA2" s="4"/>
      <c r="AB2" s="4"/>
      <c r="AC2" s="4"/>
      <c r="AD2" s="4"/>
      <c r="AE2" s="30"/>
      <c r="AF2" s="4"/>
      <c r="AG2" s="4"/>
      <c r="AH2" s="4"/>
      <c r="AI2" s="4"/>
    </row>
    <row r="3" spans="1:41" ht="29.1" customHeight="1" x14ac:dyDescent="0.25">
      <c r="A3" s="218" t="s">
        <v>297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159"/>
      <c r="AH3" s="159"/>
      <c r="AI3" s="159"/>
    </row>
    <row r="4" spans="1:41" ht="20.25" x14ac:dyDescent="0.3">
      <c r="A4" s="6"/>
      <c r="B4" s="6"/>
      <c r="C4" s="110"/>
      <c r="D4" s="110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93"/>
      <c r="V4" s="54"/>
      <c r="W4" s="31"/>
      <c r="X4" s="6"/>
      <c r="Y4" s="6"/>
      <c r="Z4" s="6"/>
      <c r="AA4" s="6"/>
      <c r="AB4" s="6"/>
      <c r="AC4" s="6"/>
      <c r="AD4" s="6"/>
      <c r="AE4" s="31"/>
      <c r="AF4" s="6"/>
      <c r="AG4" s="6"/>
      <c r="AH4" s="6"/>
      <c r="AI4" s="6"/>
    </row>
    <row r="5" spans="1:41" s="160" customFormat="1" ht="30.75" customHeight="1" x14ac:dyDescent="0.25">
      <c r="A5" s="219"/>
      <c r="B5" s="219"/>
      <c r="C5" s="219"/>
      <c r="D5" s="220" t="s">
        <v>303</v>
      </c>
      <c r="E5" s="220"/>
      <c r="F5" s="220"/>
      <c r="G5" s="220"/>
      <c r="H5" s="220"/>
      <c r="I5" s="221" t="s">
        <v>304</v>
      </c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2" t="s">
        <v>309</v>
      </c>
      <c r="V5" s="222"/>
      <c r="W5" s="219" t="s">
        <v>312</v>
      </c>
      <c r="X5" s="219"/>
      <c r="Y5" s="223" t="s">
        <v>310</v>
      </c>
      <c r="Z5" s="223"/>
      <c r="AA5" s="223"/>
      <c r="AB5" s="226" t="s">
        <v>311</v>
      </c>
      <c r="AC5" s="227"/>
      <c r="AD5" s="227"/>
      <c r="AE5" s="227"/>
      <c r="AF5" s="227"/>
      <c r="AG5" s="227"/>
      <c r="AH5" s="227"/>
      <c r="AI5" s="227"/>
      <c r="AJ5" s="227"/>
      <c r="AK5" s="227"/>
      <c r="AL5" s="227"/>
      <c r="AM5" s="227"/>
      <c r="AN5" s="227"/>
      <c r="AO5" s="228"/>
    </row>
    <row r="6" spans="1:41" s="10" customFormat="1" ht="50.25" customHeight="1" x14ac:dyDescent="0.25">
      <c r="A6" s="217" t="s">
        <v>0</v>
      </c>
      <c r="B6" s="217" t="s">
        <v>2</v>
      </c>
      <c r="C6" s="217" t="s">
        <v>1</v>
      </c>
      <c r="D6" s="208" t="s">
        <v>305</v>
      </c>
      <c r="E6" s="208" t="s">
        <v>306</v>
      </c>
      <c r="F6" s="208" t="s">
        <v>12</v>
      </c>
      <c r="G6" s="208" t="s">
        <v>332</v>
      </c>
      <c r="H6" s="208" t="s">
        <v>20</v>
      </c>
      <c r="I6" s="209" t="s">
        <v>128</v>
      </c>
      <c r="J6" s="209" t="s">
        <v>126</v>
      </c>
      <c r="K6" s="213" t="s">
        <v>132</v>
      </c>
      <c r="L6" s="213" t="s">
        <v>307</v>
      </c>
      <c r="M6" s="209" t="s">
        <v>125</v>
      </c>
      <c r="N6" s="213" t="s">
        <v>195</v>
      </c>
      <c r="O6" s="213" t="s">
        <v>204</v>
      </c>
      <c r="P6" s="213" t="s">
        <v>350</v>
      </c>
      <c r="Q6" s="224" t="s">
        <v>335</v>
      </c>
      <c r="R6" s="209" t="s">
        <v>127</v>
      </c>
      <c r="S6" s="209" t="s">
        <v>308</v>
      </c>
      <c r="T6" s="209" t="s">
        <v>352</v>
      </c>
      <c r="U6" s="210" t="s">
        <v>69</v>
      </c>
      <c r="V6" s="210" t="s">
        <v>75</v>
      </c>
      <c r="W6" s="211" t="s">
        <v>235</v>
      </c>
      <c r="X6" s="211"/>
      <c r="Y6" s="208" t="s">
        <v>299</v>
      </c>
      <c r="Z6" s="212" t="s">
        <v>51</v>
      </c>
      <c r="AA6" s="208" t="s">
        <v>6</v>
      </c>
      <c r="AB6" s="229" t="s">
        <v>341</v>
      </c>
      <c r="AC6" s="230"/>
      <c r="AD6" s="230"/>
      <c r="AE6" s="230"/>
      <c r="AF6" s="230"/>
      <c r="AG6" s="230"/>
      <c r="AH6" s="231"/>
      <c r="AI6" s="229" t="s">
        <v>339</v>
      </c>
      <c r="AJ6" s="230"/>
      <c r="AK6" s="230"/>
      <c r="AL6" s="231"/>
      <c r="AM6" s="232" t="s">
        <v>328</v>
      </c>
      <c r="AN6" s="232" t="s">
        <v>330</v>
      </c>
      <c r="AO6" s="209" t="s">
        <v>205</v>
      </c>
    </row>
    <row r="7" spans="1:41" s="10" customFormat="1" ht="48" customHeight="1" x14ac:dyDescent="0.25">
      <c r="A7" s="217"/>
      <c r="B7" s="217"/>
      <c r="C7" s="217"/>
      <c r="D7" s="208"/>
      <c r="E7" s="208"/>
      <c r="F7" s="208"/>
      <c r="G7" s="208"/>
      <c r="H7" s="208"/>
      <c r="I7" s="209"/>
      <c r="J7" s="209"/>
      <c r="K7" s="213"/>
      <c r="L7" s="213"/>
      <c r="M7" s="209"/>
      <c r="N7" s="213"/>
      <c r="O7" s="213"/>
      <c r="P7" s="213"/>
      <c r="Q7" s="225"/>
      <c r="R7" s="209"/>
      <c r="S7" s="209"/>
      <c r="T7" s="209"/>
      <c r="U7" s="210"/>
      <c r="V7" s="210"/>
      <c r="W7" s="161" t="s">
        <v>4</v>
      </c>
      <c r="X7" s="161" t="s">
        <v>5</v>
      </c>
      <c r="Y7" s="208"/>
      <c r="Z7" s="212"/>
      <c r="AA7" s="208"/>
      <c r="AB7" s="190" t="s">
        <v>338</v>
      </c>
      <c r="AC7" s="190" t="s">
        <v>353</v>
      </c>
      <c r="AD7" s="175" t="s">
        <v>369</v>
      </c>
      <c r="AE7" s="173" t="s">
        <v>367</v>
      </c>
      <c r="AF7" s="175" t="s">
        <v>324</v>
      </c>
      <c r="AG7" s="175" t="s">
        <v>365</v>
      </c>
      <c r="AH7" s="175" t="s">
        <v>366</v>
      </c>
      <c r="AI7" s="175" t="s">
        <v>338</v>
      </c>
      <c r="AJ7" s="175" t="s">
        <v>340</v>
      </c>
      <c r="AK7" s="175" t="s">
        <v>353</v>
      </c>
      <c r="AL7" s="175" t="s">
        <v>354</v>
      </c>
      <c r="AM7" s="233"/>
      <c r="AN7" s="233"/>
      <c r="AO7" s="209"/>
    </row>
    <row r="8" spans="1:41" s="10" customFormat="1" ht="39" customHeight="1" x14ac:dyDescent="0.25">
      <c r="A8" s="29">
        <v>1</v>
      </c>
      <c r="B8" s="214" t="s">
        <v>112</v>
      </c>
      <c r="C8" s="19" t="s">
        <v>13</v>
      </c>
      <c r="D8" s="145" t="s">
        <v>315</v>
      </c>
      <c r="E8" s="83" t="s">
        <v>221</v>
      </c>
      <c r="F8" s="61">
        <f>VLOOKUP(C8,'[1]LƯƠNG TỔNG'!C$8:J$40,8,0)</f>
        <v>39267</v>
      </c>
      <c r="G8" s="61">
        <f ca="1">TODAY()</f>
        <v>46195</v>
      </c>
      <c r="H8" s="62" t="str">
        <f ca="1">DATEDIF(F8,TODAY(),"Y")&amp;" năm "&amp;DATEDIF(F8,TODAY(),"YM")&amp;" tháng"</f>
        <v>18 năm 11 tháng</v>
      </c>
      <c r="I8" s="96" t="str">
        <f>VLOOKUP(C8,'[1]LƯƠNG TỔNG'!C$8:I$40,7,0)</f>
        <v>01/01/1963</v>
      </c>
      <c r="J8" s="103" t="str">
        <f>VLOOKUP(C8,'[1]LƯƠNG TỔNG'!C$8:AC$40,27,0)</f>
        <v>049063014707</v>
      </c>
      <c r="K8" s="95">
        <v>44808</v>
      </c>
      <c r="L8" s="95"/>
      <c r="M8" s="29" t="str">
        <f>VLOOKUP(C8,'[1]LƯƠNG TỔNG'!C$8:AB$40,26,0)</f>
        <v>99 Núi Thành, Hoà Thuận Đông, Hải Châu, Đà Nẵng</v>
      </c>
      <c r="N8" s="103" t="s">
        <v>343</v>
      </c>
      <c r="O8" s="189"/>
      <c r="P8" s="174">
        <v>39814</v>
      </c>
      <c r="Q8" s="174">
        <v>45200</v>
      </c>
      <c r="R8" s="84" t="s">
        <v>351</v>
      </c>
      <c r="S8" s="83"/>
      <c r="T8" s="134">
        <f>VLOOKUP(C8,'[2]CK BIDV DMT'!C$7:F$37,4,0)</f>
        <v>5600006310</v>
      </c>
      <c r="U8" s="29" t="s">
        <v>123</v>
      </c>
      <c r="V8" s="44" t="s">
        <v>76</v>
      </c>
      <c r="W8" s="1"/>
      <c r="X8" s="15"/>
      <c r="Y8" s="132">
        <f>VLOOKUP(C8,'[2]Luong CBNV T05.2026'!B$13:H$53,7,0)</f>
        <v>55660000</v>
      </c>
      <c r="Z8" s="174">
        <v>44197</v>
      </c>
      <c r="AA8" s="29" t="str">
        <f>VLOOKUP(C8,'[3]LƯƠNG TỔNG'!C$8:M$38,11,0)</f>
        <v>Điều chỉnh lương</v>
      </c>
      <c r="AB8" s="176">
        <f>VLOOKUP(C8,[4]Sheet2!B$25:U$63,20,0)</f>
        <v>39267</v>
      </c>
      <c r="AC8" s="140"/>
      <c r="AD8" s="195"/>
      <c r="AE8" s="1"/>
      <c r="AF8" s="1"/>
      <c r="AG8" s="191"/>
      <c r="AH8" s="191"/>
      <c r="AI8" s="201"/>
      <c r="AJ8" s="172"/>
      <c r="AK8" s="187"/>
      <c r="AL8" s="172"/>
      <c r="AM8" s="83"/>
      <c r="AN8" s="83"/>
      <c r="AO8" s="83"/>
    </row>
    <row r="9" spans="1:41" s="10" customFormat="1" ht="39" customHeight="1" x14ac:dyDescent="0.25">
      <c r="A9" s="29">
        <f>A8+1</f>
        <v>2</v>
      </c>
      <c r="B9" s="215"/>
      <c r="C9" s="19" t="s">
        <v>14</v>
      </c>
      <c r="D9" s="145" t="s">
        <v>315</v>
      </c>
      <c r="E9" s="83" t="s">
        <v>18</v>
      </c>
      <c r="F9" s="61">
        <f>VLOOKUP(C9,'[1]LƯƠNG TỔNG'!C$8:J$40,8,0)</f>
        <v>40210</v>
      </c>
      <c r="G9" s="61">
        <f t="shared" ref="G9:G36" ca="1" si="0">TODAY()</f>
        <v>46195</v>
      </c>
      <c r="H9" s="62" t="str">
        <f t="shared" ref="H9:H36" ca="1" si="1">DATEDIF(F9,TODAY(),"Y")&amp;" năm "&amp;DATEDIF(F9,TODAY(),"YM")&amp;" tháng"</f>
        <v>16 năm 4 tháng</v>
      </c>
      <c r="I9" s="96" t="str">
        <f>VLOOKUP(C9,'[1]LƯƠNG TỔNG'!C$8:I$40,7,0)</f>
        <v>15/02/1976</v>
      </c>
      <c r="J9" s="103" t="s">
        <v>336</v>
      </c>
      <c r="K9" s="95">
        <f>VLOOKUP(C9,'[1]LƯƠNG TỔNG'!C$8:AD$40,28,0)</f>
        <v>44645</v>
      </c>
      <c r="L9" s="95"/>
      <c r="M9" s="29" t="str">
        <f>VLOOKUP(C9,'[1]LƯƠNG TỔNG'!C$8:AB$40,26,0)</f>
        <v>K36/41 Quang Trung, Thạch Thang, Hải Châu, Đà Nẵng</v>
      </c>
      <c r="N9" s="103" t="str">
        <f>VLOOKUP(C9,'[5]chia phòng QN 2026'!B$4:E$47,4,0)</f>
        <v>0913459440</v>
      </c>
      <c r="O9" s="189">
        <v>2</v>
      </c>
      <c r="P9" s="174">
        <f>VLOOKUP(C9,[4]Sheet2!B$25:Z$63,25,0)</f>
        <v>40210</v>
      </c>
      <c r="Q9" s="174"/>
      <c r="R9" s="83" t="str">
        <f>VLOOKUP(C9,'[1]LƯƠNG TỔNG'!C$8:AE$40,29,0)</f>
        <v>0402007477</v>
      </c>
      <c r="S9" s="102"/>
      <c r="T9" s="134">
        <f>VLOOKUP(C9,'[2]CK BIDV DMT'!C$7:F$37,4,0)</f>
        <v>5600788070</v>
      </c>
      <c r="U9" s="129" t="s">
        <v>91</v>
      </c>
      <c r="V9" s="44" t="s">
        <v>76</v>
      </c>
      <c r="W9" s="1"/>
      <c r="X9" s="15"/>
      <c r="Y9" s="132">
        <f>VLOOKUP(C9,'[2]Luong CBNV T05.2026'!B$13:H$53,7,0)</f>
        <v>29000000</v>
      </c>
      <c r="Z9" s="174">
        <v>45778</v>
      </c>
      <c r="AA9" s="29" t="str">
        <f>VLOOKUP(C9,'[3]LƯƠNG TỔNG'!C$8:M$38,11,0)</f>
        <v>Điều chỉnh lương</v>
      </c>
      <c r="AB9" s="176">
        <f>VLOOKUP(C9,[4]Sheet2!B$25:U$63,20,0)</f>
        <v>43102</v>
      </c>
      <c r="AC9" s="196" t="s">
        <v>404</v>
      </c>
      <c r="AD9" s="195" t="s">
        <v>405</v>
      </c>
      <c r="AE9" s="1">
        <v>4</v>
      </c>
      <c r="AF9" s="61">
        <v>45778</v>
      </c>
      <c r="AG9" s="191">
        <v>26360000</v>
      </c>
      <c r="AH9" s="191">
        <v>29000000</v>
      </c>
      <c r="AI9" s="201"/>
      <c r="AJ9" s="172"/>
      <c r="AK9" s="187"/>
      <c r="AL9" s="172"/>
      <c r="AM9" s="102"/>
      <c r="AN9" s="102"/>
      <c r="AO9" s="102"/>
    </row>
    <row r="10" spans="1:41" s="10" customFormat="1" ht="39" customHeight="1" x14ac:dyDescent="0.25">
      <c r="A10" s="29">
        <f t="shared" ref="A10:A36" si="2">A9+1</f>
        <v>3</v>
      </c>
      <c r="B10" s="215"/>
      <c r="C10" s="19" t="s">
        <v>15</v>
      </c>
      <c r="D10" s="145" t="s">
        <v>315</v>
      </c>
      <c r="E10" s="83" t="s">
        <v>19</v>
      </c>
      <c r="F10" s="61">
        <f>VLOOKUP(C10,'[1]LƯƠNG TỔNG'!C$8:J$40,8,0)</f>
        <v>39270</v>
      </c>
      <c r="G10" s="61">
        <f t="shared" ca="1" si="0"/>
        <v>46195</v>
      </c>
      <c r="H10" s="62" t="str">
        <f t="shared" ca="1" si="1"/>
        <v>18 năm 11 tháng</v>
      </c>
      <c r="I10" s="96" t="str">
        <f>VLOOKUP(C10,'[1]LƯƠNG TỔNG'!C$8:I$40,7,0)</f>
        <v>23/05/1980</v>
      </c>
      <c r="J10" s="103" t="str">
        <f>VLOOKUP(C10,'[1]LƯƠNG TỔNG'!C$8:AC$40,27,0)</f>
        <v>049180017005</v>
      </c>
      <c r="K10" s="95">
        <f>VLOOKUP(C10,'[1]LƯƠNG TỔNG'!C$8:AD$40,28,0)</f>
        <v>44375</v>
      </c>
      <c r="L10" s="95"/>
      <c r="M10" s="29" t="str">
        <f>VLOOKUP(C10,'[1]LƯƠNG TỔNG'!C$8:AB$40,26,0)</f>
        <v>464/32 Trưng Nữ Vương, Tố 87BT, Hoà Cường, Đà Nẵng</v>
      </c>
      <c r="N10" s="103" t="str">
        <f>VLOOKUP(C10,'[5]chia phòng QN 2026'!B$4:E$47,4,0)</f>
        <v>0914009872</v>
      </c>
      <c r="O10" s="189">
        <v>2</v>
      </c>
      <c r="P10" s="174">
        <f>VLOOKUP(C10,[4]Sheet2!B$25:Z$63,25,0)</f>
        <v>39295</v>
      </c>
      <c r="Q10" s="174"/>
      <c r="R10" s="83" t="str">
        <f>VLOOKUP(C10,'[1]LƯƠNG TỔNG'!C$8:AE$40,29,0)</f>
        <v>0403011235</v>
      </c>
      <c r="S10" s="102"/>
      <c r="T10" s="134">
        <f>VLOOKUP(C10,'[2]CK BIDV DMT'!C$7:F$37,4,0)</f>
        <v>5600063315</v>
      </c>
      <c r="U10" s="129" t="s">
        <v>92</v>
      </c>
      <c r="V10" s="44" t="s">
        <v>76</v>
      </c>
      <c r="W10" s="1"/>
      <c r="X10" s="15"/>
      <c r="Y10" s="132">
        <f>VLOOKUP(C10,'[2]Luong CBNV T05.2026'!B$13:H$53,7,0)</f>
        <v>26500000</v>
      </c>
      <c r="Z10" s="174">
        <v>46113</v>
      </c>
      <c r="AA10" s="29" t="str">
        <f>VLOOKUP(C10,'[3]LƯƠNG TỔNG'!C$8:M$38,11,0)</f>
        <v>Điều chỉnh lương</v>
      </c>
      <c r="AB10" s="176">
        <f>VLOOKUP(C10,[4]Sheet2!B$25:U$63,20,0)</f>
        <v>43102</v>
      </c>
      <c r="AC10" s="140" t="s">
        <v>406</v>
      </c>
      <c r="AD10" s="195" t="s">
        <v>407</v>
      </c>
      <c r="AE10" s="1">
        <v>3</v>
      </c>
      <c r="AF10" s="61">
        <v>46113</v>
      </c>
      <c r="AG10" s="191">
        <v>24540000</v>
      </c>
      <c r="AH10" s="191">
        <v>26500000</v>
      </c>
      <c r="AI10" s="201"/>
      <c r="AJ10" s="172"/>
      <c r="AK10" s="187"/>
      <c r="AL10" s="172"/>
      <c r="AM10" s="102"/>
      <c r="AN10" s="102"/>
      <c r="AO10" s="102"/>
    </row>
    <row r="11" spans="1:41" s="10" customFormat="1" ht="39" customHeight="1" x14ac:dyDescent="0.25">
      <c r="A11" s="29">
        <f t="shared" si="2"/>
        <v>4</v>
      </c>
      <c r="B11" s="216"/>
      <c r="C11" s="19" t="s">
        <v>16</v>
      </c>
      <c r="D11" s="145" t="s">
        <v>315</v>
      </c>
      <c r="E11" s="83" t="s">
        <v>19</v>
      </c>
      <c r="F11" s="61">
        <f>VLOOKUP(C11,'[1]LƯƠNG TỔNG'!C$8:J$40,8,0)</f>
        <v>40280</v>
      </c>
      <c r="G11" s="61">
        <f t="shared" ca="1" si="0"/>
        <v>46195</v>
      </c>
      <c r="H11" s="62" t="str">
        <f t="shared" ca="1" si="1"/>
        <v>16 năm 2 tháng</v>
      </c>
      <c r="I11" s="96" t="str">
        <f>VLOOKUP(C11,'[1]LƯƠNG TỔNG'!C$8:I$40,7,0)</f>
        <v>20/12/1978</v>
      </c>
      <c r="J11" s="103" t="str">
        <f>VLOOKUP(C11,'[1]LƯƠNG TỔNG'!C$8:AC$40,27,0)</f>
        <v>049078016612</v>
      </c>
      <c r="K11" s="95">
        <f>VLOOKUP(C11,'[1]LƯƠNG TỔNG'!C$8:AD$40,28,0)</f>
        <v>44552</v>
      </c>
      <c r="L11" s="95"/>
      <c r="M11" s="29" t="str">
        <f>VLOOKUP(C11,'[1]LƯƠNG TỔNG'!C$8:AB$40,26,0)</f>
        <v>Tổ 53, phường An Khê, Thành phố Đà Nẵng.</v>
      </c>
      <c r="N11" s="103" t="str">
        <f>VLOOKUP(C11,'[5]chia phòng QN 2026'!B$4:E$47,4,0)</f>
        <v>0905002822</v>
      </c>
      <c r="O11" s="189">
        <v>3</v>
      </c>
      <c r="P11" s="174">
        <f>VLOOKUP(C11,[4]Sheet2!B$25:Z$63,25,0)</f>
        <v>40299</v>
      </c>
      <c r="Q11" s="174"/>
      <c r="R11" s="83" t="str">
        <f>VLOOKUP(C11,'[1]LƯƠNG TỔNG'!C$8:AE$40,29,0)</f>
        <v>0405014684</v>
      </c>
      <c r="S11" s="102"/>
      <c r="T11" s="134">
        <f>VLOOKUP(C11,'[2]CK BIDV DMT'!C$7:F$37,4,0)</f>
        <v>5600784616</v>
      </c>
      <c r="U11" s="129" t="s">
        <v>93</v>
      </c>
      <c r="V11" s="44" t="s">
        <v>89</v>
      </c>
      <c r="W11" s="1"/>
      <c r="X11" s="15"/>
      <c r="Y11" s="132">
        <f>VLOOKUP(C11,'[2]Luong CBNV T05.2026'!B$13:H$53,7,0)</f>
        <v>22000000</v>
      </c>
      <c r="Z11" s="174">
        <v>46113</v>
      </c>
      <c r="AA11" s="29" t="str">
        <f>VLOOKUP(C11,'[3]LƯƠNG TỔNG'!C$8:M$38,11,0)</f>
        <v>Điều chỉnh lương</v>
      </c>
      <c r="AB11" s="176">
        <f>VLOOKUP(C11,[4]Sheet2!B$25:U$63,20,0)</f>
        <v>43102</v>
      </c>
      <c r="AC11" s="140" t="s">
        <v>409</v>
      </c>
      <c r="AD11" s="195" t="s">
        <v>408</v>
      </c>
      <c r="AE11" s="1">
        <v>3</v>
      </c>
      <c r="AF11" s="61">
        <v>46113</v>
      </c>
      <c r="AG11" s="191">
        <v>20280000</v>
      </c>
      <c r="AH11" s="191">
        <v>22000000</v>
      </c>
      <c r="AI11" s="201"/>
      <c r="AJ11" s="172"/>
      <c r="AK11" s="187"/>
      <c r="AL11" s="172"/>
      <c r="AM11" s="102"/>
      <c r="AN11" s="102"/>
      <c r="AO11" s="102"/>
    </row>
    <row r="12" spans="1:41" s="10" customFormat="1" ht="39" customHeight="1" x14ac:dyDescent="0.25">
      <c r="A12" s="29">
        <f t="shared" si="2"/>
        <v>5</v>
      </c>
      <c r="B12" s="207" t="s">
        <v>113</v>
      </c>
      <c r="C12" s="64" t="s">
        <v>21</v>
      </c>
      <c r="D12" s="145" t="s">
        <v>134</v>
      </c>
      <c r="E12" s="154" t="s">
        <v>27</v>
      </c>
      <c r="F12" s="61">
        <f>VLOOKUP(C12,'[1]LƯƠNG TỔNG'!C$8:J$40,8,0)</f>
        <v>44907</v>
      </c>
      <c r="G12" s="61">
        <f t="shared" ca="1" si="0"/>
        <v>46195</v>
      </c>
      <c r="H12" s="62" t="str">
        <f t="shared" ca="1" si="1"/>
        <v>3 năm 6 tháng</v>
      </c>
      <c r="I12" s="96">
        <f>VLOOKUP(C12,'[1]LƯƠNG TỔNG'!C$8:I$40,7,0)</f>
        <v>36166</v>
      </c>
      <c r="J12" s="103" t="s">
        <v>333</v>
      </c>
      <c r="K12" s="95">
        <v>45088</v>
      </c>
      <c r="L12" s="95"/>
      <c r="M12" s="29" t="s">
        <v>334</v>
      </c>
      <c r="N12" s="103" t="s">
        <v>342</v>
      </c>
      <c r="O12" s="189"/>
      <c r="P12" s="174">
        <v>44958</v>
      </c>
      <c r="Q12" s="174"/>
      <c r="R12" s="83" t="str">
        <f>VLOOKUP(C12,'[1]LƯƠNG TỔNG'!C$8:AE$40,29,0)</f>
        <v>4420922734</v>
      </c>
      <c r="S12" s="102"/>
      <c r="T12" s="134">
        <f>VLOOKUP(C12,'[2]CK BIDV DMT'!C$7:F$37,4,0)</f>
        <v>5650273687</v>
      </c>
      <c r="U12" s="29" t="s">
        <v>70</v>
      </c>
      <c r="V12" s="44" t="s">
        <v>76</v>
      </c>
      <c r="W12" s="1"/>
      <c r="X12" s="15"/>
      <c r="Y12" s="132">
        <f>VLOOKUP(C12,'[2]Luong CBNV T05.2026'!B$13:H$53,7,0)</f>
        <v>10000000</v>
      </c>
      <c r="Z12" s="174">
        <v>46082</v>
      </c>
      <c r="AA12" s="29" t="str">
        <f>VLOOKUP(C12,'[3]LƯƠNG TỔNG'!C$8:M$38,11,0)</f>
        <v>Thay đổi vị trí</v>
      </c>
      <c r="AB12" s="176">
        <v>45334</v>
      </c>
      <c r="AC12" s="140" t="s">
        <v>390</v>
      </c>
      <c r="AD12" s="195" t="s">
        <v>391</v>
      </c>
      <c r="AE12" s="1">
        <v>2</v>
      </c>
      <c r="AF12" s="193">
        <v>46082</v>
      </c>
      <c r="AG12" s="192">
        <v>8170000</v>
      </c>
      <c r="AH12" s="191">
        <v>10000000</v>
      </c>
      <c r="AI12" s="201"/>
      <c r="AJ12" s="172"/>
      <c r="AK12" s="187"/>
      <c r="AL12" s="172"/>
      <c r="AM12" s="102"/>
      <c r="AN12" s="102"/>
      <c r="AO12" s="102"/>
    </row>
    <row r="13" spans="1:41" s="10" customFormat="1" ht="39" customHeight="1" x14ac:dyDescent="0.25">
      <c r="A13" s="29">
        <f t="shared" si="2"/>
        <v>6</v>
      </c>
      <c r="B13" s="207"/>
      <c r="C13" s="64" t="s">
        <v>80</v>
      </c>
      <c r="D13" s="145" t="s">
        <v>134</v>
      </c>
      <c r="E13" s="154" t="s">
        <v>27</v>
      </c>
      <c r="F13" s="61">
        <f>VLOOKUP(C13,'[1]LƯƠNG TỔNG'!C$8:J$40,8,0)</f>
        <v>46082</v>
      </c>
      <c r="G13" s="61">
        <f t="shared" ca="1" si="0"/>
        <v>46195</v>
      </c>
      <c r="H13" s="62" t="str">
        <f t="shared" ca="1" si="1"/>
        <v>0 năm 3 tháng</v>
      </c>
      <c r="I13" s="96">
        <f>VLOOKUP(C13,'[1]LƯƠNG TỔNG'!C$8:I$40,7,0)</f>
        <v>37287</v>
      </c>
      <c r="J13" s="103" t="str">
        <f>VLOOKUP(C13,'[1]LƯƠNG TỔNG'!C$8:AC$40,27,0)</f>
        <v>049302008268</v>
      </c>
      <c r="K13" s="95">
        <f>VLOOKUP(C13,'[1]LƯƠNG TỔNG'!C$8:AD$40,28,0)</f>
        <v>44440</v>
      </c>
      <c r="L13" s="95"/>
      <c r="M13" s="29" t="str">
        <f>VLOOKUP(C13,'[1]LƯƠNG TỔNG'!C$8:AB$40,26,0)</f>
        <v>Tân Khai, Điện Bàn Đông, Đà Nẵng.</v>
      </c>
      <c r="N13" s="103" t="s">
        <v>344</v>
      </c>
      <c r="O13" s="189"/>
      <c r="P13" s="174">
        <f>VLOOKUP(C13,[4]Sheet2!B$25:Z$63,25,0)</f>
        <v>46082</v>
      </c>
      <c r="Q13" s="174"/>
      <c r="R13" s="83" t="str">
        <f>VLOOKUP(C13,'[1]LƯƠNG TỔNG'!C$8:AE$40,29,0)</f>
        <v>4920520332</v>
      </c>
      <c r="S13" s="102"/>
      <c r="T13" s="134">
        <f>VLOOKUP(C13,'[2]CK BIDV DMT'!C$7:F$37,4,0)</f>
        <v>8888212054</v>
      </c>
      <c r="U13" s="29" t="s">
        <v>81</v>
      </c>
      <c r="V13" s="44" t="s">
        <v>76</v>
      </c>
      <c r="W13" s="1"/>
      <c r="X13" s="15"/>
      <c r="Y13" s="132">
        <f>VLOOKUP(C13,'[2]Luong CBNV T05.2026'!B$13:H$53,7,0)</f>
        <v>8170000</v>
      </c>
      <c r="Z13" s="174"/>
      <c r="AA13" s="29" t="str">
        <f>VLOOKUP(C13,'[3]LƯƠNG TỔNG'!C$8:M$38,11,0)</f>
        <v>Khác</v>
      </c>
      <c r="AB13" s="176"/>
      <c r="AC13" s="140"/>
      <c r="AD13" s="195"/>
      <c r="AE13" s="1"/>
      <c r="AF13" s="199"/>
      <c r="AG13" s="191"/>
      <c r="AH13" s="191"/>
      <c r="AI13" s="201">
        <v>46082</v>
      </c>
      <c r="AJ13" s="202">
        <v>46447</v>
      </c>
      <c r="AK13" s="140" t="s">
        <v>411</v>
      </c>
      <c r="AL13" s="202">
        <v>46082</v>
      </c>
      <c r="AM13" s="102"/>
      <c r="AN13" s="102"/>
      <c r="AO13" s="102"/>
    </row>
    <row r="14" spans="1:41" s="10" customFormat="1" ht="39" customHeight="1" x14ac:dyDescent="0.25">
      <c r="A14" s="29">
        <f t="shared" si="2"/>
        <v>7</v>
      </c>
      <c r="B14" s="207"/>
      <c r="C14" s="63" t="s">
        <v>22</v>
      </c>
      <c r="D14" s="145" t="s">
        <v>134</v>
      </c>
      <c r="E14" s="154" t="s">
        <v>27</v>
      </c>
      <c r="F14" s="61">
        <f>VLOOKUP(C14,'[1]LƯƠNG TỔNG'!C$8:J$40,8,0)</f>
        <v>39602</v>
      </c>
      <c r="G14" s="61">
        <f t="shared" ca="1" si="0"/>
        <v>46195</v>
      </c>
      <c r="H14" s="62" t="str">
        <f t="shared" ca="1" si="1"/>
        <v>18 năm 0 tháng</v>
      </c>
      <c r="I14" s="96" t="str">
        <f>VLOOKUP(C14,'[1]LƯƠNG TỔNG'!C$8:I$40,7,0)</f>
        <v>11/03/1967</v>
      </c>
      <c r="J14" s="103" t="str">
        <f>VLOOKUP(C14,'[1]LƯƠNG TỔNG'!C$8:AC$40,27,0)</f>
        <v>049067013938</v>
      </c>
      <c r="K14" s="95">
        <f>VLOOKUP(C14,'[1]LƯƠNG TỔNG'!C$8:AD$40,28,0)</f>
        <v>44552</v>
      </c>
      <c r="L14" s="95"/>
      <c r="M14" s="29" t="str">
        <f>VLOOKUP(C14,'[1]LƯƠNG TỔNG'!C$8:AB$40,26,0)</f>
        <v>15 Lê Văn An, Cẩm Lệ, Đà Nẵng</v>
      </c>
      <c r="N14" s="103" t="str">
        <f>VLOOKUP(C14,'[5]chia phòng QN 2026'!B$4:E$47,4,0)</f>
        <v>0949094777</v>
      </c>
      <c r="O14" s="189">
        <v>1</v>
      </c>
      <c r="P14" s="203">
        <v>39600</v>
      </c>
      <c r="Q14" s="174"/>
      <c r="R14" s="83" t="str">
        <f>VLOOKUP(C14,'[1]LƯƠNG TỔNG'!C$8:AE$40,29,0)</f>
        <v>3496014719</v>
      </c>
      <c r="S14" s="102"/>
      <c r="T14" s="134">
        <f>VLOOKUP(C14,'[2]CK BIDV DMT'!C$7:F$37,4,0)</f>
        <v>5600785798</v>
      </c>
      <c r="U14" s="29" t="s">
        <v>94</v>
      </c>
      <c r="V14" s="44" t="s">
        <v>90</v>
      </c>
      <c r="W14" s="1"/>
      <c r="X14" s="15"/>
      <c r="Y14" s="132">
        <f>VLOOKUP(C14,'[2]Luong CBNV T05.2026'!B$13:H$53,7,0)</f>
        <v>9260000</v>
      </c>
      <c r="Z14" s="174">
        <v>45778</v>
      </c>
      <c r="AA14" s="29" t="str">
        <f>VLOOKUP(C14,'[3]LƯƠNG TỔNG'!C$8:M$38,11,0)</f>
        <v>Điều chỉnh lương</v>
      </c>
      <c r="AB14" s="176">
        <f>VLOOKUP(C14,[4]Sheet2!B$25:U$63,20,0)</f>
        <v>43102</v>
      </c>
      <c r="AC14" s="140" t="s">
        <v>400</v>
      </c>
      <c r="AD14" s="195" t="s">
        <v>401</v>
      </c>
      <c r="AE14" s="1">
        <v>2</v>
      </c>
      <c r="AF14" s="61">
        <v>46143</v>
      </c>
      <c r="AG14" s="191">
        <v>8610000</v>
      </c>
      <c r="AH14" s="191">
        <v>9260000</v>
      </c>
      <c r="AI14" s="201"/>
      <c r="AJ14" s="172"/>
      <c r="AK14" s="187"/>
      <c r="AL14" s="172"/>
      <c r="AM14" s="102"/>
      <c r="AN14" s="102"/>
      <c r="AO14" s="102"/>
    </row>
    <row r="15" spans="1:41" s="10" customFormat="1" ht="39" customHeight="1" x14ac:dyDescent="0.25">
      <c r="A15" s="29">
        <f t="shared" si="2"/>
        <v>8</v>
      </c>
      <c r="B15" s="207"/>
      <c r="C15" s="97" t="s">
        <v>23</v>
      </c>
      <c r="D15" s="145" t="s">
        <v>134</v>
      </c>
      <c r="E15" s="155" t="s">
        <v>28</v>
      </c>
      <c r="F15" s="61">
        <f>VLOOKUP(C15,'[1]LƯƠNG TỔNG'!C$8:J$40,8,0)</f>
        <v>41397</v>
      </c>
      <c r="G15" s="61">
        <f t="shared" ca="1" si="0"/>
        <v>46195</v>
      </c>
      <c r="H15" s="62" t="str">
        <f t="shared" ca="1" si="1"/>
        <v>13 năm 1 tháng</v>
      </c>
      <c r="I15" s="96" t="str">
        <f>VLOOKUP(C15,'[1]LƯƠNG TỔNG'!C$8:I$40,7,0)</f>
        <v>14/06/1975</v>
      </c>
      <c r="J15" s="103" t="str">
        <f>VLOOKUP(C15,'[1]LƯƠNG TỔNG'!C$8:AC$40,27,0)</f>
        <v>049075019332</v>
      </c>
      <c r="K15" s="95">
        <f>VLOOKUP(C15,'[1]LƯƠNG TỔNG'!C$8:AD$40,28,0)</f>
        <v>44439</v>
      </c>
      <c r="L15" s="95"/>
      <c r="M15" s="29" t="str">
        <f>VLOOKUP(C15,'[1]LƯƠNG TỔNG'!C$8:AB$40,26,0)</f>
        <v>Hoà Bắc, Đại Nghĩa, Đại Lộc, Quảng Nam</v>
      </c>
      <c r="N15" s="103" t="s">
        <v>345</v>
      </c>
      <c r="O15" s="189"/>
      <c r="P15" s="205">
        <f>VLOOKUP(C15,[4]Sheet2!B$25:Z$63,25,0)</f>
        <v>42795</v>
      </c>
      <c r="Q15" s="174"/>
      <c r="R15" s="83" t="str">
        <f>VLOOKUP(C15,'[1]LƯƠNG TỔNG'!C$8:AE$40,29,0)</f>
        <v>4920380363</v>
      </c>
      <c r="S15" s="102"/>
      <c r="T15" s="134">
        <f>VLOOKUP(C15,'[2]CK BIDV DMT'!C$7:F$37,4,0)</f>
        <v>5600785725</v>
      </c>
      <c r="U15" s="29" t="s">
        <v>95</v>
      </c>
      <c r="V15" s="44" t="s">
        <v>96</v>
      </c>
      <c r="W15" s="1"/>
      <c r="X15" s="15"/>
      <c r="Y15" s="132">
        <f>VLOOKUP(C15,'[2]Luong CBNV T05.2026'!B$13:H$53,7,0)</f>
        <v>7590000</v>
      </c>
      <c r="Z15" s="174">
        <v>45778</v>
      </c>
      <c r="AA15" s="29" t="str">
        <f>VLOOKUP(C15,'[3]LƯƠNG TỔNG'!C$8:M$38,11,0)</f>
        <v>Điều chỉnh lương</v>
      </c>
      <c r="AB15" s="176">
        <f>VLOOKUP(C15,[4]Sheet2!B$25:U$63,20,0)</f>
        <v>43102</v>
      </c>
      <c r="AC15" s="140" t="s">
        <v>396</v>
      </c>
      <c r="AD15" s="195" t="s">
        <v>397</v>
      </c>
      <c r="AE15" s="1">
        <v>2</v>
      </c>
      <c r="AF15" s="61">
        <v>46143</v>
      </c>
      <c r="AG15" s="191">
        <v>6600000</v>
      </c>
      <c r="AH15" s="191">
        <v>7590000</v>
      </c>
      <c r="AI15" s="201"/>
      <c r="AJ15" s="172"/>
      <c r="AK15" s="187"/>
      <c r="AL15" s="172"/>
      <c r="AM15" s="102"/>
      <c r="AN15" s="102"/>
      <c r="AO15" s="102"/>
    </row>
    <row r="16" spans="1:41" s="10" customFormat="1" ht="39" customHeight="1" x14ac:dyDescent="0.25">
      <c r="A16" s="29">
        <f t="shared" si="2"/>
        <v>9</v>
      </c>
      <c r="B16" s="207"/>
      <c r="C16" s="97" t="s">
        <v>24</v>
      </c>
      <c r="D16" s="145" t="s">
        <v>134</v>
      </c>
      <c r="E16" s="155" t="s">
        <v>28</v>
      </c>
      <c r="F16" s="61">
        <f>VLOOKUP(C16,'[1]LƯƠNG TỔNG'!C$8:J$40,8,0)</f>
        <v>41603</v>
      </c>
      <c r="G16" s="61">
        <f t="shared" ca="1" si="0"/>
        <v>46195</v>
      </c>
      <c r="H16" s="62" t="str">
        <f t="shared" ca="1" si="1"/>
        <v>12 năm 6 tháng</v>
      </c>
      <c r="I16" s="96" t="str">
        <f>VLOOKUP(C16,'[1]LƯƠNG TỔNG'!C$8:I$40,7,0)</f>
        <v>15/06/1963</v>
      </c>
      <c r="J16" s="103" t="s">
        <v>337</v>
      </c>
      <c r="K16" s="95">
        <f>VLOOKUP(C16,'[1]LƯƠNG TỔNG'!C$8:AD$40,28,0)</f>
        <v>44439</v>
      </c>
      <c r="L16" s="95"/>
      <c r="M16" s="29" t="str">
        <f>VLOOKUP(C16,'[1]LƯƠNG TỔNG'!C$8:AB$40,26,0)</f>
        <v>Xã Đại Lộc, TP. Đà Nẵng</v>
      </c>
      <c r="N16" s="103" t="s">
        <v>346</v>
      </c>
      <c r="O16" s="189"/>
      <c r="P16" s="205">
        <f>VLOOKUP(C16,[4]Sheet2!B$25:Z$63,25,0)</f>
        <v>42795</v>
      </c>
      <c r="Q16" s="174"/>
      <c r="R16" s="83" t="str">
        <f>VLOOKUP(C16,'[1]LƯƠNG TỔNG'!C$8:AE$40,29,0)</f>
        <v>4809014651</v>
      </c>
      <c r="S16" s="102"/>
      <c r="T16" s="134">
        <f>VLOOKUP(C16,'[2]CK BIDV DMT'!C$7:F$37,4,0)</f>
        <v>5600494331</v>
      </c>
      <c r="U16" s="29" t="s">
        <v>97</v>
      </c>
      <c r="V16" s="44" t="s">
        <v>96</v>
      </c>
      <c r="W16" s="1"/>
      <c r="X16" s="15"/>
      <c r="Y16" s="132">
        <f>VLOOKUP(C16,'[2]Luong CBNV T05.2026'!B$13:H$53,7,0)</f>
        <v>7590000</v>
      </c>
      <c r="Z16" s="174">
        <v>45778</v>
      </c>
      <c r="AA16" s="29" t="str">
        <f>VLOOKUP(C16,'[3]LƯƠNG TỔNG'!C$8:M$38,11,0)</f>
        <v>Điều chỉnh lương</v>
      </c>
      <c r="AB16" s="176">
        <f>VLOOKUP(C16,[4]Sheet2!B$25:U$63,20,0)</f>
        <v>43102</v>
      </c>
      <c r="AC16" s="140" t="s">
        <v>398</v>
      </c>
      <c r="AD16" s="195" t="s">
        <v>399</v>
      </c>
      <c r="AE16" s="1">
        <v>2</v>
      </c>
      <c r="AF16" s="61">
        <v>46143</v>
      </c>
      <c r="AG16" s="191">
        <v>7280000</v>
      </c>
      <c r="AH16" s="191">
        <v>7590000</v>
      </c>
      <c r="AI16" s="201"/>
      <c r="AJ16" s="172"/>
      <c r="AK16" s="187"/>
      <c r="AL16" s="172"/>
      <c r="AM16" s="102"/>
      <c r="AN16" s="102"/>
      <c r="AO16" s="102"/>
    </row>
    <row r="17" spans="1:41" s="10" customFormat="1" ht="39" customHeight="1" x14ac:dyDescent="0.25">
      <c r="A17" s="29">
        <f t="shared" si="2"/>
        <v>10</v>
      </c>
      <c r="B17" s="207"/>
      <c r="C17" s="63" t="s">
        <v>25</v>
      </c>
      <c r="D17" s="145" t="s">
        <v>134</v>
      </c>
      <c r="E17" s="155" t="s">
        <v>29</v>
      </c>
      <c r="F17" s="61" t="str">
        <f>VLOOKUP(C17,'[1]LƯƠNG TỔNG'!C$8:J$40,8,0)</f>
        <v>11/10/2017</v>
      </c>
      <c r="G17" s="61">
        <f t="shared" ca="1" si="0"/>
        <v>46195</v>
      </c>
      <c r="H17" s="62" t="str">
        <f t="shared" ca="1" si="1"/>
        <v>8 năm 8 tháng</v>
      </c>
      <c r="I17" s="96" t="str">
        <f>VLOOKUP(C17,'[1]LƯƠNG TỔNG'!C$8:I$40,7,0)</f>
        <v>12/12/1971</v>
      </c>
      <c r="J17" s="103" t="str">
        <f>VLOOKUP(C17,'[1]LƯƠNG TỔNG'!C$8:AC$40,27,0)</f>
        <v>048171000955</v>
      </c>
      <c r="K17" s="95">
        <f>VLOOKUP(C17,'[1]LƯƠNG TỔNG'!C$8:AD$40,28,0)</f>
        <v>44313</v>
      </c>
      <c r="L17" s="95"/>
      <c r="M17" s="29" t="str">
        <f>VLOOKUP(C17,'[1]LƯƠNG TỔNG'!C$8:AB$40,26,0)</f>
        <v>Tổ 169, Ngũ Hành Sơn, Đà Nẵng</v>
      </c>
      <c r="N17" s="103" t="s">
        <v>347</v>
      </c>
      <c r="O17" s="189">
        <v>1</v>
      </c>
      <c r="P17" s="174"/>
      <c r="Q17" s="174"/>
      <c r="R17" s="83" t="str">
        <f>VLOOKUP(C17,'[1]LƯƠNG TỔNG'!C$8:AE$40,29,0)</f>
        <v>Hưởng hưu</v>
      </c>
      <c r="S17" s="83"/>
      <c r="T17" s="134">
        <f>VLOOKUP(C17,'[2]CK BIDV DMT'!C$7:F$37,4,0)</f>
        <v>5611047294</v>
      </c>
      <c r="U17" s="29" t="s">
        <v>29</v>
      </c>
      <c r="V17" s="44" t="s">
        <v>96</v>
      </c>
      <c r="W17" s="1"/>
      <c r="X17" s="15"/>
      <c r="Y17" s="132">
        <f>VLOOKUP(C17,'[2]Luong CBNV T05.2026'!B$13:H$53,7,0)</f>
        <v>6000000</v>
      </c>
      <c r="Z17" s="174">
        <v>43831</v>
      </c>
      <c r="AA17" s="29" t="str">
        <f>VLOOKUP(C17,'[3]LƯƠNG TỔNG'!C$8:M$38,11,0)</f>
        <v>Điều chỉnh lương</v>
      </c>
      <c r="AB17" s="176">
        <v>43102</v>
      </c>
      <c r="AC17" s="140" t="s">
        <v>394</v>
      </c>
      <c r="AD17" s="195" t="s">
        <v>395</v>
      </c>
      <c r="AE17" s="1">
        <v>2</v>
      </c>
      <c r="AF17" s="200"/>
      <c r="AG17" s="191">
        <v>5500000</v>
      </c>
      <c r="AH17" s="191">
        <v>6000000</v>
      </c>
      <c r="AI17" s="201"/>
      <c r="AJ17" s="172"/>
      <c r="AK17" s="187"/>
      <c r="AL17" s="172"/>
      <c r="AM17" s="83"/>
      <c r="AN17" s="83"/>
      <c r="AO17" s="83"/>
    </row>
    <row r="18" spans="1:41" s="10" customFormat="1" ht="39" customHeight="1" x14ac:dyDescent="0.25">
      <c r="A18" s="29">
        <f t="shared" si="2"/>
        <v>11</v>
      </c>
      <c r="B18" s="207"/>
      <c r="C18" s="63" t="s">
        <v>26</v>
      </c>
      <c r="D18" s="145" t="s">
        <v>134</v>
      </c>
      <c r="E18" s="155" t="s">
        <v>29</v>
      </c>
      <c r="F18" s="61" t="str">
        <f>VLOOKUP(C18,'[1]LƯƠNG TỔNG'!C$8:J$40,8,0)</f>
        <v>01/01/2016</v>
      </c>
      <c r="G18" s="61">
        <f t="shared" ca="1" si="0"/>
        <v>46195</v>
      </c>
      <c r="H18" s="62" t="str">
        <f t="shared" ca="1" si="1"/>
        <v>10 năm 5 tháng</v>
      </c>
      <c r="I18" s="96">
        <f>VLOOKUP(C18,'[1]LƯƠNG TỔNG'!C$8:I$40,7,0)</f>
        <v>25180</v>
      </c>
      <c r="J18" s="103" t="str">
        <f>VLOOKUP(C18,'[1]LƯƠNG TỔNG'!C$8:AC$40,27,0)</f>
        <v>048168000549</v>
      </c>
      <c r="K18" s="95">
        <f>VLOOKUP(C18,'[1]LƯƠNG TỔNG'!C$8:AD$40,28,0)</f>
        <v>44293</v>
      </c>
      <c r="L18" s="95"/>
      <c r="M18" s="29" t="str">
        <f>VLOOKUP(C18,'[1]LƯƠNG TỔNG'!C$8:AB$40,26,0)</f>
        <v>K85/H8/7 Hàn Mặc Tử, Hải Châu, Đà Nẵng.</v>
      </c>
      <c r="N18" s="103" t="s">
        <v>348</v>
      </c>
      <c r="O18" s="189"/>
      <c r="P18" s="174"/>
      <c r="Q18" s="174"/>
      <c r="R18" s="83" t="str">
        <f>VLOOKUP(C18,'[1]LƯƠNG TỔNG'!C$8:AE$40,29,0)</f>
        <v>Hưởng hưu</v>
      </c>
      <c r="S18" s="91"/>
      <c r="T18" s="134">
        <f>VLOOKUP(C18,'[2]CK BIDV DMT'!C$7:F$37,4,0)</f>
        <v>5600787907</v>
      </c>
      <c r="U18" s="29" t="s">
        <v>29</v>
      </c>
      <c r="V18" s="44" t="s">
        <v>96</v>
      </c>
      <c r="W18" s="1"/>
      <c r="X18" s="15"/>
      <c r="Y18" s="132">
        <f>VLOOKUP(C18,'[2]Luong CBNV T05.2026'!B$13:H$53,7,0)</f>
        <v>4450000</v>
      </c>
      <c r="Z18" s="174">
        <v>43466</v>
      </c>
      <c r="AA18" s="29" t="str">
        <f>VLOOKUP(C18,'[3]LƯƠNG TỔNG'!C$8:M$38,11,0)</f>
        <v>Điều chỉnh lương</v>
      </c>
      <c r="AB18" s="176">
        <f>VLOOKUP(C18,[4]Sheet2!B$25:U$63,20,0)</f>
        <v>43102</v>
      </c>
      <c r="AC18" s="140" t="s">
        <v>402</v>
      </c>
      <c r="AD18" s="195" t="s">
        <v>403</v>
      </c>
      <c r="AE18" s="1">
        <v>1</v>
      </c>
      <c r="AF18" s="61">
        <v>43467</v>
      </c>
      <c r="AG18" s="191">
        <v>4000000</v>
      </c>
      <c r="AH18" s="191">
        <v>4450000</v>
      </c>
      <c r="AI18" s="201"/>
      <c r="AJ18" s="172"/>
      <c r="AK18" s="187"/>
      <c r="AL18" s="172"/>
      <c r="AM18" s="91"/>
      <c r="AN18" s="91"/>
      <c r="AO18" s="91"/>
    </row>
    <row r="19" spans="1:41" s="181" customFormat="1" ht="39" customHeight="1" x14ac:dyDescent="0.25">
      <c r="A19" s="29">
        <f t="shared" si="2"/>
        <v>12</v>
      </c>
      <c r="B19" s="207" t="s">
        <v>114</v>
      </c>
      <c r="C19" s="111" t="s">
        <v>30</v>
      </c>
      <c r="D19" s="145" t="s">
        <v>316</v>
      </c>
      <c r="E19" s="83" t="s">
        <v>31</v>
      </c>
      <c r="F19" s="61">
        <f>VLOOKUP(C19,'[1]LƯƠNG TỔNG'!C$8:J$40,8,0)</f>
        <v>42534</v>
      </c>
      <c r="G19" s="61">
        <f t="shared" ca="1" si="0"/>
        <v>46195</v>
      </c>
      <c r="H19" s="62" t="str">
        <f t="shared" ca="1" si="1"/>
        <v>10 năm 0 tháng</v>
      </c>
      <c r="I19" s="96" t="str">
        <f>VLOOKUP(C19,'[1]LƯƠNG TỔNG'!C$8:I$40,7,0)</f>
        <v>10/06/1985</v>
      </c>
      <c r="J19" s="103" t="str">
        <f>VLOOKUP(C19,'[1]LƯƠNG TỔNG'!C$8:AC$40,27,0)</f>
        <v>049185012250</v>
      </c>
      <c r="K19" s="95">
        <f>VLOOKUP(C19,'[1]LƯƠNG TỔNG'!C$8:AD$40,28,0)</f>
        <v>45740</v>
      </c>
      <c r="L19" s="178"/>
      <c r="M19" s="29" t="str">
        <f>VLOOKUP(C19,'[1]LƯƠNG TỔNG'!C$8:AB$40,26,0)</f>
        <v>Thôn Mỹ Thượng Tây, xã Tiên Phước, TP Đà Nẵng</v>
      </c>
      <c r="N19" s="103" t="str">
        <f>VLOOKUP(C19,'[5]chia phòng QN 2026'!B$4:E$47,4,0)</f>
        <v>0935225485</v>
      </c>
      <c r="O19" s="189"/>
      <c r="P19" s="203">
        <v>42522</v>
      </c>
      <c r="Q19" s="174"/>
      <c r="R19" s="83" t="str">
        <f>VLOOKUP(C19,'[1]LƯƠNG TỔNG'!C$8:AE$40,29,0)</f>
        <v>4812038931</v>
      </c>
      <c r="S19" s="178"/>
      <c r="T19" s="134">
        <f>VLOOKUP(C19,'[2]CK BIDV DMT'!C$7:F$37,4,0)</f>
        <v>5610878118</v>
      </c>
      <c r="U19" s="29" t="s">
        <v>98</v>
      </c>
      <c r="V19" s="44" t="s">
        <v>77</v>
      </c>
      <c r="W19" s="179"/>
      <c r="X19" s="180"/>
      <c r="Y19" s="132">
        <f>VLOOKUP(C19,'[2]Luong CBNV T05.2026'!B$13:H$53,7,0)</f>
        <v>22000000</v>
      </c>
      <c r="Z19" s="174">
        <v>46113</v>
      </c>
      <c r="AA19" s="29" t="str">
        <f>VLOOKUP(C19,'[3]LƯƠNG TỔNG'!C$8:M$38,11,0)</f>
        <v>Điều chỉnh lương</v>
      </c>
      <c r="AB19" s="176">
        <f>VLOOKUP(C19,[4]Sheet2!B$25:U$63,20,0)</f>
        <v>43102</v>
      </c>
      <c r="AC19" s="180" t="s">
        <v>386</v>
      </c>
      <c r="AD19" s="180" t="s">
        <v>387</v>
      </c>
      <c r="AE19" s="1">
        <v>6</v>
      </c>
      <c r="AF19" s="61">
        <v>46113</v>
      </c>
      <c r="AG19" s="191">
        <v>20390000</v>
      </c>
      <c r="AH19" s="192">
        <v>22000000</v>
      </c>
      <c r="AI19" s="201"/>
      <c r="AJ19" s="172"/>
      <c r="AK19" s="187"/>
      <c r="AL19" s="172"/>
      <c r="AM19" s="29"/>
      <c r="AN19" s="29"/>
      <c r="AO19" s="29"/>
    </row>
    <row r="20" spans="1:41" s="181" customFormat="1" ht="39" customHeight="1" x14ac:dyDescent="0.25">
      <c r="A20" s="29">
        <f t="shared" si="2"/>
        <v>13</v>
      </c>
      <c r="B20" s="207"/>
      <c r="C20" s="63" t="s">
        <v>32</v>
      </c>
      <c r="D20" s="145" t="s">
        <v>316</v>
      </c>
      <c r="E20" s="155" t="s">
        <v>33</v>
      </c>
      <c r="F20" s="61" t="str">
        <f>VLOOKUP(C20,'[1]LƯƠNG TỔNG'!C$8:J$40,8,0)</f>
        <v>30/06/2017</v>
      </c>
      <c r="G20" s="61">
        <f t="shared" ca="1" si="0"/>
        <v>46195</v>
      </c>
      <c r="H20" s="62" t="str">
        <f t="shared" ca="1" si="1"/>
        <v>8 năm 11 tháng</v>
      </c>
      <c r="I20" s="96" t="str">
        <f>VLOOKUP(C20,'[1]LƯƠNG TỔNG'!C$8:I$40,7,0)</f>
        <v>26/02/1984</v>
      </c>
      <c r="J20" s="103" t="str">
        <f>VLOOKUP(C20,'[1]LƯƠNG TỔNG'!C$8:AC$40,27,0)</f>
        <v>048184002606</v>
      </c>
      <c r="K20" s="95">
        <f>VLOOKUP(C20,'[1]LƯƠNG TỔNG'!C$8:AD$40,28,0)</f>
        <v>45618</v>
      </c>
      <c r="L20" s="182"/>
      <c r="M20" s="29" t="str">
        <f>VLOOKUP(C20,'[1]LƯƠNG TỔNG'!C$8:AB$40,26,0)</f>
        <v>K356/89/32 Hoàng Diệu, P Hòa Cường, Đà Nẵng</v>
      </c>
      <c r="N20" s="103" t="str">
        <f>VLOOKUP(C20,'[5]chia phòng QN 2026'!B$4:E$47,4,0)</f>
        <v>0905020798</v>
      </c>
      <c r="O20" s="189">
        <v>2</v>
      </c>
      <c r="P20" s="174">
        <f>VLOOKUP(C20,[4]Sheet2!B$25:Z$63,25,0)</f>
        <v>42917</v>
      </c>
      <c r="Q20" s="174"/>
      <c r="R20" s="83" t="str">
        <f>VLOOKUP(C20,'[1]LƯƠNG TỔNG'!C$8:AE$40,29,0)</f>
        <v>7508220899</v>
      </c>
      <c r="S20" s="182"/>
      <c r="T20" s="134">
        <f>VLOOKUP(C20,'[2]CK BIDV DMT'!C$7:F$37,4,0)</f>
        <v>5601113596</v>
      </c>
      <c r="U20" s="157" t="s">
        <v>99</v>
      </c>
      <c r="V20" s="44" t="s">
        <v>76</v>
      </c>
      <c r="W20" s="182"/>
      <c r="X20" s="182"/>
      <c r="Y20" s="132">
        <f>VLOOKUP(C20,'[2]Luong CBNV T05.2026'!B$13:H$53,7,0)</f>
        <v>15500000</v>
      </c>
      <c r="Z20" s="174">
        <v>46113</v>
      </c>
      <c r="AA20" s="29" t="str">
        <f>VLOOKUP(C20,'[3]LƯƠNG TỔNG'!C$8:M$38,11,0)</f>
        <v>Điều chỉnh lương</v>
      </c>
      <c r="AB20" s="176">
        <f>VLOOKUP(C20,[4]Sheet2!B$25:U$63,20,0)</f>
        <v>43102</v>
      </c>
      <c r="AC20" s="182" t="s">
        <v>389</v>
      </c>
      <c r="AD20" s="180" t="s">
        <v>388</v>
      </c>
      <c r="AE20" s="1">
        <v>7</v>
      </c>
      <c r="AF20" s="61">
        <v>46113</v>
      </c>
      <c r="AG20" s="191">
        <v>14050000</v>
      </c>
      <c r="AH20" s="191">
        <v>15500000</v>
      </c>
      <c r="AI20" s="201"/>
      <c r="AJ20" s="172"/>
      <c r="AK20" s="187"/>
      <c r="AL20" s="172"/>
      <c r="AM20" s="29"/>
      <c r="AN20" s="29"/>
      <c r="AO20" s="29"/>
    </row>
    <row r="21" spans="1:41" s="181" customFormat="1" ht="39" customHeight="1" x14ac:dyDescent="0.25">
      <c r="A21" s="29">
        <f t="shared" si="2"/>
        <v>14</v>
      </c>
      <c r="B21" s="207"/>
      <c r="C21" s="63" t="s">
        <v>34</v>
      </c>
      <c r="D21" s="145" t="s">
        <v>316</v>
      </c>
      <c r="E21" s="154" t="s">
        <v>27</v>
      </c>
      <c r="F21" s="61">
        <f>VLOOKUP(C21,'[1]LƯƠNG TỔNG'!C$8:J$40,8,0)</f>
        <v>45519</v>
      </c>
      <c r="G21" s="61">
        <f t="shared" ca="1" si="0"/>
        <v>46195</v>
      </c>
      <c r="H21" s="62" t="str">
        <f t="shared" ca="1" si="1"/>
        <v>1 năm 10 tháng</v>
      </c>
      <c r="I21" s="96">
        <f>VLOOKUP(C21,'[1]LƯƠNG TỔNG'!C$8:I$40,7,0)</f>
        <v>36207</v>
      </c>
      <c r="J21" s="103" t="str">
        <f>VLOOKUP(C21,'[1]LƯƠNG TỔNG'!C$8:AC$40,27,0)</f>
        <v>049199010621</v>
      </c>
      <c r="K21" s="95">
        <f>VLOOKUP(C21,'[1]LƯƠNG TỔNG'!C$8:AD$40,28,0)</f>
        <v>45453</v>
      </c>
      <c r="L21" s="183"/>
      <c r="M21" s="29" t="str">
        <f>VLOOKUP(C21,'[1]LƯƠNG TỔNG'!C$8:AB$40,26,0)</f>
        <v>118 Phước Tường 5, An Khê, Đà Nẵng</v>
      </c>
      <c r="N21" s="103" t="str">
        <f>VLOOKUP(C21,'[5]chia phòng QN 2026'!B$4:E$47,4,0)</f>
        <v>0982031836</v>
      </c>
      <c r="O21" s="189"/>
      <c r="P21" s="174">
        <f>VLOOKUP(C21,[4]Sheet2!B$25:Z$63,25,0)</f>
        <v>45566</v>
      </c>
      <c r="Q21" s="174"/>
      <c r="R21" s="83" t="str">
        <f>VLOOKUP(C21,'[1]LƯƠNG TỔNG'!C$8:AE$40,29,0)</f>
        <v>4820841336</v>
      </c>
      <c r="S21" s="183"/>
      <c r="T21" s="134">
        <f>VLOOKUP(C21,'[2]CK BIDV DMT'!C$7:F$37,4,0)</f>
        <v>8823176894</v>
      </c>
      <c r="U21" s="29" t="s">
        <v>100</v>
      </c>
      <c r="V21" s="44" t="s">
        <v>76</v>
      </c>
      <c r="W21" s="1"/>
      <c r="X21" s="184"/>
      <c r="Y21" s="132">
        <f>VLOOKUP(C21,'[2]Luong CBNV T05.2026'!B$13:H$53,7,0)</f>
        <v>10000000</v>
      </c>
      <c r="Z21" s="174">
        <v>46113</v>
      </c>
      <c r="AA21" s="29" t="str">
        <f>VLOOKUP(C21,'[3]LƯƠNG TỔNG'!C$8:M$38,11,0)</f>
        <v>Điều chỉnh lương</v>
      </c>
      <c r="AB21" s="176">
        <f>VLOOKUP(C21,[4]Sheet2!B$25:U$63,20,0)</f>
        <v>45945</v>
      </c>
      <c r="AC21" s="197" t="s">
        <v>384</v>
      </c>
      <c r="AD21" s="197" t="s">
        <v>385</v>
      </c>
      <c r="AE21" s="1">
        <v>2</v>
      </c>
      <c r="AF21" s="61">
        <v>46113</v>
      </c>
      <c r="AG21" s="191">
        <v>9000000</v>
      </c>
      <c r="AH21" s="191">
        <v>10000000</v>
      </c>
      <c r="AI21" s="201"/>
      <c r="AJ21" s="172"/>
      <c r="AK21" s="187"/>
      <c r="AL21" s="172"/>
      <c r="AM21" s="29"/>
      <c r="AN21" s="29"/>
      <c r="AO21" s="29"/>
    </row>
    <row r="22" spans="1:41" s="181" customFormat="1" ht="39" customHeight="1" x14ac:dyDescent="0.25">
      <c r="A22" s="29">
        <f t="shared" si="2"/>
        <v>15</v>
      </c>
      <c r="B22" s="140" t="s">
        <v>124</v>
      </c>
      <c r="C22" s="63" t="s">
        <v>35</v>
      </c>
      <c r="D22" s="145" t="s">
        <v>317</v>
      </c>
      <c r="E22" s="154" t="s">
        <v>27</v>
      </c>
      <c r="F22" s="61">
        <f>VLOOKUP(C22,'[1]LƯƠNG TỔNG'!C$8:J$40,8,0)</f>
        <v>42604</v>
      </c>
      <c r="G22" s="61">
        <f t="shared" ca="1" si="0"/>
        <v>46195</v>
      </c>
      <c r="H22" s="62" t="str">
        <f t="shared" ca="1" si="1"/>
        <v>9 năm 10 tháng</v>
      </c>
      <c r="I22" s="96" t="str">
        <f>VLOOKUP(C22,'[1]LƯƠNG TỔNG'!C$8:I$40,7,0)</f>
        <v>03/09/1982</v>
      </c>
      <c r="J22" s="103" t="str">
        <f>VLOOKUP(C22,'[1]LƯƠNG TỔNG'!C$8:AC$40,27,0)</f>
        <v>049082012211</v>
      </c>
      <c r="K22" s="95">
        <f>VLOOKUP(C22,'[1]LƯƠNG TỔNG'!C$8:AD$40,28,0)</f>
        <v>44374</v>
      </c>
      <c r="L22" s="183"/>
      <c r="M22" s="29" t="str">
        <f>VLOOKUP(C22,'[1]LƯƠNG TỔNG'!C$8:AB$40,26,0)</f>
        <v>thôn Tân Bình, xã Gò Nổi, Tp. Đà Nẵng</v>
      </c>
      <c r="N22" s="103" t="str">
        <f>VLOOKUP(C22,'[5]chia phòng QN 2026'!B$4:E$47,4,0)</f>
        <v>0935613913</v>
      </c>
      <c r="O22" s="189">
        <v>1</v>
      </c>
      <c r="P22" s="203">
        <v>42614</v>
      </c>
      <c r="Q22" s="174"/>
      <c r="R22" s="83" t="str">
        <f>VLOOKUP(C22,'[1]LƯƠNG TỔNG'!C$8:AE$40,29,0)</f>
        <v>4816024231</v>
      </c>
      <c r="S22" s="183"/>
      <c r="T22" s="134">
        <f>VLOOKUP(C22,'[2]CK BIDV DMT'!C$7:F$37,4,0)</f>
        <v>5600945273</v>
      </c>
      <c r="U22" s="29" t="s">
        <v>101</v>
      </c>
      <c r="V22" s="44" t="s">
        <v>76</v>
      </c>
      <c r="W22" s="1"/>
      <c r="X22" s="184"/>
      <c r="Y22" s="132">
        <f>VLOOKUP(C22,'[2]Luong CBNV T05.2026'!B$13:H$53,7,0)</f>
        <v>13500000</v>
      </c>
      <c r="Z22" s="174">
        <v>46113</v>
      </c>
      <c r="AA22" s="29" t="s">
        <v>7</v>
      </c>
      <c r="AB22" s="176">
        <f>VLOOKUP(C22,[4]Sheet2!B$25:U$63,20,0)</f>
        <v>43102</v>
      </c>
      <c r="AC22" s="197" t="s">
        <v>382</v>
      </c>
      <c r="AD22" s="197" t="s">
        <v>383</v>
      </c>
      <c r="AE22" s="1">
        <v>5</v>
      </c>
      <c r="AF22" s="61">
        <v>46113</v>
      </c>
      <c r="AG22" s="191">
        <v>12790000</v>
      </c>
      <c r="AH22" s="191">
        <v>13500000</v>
      </c>
      <c r="AI22" s="201"/>
      <c r="AJ22" s="172"/>
      <c r="AK22" s="187"/>
      <c r="AL22" s="172"/>
      <c r="AM22" s="29"/>
      <c r="AN22" s="29"/>
      <c r="AO22" s="29"/>
    </row>
    <row r="23" spans="1:41" s="181" customFormat="1" ht="39" customHeight="1" x14ac:dyDescent="0.25">
      <c r="A23" s="29">
        <f t="shared" si="2"/>
        <v>16</v>
      </c>
      <c r="B23" s="207" t="s">
        <v>115</v>
      </c>
      <c r="C23" s="63" t="s">
        <v>36</v>
      </c>
      <c r="D23" s="145" t="s">
        <v>318</v>
      </c>
      <c r="E23" s="155" t="s">
        <v>38</v>
      </c>
      <c r="F23" s="61">
        <f>VLOOKUP(C23,'[1]LƯƠNG TỔNG'!C$8:J$40,8,0)</f>
        <v>45748</v>
      </c>
      <c r="G23" s="61">
        <f t="shared" ca="1" si="0"/>
        <v>46195</v>
      </c>
      <c r="H23" s="62" t="str">
        <f t="shared" ca="1" si="1"/>
        <v>1 năm 2 tháng</v>
      </c>
      <c r="I23" s="96">
        <f>VLOOKUP(C23,'[1]LƯƠNG TỔNG'!C$8:I$40,7,0)</f>
        <v>31754</v>
      </c>
      <c r="J23" s="103" t="str">
        <f>VLOOKUP(C23,'[1]LƯƠNG TỔNG'!C$8:AC$40,27,0)</f>
        <v>048086006997</v>
      </c>
      <c r="K23" s="95">
        <f>VLOOKUP(C23,'[1]LƯƠNG TỔNG'!C$8:AD$40,28,0)</f>
        <v>44375</v>
      </c>
      <c r="L23" s="183"/>
      <c r="M23" s="29" t="str">
        <f>VLOOKUP(C23,'[1]LƯƠNG TỔNG'!C$8:AB$40,26,0)</f>
        <v>01 Tố Hữu, Hoà Cường Nam, Hải Châu, Đà Nẵng</v>
      </c>
      <c r="N23" s="103" t="str">
        <f>VLOOKUP(C23,'[5]chia phòng QN 2026'!B$4:E$47,4,0)</f>
        <v>0905730391</v>
      </c>
      <c r="O23" s="189">
        <v>2</v>
      </c>
      <c r="P23" s="174">
        <f>VLOOKUP(C23,[4]Sheet2!B$25:Z$63,25,0)</f>
        <v>45748</v>
      </c>
      <c r="Q23" s="174"/>
      <c r="R23" s="83" t="str">
        <f>VLOOKUP(C23,'[1]LƯƠNG TỔNG'!C$8:AE$40,29,0)</f>
        <v>7909335919</v>
      </c>
      <c r="S23" s="183"/>
      <c r="T23" s="134">
        <f>VLOOKUP(C23,'[2]CK BIDV DMT'!C$7:F$37,4,0)</f>
        <v>8834955087</v>
      </c>
      <c r="U23" s="29" t="s">
        <v>102</v>
      </c>
      <c r="V23" s="44" t="s">
        <v>76</v>
      </c>
      <c r="W23" s="1"/>
      <c r="X23" s="184"/>
      <c r="Y23" s="132">
        <f>VLOOKUP(C23,'[2]Luong CBNV T05.2026'!B$13:H$53,7,0)</f>
        <v>23300000</v>
      </c>
      <c r="Z23" s="174">
        <v>45748</v>
      </c>
      <c r="AA23" s="29" t="s">
        <v>298</v>
      </c>
      <c r="AB23" s="176"/>
      <c r="AC23" s="197"/>
      <c r="AD23" s="197"/>
      <c r="AE23" s="1"/>
      <c r="AF23" s="1"/>
      <c r="AG23" s="191"/>
      <c r="AH23" s="191"/>
      <c r="AI23" s="172">
        <v>46113</v>
      </c>
      <c r="AJ23" s="172">
        <v>46477</v>
      </c>
      <c r="AK23" s="187" t="s">
        <v>355</v>
      </c>
      <c r="AL23" s="172">
        <v>46113</v>
      </c>
      <c r="AM23" s="29"/>
      <c r="AN23" s="29"/>
      <c r="AO23" s="29"/>
    </row>
    <row r="24" spans="1:41" s="181" customFormat="1" ht="39" customHeight="1" x14ac:dyDescent="0.25">
      <c r="A24" s="29">
        <f t="shared" si="2"/>
        <v>17</v>
      </c>
      <c r="B24" s="207"/>
      <c r="C24" s="97" t="s">
        <v>37</v>
      </c>
      <c r="D24" s="145" t="s">
        <v>318</v>
      </c>
      <c r="E24" s="155" t="s">
        <v>38</v>
      </c>
      <c r="F24" s="61">
        <f>VLOOKUP(C24,'[1]LƯƠNG TỔNG'!C$8:J$40,8,0)</f>
        <v>45779</v>
      </c>
      <c r="G24" s="61">
        <f t="shared" ca="1" si="0"/>
        <v>46195</v>
      </c>
      <c r="H24" s="62" t="str">
        <f t="shared" ca="1" si="1"/>
        <v>1 năm 1 tháng</v>
      </c>
      <c r="I24" s="96">
        <f>VLOOKUP(C24,'[1]LƯƠNG TỔNG'!C$8:I$40,7,0)</f>
        <v>29444</v>
      </c>
      <c r="J24" s="103" t="str">
        <f>VLOOKUP(C24,'[1]LƯƠNG TỔNG'!C$8:AC$40,27,0)</f>
        <v>048080000698</v>
      </c>
      <c r="K24" s="95">
        <f>VLOOKUP(C24,'[1]LƯƠNG TỔNG'!C$8:AD$40,28,0)</f>
        <v>44310</v>
      </c>
      <c r="L24" s="183"/>
      <c r="M24" s="29" t="str">
        <f>VLOOKUP(C24,'[1]LƯƠNG TỔNG'!C$8:AB$40,26,0)</f>
        <v>Tổ 180, P. Ngũ Hành Sơn, TP. Đà Nẵng</v>
      </c>
      <c r="N24" s="103" t="s">
        <v>349</v>
      </c>
      <c r="O24" s="189">
        <v>3</v>
      </c>
      <c r="P24" s="174">
        <f>VLOOKUP(C24,[4]Sheet2!B$25:Z$63,25,0)</f>
        <v>45778</v>
      </c>
      <c r="Q24" s="174"/>
      <c r="R24" s="83" t="str">
        <f>VLOOKUP(C24,'[1]LƯƠNG TỔNG'!C$8:AE$40,29,0)</f>
        <v>0407012241</v>
      </c>
      <c r="S24" s="183"/>
      <c r="T24" s="134">
        <f>VLOOKUP(C24,'[2]CK BIDV DMT'!C$7:F$37,4,0)</f>
        <v>8862438005</v>
      </c>
      <c r="U24" s="29" t="s">
        <v>103</v>
      </c>
      <c r="V24" s="44" t="s">
        <v>76</v>
      </c>
      <c r="W24" s="1"/>
      <c r="X24" s="184"/>
      <c r="Y24" s="132">
        <f>VLOOKUP(C24,'[2]Luong CBNV T05.2026'!B$13:H$53,7,0)</f>
        <v>24800000</v>
      </c>
      <c r="Z24" s="174">
        <v>45778</v>
      </c>
      <c r="AA24" s="29" t="s">
        <v>298</v>
      </c>
      <c r="AB24" s="176"/>
      <c r="AC24" s="197"/>
      <c r="AD24" s="197"/>
      <c r="AE24" s="1"/>
      <c r="AF24" s="1"/>
      <c r="AG24" s="191"/>
      <c r="AH24" s="191"/>
      <c r="AI24" s="172">
        <v>46144</v>
      </c>
      <c r="AJ24" s="172">
        <v>46508</v>
      </c>
      <c r="AK24" s="187" t="s">
        <v>356</v>
      </c>
      <c r="AL24" s="172">
        <v>46146</v>
      </c>
      <c r="AM24" s="29"/>
      <c r="AN24" s="29"/>
      <c r="AO24" s="29"/>
    </row>
    <row r="25" spans="1:41" s="185" customFormat="1" ht="52.5" customHeight="1" x14ac:dyDescent="0.25">
      <c r="A25" s="29">
        <f t="shared" si="2"/>
        <v>18</v>
      </c>
      <c r="B25" s="207" t="s">
        <v>116</v>
      </c>
      <c r="C25" s="97" t="s">
        <v>39</v>
      </c>
      <c r="D25" s="145" t="s">
        <v>319</v>
      </c>
      <c r="E25" s="155" t="s">
        <v>31</v>
      </c>
      <c r="F25" s="61">
        <f>VLOOKUP(C25,'[1]LƯƠNG TỔNG'!C$8:J$40,8,0)</f>
        <v>44958</v>
      </c>
      <c r="G25" s="61">
        <f t="shared" ca="1" si="0"/>
        <v>46195</v>
      </c>
      <c r="H25" s="62" t="str">
        <f t="shared" ca="1" si="1"/>
        <v>3 năm 4 tháng</v>
      </c>
      <c r="I25" s="96">
        <f>VLOOKUP(C25,'[1]LƯƠNG TỔNG'!C$8:I$40,7,0)</f>
        <v>34915</v>
      </c>
      <c r="J25" s="103" t="str">
        <f>VLOOKUP(C25,'[1]LƯƠNG TỔNG'!C$8:AC$40,27,0)</f>
        <v>048095008227</v>
      </c>
      <c r="K25" s="95">
        <f>VLOOKUP(C25,'[1]LƯƠNG TỔNG'!C$8:AD$40,28,0)</f>
        <v>44375</v>
      </c>
      <c r="L25" s="147"/>
      <c r="M25" s="29" t="str">
        <f>VLOOKUP(C25,'[1]LƯƠNG TỔNG'!C$8:AB$40,26,0)</f>
        <v>K54/16 Hải Phòng, Tổ dân phố 26, Hải Châu, Đà Nẵng</v>
      </c>
      <c r="N25" s="103" t="str">
        <f>VLOOKUP(C25,'[5]chia phòng QN 2026'!B$4:E$47,4,0)</f>
        <v>0795696969</v>
      </c>
      <c r="O25" s="189"/>
      <c r="P25" s="174">
        <f>VLOOKUP(C25,[4]Sheet2!B$25:Z$63,25,0)</f>
        <v>43313</v>
      </c>
      <c r="Q25" s="174"/>
      <c r="R25" s="83" t="str">
        <f>VLOOKUP(C25,'[1]LƯƠNG TỔNG'!C$8:AE$40,29,0)</f>
        <v>4820549229</v>
      </c>
      <c r="S25" s="147"/>
      <c r="T25" s="134">
        <f>VLOOKUP(C25,'[2]CK BIDV DMT'!C$7:F$37,4,0)</f>
        <v>5650185560</v>
      </c>
      <c r="U25" s="83" t="s">
        <v>104</v>
      </c>
      <c r="V25" s="44" t="s">
        <v>76</v>
      </c>
      <c r="W25" s="148"/>
      <c r="X25" s="149"/>
      <c r="Y25" s="132">
        <f>VLOOKUP(C25,'[2]Luong CBNV T05.2026'!B$13:H$53,7,0)</f>
        <v>20000000</v>
      </c>
      <c r="Z25" s="174">
        <v>44958</v>
      </c>
      <c r="AA25" s="29" t="str">
        <f>VLOOKUP(C25,'[3]LƯƠNG TỔNG'!C$8:M$38,11,0)</f>
        <v>Điều chỉnh lương</v>
      </c>
      <c r="AB25" s="176" t="str">
        <f>VLOOKUP(C25,[4]Sheet2!B$25:U$63,20,0)</f>
        <v>01/02/2023</v>
      </c>
      <c r="AC25" s="153" t="s">
        <v>363</v>
      </c>
      <c r="AD25" s="153" t="s">
        <v>380</v>
      </c>
      <c r="AE25" s="1">
        <v>1</v>
      </c>
      <c r="AF25" s="61">
        <v>45170</v>
      </c>
      <c r="AG25" s="191"/>
      <c r="AH25" s="191"/>
      <c r="AI25" s="201"/>
      <c r="AJ25" s="172"/>
      <c r="AK25" s="187"/>
      <c r="AL25" s="172"/>
      <c r="AM25" s="140"/>
      <c r="AN25" s="140"/>
      <c r="AO25" s="140"/>
    </row>
    <row r="26" spans="1:41" s="181" customFormat="1" ht="39" customHeight="1" x14ac:dyDescent="0.25">
      <c r="A26" s="29">
        <f t="shared" si="2"/>
        <v>19</v>
      </c>
      <c r="B26" s="207"/>
      <c r="C26" s="100" t="s">
        <v>130</v>
      </c>
      <c r="D26" s="145" t="s">
        <v>319</v>
      </c>
      <c r="E26" s="155" t="s">
        <v>44</v>
      </c>
      <c r="F26" s="61" t="str">
        <f>VLOOKUP(C26,'[1]LƯƠNG TỔNG'!C$8:J$40,8,0)</f>
        <v>15/01/2017</v>
      </c>
      <c r="G26" s="61">
        <f t="shared" ca="1" si="0"/>
        <v>46195</v>
      </c>
      <c r="H26" s="62" t="str">
        <f t="shared" ca="1" si="1"/>
        <v>9 năm 5 tháng</v>
      </c>
      <c r="I26" s="186">
        <v>33270</v>
      </c>
      <c r="J26" s="103" t="str">
        <f>VLOOKUP(C26,'[1]LƯƠNG TỔNG'!C$8:AC$40,27,0)</f>
        <v>049091019974</v>
      </c>
      <c r="K26" s="95">
        <f>VLOOKUP(C26,'[1]LƯƠNG TỔNG'!C$8:AD$40,28,0)</f>
        <v>44325</v>
      </c>
      <c r="L26" s="183"/>
      <c r="M26" s="29" t="str">
        <f>VLOOKUP(C26,'[1]LƯƠNG TỔNG'!C$8:AB$40,26,0)</f>
        <v>Tổ 58 CG, Thanh Khê, Đà Nẵng.</v>
      </c>
      <c r="N26" s="103" t="str">
        <f>VLOOKUP(C26,'[5]chia phòng QN 2026'!B$4:E$47,4,0)</f>
        <v>0935074474</v>
      </c>
      <c r="O26" s="189">
        <v>1</v>
      </c>
      <c r="P26" s="174">
        <f>VLOOKUP(C26,[4]Sheet2!B$25:Z$63,25,0)</f>
        <v>43132</v>
      </c>
      <c r="Q26" s="174"/>
      <c r="R26" s="83" t="str">
        <f>VLOOKUP(C26,'[1]LƯƠNG TỔNG'!C$8:AE$40,29,0)</f>
        <v>4815022961</v>
      </c>
      <c r="S26" s="183"/>
      <c r="T26" s="188">
        <v>5650185092</v>
      </c>
      <c r="U26" s="83" t="s">
        <v>71</v>
      </c>
      <c r="V26" s="44" t="s">
        <v>76</v>
      </c>
      <c r="W26" s="153"/>
      <c r="X26" s="153"/>
      <c r="Y26" s="132">
        <v>15500000</v>
      </c>
      <c r="Z26" s="174">
        <v>46113</v>
      </c>
      <c r="AA26" s="29" t="s">
        <v>7</v>
      </c>
      <c r="AB26" s="176">
        <f>VLOOKUP(C26,[4]Sheet2!B$25:U$63,20,0)</f>
        <v>43467</v>
      </c>
      <c r="AC26" s="153" t="s">
        <v>358</v>
      </c>
      <c r="AD26" s="153" t="s">
        <v>361</v>
      </c>
      <c r="AE26" s="1">
        <v>7</v>
      </c>
      <c r="AF26" s="61">
        <v>46113</v>
      </c>
      <c r="AG26" s="191">
        <v>13940000</v>
      </c>
      <c r="AH26" s="191">
        <v>15500000</v>
      </c>
      <c r="AI26" s="201"/>
      <c r="AJ26" s="172"/>
      <c r="AK26" s="187"/>
      <c r="AL26" s="172"/>
      <c r="AM26" s="29"/>
      <c r="AN26" s="29"/>
      <c r="AO26" s="29"/>
    </row>
    <row r="27" spans="1:41" s="181" customFormat="1" ht="47.25" x14ac:dyDescent="0.25">
      <c r="A27" s="29">
        <f t="shared" si="2"/>
        <v>20</v>
      </c>
      <c r="B27" s="207"/>
      <c r="C27" s="63" t="s">
        <v>40</v>
      </c>
      <c r="D27" s="145" t="s">
        <v>319</v>
      </c>
      <c r="E27" s="155" t="s">
        <v>44</v>
      </c>
      <c r="F27" s="61" t="str">
        <f>VLOOKUP(C27,'[1]LƯƠNG TỔNG'!C$8:J$40,8,0)</f>
        <v>13/07/2017</v>
      </c>
      <c r="G27" s="61">
        <f t="shared" ca="1" si="0"/>
        <v>46195</v>
      </c>
      <c r="H27" s="62" t="str">
        <f t="shared" ca="1" si="1"/>
        <v>8 năm 11 tháng</v>
      </c>
      <c r="I27" s="96" t="str">
        <f>VLOOKUP(C27,'[1]LƯƠNG TỔNG'!C$8:I$40,7,0)</f>
        <v>13/03/1979</v>
      </c>
      <c r="J27" s="103" t="str">
        <f>VLOOKUP(C27,'[1]LƯƠNG TỔNG'!C$8:AC$40,27,0)</f>
        <v>048179005289</v>
      </c>
      <c r="K27" s="95">
        <f>VLOOKUP(C27,'[1]LƯƠNG TỔNG'!C$8:AD$40,28,0)</f>
        <v>44552</v>
      </c>
      <c r="L27" s="184"/>
      <c r="M27" s="29" t="str">
        <f>VLOOKUP(C27,'[1]LƯƠNG TỔNG'!C$8:AB$40,26,0)</f>
        <v>Số nhà K21/23, Đường Dũng Sĩ Thanh Khê, Tổ 14, P. Thanh Khê, TP. Đà Nẵng</v>
      </c>
      <c r="N27" s="103" t="str">
        <f>VLOOKUP(C27,'[5]chia phòng QN 2026'!B$4:E$47,4,0)</f>
        <v>0935135138</v>
      </c>
      <c r="O27" s="189">
        <v>1</v>
      </c>
      <c r="P27" s="174">
        <f>VLOOKUP(C27,[4]Sheet2!B$25:Z$63,25,0)</f>
        <v>42948</v>
      </c>
      <c r="Q27" s="174"/>
      <c r="R27" s="83" t="str">
        <f>VLOOKUP(C27,'[1]LƯƠNG TỔNG'!C$8:AE$40,29,0)</f>
        <v>0402006721</v>
      </c>
      <c r="S27" s="184"/>
      <c r="T27" s="134">
        <f>VLOOKUP(C27,'[2]CK BIDV DMT'!C$7:F$37,4,0)</f>
        <v>5610518414</v>
      </c>
      <c r="U27" s="83" t="s">
        <v>105</v>
      </c>
      <c r="V27" s="44" t="s">
        <v>76</v>
      </c>
      <c r="W27" s="151"/>
      <c r="X27" s="152"/>
      <c r="Y27" s="132">
        <f>VLOOKUP(C27,'[2]Luong CBNV T05.2026'!B$13:H$53,7,0)</f>
        <v>20000000</v>
      </c>
      <c r="Z27" s="174">
        <v>46113</v>
      </c>
      <c r="AA27" s="29" t="str">
        <f>VLOOKUP(C27,'[3]LƯƠNG TỔNG'!C$8:M$38,11,0)</f>
        <v>Điều chỉnh lương</v>
      </c>
      <c r="AB27" s="176">
        <f>VLOOKUP(C27,[4]Sheet2!B$25:U$63,20,0)</f>
        <v>43102</v>
      </c>
      <c r="AC27" s="153" t="s">
        <v>378</v>
      </c>
      <c r="AD27" s="153" t="s">
        <v>379</v>
      </c>
      <c r="AE27" s="1">
        <v>6</v>
      </c>
      <c r="AF27" s="61">
        <v>46113</v>
      </c>
      <c r="AG27" s="191">
        <v>18535000</v>
      </c>
      <c r="AH27" s="191">
        <v>20000000</v>
      </c>
      <c r="AI27" s="201"/>
      <c r="AJ27" s="172"/>
      <c r="AK27" s="187"/>
      <c r="AL27" s="172"/>
      <c r="AM27" s="29"/>
      <c r="AN27" s="29"/>
      <c r="AO27" s="29"/>
    </row>
    <row r="28" spans="1:41" s="10" customFormat="1" ht="63" x14ac:dyDescent="0.25">
      <c r="A28" s="29">
        <f t="shared" si="2"/>
        <v>21</v>
      </c>
      <c r="B28" s="207"/>
      <c r="C28" s="63" t="s">
        <v>41</v>
      </c>
      <c r="D28" s="145" t="s">
        <v>319</v>
      </c>
      <c r="E28" s="154" t="s">
        <v>27</v>
      </c>
      <c r="F28" s="61">
        <f>VLOOKUP(C28,'[1]LƯƠNG TỔNG'!C$8:J$40,8,0)</f>
        <v>41799</v>
      </c>
      <c r="G28" s="61">
        <f t="shared" ca="1" si="0"/>
        <v>46195</v>
      </c>
      <c r="H28" s="62" t="str">
        <f t="shared" ca="1" si="1"/>
        <v>12 năm 0 tháng</v>
      </c>
      <c r="I28" s="96" t="str">
        <f>VLOOKUP(C28,'[1]LƯƠNG TỔNG'!C$8:I$40,7,0)</f>
        <v>29/12/1988</v>
      </c>
      <c r="J28" s="103" t="str">
        <f>VLOOKUP(C28,'[1]LƯƠNG TỔNG'!C$8:AC$40,27,0)</f>
        <v>049188015053</v>
      </c>
      <c r="K28" s="95" t="str">
        <f>VLOOKUP(C28,'[1]LƯƠNG TỔNG'!C$8:AD$40,28,0)</f>
        <v>10/12/2022.</v>
      </c>
      <c r="L28" s="147"/>
      <c r="M28" s="29" t="str">
        <f>VLOOKUP(C28,'[1]LƯƠNG TỔNG'!C$8:AB$40,26,0)</f>
        <v>Thôn Hà Lộc, xã Tam Xuân, TP.Đà Nẵng.</v>
      </c>
      <c r="N28" s="103" t="str">
        <f>VLOOKUP(C28,'[5]chia phòng QN 2026'!B$4:E$47,4,0)</f>
        <v>0935291268</v>
      </c>
      <c r="O28" s="189"/>
      <c r="P28" s="204">
        <v>41852</v>
      </c>
      <c r="Q28" s="174"/>
      <c r="R28" s="83" t="str">
        <f>VLOOKUP(C28,'[1]LƯƠNG TỔNG'!C$8:AE$40,29,0)</f>
        <v>4814026957</v>
      </c>
      <c r="S28" s="147"/>
      <c r="T28" s="134">
        <f>VLOOKUP(C28,'[2]CK BIDV DMT'!C$7:F$37,4,0)</f>
        <v>5600784971</v>
      </c>
      <c r="U28" s="83" t="s">
        <v>106</v>
      </c>
      <c r="V28" s="44" t="s">
        <v>89</v>
      </c>
      <c r="W28" s="151"/>
      <c r="X28" s="152"/>
      <c r="Y28" s="132">
        <f>VLOOKUP(C28,'[2]Luong CBNV T05.2026'!B$13:H$53,7,0)</f>
        <v>9000000</v>
      </c>
      <c r="Z28" s="174">
        <v>46113</v>
      </c>
      <c r="AA28" s="29" t="str">
        <f>VLOOKUP(C28,'[3]LƯƠNG TỔNG'!C$8:M$38,11,0)</f>
        <v>Thay đổi vị trí</v>
      </c>
      <c r="AB28" s="176">
        <f>VLOOKUP(C28,[4]Sheet2!B$25:U$63,20,0)</f>
        <v>43102</v>
      </c>
      <c r="AC28" s="153" t="s">
        <v>359</v>
      </c>
      <c r="AD28" s="153" t="s">
        <v>360</v>
      </c>
      <c r="AE28" s="198" t="s">
        <v>368</v>
      </c>
      <c r="AF28" s="61">
        <v>46113</v>
      </c>
      <c r="AG28" s="191">
        <v>8400000</v>
      </c>
      <c r="AH28" s="191">
        <v>9000000</v>
      </c>
      <c r="AI28" s="201"/>
      <c r="AJ28" s="172"/>
      <c r="AK28" s="187"/>
      <c r="AL28" s="172"/>
      <c r="AM28" s="83"/>
      <c r="AN28" s="83"/>
      <c r="AO28" s="83"/>
    </row>
    <row r="29" spans="1:41" s="10" customFormat="1" ht="39" customHeight="1" x14ac:dyDescent="0.25">
      <c r="A29" s="29">
        <f t="shared" si="2"/>
        <v>22</v>
      </c>
      <c r="B29" s="207"/>
      <c r="C29" s="63" t="s">
        <v>42</v>
      </c>
      <c r="D29" s="145" t="s">
        <v>319</v>
      </c>
      <c r="E29" s="154" t="s">
        <v>27</v>
      </c>
      <c r="F29" s="61">
        <f>VLOOKUP(C29,'[1]LƯƠNG TỔNG'!C$8:J$40,8,0)</f>
        <v>43598</v>
      </c>
      <c r="G29" s="61">
        <f t="shared" ca="1" si="0"/>
        <v>46195</v>
      </c>
      <c r="H29" s="62" t="str">
        <f t="shared" ca="1" si="1"/>
        <v>7 năm 1 tháng</v>
      </c>
      <c r="I29" s="96">
        <f>VLOOKUP(C29,'[1]LƯƠNG TỔNG'!C$8:I$40,7,0)</f>
        <v>33986</v>
      </c>
      <c r="J29" s="103" t="str">
        <f>VLOOKUP(C29,'[1]LƯƠNG TỔNG'!C$8:AC$40,27,0)</f>
        <v>048193006603</v>
      </c>
      <c r="K29" s="95">
        <f>VLOOKUP(C29,'[1]LƯƠNG TỔNG'!C$8:AD$40,28,0)</f>
        <v>44552</v>
      </c>
      <c r="L29" s="147"/>
      <c r="M29" s="29" t="str">
        <f>VLOOKUP(C29,'[1]LƯƠNG TỔNG'!C$8:AB$40,26,0)</f>
        <v>Tổ 12 Ngũ Hành Sơn,  Đà Nẵng</v>
      </c>
      <c r="N29" s="103" t="str">
        <f>VLOOKUP(C29,'[5]chia phòng QN 2026'!B$4:E$47,4,0)</f>
        <v>0915746303</v>
      </c>
      <c r="O29" s="189"/>
      <c r="P29" s="174">
        <f>VLOOKUP(C29,[4]Sheet2!B$25:Z$63,25,0)</f>
        <v>43586</v>
      </c>
      <c r="Q29" s="174"/>
      <c r="R29" s="83" t="str">
        <f>VLOOKUP(C29,'[1]LƯƠNG TỔNG'!C$8:AE$40,29,0)</f>
        <v>4821414009</v>
      </c>
      <c r="S29" s="147"/>
      <c r="T29" s="134">
        <f>VLOOKUP(C29,'[2]CK BIDV DMT'!C$7:F$37,4,0)</f>
        <v>5601343375</v>
      </c>
      <c r="U29" s="83" t="s">
        <v>107</v>
      </c>
      <c r="V29" s="44" t="s">
        <v>76</v>
      </c>
      <c r="W29" s="151"/>
      <c r="X29" s="152"/>
      <c r="Y29" s="132">
        <f>VLOOKUP(C29,'[2]Luong CBNV T05.2026'!B$13:H$53,7,0)</f>
        <v>8400000</v>
      </c>
      <c r="Z29" s="174">
        <v>45778</v>
      </c>
      <c r="AA29" s="29" t="str">
        <f>VLOOKUP(C29,'[3]LƯƠNG TỔNG'!C$8:M$38,11,0)</f>
        <v>Điều chỉnh lương</v>
      </c>
      <c r="AB29" s="176">
        <f>VLOOKUP(C29,[4]Sheet2!B$25:U$63,20,0)</f>
        <v>44329</v>
      </c>
      <c r="AC29" s="153" t="s">
        <v>376</v>
      </c>
      <c r="AD29" s="153" t="s">
        <v>377</v>
      </c>
      <c r="AE29" s="1">
        <v>3</v>
      </c>
      <c r="AF29" s="61">
        <v>45778</v>
      </c>
      <c r="AG29" s="191">
        <v>7402000</v>
      </c>
      <c r="AH29" s="191">
        <v>8400000</v>
      </c>
      <c r="AI29" s="201"/>
      <c r="AJ29" s="172"/>
      <c r="AK29" s="187"/>
      <c r="AL29" s="172"/>
      <c r="AM29" s="83"/>
      <c r="AN29" s="83"/>
      <c r="AO29" s="83"/>
    </row>
    <row r="30" spans="1:41" s="10" customFormat="1" ht="39" customHeight="1" x14ac:dyDescent="0.25">
      <c r="A30" s="29">
        <f t="shared" si="2"/>
        <v>23</v>
      </c>
      <c r="B30" s="207"/>
      <c r="C30" s="97" t="s">
        <v>43</v>
      </c>
      <c r="D30" s="145" t="s">
        <v>319</v>
      </c>
      <c r="E30" s="154" t="s">
        <v>27</v>
      </c>
      <c r="F30" s="61">
        <f>VLOOKUP(C30,'[1]LƯƠNG TỔNG'!C$8:J$40,8,0)</f>
        <v>45006</v>
      </c>
      <c r="G30" s="61">
        <f t="shared" ca="1" si="0"/>
        <v>46195</v>
      </c>
      <c r="H30" s="62" t="str">
        <f t="shared" ca="1" si="1"/>
        <v>3 năm 3 tháng</v>
      </c>
      <c r="I30" s="96">
        <f>VLOOKUP(C30,'[1]LƯƠNG TỔNG'!C$8:I$40,7,0)</f>
        <v>36472</v>
      </c>
      <c r="J30" s="103" t="str">
        <f>VLOOKUP(C30,'[1]LƯƠNG TỔNG'!C$8:AC$40,27,0)</f>
        <v>048099006638</v>
      </c>
      <c r="K30" s="95">
        <f>VLOOKUP(C30,'[1]LƯƠNG TỔNG'!C$8:AD$40,28,0)</f>
        <v>45663</v>
      </c>
      <c r="L30" s="147"/>
      <c r="M30" s="29" t="str">
        <f>VLOOKUP(C30,'[1]LƯƠNG TỔNG'!C$8:AB$40,26,0)</f>
        <v>Thôn Hương Lam, xã Hoà Tiến, thành phố Đà Nẵng</v>
      </c>
      <c r="N30" s="103" t="str">
        <f>VLOOKUP(C30,'[5]chia phòng QN 2026'!B$4:E$47,4,0)</f>
        <v>0708107565</v>
      </c>
      <c r="O30" s="189"/>
      <c r="P30" s="205">
        <f>VLOOKUP(C30,[4]Sheet2!B$25:Z$63,25,0)</f>
        <v>45017</v>
      </c>
      <c r="Q30" s="174"/>
      <c r="R30" s="83" t="str">
        <f>VLOOKUP(C30,'[1]LƯƠNG TỔNG'!C$8:AE$40,29,0)</f>
        <v>4820999781</v>
      </c>
      <c r="S30" s="147"/>
      <c r="T30" s="134">
        <f>VLOOKUP(C30,'[2]CK BIDV DMT'!C$7:F$37,4,0)</f>
        <v>5602078777</v>
      </c>
      <c r="U30" s="83" t="s">
        <v>72</v>
      </c>
      <c r="V30" s="44" t="s">
        <v>76</v>
      </c>
      <c r="W30" s="151"/>
      <c r="X30" s="152"/>
      <c r="Y30" s="132">
        <f>VLOOKUP(C30,'[2]Luong CBNV T05.2026'!B$13:H$53,7,0)</f>
        <v>7300000</v>
      </c>
      <c r="Z30" s="174">
        <v>45778</v>
      </c>
      <c r="AA30" s="29" t="str">
        <f>VLOOKUP(C30,'[3]LƯƠNG TỔNG'!C$8:M$38,11,0)</f>
        <v>Điều chỉnh lương</v>
      </c>
      <c r="AB30" s="176">
        <f>VLOOKUP(C30,[4]Sheet2!B$25:U$63,20,0)</f>
        <v>45372</v>
      </c>
      <c r="AC30" s="153" t="s">
        <v>362</v>
      </c>
      <c r="AD30" s="153" t="s">
        <v>364</v>
      </c>
      <c r="AE30" s="1">
        <v>1</v>
      </c>
      <c r="AF30" s="61">
        <v>45778</v>
      </c>
      <c r="AG30" s="191">
        <v>7050000</v>
      </c>
      <c r="AH30" s="191">
        <v>7300000</v>
      </c>
      <c r="AI30" s="201"/>
      <c r="AJ30" s="172"/>
      <c r="AK30" s="187"/>
      <c r="AL30" s="172"/>
      <c r="AM30" s="83"/>
      <c r="AN30" s="83"/>
      <c r="AO30" s="83"/>
    </row>
    <row r="31" spans="1:41" s="10" customFormat="1" ht="39" customHeight="1" x14ac:dyDescent="0.25">
      <c r="A31" s="29">
        <f t="shared" si="2"/>
        <v>24</v>
      </c>
      <c r="B31" s="207"/>
      <c r="C31" s="97" t="s">
        <v>165</v>
      </c>
      <c r="D31" s="145" t="s">
        <v>319</v>
      </c>
      <c r="E31" s="154" t="s">
        <v>27</v>
      </c>
      <c r="F31" s="61">
        <f>VLOOKUP(C31,'[1]LƯƠNG TỔNG'!C$8:J$40,8,0)</f>
        <v>46113</v>
      </c>
      <c r="G31" s="61">
        <f t="shared" ca="1" si="0"/>
        <v>46195</v>
      </c>
      <c r="H31" s="62" t="str">
        <f t="shared" ca="1" si="1"/>
        <v>0 năm 2 tháng</v>
      </c>
      <c r="I31" s="96">
        <f>VLOOKUP(C31,'[1]LƯƠNG TỔNG'!C$8:I$40,7,0)</f>
        <v>26978</v>
      </c>
      <c r="J31" s="103" t="str">
        <f>VLOOKUP(C31,'[1]LƯƠNG TỔNG'!C$8:AC$40,27,0)</f>
        <v>048073000277</v>
      </c>
      <c r="K31" s="95">
        <f>VLOOKUP(C31,'[1]LƯƠNG TỔNG'!C$8:AD$40,28,0)</f>
        <v>45895</v>
      </c>
      <c r="L31" s="147"/>
      <c r="M31" s="29" t="str">
        <f>VLOOKUP(C31,'[1]LƯƠNG TỔNG'!C$8:AB$40,26,0)</f>
        <v>48 Bùi Xương Tự, Cẩm Lệ, Đà Nẵng</v>
      </c>
      <c r="N31" s="103" t="str">
        <f>VLOOKUP(C31,'[5]chia phòng QN 2026'!B$4:E$47,4,0)</f>
        <v>0914010001</v>
      </c>
      <c r="O31" s="189"/>
      <c r="P31" s="205">
        <f>VLOOKUP(C31,[4]Sheet2!B$25:Z$63,25,0)</f>
        <v>46113</v>
      </c>
      <c r="Q31" s="174"/>
      <c r="R31" s="83" t="str">
        <f>VLOOKUP(C31,'[1]LƯƠNG TỔNG'!C$8:AE$40,29,0)</f>
        <v>0400006410</v>
      </c>
      <c r="S31" s="147"/>
      <c r="T31" s="134">
        <v>8838630422</v>
      </c>
      <c r="U31" s="83"/>
      <c r="V31" s="44"/>
      <c r="W31" s="151"/>
      <c r="X31" s="152"/>
      <c r="Y31" s="132">
        <f>VLOOKUP(C31,'[2]Luong CBNV T05.2026'!B$13:H$53,7,0)</f>
        <v>20000000</v>
      </c>
      <c r="Z31" s="174">
        <v>46113</v>
      </c>
      <c r="AA31" s="29" t="s">
        <v>87</v>
      </c>
      <c r="AB31" s="176"/>
      <c r="AC31" s="153"/>
      <c r="AD31" s="153"/>
      <c r="AE31" s="1"/>
      <c r="AF31" s="1"/>
      <c r="AG31" s="191"/>
      <c r="AH31" s="191"/>
      <c r="AI31" s="201">
        <f>VLOOKUP(C31,[4]Sheet2!B$25:V$64,21,0)</f>
        <v>46113</v>
      </c>
      <c r="AJ31" s="202">
        <v>46478</v>
      </c>
      <c r="AK31" s="177" t="s">
        <v>410</v>
      </c>
      <c r="AL31" s="202">
        <v>46113</v>
      </c>
      <c r="AM31" s="83"/>
      <c r="AN31" s="83"/>
      <c r="AO31" s="83"/>
    </row>
    <row r="32" spans="1:41" s="41" customFormat="1" ht="39" customHeight="1" x14ac:dyDescent="0.25">
      <c r="A32" s="29">
        <f t="shared" si="2"/>
        <v>25</v>
      </c>
      <c r="B32" s="207" t="s">
        <v>117</v>
      </c>
      <c r="C32" s="97" t="s">
        <v>45</v>
      </c>
      <c r="D32" s="145" t="s">
        <v>320</v>
      </c>
      <c r="E32" s="83" t="s">
        <v>27</v>
      </c>
      <c r="F32" s="61">
        <f>VLOOKUP(C32,'[1]LƯƠNG TỔNG'!C$8:J$40,8,0)</f>
        <v>39742</v>
      </c>
      <c r="G32" s="61">
        <f t="shared" ca="1" si="0"/>
        <v>46195</v>
      </c>
      <c r="H32" s="62" t="str">
        <f t="shared" ca="1" si="1"/>
        <v>17 năm 8 tháng</v>
      </c>
      <c r="I32" s="96" t="str">
        <f>VLOOKUP(C32,'[1]LƯƠNG TỔNG'!C$8:I$40,7,0)</f>
        <v>09/03/1977</v>
      </c>
      <c r="J32" s="103" t="str">
        <f>VLOOKUP(C32,'[1]LƯƠNG TỔNG'!C$8:AC$40,27,0)</f>
        <v>048077002933</v>
      </c>
      <c r="K32" s="95">
        <f>VLOOKUP(C32,'[1]LƯƠNG TỔNG'!C$8:AD$40,28,0)</f>
        <v>44423</v>
      </c>
      <c r="L32" s="147"/>
      <c r="M32" s="29" t="str">
        <f>VLOOKUP(C32,'[1]LƯƠNG TỔNG'!C$8:AB$40,26,0)</f>
        <v>Thôn Cẩm Toại Đông, xã Hoà Vang, TP. Đà Nẵng</v>
      </c>
      <c r="N32" s="103" t="str">
        <f>VLOOKUP(C32,'[5]chia phòng QN 2026'!B$4:E$47,4,0)</f>
        <v>0905800890</v>
      </c>
      <c r="O32" s="189">
        <v>1</v>
      </c>
      <c r="P32" s="203">
        <v>39753</v>
      </c>
      <c r="Q32" s="174"/>
      <c r="R32" s="83" t="str">
        <f>VLOOKUP(C32,'[1]LƯƠNG TỔNG'!C$8:AE$40,29,0)</f>
        <v>0403012361</v>
      </c>
      <c r="S32" s="147"/>
      <c r="T32" s="134">
        <f>VLOOKUP(C32,'[2]CK BIDV DMT'!C$7:F$37,4,0)</f>
        <v>5600785248</v>
      </c>
      <c r="U32" s="83" t="s">
        <v>108</v>
      </c>
      <c r="V32" s="44" t="s">
        <v>88</v>
      </c>
      <c r="W32" s="151"/>
      <c r="X32" s="152"/>
      <c r="Y32" s="132">
        <f>VLOOKUP(C32,'[2]Luong CBNV T05.2026'!B$13:H$53,7,0)</f>
        <v>9000000</v>
      </c>
      <c r="Z32" s="174">
        <v>46113</v>
      </c>
      <c r="AA32" s="29" t="str">
        <f>VLOOKUP(C32,'[3]LƯƠNG TỔNG'!C$8:M$38,11,0)</f>
        <v>Điều chỉnh lương</v>
      </c>
      <c r="AB32" s="176">
        <f>VLOOKUP(C32,[4]Sheet2!B$25:U$63,20,0)</f>
        <v>43102</v>
      </c>
      <c r="AC32" s="153" t="s">
        <v>372</v>
      </c>
      <c r="AD32" s="153" t="s">
        <v>373</v>
      </c>
      <c r="AE32" s="1">
        <v>3</v>
      </c>
      <c r="AF32" s="61">
        <v>46113</v>
      </c>
      <c r="AG32" s="191">
        <v>8040000</v>
      </c>
      <c r="AH32" s="191">
        <v>9000000</v>
      </c>
      <c r="AI32" s="201"/>
      <c r="AJ32" s="172"/>
      <c r="AK32" s="187"/>
      <c r="AL32" s="172"/>
      <c r="AM32" s="83"/>
      <c r="AN32" s="83"/>
      <c r="AO32" s="83"/>
    </row>
    <row r="33" spans="1:41" s="41" customFormat="1" ht="39" customHeight="1" x14ac:dyDescent="0.25">
      <c r="A33" s="29">
        <f t="shared" si="2"/>
        <v>26</v>
      </c>
      <c r="B33" s="207"/>
      <c r="C33" s="63" t="s">
        <v>46</v>
      </c>
      <c r="D33" s="145" t="s">
        <v>320</v>
      </c>
      <c r="E33" s="83" t="s">
        <v>27</v>
      </c>
      <c r="F33" s="61">
        <f>VLOOKUP(C33,'[1]LƯƠNG TỔNG'!C$8:J$40,8,0)</f>
        <v>41927</v>
      </c>
      <c r="G33" s="61">
        <f t="shared" ca="1" si="0"/>
        <v>46195</v>
      </c>
      <c r="H33" s="62" t="str">
        <f t="shared" ca="1" si="1"/>
        <v>11 năm 8 tháng</v>
      </c>
      <c r="I33" s="96" t="str">
        <f>VLOOKUP(C33,'[1]LƯƠNG TỔNG'!C$8:I$40,7,0)</f>
        <v>03/11/1989</v>
      </c>
      <c r="J33" s="103" t="str">
        <f>VLOOKUP(C33,'[1]LƯƠNG TỔNG'!C$8:AC$40,27,0)</f>
        <v>048189004898</v>
      </c>
      <c r="K33" s="95">
        <f>VLOOKUP(C33,'[1]LƯƠNG TỔNG'!C$8:AD$40,28,0)</f>
        <v>44715</v>
      </c>
      <c r="L33" s="147"/>
      <c r="M33" s="29" t="str">
        <f>VLOOKUP(C33,'[1]LƯƠNG TỔNG'!C$8:AB$40,26,0)</f>
        <v>16/2 Phước Tường 11, Phường An Khê, Tp Đà Nẵng.</v>
      </c>
      <c r="N33" s="103" t="str">
        <f>VLOOKUP(C33,'[5]chia phòng QN 2026'!B$4:E$47,4,0)</f>
        <v>0906439294</v>
      </c>
      <c r="O33" s="189">
        <v>2</v>
      </c>
      <c r="P33" s="203">
        <v>41974</v>
      </c>
      <c r="Q33" s="174"/>
      <c r="R33" s="83" t="str">
        <f>VLOOKUP(C33,'[1]LƯƠNG TỔNG'!C$8:AE$40,29,0)</f>
        <v>4812004713</v>
      </c>
      <c r="S33" s="147"/>
      <c r="T33" s="134">
        <f>VLOOKUP(C33,'[2]CK BIDV DMT'!C$7:F$37,4,0)</f>
        <v>5600785503</v>
      </c>
      <c r="U33" s="83" t="s">
        <v>109</v>
      </c>
      <c r="V33" s="44" t="s">
        <v>76</v>
      </c>
      <c r="W33" s="153"/>
      <c r="X33" s="153"/>
      <c r="Y33" s="132">
        <f>VLOOKUP(C33,'[2]Luong CBNV T05.2026'!B$13:H$53,7,0)</f>
        <v>8040000</v>
      </c>
      <c r="Z33" s="174">
        <v>46113</v>
      </c>
      <c r="AA33" s="29" t="str">
        <f>VLOOKUP(C33,'[3]LƯƠNG TỔNG'!C$8:M$38,11,0)</f>
        <v>Điều chỉnh lương</v>
      </c>
      <c r="AB33" s="176">
        <f>VLOOKUP(C33,[4]Sheet2!B$25:U$63,20,0)</f>
        <v>43102</v>
      </c>
      <c r="AC33" s="153" t="s">
        <v>375</v>
      </c>
      <c r="AD33" s="153" t="s">
        <v>374</v>
      </c>
      <c r="AE33" s="1">
        <v>2</v>
      </c>
      <c r="AF33" s="61">
        <v>46113</v>
      </c>
      <c r="AG33" s="191">
        <v>6990000</v>
      </c>
      <c r="AH33" s="191">
        <v>8040000</v>
      </c>
      <c r="AI33" s="201"/>
      <c r="AJ33" s="172"/>
      <c r="AK33" s="187"/>
      <c r="AL33" s="172"/>
      <c r="AM33" s="83"/>
      <c r="AN33" s="83"/>
      <c r="AO33" s="83"/>
    </row>
    <row r="34" spans="1:41" s="10" customFormat="1" ht="39" customHeight="1" x14ac:dyDescent="0.25">
      <c r="A34" s="29">
        <f t="shared" si="2"/>
        <v>27</v>
      </c>
      <c r="B34" s="207"/>
      <c r="C34" s="97" t="s">
        <v>47</v>
      </c>
      <c r="D34" s="145" t="s">
        <v>320</v>
      </c>
      <c r="E34" s="83" t="s">
        <v>27</v>
      </c>
      <c r="F34" s="61">
        <f>VLOOKUP(C34,'[1]LƯƠNG TỔNG'!C$8:J$40,8,0)</f>
        <v>44652</v>
      </c>
      <c r="G34" s="61">
        <f t="shared" ca="1" si="0"/>
        <v>46195</v>
      </c>
      <c r="H34" s="62" t="str">
        <f t="shared" ca="1" si="1"/>
        <v>4 năm 2 tháng</v>
      </c>
      <c r="I34" s="96">
        <f>VLOOKUP(C34,'[1]LƯƠNG TỔNG'!C$8:I$40,7,0)</f>
        <v>29943</v>
      </c>
      <c r="J34" s="103" t="str">
        <f>VLOOKUP(C34,'[1]LƯƠNG TỔNG'!C$8:AC$40,27,0)</f>
        <v>049081015577</v>
      </c>
      <c r="K34" s="95">
        <f>VLOOKUP(C34,'[1]LƯƠNG TỔNG'!C$8:AD$40,28,0)</f>
        <v>44652</v>
      </c>
      <c r="L34" s="147"/>
      <c r="M34" s="29" t="str">
        <f>VLOOKUP(C34,'[1]LƯƠNG TỔNG'!C$8:AB$40,26,0)</f>
        <v>Tổ 76, P. Liên Chiểu, TP. Đà Nẵng</v>
      </c>
      <c r="N34" s="103" t="str">
        <f>VLOOKUP(C34,'[5]chia phòng QN 2026'!B$4:E$47,4,0)</f>
        <v>0903512986</v>
      </c>
      <c r="O34" s="189">
        <v>2</v>
      </c>
      <c r="P34" s="174">
        <f>VLOOKUP(C34,[4]Sheet2!B$25:Z$63,25,0)</f>
        <v>44652</v>
      </c>
      <c r="Q34" s="174"/>
      <c r="R34" s="83" t="str">
        <f>VLOOKUP(C34,'[1]LƯƠNG TỔNG'!C$8:AE$40,29,0)</f>
        <v>4811008669</v>
      </c>
      <c r="S34" s="147"/>
      <c r="T34" s="134">
        <f>VLOOKUP(C34,'[2]CK BIDV DMT'!C$7:F$37,4,0)</f>
        <v>5600494687</v>
      </c>
      <c r="U34" s="83" t="s">
        <v>110</v>
      </c>
      <c r="V34" s="44" t="s">
        <v>88</v>
      </c>
      <c r="W34" s="148"/>
      <c r="X34" s="150"/>
      <c r="Y34" s="132">
        <f>VLOOKUP(C34,'[2]Luong CBNV T05.2026'!B$13:H$53,7,0)</f>
        <v>8040000</v>
      </c>
      <c r="Z34" s="174">
        <v>45778</v>
      </c>
      <c r="AA34" s="29" t="str">
        <f>VLOOKUP(C34,'[3]LƯƠNG TỔNG'!C$8:M$38,11,0)</f>
        <v>Điều chỉnh lương</v>
      </c>
      <c r="AB34" s="176">
        <v>44651</v>
      </c>
      <c r="AC34" s="153" t="s">
        <v>370</v>
      </c>
      <c r="AD34" s="153" t="s">
        <v>371</v>
      </c>
      <c r="AE34" s="1">
        <v>1</v>
      </c>
      <c r="AF34" s="61">
        <v>45778</v>
      </c>
      <c r="AG34" s="191">
        <v>7402000</v>
      </c>
      <c r="AH34" s="191">
        <v>8040000</v>
      </c>
      <c r="AI34" s="201"/>
      <c r="AJ34" s="172"/>
      <c r="AK34" s="187"/>
      <c r="AL34" s="172"/>
      <c r="AM34" s="83"/>
      <c r="AN34" s="83"/>
      <c r="AO34" s="83"/>
    </row>
    <row r="35" spans="1:41" s="10" customFormat="1" ht="39" customHeight="1" x14ac:dyDescent="0.25">
      <c r="A35" s="29">
        <f t="shared" si="2"/>
        <v>28</v>
      </c>
      <c r="B35" s="140" t="s">
        <v>119</v>
      </c>
      <c r="C35" s="63" t="s">
        <v>48</v>
      </c>
      <c r="D35" s="145" t="s">
        <v>321</v>
      </c>
      <c r="E35" s="154" t="s">
        <v>27</v>
      </c>
      <c r="F35" s="61">
        <f>VLOOKUP(C35,'[1]LƯƠNG TỔNG'!C$8:J$40,8,0)</f>
        <v>44470</v>
      </c>
      <c r="G35" s="61">
        <f t="shared" ca="1" si="0"/>
        <v>46195</v>
      </c>
      <c r="H35" s="62" t="str">
        <f t="shared" ca="1" si="1"/>
        <v>4 năm 8 tháng</v>
      </c>
      <c r="I35" s="96">
        <f>VLOOKUP(C35,'[1]LƯƠNG TỔNG'!C$8:I$40,7,0)</f>
        <v>32948</v>
      </c>
      <c r="J35" s="103" t="str">
        <f>VLOOKUP(C35,'[1]LƯƠNG TỔNG'!C$8:AC$40,27,0)</f>
        <v>049090011138</v>
      </c>
      <c r="K35" s="95">
        <f>VLOOKUP(C35,'[1]LƯƠNG TỔNG'!C$8:AD$40,28,0)</f>
        <v>44424</v>
      </c>
      <c r="L35" s="147"/>
      <c r="M35" s="29" t="str">
        <f>VLOOKUP(C35,'[1]LƯƠNG TỔNG'!C$8:AB$40,26,0)</f>
        <v>22 Hoà Minh 14, Hoà khánh, Đà Nẵng.</v>
      </c>
      <c r="N35" s="103" t="str">
        <f>VLOOKUP(C35,'[5]chia phòng QN 2026'!B$4:E$47,4,0)</f>
        <v>0935145369</v>
      </c>
      <c r="O35" s="189">
        <v>1</v>
      </c>
      <c r="P35" s="203">
        <v>46143</v>
      </c>
      <c r="Q35" s="174"/>
      <c r="R35" s="83" t="str">
        <f>VLOOKUP(C35,'[1]LƯƠNG TỔNG'!C$8:AE$40,29,0)</f>
        <v>4813022061</v>
      </c>
      <c r="S35" s="147"/>
      <c r="T35" s="134">
        <f>VLOOKUP(C35,'[2]CK BIDV DMT'!C$7:F$37,4,0)</f>
        <v>5601210521</v>
      </c>
      <c r="U35" s="83" t="s">
        <v>73</v>
      </c>
      <c r="V35" s="44" t="s">
        <v>76</v>
      </c>
      <c r="W35" s="148"/>
      <c r="X35" s="150"/>
      <c r="Y35" s="132">
        <f>VLOOKUP(C35,'[2]Luong CBNV T05.2026'!B$13:H$53,7,0)</f>
        <v>13940000</v>
      </c>
      <c r="Z35" s="174">
        <v>46143</v>
      </c>
      <c r="AA35" s="29" t="str">
        <f>VLOOKUP(C35,'[3]LƯƠNG TỔNG'!C$8:M$38,11,0)</f>
        <v>Điều chỉnh lương</v>
      </c>
      <c r="AB35" s="176" t="str">
        <f>VLOOKUP(C35,[4]Sheet2!B$25:U$63,20,0)</f>
        <v>01/10/2021</v>
      </c>
      <c r="AC35" s="153" t="s">
        <v>381</v>
      </c>
      <c r="AD35" s="153" t="s">
        <v>393</v>
      </c>
      <c r="AE35" s="1">
        <v>3</v>
      </c>
      <c r="AF35" s="61">
        <v>46141</v>
      </c>
      <c r="AG35" s="191">
        <v>4730000</v>
      </c>
      <c r="AH35" s="191">
        <v>13940000</v>
      </c>
      <c r="AI35" s="201"/>
      <c r="AJ35" s="172"/>
      <c r="AK35" s="187"/>
      <c r="AL35" s="172"/>
      <c r="AM35" s="83"/>
      <c r="AN35" s="83"/>
      <c r="AO35" s="83"/>
    </row>
    <row r="36" spans="1:41" s="41" customFormat="1" ht="39" customHeight="1" x14ac:dyDescent="0.25">
      <c r="A36" s="29">
        <f t="shared" si="2"/>
        <v>29</v>
      </c>
      <c r="B36" s="140" t="s">
        <v>118</v>
      </c>
      <c r="C36" s="63" t="s">
        <v>49</v>
      </c>
      <c r="D36" s="145" t="s">
        <v>322</v>
      </c>
      <c r="E36" s="155" t="s">
        <v>50</v>
      </c>
      <c r="F36" s="61">
        <f>VLOOKUP(C36,'[1]LƯƠNG TỔNG'!C$8:J$40,8,0)</f>
        <v>40529</v>
      </c>
      <c r="G36" s="61">
        <f t="shared" ca="1" si="0"/>
        <v>46195</v>
      </c>
      <c r="H36" s="62" t="str">
        <f t="shared" ca="1" si="1"/>
        <v>15 năm 6 tháng</v>
      </c>
      <c r="I36" s="96" t="str">
        <f>VLOOKUP(C36,'[1]LƯƠNG TỔNG'!C$8:I$40,7,0)</f>
        <v>06/04/1987</v>
      </c>
      <c r="J36" s="103" t="str">
        <f>VLOOKUP(C36,'[1]LƯƠNG TỔNG'!C$8:AC$40,27,0)</f>
        <v>048187002521</v>
      </c>
      <c r="K36" s="95">
        <f>VLOOKUP(C36,'[1]LƯƠNG TỔNG'!C$8:AD$40,28,0)</f>
        <v>44552</v>
      </c>
      <c r="L36" s="147"/>
      <c r="M36" s="29" t="str">
        <f>VLOOKUP(C36,'[1]LƯƠNG TỔNG'!C$8:AB$40,26,0)</f>
        <v>Tổ 53 Ngũ Hành Sơn, Đà Nẵng</v>
      </c>
      <c r="N36" s="103" t="str">
        <f>VLOOKUP(C36,'[5]chia phòng QN 2026'!B$4:E$47,4,0)</f>
        <v>0913331245</v>
      </c>
      <c r="O36" s="189">
        <v>1</v>
      </c>
      <c r="P36" s="203">
        <v>40544</v>
      </c>
      <c r="Q36" s="174"/>
      <c r="R36" s="83" t="str">
        <f>VLOOKUP(C36,'[1]LƯƠNG TỔNG'!C$8:AE$40,29,0)</f>
        <v>4811004942</v>
      </c>
      <c r="S36" s="147"/>
      <c r="T36" s="134">
        <f>VLOOKUP(C36,'[2]CK BIDV DMT'!C$7:F$37,4,0)</f>
        <v>5600784999</v>
      </c>
      <c r="U36" s="83" t="s">
        <v>111</v>
      </c>
      <c r="V36" s="44" t="s">
        <v>76</v>
      </c>
      <c r="W36" s="148"/>
      <c r="X36" s="150"/>
      <c r="Y36" s="132">
        <f>VLOOKUP(C36,'[2]Luong CBNV T05.2026'!B$13:H$53,7,0)</f>
        <v>4970000</v>
      </c>
      <c r="Z36" s="174">
        <v>46023</v>
      </c>
      <c r="AA36" s="29" t="str">
        <f>VLOOKUP(C36,'[3]LƯƠNG TỔNG'!C$8:M$38,11,0)</f>
        <v>Điều chỉnh lương</v>
      </c>
      <c r="AB36" s="176">
        <v>43832</v>
      </c>
      <c r="AC36" s="153" t="s">
        <v>357</v>
      </c>
      <c r="AD36" s="153" t="s">
        <v>392</v>
      </c>
      <c r="AE36" s="1">
        <v>3</v>
      </c>
      <c r="AF36" s="61">
        <v>46023</v>
      </c>
      <c r="AG36" s="191">
        <v>4690000</v>
      </c>
      <c r="AH36" s="191">
        <v>4970000</v>
      </c>
      <c r="AI36" s="201"/>
      <c r="AJ36" s="172"/>
      <c r="AK36" s="187"/>
      <c r="AL36" s="172"/>
      <c r="AM36" s="83"/>
      <c r="AN36" s="83"/>
      <c r="AO36" s="83"/>
    </row>
  </sheetData>
  <mergeCells count="46">
    <mergeCell ref="AI6:AL6"/>
    <mergeCell ref="AM6:AM7"/>
    <mergeCell ref="AN6:AN7"/>
    <mergeCell ref="AO6:AO7"/>
    <mergeCell ref="AB6:AH6"/>
    <mergeCell ref="F6:F7"/>
    <mergeCell ref="O6:O7"/>
    <mergeCell ref="P6:P7"/>
    <mergeCell ref="R6:R7"/>
    <mergeCell ref="S6:S7"/>
    <mergeCell ref="G6:G7"/>
    <mergeCell ref="H6:H7"/>
    <mergeCell ref="I6:I7"/>
    <mergeCell ref="J6:J7"/>
    <mergeCell ref="K6:K7"/>
    <mergeCell ref="L6:L7"/>
    <mergeCell ref="Q6:Q7"/>
    <mergeCell ref="A3:AF3"/>
    <mergeCell ref="A5:C5"/>
    <mergeCell ref="D5:H5"/>
    <mergeCell ref="I5:T5"/>
    <mergeCell ref="U5:V5"/>
    <mergeCell ref="W5:X5"/>
    <mergeCell ref="Y5:AA5"/>
    <mergeCell ref="AB5:AO5"/>
    <mergeCell ref="A6:A7"/>
    <mergeCell ref="B6:B7"/>
    <mergeCell ref="C6:C7"/>
    <mergeCell ref="D6:D7"/>
    <mergeCell ref="E6:E7"/>
    <mergeCell ref="C1:D1"/>
    <mergeCell ref="B32:B34"/>
    <mergeCell ref="AA6:AA7"/>
    <mergeCell ref="T6:T7"/>
    <mergeCell ref="U6:U7"/>
    <mergeCell ref="V6:V7"/>
    <mergeCell ref="W6:X6"/>
    <mergeCell ref="Y6:Y7"/>
    <mergeCell ref="Z6:Z7"/>
    <mergeCell ref="M6:M7"/>
    <mergeCell ref="N6:N7"/>
    <mergeCell ref="B8:B11"/>
    <mergeCell ref="B12:B18"/>
    <mergeCell ref="B19:B21"/>
    <mergeCell ref="B23:B24"/>
    <mergeCell ref="B25:B31"/>
  </mergeCells>
  <conditionalFormatting sqref="B8">
    <cfRule type="duplicateValues" dxfId="139" priority="49"/>
    <cfRule type="duplicateValues" dxfId="138" priority="50"/>
  </conditionalFormatting>
  <conditionalFormatting sqref="B19">
    <cfRule type="duplicateValues" dxfId="137" priority="33"/>
    <cfRule type="duplicateValues" dxfId="136" priority="34"/>
  </conditionalFormatting>
  <conditionalFormatting sqref="B23">
    <cfRule type="duplicateValues" dxfId="135" priority="27"/>
    <cfRule type="duplicateValues" dxfId="134" priority="28"/>
  </conditionalFormatting>
  <conditionalFormatting sqref="B25">
    <cfRule type="duplicateValues" dxfId="133" priority="25"/>
    <cfRule type="duplicateValues" dxfId="132" priority="26"/>
  </conditionalFormatting>
  <conditionalFormatting sqref="B32">
    <cfRule type="duplicateValues" dxfId="131" priority="11"/>
    <cfRule type="duplicateValues" dxfId="130" priority="12"/>
  </conditionalFormatting>
  <conditionalFormatting sqref="B35">
    <cfRule type="duplicateValues" dxfId="129" priority="9"/>
    <cfRule type="duplicateValues" dxfId="128" priority="10"/>
  </conditionalFormatting>
  <conditionalFormatting sqref="B36">
    <cfRule type="duplicateValues" dxfId="127" priority="7"/>
    <cfRule type="duplicateValues" dxfId="126" priority="8"/>
  </conditionalFormatting>
  <conditionalFormatting sqref="C8">
    <cfRule type="duplicateValues" dxfId="125" priority="55"/>
    <cfRule type="duplicateValues" dxfId="124" priority="56"/>
    <cfRule type="duplicateValues" dxfId="123" priority="57"/>
    <cfRule type="duplicateValues" dxfId="122" priority="58"/>
  </conditionalFormatting>
  <conditionalFormatting sqref="C12:C13">
    <cfRule type="duplicateValues" dxfId="121" priority="51"/>
    <cfRule type="duplicateValues" dxfId="120" priority="52"/>
    <cfRule type="duplicateValues" dxfId="119" priority="53"/>
    <cfRule type="duplicateValues" dxfId="118" priority="54"/>
  </conditionalFormatting>
  <conditionalFormatting sqref="C14:C15 C9:C11">
    <cfRule type="duplicateValues" dxfId="117" priority="59"/>
    <cfRule type="duplicateValues" dxfId="116" priority="60"/>
    <cfRule type="duplicateValues" dxfId="115" priority="61"/>
    <cfRule type="duplicateValues" dxfId="114" priority="62"/>
  </conditionalFormatting>
  <conditionalFormatting sqref="C16">
    <cfRule type="duplicateValues" dxfId="113" priority="39"/>
    <cfRule type="duplicateValues" dxfId="112" priority="40"/>
    <cfRule type="duplicateValues" dxfId="111" priority="41"/>
    <cfRule type="duplicateValues" dxfId="110" priority="42"/>
  </conditionalFormatting>
  <conditionalFormatting sqref="C20">
    <cfRule type="duplicateValues" dxfId="109" priority="35"/>
    <cfRule type="duplicateValues" dxfId="108" priority="36"/>
    <cfRule type="duplicateValues" dxfId="107" priority="37"/>
    <cfRule type="duplicateValues" dxfId="106" priority="38"/>
  </conditionalFormatting>
  <conditionalFormatting sqref="C21 C17:C19">
    <cfRule type="duplicateValues" dxfId="105" priority="592"/>
    <cfRule type="duplicateValues" dxfId="104" priority="593"/>
    <cfRule type="duplicateValues" dxfId="103" priority="594"/>
    <cfRule type="duplicateValues" dxfId="102" priority="595"/>
  </conditionalFormatting>
  <conditionalFormatting sqref="C22:C25 C27">
    <cfRule type="duplicateValues" dxfId="101" priority="63"/>
    <cfRule type="duplicateValues" dxfId="100" priority="64"/>
    <cfRule type="duplicateValues" dxfId="99" priority="65"/>
    <cfRule type="duplicateValues" dxfId="98" priority="66"/>
  </conditionalFormatting>
  <conditionalFormatting sqref="C26">
    <cfRule type="duplicateValues" dxfId="97" priority="29"/>
    <cfRule type="duplicateValues" dxfId="96" priority="30"/>
    <cfRule type="duplicateValues" dxfId="95" priority="31"/>
    <cfRule type="duplicateValues" dxfId="94" priority="32"/>
  </conditionalFormatting>
  <conditionalFormatting sqref="C28">
    <cfRule type="duplicateValues" dxfId="93" priority="17"/>
    <cfRule type="duplicateValues" dxfId="92" priority="18"/>
    <cfRule type="duplicateValues" dxfId="91" priority="19"/>
    <cfRule type="duplicateValues" dxfId="90" priority="20"/>
  </conditionalFormatting>
  <conditionalFormatting sqref="C29:C33 C35:C36">
    <cfRule type="duplicateValues" dxfId="89" priority="21"/>
    <cfRule type="duplicateValues" dxfId="88" priority="22"/>
    <cfRule type="duplicateValues" dxfId="87" priority="23"/>
    <cfRule type="duplicateValues" dxfId="86" priority="24"/>
  </conditionalFormatting>
  <conditionalFormatting sqref="C34">
    <cfRule type="duplicateValues" dxfId="85" priority="13"/>
    <cfRule type="duplicateValues" dxfId="84" priority="14"/>
    <cfRule type="duplicateValues" dxfId="83" priority="15"/>
    <cfRule type="duplicateValues" dxfId="82" priority="16"/>
  </conditionalFormatting>
  <conditionalFormatting sqref="AI23:AI24">
    <cfRule type="expression" dxfId="81" priority="1">
      <formula>AND(AI23&lt;&gt;"",AI23&lt;=TODAY()+7,AI23&gt;=TODAY())</formula>
    </cfRule>
    <cfRule type="expression" dxfId="80" priority="2">
      <formula>AND(AI23&lt;&gt;"",AI23&lt;=TODAY()+15,AI23&gt;=TODAY())</formula>
    </cfRule>
  </conditionalFormatting>
  <conditionalFormatting sqref="AJ8:AL12 AJ14:AL36 AJ13 AL13">
    <cfRule type="expression" dxfId="79" priority="3">
      <formula>AND(AJ8&lt;&gt;"",AJ8&lt;=TODAY()+7,AJ8&gt;=TODAY())</formula>
    </cfRule>
    <cfRule type="expression" dxfId="78" priority="4">
      <formula>AND(AJ8&lt;&gt;"",AJ8&lt;=TODAY()+15,AJ8&gt;=TODAY())</formula>
    </cfRule>
  </conditionalFormatting>
  <dataValidations count="3">
    <dataValidation type="list" allowBlank="1" showInputMessage="1" showErrorMessage="1" sqref="D22:D36">
      <formula1>"Ban điều hành, Ban HCNS, Ban TCKT, Ban Dự án, Ban KTXD, Ban KHĐT, Ban ĐBGT, XN DTBD, Sàn GDBĐS"</formula1>
    </dataValidation>
    <dataValidation type="list" allowBlank="1" showInputMessage="1" showErrorMessage="1" sqref="AA8:AA36">
      <formula1>"Điều chỉnh lương,Thay đổi vị trí,Khác,Chưa được điều chỉnh lương, Qua thử việc"</formula1>
    </dataValidation>
    <dataValidation type="list" allowBlank="1" showInputMessage="1" showErrorMessage="1" sqref="D8:D21">
      <formula1>"Ban điều hành, Ban HCNS, Ban TCKT, Ban KTXD, Ban KHĐT, Ban ĐBGT, XN DTBD, Sàn GDBĐS"</formula1>
    </dataValidation>
  </dataValidations>
  <pageMargins left="0.2" right="0.2" top="0.2" bottom="0.2" header="0.3" footer="0.3"/>
  <pageSetup paperSize="9" scale="57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55"/>
  <sheetViews>
    <sheetView zoomScaleNormal="100" zoomScaleSheetLayoutView="92" workbookViewId="0">
      <pane ySplit="6" topLeftCell="A16" activePane="bottomLeft" state="frozen"/>
      <selection pane="bottomLeft" activeCell="H21" sqref="H21"/>
    </sheetView>
  </sheetViews>
  <sheetFormatPr defaultColWidth="8.85546875" defaultRowHeight="18.75" x14ac:dyDescent="0.25"/>
  <cols>
    <col min="1" max="1" width="4.85546875" style="3" customWidth="1"/>
    <col min="2" max="2" width="9.140625" style="38" customWidth="1"/>
    <col min="3" max="3" width="24.140625" style="25" customWidth="1"/>
    <col min="4" max="4" width="13.85546875" style="25" customWidth="1"/>
    <col min="5" max="5" width="20.42578125" style="25" customWidth="1"/>
    <col min="6" max="6" width="26.85546875" style="59" customWidth="1"/>
    <col min="7" max="7" width="24.42578125" style="59" customWidth="1"/>
    <col min="8" max="8" width="10.140625" style="59" customWidth="1"/>
    <col min="9" max="9" width="11.85546875" style="59" customWidth="1"/>
    <col min="10" max="10" width="13" style="3" customWidth="1"/>
    <col min="11" max="11" width="15.140625" style="3" hidden="1" customWidth="1"/>
    <col min="12" max="12" width="16.28515625" style="3" customWidth="1"/>
    <col min="13" max="13" width="11" style="35" customWidth="1"/>
    <col min="14" max="14" width="9.140625" style="3" customWidth="1"/>
    <col min="15" max="15" width="18" style="3" customWidth="1"/>
    <col min="16" max="24" width="14.140625" style="3" customWidth="1"/>
    <col min="25" max="25" width="14.42578125" style="3" customWidth="1"/>
    <col min="26" max="28" width="12.85546875" style="3" customWidth="1"/>
    <col min="29" max="29" width="38.5703125" style="116" customWidth="1"/>
    <col min="30" max="30" width="17.140625" style="82" customWidth="1"/>
    <col min="31" max="34" width="15" style="85" customWidth="1"/>
    <col min="35" max="37" width="17.28515625" style="101" customWidth="1"/>
    <col min="38" max="16384" width="8.85546875" style="3"/>
  </cols>
  <sheetData>
    <row r="1" spans="1:37" s="28" customFormat="1" ht="26.1" customHeight="1" x14ac:dyDescent="0.3">
      <c r="A1" s="27" t="s">
        <v>11</v>
      </c>
      <c r="B1" s="36"/>
      <c r="C1" s="109"/>
      <c r="D1" s="27"/>
      <c r="E1" s="27"/>
      <c r="F1" s="52"/>
      <c r="G1" s="52"/>
      <c r="H1" s="52"/>
      <c r="I1" s="52"/>
      <c r="J1" s="27"/>
      <c r="K1" s="27"/>
      <c r="L1" s="27"/>
      <c r="M1" s="26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116"/>
      <c r="AD1" s="82"/>
      <c r="AE1" s="85"/>
      <c r="AF1" s="85"/>
      <c r="AG1" s="85"/>
      <c r="AH1" s="85"/>
      <c r="AI1" s="82"/>
      <c r="AJ1" s="82"/>
      <c r="AK1" s="82"/>
    </row>
    <row r="2" spans="1:37" x14ac:dyDescent="0.25">
      <c r="A2" s="4"/>
      <c r="B2" s="9"/>
      <c r="C2" s="23"/>
      <c r="D2" s="17"/>
      <c r="E2" s="17"/>
      <c r="F2" s="53"/>
      <c r="G2" s="53"/>
      <c r="H2" s="53"/>
      <c r="I2" s="53"/>
      <c r="J2" s="4"/>
      <c r="K2" s="4"/>
      <c r="L2" s="4"/>
      <c r="M2" s="3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37" ht="29.1" customHeight="1" x14ac:dyDescent="0.25">
      <c r="A3" s="235" t="s">
        <v>129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</row>
    <row r="4" spans="1:37" ht="21" thickBot="1" x14ac:dyDescent="0.35">
      <c r="A4" s="6"/>
      <c r="B4" s="37"/>
      <c r="C4" s="110"/>
      <c r="D4" s="18"/>
      <c r="E4" s="18"/>
      <c r="F4" s="54"/>
      <c r="G4" s="54"/>
      <c r="H4" s="54"/>
      <c r="I4" s="54"/>
      <c r="J4" s="6"/>
      <c r="K4" s="6"/>
      <c r="L4" s="6"/>
      <c r="M4" s="3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37" ht="39" customHeight="1" x14ac:dyDescent="0.25">
      <c r="A5" s="236" t="s">
        <v>0</v>
      </c>
      <c r="B5" s="238" t="s">
        <v>2</v>
      </c>
      <c r="C5" s="238" t="s">
        <v>1</v>
      </c>
      <c r="D5" s="238" t="s">
        <v>3</v>
      </c>
      <c r="E5" s="238" t="s">
        <v>133</v>
      </c>
      <c r="F5" s="238" t="s">
        <v>9</v>
      </c>
      <c r="G5" s="238" t="s">
        <v>69</v>
      </c>
      <c r="H5" s="238" t="s">
        <v>75</v>
      </c>
      <c r="I5" s="238" t="s">
        <v>128</v>
      </c>
      <c r="J5" s="238" t="s">
        <v>12</v>
      </c>
      <c r="K5" s="79"/>
      <c r="L5" s="238" t="s">
        <v>20</v>
      </c>
      <c r="M5" s="241" t="s">
        <v>8</v>
      </c>
      <c r="N5" s="242"/>
      <c r="O5" s="238" t="s">
        <v>6</v>
      </c>
      <c r="P5" s="238" t="s">
        <v>51</v>
      </c>
      <c r="Q5" s="238" t="s">
        <v>196</v>
      </c>
      <c r="R5" s="79" t="s">
        <v>197</v>
      </c>
      <c r="S5" s="79" t="s">
        <v>198</v>
      </c>
      <c r="T5" s="79" t="s">
        <v>199</v>
      </c>
      <c r="U5" s="79" t="s">
        <v>200</v>
      </c>
      <c r="V5" s="79" t="s">
        <v>201</v>
      </c>
      <c r="W5" s="79"/>
      <c r="X5" s="79"/>
      <c r="Y5" s="244" t="s">
        <v>120</v>
      </c>
      <c r="Z5" s="240" t="s">
        <v>121</v>
      </c>
      <c r="AA5" s="240"/>
      <c r="AB5" s="240"/>
      <c r="AC5" s="238" t="s">
        <v>125</v>
      </c>
      <c r="AD5" s="254" t="s">
        <v>126</v>
      </c>
      <c r="AE5" s="256" t="s">
        <v>132</v>
      </c>
      <c r="AF5" s="256" t="s">
        <v>195</v>
      </c>
      <c r="AG5" s="114" t="s">
        <v>204</v>
      </c>
      <c r="AH5" s="114" t="s">
        <v>203</v>
      </c>
      <c r="AI5" s="238" t="s">
        <v>127</v>
      </c>
      <c r="AJ5" s="238"/>
      <c r="AK5" s="79"/>
    </row>
    <row r="6" spans="1:37" ht="31.5" x14ac:dyDescent="0.25">
      <c r="A6" s="237"/>
      <c r="B6" s="239"/>
      <c r="C6" s="239"/>
      <c r="D6" s="239"/>
      <c r="E6" s="252"/>
      <c r="F6" s="239"/>
      <c r="G6" s="239"/>
      <c r="H6" s="239"/>
      <c r="I6" s="252"/>
      <c r="J6" s="239"/>
      <c r="K6" s="80"/>
      <c r="L6" s="239"/>
      <c r="M6" s="75" t="s">
        <v>4</v>
      </c>
      <c r="N6" s="75" t="s">
        <v>5</v>
      </c>
      <c r="O6" s="239"/>
      <c r="P6" s="239"/>
      <c r="Q6" s="252"/>
      <c r="R6" s="80"/>
      <c r="S6" s="80"/>
      <c r="T6" s="80"/>
      <c r="U6" s="80"/>
      <c r="V6" s="80"/>
      <c r="W6" s="80" t="s">
        <v>202</v>
      </c>
      <c r="X6" s="80"/>
      <c r="Y6" s="245"/>
      <c r="Z6" s="78" t="s">
        <v>84</v>
      </c>
      <c r="AA6" s="78" t="s">
        <v>85</v>
      </c>
      <c r="AB6" s="78" t="s">
        <v>86</v>
      </c>
      <c r="AC6" s="239"/>
      <c r="AD6" s="255"/>
      <c r="AE6" s="257"/>
      <c r="AF6" s="258"/>
      <c r="AG6" s="115"/>
      <c r="AH6" s="115"/>
      <c r="AI6" s="239"/>
      <c r="AJ6" s="239"/>
      <c r="AK6" s="80" t="s">
        <v>205</v>
      </c>
    </row>
    <row r="7" spans="1:37" ht="33" customHeight="1" x14ac:dyDescent="0.25">
      <c r="A7" s="249" t="s">
        <v>122</v>
      </c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1"/>
      <c r="AJ7" s="3"/>
      <c r="AK7" s="3"/>
    </row>
    <row r="8" spans="1:37" s="10" customFormat="1" ht="31.5" x14ac:dyDescent="0.25">
      <c r="A8" s="44">
        <v>1</v>
      </c>
      <c r="B8" s="246" t="s">
        <v>112</v>
      </c>
      <c r="C8" s="45" t="s">
        <v>13</v>
      </c>
      <c r="D8" s="46" t="s">
        <v>17</v>
      </c>
      <c r="E8" s="46" t="str">
        <f>VLOOKUP(C8,'[6]Hồ sơ'!B$2:Y$39,24,0)</f>
        <v xml:space="preserve">Ban điều hành </v>
      </c>
      <c r="F8" s="50" t="s">
        <v>78</v>
      </c>
      <c r="G8" s="50" t="s">
        <v>123</v>
      </c>
      <c r="H8" s="50" t="s">
        <v>76</v>
      </c>
      <c r="I8" s="60" t="str">
        <f>VLOOKUP(C8,'[6]Hồ sơ'!B$2:E$39,4,0)</f>
        <v>01/01/1963</v>
      </c>
      <c r="J8" s="60">
        <v>39267</v>
      </c>
      <c r="K8" s="60">
        <v>46118</v>
      </c>
      <c r="L8" s="76" t="str">
        <f>DATEDIF(J8,K8+1,"y") &amp; " năm " &amp; DATEDIF(J8,K8+1,"ym") &amp; " tháng "</f>
        <v xml:space="preserve">18 năm 9 tháng </v>
      </c>
      <c r="M8" s="49"/>
      <c r="N8" s="48"/>
      <c r="O8" s="50" t="s">
        <v>7</v>
      </c>
      <c r="P8" s="47" t="s">
        <v>54</v>
      </c>
      <c r="Q8" s="47"/>
      <c r="R8" s="47"/>
      <c r="S8" s="47"/>
      <c r="T8" s="47"/>
      <c r="U8" s="47"/>
      <c r="V8" s="47"/>
      <c r="W8" s="47"/>
      <c r="X8" s="47"/>
      <c r="Y8" s="51" t="e">
        <f>VLOOKUP(C8,[7]Sheet1!$B$10:$D$49,3,0)</f>
        <v>#N/A</v>
      </c>
      <c r="Z8" s="51" t="e">
        <f>VLOOKUP(C8,[7]Sheet1!$B$10:$E$49,4,0)</f>
        <v>#N/A</v>
      </c>
      <c r="AA8" s="51" t="e">
        <f>VLOOKUP(C8,[7]Sheet1!$B$10:$F$49,5,0)</f>
        <v>#N/A</v>
      </c>
      <c r="AB8" s="51"/>
      <c r="AC8" s="70" t="s">
        <v>175</v>
      </c>
      <c r="AD8" s="84" t="s">
        <v>176</v>
      </c>
      <c r="AE8" s="86"/>
      <c r="AF8" s="86"/>
      <c r="AG8" s="86"/>
      <c r="AH8" s="86"/>
      <c r="AI8" s="83"/>
      <c r="AJ8" s="83"/>
      <c r="AK8" s="83"/>
    </row>
    <row r="9" spans="1:37" s="10" customFormat="1" ht="31.5" x14ac:dyDescent="0.25">
      <c r="A9" s="29">
        <f>A8+1</f>
        <v>2</v>
      </c>
      <c r="B9" s="247"/>
      <c r="C9" s="19" t="s">
        <v>14</v>
      </c>
      <c r="D9" s="42" t="s">
        <v>18</v>
      </c>
      <c r="E9" s="46" t="str">
        <f>VLOOKUP(C9,'[6]Hồ sơ'!B$2:Y$39,24,0)</f>
        <v xml:space="preserve">Ban điều hành </v>
      </c>
      <c r="F9" s="50" t="s">
        <v>78</v>
      </c>
      <c r="G9" s="50" t="s">
        <v>91</v>
      </c>
      <c r="H9" s="50" t="s">
        <v>76</v>
      </c>
      <c r="I9" s="60" t="str">
        <f>VLOOKUP(C9,'[6]Hồ sơ'!B$2:E$39,4,0)</f>
        <v>15/02/1976</v>
      </c>
      <c r="J9" s="61">
        <v>40210</v>
      </c>
      <c r="K9" s="61">
        <v>46118</v>
      </c>
      <c r="L9" s="62" t="str">
        <f t="shared" ref="L9:L36" si="0">DATEDIF(J9,K9+1,"y") &amp; " năm " &amp; DATEDIF(J9,K9+1,"ym") &amp; " tháng "</f>
        <v xml:space="preserve">16 năm 2 tháng </v>
      </c>
      <c r="M9" s="1" t="s">
        <v>82</v>
      </c>
      <c r="N9" s="15"/>
      <c r="O9" s="39" t="s">
        <v>7</v>
      </c>
      <c r="P9" s="16" t="s">
        <v>52</v>
      </c>
      <c r="Q9" s="47"/>
      <c r="R9" s="47"/>
      <c r="S9" s="47"/>
      <c r="T9" s="47"/>
      <c r="U9" s="47"/>
      <c r="V9" s="47"/>
      <c r="W9" s="47"/>
      <c r="X9" s="47"/>
      <c r="Y9" s="51" t="e">
        <f>VLOOKUP(C9,[7]Sheet1!$B$10:$D$49,3,0)</f>
        <v>#N/A</v>
      </c>
      <c r="Z9" s="51" t="e">
        <f>VLOOKUP(C9,[7]Sheet1!$B$10:$E$49,4,0)</f>
        <v>#N/A</v>
      </c>
      <c r="AA9" s="51" t="e">
        <f>VLOOKUP(C9,[7]Sheet1!$B$10:$F$49,5,0)</f>
        <v>#N/A</v>
      </c>
      <c r="AB9" s="2"/>
      <c r="AC9" s="39" t="s">
        <v>177</v>
      </c>
      <c r="AD9" s="84" t="s">
        <v>178</v>
      </c>
      <c r="AE9" s="86">
        <v>44645</v>
      </c>
      <c r="AF9" s="86"/>
      <c r="AG9" s="86"/>
      <c r="AH9" s="86"/>
      <c r="AI9" s="102" t="str">
        <f>VLOOKUP(C9,'[8]THÁNG 3.2026'!B$10:D$40,3,0)</f>
        <v>0402007477</v>
      </c>
      <c r="AJ9" s="102"/>
      <c r="AK9" s="102"/>
    </row>
    <row r="10" spans="1:37" s="10" customFormat="1" ht="31.5" x14ac:dyDescent="0.25">
      <c r="A10" s="29">
        <f t="shared" ref="A10:A36" si="1">A9+1</f>
        <v>3</v>
      </c>
      <c r="B10" s="247"/>
      <c r="C10" s="19" t="s">
        <v>15</v>
      </c>
      <c r="D10" s="42" t="s">
        <v>19</v>
      </c>
      <c r="E10" s="46" t="str">
        <f>VLOOKUP(C10,'[6]Hồ sơ'!B$2:Y$39,24,0)</f>
        <v xml:space="preserve">Ban điều hành </v>
      </c>
      <c r="F10" s="50" t="s">
        <v>78</v>
      </c>
      <c r="G10" s="50" t="s">
        <v>92</v>
      </c>
      <c r="H10" s="50" t="s">
        <v>76</v>
      </c>
      <c r="I10" s="60" t="str">
        <f>VLOOKUP(C10,'[6]Hồ sơ'!B$2:E$39,4,0)</f>
        <v>23/05/1980</v>
      </c>
      <c r="J10" s="61">
        <v>39270</v>
      </c>
      <c r="K10" s="61">
        <v>46118</v>
      </c>
      <c r="L10" s="62" t="str">
        <f t="shared" si="0"/>
        <v xml:space="preserve">18 năm 9 tháng </v>
      </c>
      <c r="M10" s="1" t="s">
        <v>82</v>
      </c>
      <c r="N10" s="15"/>
      <c r="O10" s="39" t="s">
        <v>7</v>
      </c>
      <c r="P10" s="16" t="s">
        <v>55</v>
      </c>
      <c r="Q10" s="47"/>
      <c r="R10" s="47"/>
      <c r="S10" s="47"/>
      <c r="T10" s="47"/>
      <c r="U10" s="47"/>
      <c r="V10" s="47"/>
      <c r="W10" s="47"/>
      <c r="X10" s="47"/>
      <c r="Y10" s="51" t="e">
        <f>VLOOKUP(C10,[7]Sheet1!$B$10:$D$49,3,0)</f>
        <v>#N/A</v>
      </c>
      <c r="Z10" s="51" t="e">
        <f>VLOOKUP(C10,[7]Sheet1!$B$10:$E$49,4,0)</f>
        <v>#N/A</v>
      </c>
      <c r="AA10" s="51" t="e">
        <f>VLOOKUP(C10,[7]Sheet1!$B$10:$F$49,5,0)</f>
        <v>#N/A</v>
      </c>
      <c r="AB10" s="2"/>
      <c r="AC10" s="70" t="s">
        <v>179</v>
      </c>
      <c r="AD10" s="84" t="s">
        <v>174</v>
      </c>
      <c r="AE10" s="86">
        <v>44375</v>
      </c>
      <c r="AF10" s="86"/>
      <c r="AG10" s="86"/>
      <c r="AH10" s="86"/>
      <c r="AI10" s="102" t="str">
        <f>VLOOKUP(C10,'[8]THÁNG 3.2026'!B$10:D$40,3,0)</f>
        <v>0403011235</v>
      </c>
      <c r="AJ10" s="102"/>
      <c r="AK10" s="102"/>
    </row>
    <row r="11" spans="1:37" s="10" customFormat="1" ht="31.5" x14ac:dyDescent="0.25">
      <c r="A11" s="29">
        <f t="shared" si="1"/>
        <v>4</v>
      </c>
      <c r="B11" s="248"/>
      <c r="C11" s="19" t="s">
        <v>16</v>
      </c>
      <c r="D11" s="42" t="s">
        <v>19</v>
      </c>
      <c r="E11" s="46" t="str">
        <f>VLOOKUP(C11,'[6]Hồ sơ'!B$2:Y$39,24,0)</f>
        <v xml:space="preserve">Ban điều hành </v>
      </c>
      <c r="F11" s="50" t="s">
        <v>78</v>
      </c>
      <c r="G11" s="50" t="s">
        <v>93</v>
      </c>
      <c r="H11" s="50" t="s">
        <v>89</v>
      </c>
      <c r="I11" s="60" t="str">
        <f>VLOOKUP(C11,'[6]Hồ sơ'!B$2:E$39,4,0)</f>
        <v>20/12/1978</v>
      </c>
      <c r="J11" s="61">
        <v>40280</v>
      </c>
      <c r="K11" s="61">
        <v>46118</v>
      </c>
      <c r="L11" s="62" t="str">
        <f t="shared" si="0"/>
        <v xml:space="preserve">15 năm 11 tháng </v>
      </c>
      <c r="M11" s="1" t="s">
        <v>82</v>
      </c>
      <c r="N11" s="15"/>
      <c r="O11" s="39" t="s">
        <v>7</v>
      </c>
      <c r="P11" s="16" t="s">
        <v>54</v>
      </c>
      <c r="Q11" s="47"/>
      <c r="R11" s="47"/>
      <c r="S11" s="47"/>
      <c r="T11" s="47"/>
      <c r="U11" s="47"/>
      <c r="V11" s="47"/>
      <c r="W11" s="47"/>
      <c r="X11" s="47"/>
      <c r="Y11" s="51" t="e">
        <f>VLOOKUP(C11,[7]Sheet1!$B$10:$D$49,3,0)</f>
        <v>#N/A</v>
      </c>
      <c r="Z11" s="51" t="e">
        <f>VLOOKUP(C11,[7]Sheet1!$B$10:$E$49,4,0)</f>
        <v>#N/A</v>
      </c>
      <c r="AA11" s="51" t="e">
        <f>VLOOKUP(C11,[7]Sheet1!$B$10:$F$49,5,0)</f>
        <v>#N/A</v>
      </c>
      <c r="AB11" s="2">
        <v>1500000</v>
      </c>
      <c r="AC11" s="117" t="s">
        <v>182</v>
      </c>
      <c r="AD11" s="84" t="s">
        <v>173</v>
      </c>
      <c r="AE11" s="86">
        <v>44552</v>
      </c>
      <c r="AF11" s="86"/>
      <c r="AG11" s="86"/>
      <c r="AH11" s="86"/>
      <c r="AI11" s="102" t="str">
        <f>VLOOKUP(C11,'[8]THÁNG 3.2026'!B$10:D$40,3,0)</f>
        <v>0405014684</v>
      </c>
      <c r="AJ11" s="102"/>
      <c r="AK11" s="102"/>
    </row>
    <row r="12" spans="1:37" s="10" customFormat="1" ht="44.1" customHeight="1" x14ac:dyDescent="0.25">
      <c r="A12" s="29" t="e">
        <f>#REF!+1</f>
        <v>#REF!</v>
      </c>
      <c r="B12" s="247"/>
      <c r="C12" s="64" t="s">
        <v>21</v>
      </c>
      <c r="D12" s="65" t="s">
        <v>27</v>
      </c>
      <c r="E12" s="46" t="s">
        <v>134</v>
      </c>
      <c r="F12" s="50" t="s">
        <v>78</v>
      </c>
      <c r="G12" s="66" t="s">
        <v>70</v>
      </c>
      <c r="H12" s="50" t="s">
        <v>76</v>
      </c>
      <c r="I12" s="60">
        <f>VLOOKUP(C12,'[6]Hồ sơ'!B$2:E$39,4,0)</f>
        <v>36166</v>
      </c>
      <c r="J12" s="61">
        <v>44907</v>
      </c>
      <c r="K12" s="61">
        <v>46118</v>
      </c>
      <c r="L12" s="62" t="str">
        <f t="shared" si="0"/>
        <v xml:space="preserve">3 năm 3 tháng </v>
      </c>
      <c r="M12" s="1" t="s">
        <v>82</v>
      </c>
      <c r="N12" s="15"/>
      <c r="O12" s="39" t="s">
        <v>10</v>
      </c>
      <c r="P12" s="67" t="s">
        <v>68</v>
      </c>
      <c r="Q12" s="123"/>
      <c r="R12" s="123"/>
      <c r="S12" s="123"/>
      <c r="T12" s="123"/>
      <c r="U12" s="123"/>
      <c r="V12" s="123"/>
      <c r="W12" s="123"/>
      <c r="X12" s="123"/>
      <c r="Y12" s="51">
        <v>10000000</v>
      </c>
      <c r="Z12" s="51" t="e">
        <f>VLOOKUP(C12,[7]Sheet1!$B$10:$E$49,4,0)</f>
        <v>#N/A</v>
      </c>
      <c r="AA12" s="51" t="e">
        <f>VLOOKUP(C12,[7]Sheet1!$B$10:$F$49,5,0)</f>
        <v>#N/A</v>
      </c>
      <c r="AB12" s="2"/>
      <c r="AC12" s="70"/>
      <c r="AD12" s="83"/>
      <c r="AE12" s="86"/>
      <c r="AF12" s="86"/>
      <c r="AG12" s="86"/>
      <c r="AH12" s="86"/>
      <c r="AI12" s="102" t="str">
        <f>VLOOKUP(C12,'[8]THÁNG 3.2026'!B$10:D$40,3,0)</f>
        <v>4420922734</v>
      </c>
      <c r="AJ12" s="102"/>
      <c r="AK12" s="102"/>
    </row>
    <row r="13" spans="1:37" s="10" customFormat="1" ht="31.5" x14ac:dyDescent="0.25">
      <c r="A13" s="29" t="e">
        <f t="shared" si="1"/>
        <v>#REF!</v>
      </c>
      <c r="B13" s="247"/>
      <c r="C13" s="64" t="s">
        <v>80</v>
      </c>
      <c r="D13" s="65" t="s">
        <v>27</v>
      </c>
      <c r="E13" s="46" t="s">
        <v>134</v>
      </c>
      <c r="F13" s="39" t="s">
        <v>79</v>
      </c>
      <c r="G13" s="66" t="s">
        <v>81</v>
      </c>
      <c r="H13" s="50" t="s">
        <v>76</v>
      </c>
      <c r="I13" s="60">
        <v>37287</v>
      </c>
      <c r="J13" s="61">
        <v>46082</v>
      </c>
      <c r="K13" s="61">
        <v>46118</v>
      </c>
      <c r="L13" s="62" t="str">
        <f t="shared" si="0"/>
        <v xml:space="preserve">0 năm 1 tháng </v>
      </c>
      <c r="M13" s="1"/>
      <c r="N13" s="15"/>
      <c r="O13" s="39" t="s">
        <v>87</v>
      </c>
      <c r="P13" s="67"/>
      <c r="Q13" s="123"/>
      <c r="R13" s="123"/>
      <c r="S13" s="123"/>
      <c r="T13" s="123"/>
      <c r="U13" s="123"/>
      <c r="V13" s="123"/>
      <c r="W13" s="123"/>
      <c r="X13" s="123"/>
      <c r="Y13" s="51">
        <v>8170000</v>
      </c>
      <c r="Z13" s="51">
        <v>700000</v>
      </c>
      <c r="AA13" s="51">
        <v>250000</v>
      </c>
      <c r="AB13" s="2"/>
      <c r="AC13" s="70" t="s">
        <v>143</v>
      </c>
      <c r="AD13" s="84" t="s">
        <v>168</v>
      </c>
      <c r="AE13" s="86">
        <v>44440</v>
      </c>
      <c r="AF13" s="86"/>
      <c r="AG13" s="86"/>
      <c r="AH13" s="86"/>
      <c r="AI13" s="102" t="str">
        <f>VLOOKUP(C13,'[8]THÁNG 3.2026'!B$10:D$40,3,0)</f>
        <v>4920520332</v>
      </c>
      <c r="AJ13" s="102"/>
      <c r="AK13" s="102"/>
    </row>
    <row r="14" spans="1:37" s="10" customFormat="1" ht="31.5" x14ac:dyDescent="0.25">
      <c r="A14" s="29" t="e">
        <f t="shared" si="1"/>
        <v>#REF!</v>
      </c>
      <c r="B14" s="247"/>
      <c r="C14" s="63" t="s">
        <v>22</v>
      </c>
      <c r="D14" s="65" t="s">
        <v>27</v>
      </c>
      <c r="E14" s="46" t="s">
        <v>134</v>
      </c>
      <c r="F14" s="50" t="s">
        <v>78</v>
      </c>
      <c r="G14" s="50" t="s">
        <v>94</v>
      </c>
      <c r="H14" s="50" t="s">
        <v>90</v>
      </c>
      <c r="I14" s="60" t="str">
        <f>VLOOKUP(C14,'[6]Hồ sơ'!B$2:E$39,4,0)</f>
        <v>11/03/1967</v>
      </c>
      <c r="J14" s="61">
        <v>39602</v>
      </c>
      <c r="K14" s="61">
        <v>46118</v>
      </c>
      <c r="L14" s="62" t="str">
        <f t="shared" si="0"/>
        <v xml:space="preserve">17 năm 10 tháng </v>
      </c>
      <c r="M14" s="1" t="s">
        <v>82</v>
      </c>
      <c r="N14" s="15"/>
      <c r="O14" s="39" t="s">
        <v>7</v>
      </c>
      <c r="P14" s="16" t="s">
        <v>52</v>
      </c>
      <c r="Q14" s="47"/>
      <c r="R14" s="47"/>
      <c r="S14" s="47"/>
      <c r="T14" s="47"/>
      <c r="U14" s="47"/>
      <c r="V14" s="47"/>
      <c r="W14" s="47"/>
      <c r="X14" s="47"/>
      <c r="Y14" s="51" t="e">
        <f>VLOOKUP(C14,[7]Sheet1!$B$10:$D$49,3,0)</f>
        <v>#N/A</v>
      </c>
      <c r="Z14" s="51" t="e">
        <f>VLOOKUP(C14,[7]Sheet1!$B$10:$E$49,4,0)</f>
        <v>#N/A</v>
      </c>
      <c r="AA14" s="51" t="e">
        <f>VLOOKUP(C14,[7]Sheet1!$B$10:$F$49,5,0)</f>
        <v>#N/A</v>
      </c>
      <c r="AB14" s="2"/>
      <c r="AC14" s="70" t="s">
        <v>142</v>
      </c>
      <c r="AD14" s="84" t="s">
        <v>140</v>
      </c>
      <c r="AE14" s="86">
        <v>44552</v>
      </c>
      <c r="AF14" s="86"/>
      <c r="AG14" s="86"/>
      <c r="AH14" s="86"/>
      <c r="AI14" s="102" t="str">
        <f>VLOOKUP(C14,'[8]THÁNG 3.2026'!B$10:D$40,3,0)</f>
        <v>3496014719</v>
      </c>
      <c r="AJ14" s="102"/>
      <c r="AK14" s="102"/>
    </row>
    <row r="15" spans="1:37" s="10" customFormat="1" ht="44.1" customHeight="1" x14ac:dyDescent="0.25">
      <c r="A15" s="29" t="e">
        <f t="shared" si="1"/>
        <v>#REF!</v>
      </c>
      <c r="B15" s="247"/>
      <c r="C15" s="97" t="s">
        <v>23</v>
      </c>
      <c r="D15" s="68" t="s">
        <v>28</v>
      </c>
      <c r="E15" s="46" t="s">
        <v>134</v>
      </c>
      <c r="F15" s="50" t="s">
        <v>78</v>
      </c>
      <c r="G15" s="50" t="s">
        <v>95</v>
      </c>
      <c r="H15" s="50" t="s">
        <v>96</v>
      </c>
      <c r="I15" s="60" t="str">
        <f>VLOOKUP(C15,'[6]Hồ sơ'!B$2:E$39,4,0)</f>
        <v>14/06/1975</v>
      </c>
      <c r="J15" s="61">
        <v>41397</v>
      </c>
      <c r="K15" s="61">
        <v>46118</v>
      </c>
      <c r="L15" s="62" t="str">
        <f t="shared" si="0"/>
        <v xml:space="preserve">12 năm 11 tháng </v>
      </c>
      <c r="M15" s="1" t="s">
        <v>82</v>
      </c>
      <c r="N15" s="15"/>
      <c r="O15" s="39" t="s">
        <v>7</v>
      </c>
      <c r="P15" s="16" t="s">
        <v>52</v>
      </c>
      <c r="Q15" s="47"/>
      <c r="R15" s="47"/>
      <c r="S15" s="47"/>
      <c r="T15" s="47"/>
      <c r="U15" s="47"/>
      <c r="V15" s="47"/>
      <c r="W15" s="47"/>
      <c r="X15" s="47"/>
      <c r="Y15" s="51" t="e">
        <f>VLOOKUP(C15,[7]Sheet1!$B$10:$D$49,3,0)</f>
        <v>#N/A</v>
      </c>
      <c r="Z15" s="51" t="e">
        <f>VLOOKUP(C15,[7]Sheet1!$B$10:$E$49,4,0)</f>
        <v>#N/A</v>
      </c>
      <c r="AA15" s="51" t="e">
        <f>VLOOKUP(C15,[7]Sheet1!$B$10:$F$49,5,0)</f>
        <v>#N/A</v>
      </c>
      <c r="AB15" s="2"/>
      <c r="AC15" s="70" t="s">
        <v>191</v>
      </c>
      <c r="AD15" s="84" t="s">
        <v>192</v>
      </c>
      <c r="AE15" s="86">
        <v>44439</v>
      </c>
      <c r="AF15" s="86"/>
      <c r="AG15" s="86"/>
      <c r="AH15" s="86"/>
      <c r="AI15" s="102" t="str">
        <f>VLOOKUP(C15,'[8]THÁNG 3.2026'!B$10:D$40,3,0)</f>
        <v>4920380363</v>
      </c>
      <c r="AJ15" s="102"/>
      <c r="AK15" s="102"/>
    </row>
    <row r="16" spans="1:37" s="10" customFormat="1" ht="44.1" customHeight="1" x14ac:dyDescent="0.25">
      <c r="A16" s="29" t="e">
        <f t="shared" si="1"/>
        <v>#REF!</v>
      </c>
      <c r="B16" s="247"/>
      <c r="C16" s="97" t="s">
        <v>24</v>
      </c>
      <c r="D16" s="68" t="s">
        <v>28</v>
      </c>
      <c r="E16" s="46" t="s">
        <v>134</v>
      </c>
      <c r="F16" s="50" t="s">
        <v>78</v>
      </c>
      <c r="G16" s="50" t="s">
        <v>97</v>
      </c>
      <c r="H16" s="50" t="s">
        <v>96</v>
      </c>
      <c r="I16" s="60" t="str">
        <f>VLOOKUP(C16,'[6]Hồ sơ'!B$2:E$39,4,0)</f>
        <v>15/06/1963</v>
      </c>
      <c r="J16" s="61">
        <v>41603</v>
      </c>
      <c r="K16" s="61">
        <v>46118</v>
      </c>
      <c r="L16" s="62" t="str">
        <f t="shared" si="0"/>
        <v xml:space="preserve">12 năm 4 tháng </v>
      </c>
      <c r="M16" s="1" t="s">
        <v>82</v>
      </c>
      <c r="N16" s="15"/>
      <c r="O16" s="39" t="s">
        <v>7</v>
      </c>
      <c r="P16" s="69">
        <v>45778</v>
      </c>
      <c r="Q16" s="124"/>
      <c r="R16" s="124"/>
      <c r="S16" s="124"/>
      <c r="T16" s="124"/>
      <c r="U16" s="124"/>
      <c r="V16" s="124"/>
      <c r="W16" s="124"/>
      <c r="X16" s="124"/>
      <c r="Y16" s="51" t="e">
        <f>VLOOKUP(C16,[7]Sheet1!$B$10:$D$49,3,0)</f>
        <v>#N/A</v>
      </c>
      <c r="Z16" s="51" t="e">
        <f>VLOOKUP(C16,[7]Sheet1!$B$10:$E$49,4,0)</f>
        <v>#N/A</v>
      </c>
      <c r="AA16" s="51" t="e">
        <f>VLOOKUP(C16,[7]Sheet1!$B$10:$F$49,5,0)</f>
        <v>#N/A</v>
      </c>
      <c r="AB16" s="2"/>
      <c r="AC16" s="70" t="s">
        <v>190</v>
      </c>
      <c r="AD16" s="83">
        <v>49063006090</v>
      </c>
      <c r="AE16" s="86">
        <v>44439</v>
      </c>
      <c r="AF16" s="86"/>
      <c r="AG16" s="86"/>
      <c r="AH16" s="86"/>
      <c r="AI16" s="102" t="str">
        <f>VLOOKUP(C16,'[8]THÁNG 3.2026'!B$10:D$40,3,0)</f>
        <v>4809014651</v>
      </c>
      <c r="AJ16" s="102"/>
      <c r="AK16" s="102"/>
    </row>
    <row r="17" spans="1:37" s="10" customFormat="1" ht="31.5" x14ac:dyDescent="0.25">
      <c r="A17" s="29" t="e">
        <f t="shared" si="1"/>
        <v>#REF!</v>
      </c>
      <c r="B17" s="247"/>
      <c r="C17" s="63" t="s">
        <v>25</v>
      </c>
      <c r="D17" s="68" t="s">
        <v>29</v>
      </c>
      <c r="E17" s="46" t="s">
        <v>134</v>
      </c>
      <c r="F17" s="50" t="s">
        <v>78</v>
      </c>
      <c r="G17" s="50" t="s">
        <v>29</v>
      </c>
      <c r="H17" s="50" t="s">
        <v>96</v>
      </c>
      <c r="I17" s="60" t="str">
        <f>VLOOKUP(C17,'[6]Hồ sơ'!B$2:E$39,4,0)</f>
        <v>12/12/1971</v>
      </c>
      <c r="J17" s="61" t="s">
        <v>64</v>
      </c>
      <c r="K17" s="61">
        <v>46118</v>
      </c>
      <c r="L17" s="62" t="str">
        <f t="shared" si="0"/>
        <v xml:space="preserve">8 năm 5 tháng </v>
      </c>
      <c r="M17" s="1" t="s">
        <v>82</v>
      </c>
      <c r="N17" s="15"/>
      <c r="O17" s="39" t="s">
        <v>7</v>
      </c>
      <c r="P17" s="16" t="s">
        <v>56</v>
      </c>
      <c r="Q17" s="47"/>
      <c r="R17" s="47"/>
      <c r="S17" s="47"/>
      <c r="T17" s="47"/>
      <c r="U17" s="47"/>
      <c r="V17" s="47"/>
      <c r="W17" s="47"/>
      <c r="X17" s="47"/>
      <c r="Y17" s="51" t="e">
        <f>VLOOKUP(C17,[7]Sheet1!$B$10:$D$49,3,0)</f>
        <v>#N/A</v>
      </c>
      <c r="Z17" s="51" t="e">
        <f>VLOOKUP(C17,[7]Sheet1!$B$10:$E$49,4,0)</f>
        <v>#N/A</v>
      </c>
      <c r="AA17" s="51" t="e">
        <f>VLOOKUP(C17,[7]Sheet1!$B$10:$F$49,5,0)</f>
        <v>#N/A</v>
      </c>
      <c r="AB17" s="2"/>
      <c r="AC17" s="70" t="s">
        <v>144</v>
      </c>
      <c r="AD17" s="84" t="s">
        <v>145</v>
      </c>
      <c r="AE17" s="86">
        <v>44313</v>
      </c>
      <c r="AF17" s="86"/>
      <c r="AG17" s="86"/>
      <c r="AH17" s="86"/>
      <c r="AI17" s="83" t="s">
        <v>131</v>
      </c>
      <c r="AJ17" s="83"/>
      <c r="AK17" s="83"/>
    </row>
    <row r="18" spans="1:37" s="10" customFormat="1" ht="31.5" x14ac:dyDescent="0.25">
      <c r="A18" s="29" t="e">
        <f t="shared" si="1"/>
        <v>#REF!</v>
      </c>
      <c r="B18" s="248"/>
      <c r="C18" s="63" t="s">
        <v>26</v>
      </c>
      <c r="D18" s="68" t="s">
        <v>29</v>
      </c>
      <c r="E18" s="46" t="s">
        <v>134</v>
      </c>
      <c r="F18" s="50" t="s">
        <v>78</v>
      </c>
      <c r="G18" s="50" t="s">
        <v>29</v>
      </c>
      <c r="H18" s="50" t="s">
        <v>96</v>
      </c>
      <c r="I18" s="60">
        <f>VLOOKUP(C18,'[6]Hồ sơ'!B$2:E$39,4,0)</f>
        <v>25180</v>
      </c>
      <c r="J18" s="61" t="s">
        <v>65</v>
      </c>
      <c r="K18" s="61">
        <v>46118</v>
      </c>
      <c r="L18" s="62" t="str">
        <f t="shared" si="0"/>
        <v xml:space="preserve">10 năm 3 tháng </v>
      </c>
      <c r="M18" s="1" t="s">
        <v>82</v>
      </c>
      <c r="N18" s="15"/>
      <c r="O18" s="39" t="s">
        <v>7</v>
      </c>
      <c r="P18" s="16" t="s">
        <v>57</v>
      </c>
      <c r="Q18" s="47"/>
      <c r="R18" s="47"/>
      <c r="S18" s="47"/>
      <c r="T18" s="47"/>
      <c r="U18" s="47"/>
      <c r="V18" s="47"/>
      <c r="W18" s="47"/>
      <c r="X18" s="47"/>
      <c r="Y18" s="51" t="e">
        <f>VLOOKUP(C18,[7]Sheet1!$B$10:$D$49,3,0)</f>
        <v>#N/A</v>
      </c>
      <c r="Z18" s="51" t="e">
        <f>VLOOKUP(C18,[7]Sheet1!$B$10:$E$49,4,0)</f>
        <v>#N/A</v>
      </c>
      <c r="AA18" s="51" t="e">
        <f>VLOOKUP(C18,[7]Sheet1!$B$10:$F$49,5,0)</f>
        <v>#N/A</v>
      </c>
      <c r="AB18" s="2"/>
      <c r="AC18" s="70" t="s">
        <v>154</v>
      </c>
      <c r="AD18" s="84" t="s">
        <v>155</v>
      </c>
      <c r="AE18" s="86">
        <v>44293</v>
      </c>
      <c r="AF18" s="86"/>
      <c r="AG18" s="86"/>
      <c r="AH18" s="86"/>
      <c r="AI18" s="91" t="s">
        <v>131</v>
      </c>
      <c r="AJ18" s="91"/>
      <c r="AK18" s="91"/>
    </row>
    <row r="19" spans="1:37" s="10" customFormat="1" ht="31.5" x14ac:dyDescent="0.25">
      <c r="A19" s="29" t="e">
        <f t="shared" si="1"/>
        <v>#REF!</v>
      </c>
      <c r="B19" s="246" t="s">
        <v>114</v>
      </c>
      <c r="C19" s="111" t="s">
        <v>30</v>
      </c>
      <c r="D19" s="70" t="s">
        <v>31</v>
      </c>
      <c r="E19" s="46" t="str">
        <f>VLOOKUP(C19,'[6]Hồ sơ'!B$2:Y$39,24,0)</f>
        <v>TÀI CHÍNH KẾ TOÁN</v>
      </c>
      <c r="F19" s="50" t="s">
        <v>78</v>
      </c>
      <c r="G19" s="50" t="s">
        <v>98</v>
      </c>
      <c r="H19" s="50" t="s">
        <v>77</v>
      </c>
      <c r="I19" s="60" t="str">
        <f>VLOOKUP(C19,'[6]Hồ sơ'!B$2:E$39,4,0)</f>
        <v>10/06/1985</v>
      </c>
      <c r="J19" s="61">
        <v>42534</v>
      </c>
      <c r="K19" s="61">
        <v>46118</v>
      </c>
      <c r="L19" s="62" t="str">
        <f t="shared" si="0"/>
        <v xml:space="preserve">9 năm 9 tháng </v>
      </c>
      <c r="M19" s="1" t="s">
        <v>82</v>
      </c>
      <c r="N19" s="15"/>
      <c r="O19" s="39" t="s">
        <v>7</v>
      </c>
      <c r="P19" s="16" t="s">
        <v>52</v>
      </c>
      <c r="Q19" s="47"/>
      <c r="R19" s="47"/>
      <c r="S19" s="47"/>
      <c r="T19" s="47"/>
      <c r="U19" s="47"/>
      <c r="V19" s="47"/>
      <c r="W19" s="47"/>
      <c r="X19" s="47"/>
      <c r="Y19" s="51" t="e">
        <f>VLOOKUP(C19,[7]Sheet1!$B$10:$D$49,3,0)</f>
        <v>#N/A</v>
      </c>
      <c r="Z19" s="51" t="e">
        <f>VLOOKUP(C19,[7]Sheet1!$B$10:$E$49,4,0)</f>
        <v>#N/A</v>
      </c>
      <c r="AA19" s="51" t="e">
        <f>VLOOKUP(C19,[7]Sheet1!$B$10:$F$49,5,0)</f>
        <v>#N/A</v>
      </c>
      <c r="AB19" s="2"/>
      <c r="AC19" s="39" t="s">
        <v>149</v>
      </c>
      <c r="AD19" s="94" t="s">
        <v>146</v>
      </c>
      <c r="AE19" s="96">
        <v>45740</v>
      </c>
      <c r="AF19" s="96"/>
      <c r="AG19" s="96"/>
      <c r="AH19" s="96"/>
      <c r="AI19" s="102" t="str">
        <f>VLOOKUP(C19,'[8]THÁNG 3.2026'!B$10:D$40,3,0)</f>
        <v>4812038931</v>
      </c>
      <c r="AJ19" s="102"/>
      <c r="AK19" s="102"/>
    </row>
    <row r="20" spans="1:37" s="10" customFormat="1" ht="31.5" x14ac:dyDescent="0.25">
      <c r="A20" s="29" t="e">
        <f t="shared" si="1"/>
        <v>#REF!</v>
      </c>
      <c r="B20" s="247"/>
      <c r="C20" s="63" t="s">
        <v>32</v>
      </c>
      <c r="D20" s="68" t="s">
        <v>33</v>
      </c>
      <c r="E20" s="46" t="str">
        <f>VLOOKUP(C20,'[6]Hồ sơ'!B$2:Y$39,24,0)</f>
        <v>TÀI CHÍNH KẾ TOÁN</v>
      </c>
      <c r="F20" s="50" t="s">
        <v>78</v>
      </c>
      <c r="G20" s="50" t="s">
        <v>99</v>
      </c>
      <c r="H20" s="50" t="s">
        <v>76</v>
      </c>
      <c r="I20" s="60" t="str">
        <f>VLOOKUP(C20,'[6]Hồ sơ'!B$2:E$39,4,0)</f>
        <v>26/02/1984</v>
      </c>
      <c r="J20" s="61" t="s">
        <v>66</v>
      </c>
      <c r="K20" s="61">
        <v>46118</v>
      </c>
      <c r="L20" s="62" t="str">
        <f t="shared" si="0"/>
        <v xml:space="preserve">8 năm 9 tháng </v>
      </c>
      <c r="M20" s="1" t="s">
        <v>82</v>
      </c>
      <c r="N20" s="15"/>
      <c r="O20" s="39" t="s">
        <v>7</v>
      </c>
      <c r="P20" s="16" t="s">
        <v>58</v>
      </c>
      <c r="Q20" s="47"/>
      <c r="R20" s="47"/>
      <c r="S20" s="47"/>
      <c r="T20" s="47"/>
      <c r="U20" s="47"/>
      <c r="V20" s="47"/>
      <c r="W20" s="47"/>
      <c r="X20" s="47"/>
      <c r="Y20" s="51" t="e">
        <f>VLOOKUP(C20,[7]Sheet1!$B$10:$D$49,3,0)</f>
        <v>#N/A</v>
      </c>
      <c r="Z20" s="51" t="e">
        <f>VLOOKUP(C20,[7]Sheet1!$B$10:$E$49,4,0)</f>
        <v>#N/A</v>
      </c>
      <c r="AA20" s="51" t="e">
        <f>VLOOKUP(C20,[7]Sheet1!$B$10:$F$49,5,0)</f>
        <v>#N/A</v>
      </c>
      <c r="AB20" s="2"/>
      <c r="AC20" s="39" t="s">
        <v>152</v>
      </c>
      <c r="AD20" s="103" t="s">
        <v>151</v>
      </c>
      <c r="AE20" s="96">
        <v>45618</v>
      </c>
      <c r="AF20" s="96"/>
      <c r="AG20" s="96"/>
      <c r="AH20" s="96"/>
      <c r="AI20" s="102" t="str">
        <f>VLOOKUP(C20,'[8]THÁNG 3.2026'!B$10:D$40,3,0)</f>
        <v>7508220899</v>
      </c>
      <c r="AJ20" s="102"/>
      <c r="AK20" s="102"/>
    </row>
    <row r="21" spans="1:37" s="10" customFormat="1" ht="31.5" x14ac:dyDescent="0.25">
      <c r="A21" s="29" t="e">
        <f>#REF!+1</f>
        <v>#REF!</v>
      </c>
      <c r="B21" s="248"/>
      <c r="C21" s="63" t="s">
        <v>34</v>
      </c>
      <c r="D21" s="65" t="s">
        <v>27</v>
      </c>
      <c r="E21" s="46" t="str">
        <f>VLOOKUP(C21,'[6]Hồ sơ'!B$2:Y$39,24,0)</f>
        <v>TÀI CHÍNH KẾ TOÁN</v>
      </c>
      <c r="F21" s="50" t="s">
        <v>78</v>
      </c>
      <c r="G21" s="50" t="s">
        <v>100</v>
      </c>
      <c r="H21" s="50" t="s">
        <v>76</v>
      </c>
      <c r="I21" s="60">
        <f>VLOOKUP(C21,'[6]Hồ sơ'!B$2:E$39,4,0)</f>
        <v>36207</v>
      </c>
      <c r="J21" s="71">
        <v>45519</v>
      </c>
      <c r="K21" s="61">
        <v>46118</v>
      </c>
      <c r="L21" s="62" t="str">
        <f t="shared" si="0"/>
        <v xml:space="preserve">1 năm 7 tháng </v>
      </c>
      <c r="M21" s="1" t="s">
        <v>82</v>
      </c>
      <c r="N21" s="15"/>
      <c r="O21" s="39" t="s">
        <v>7</v>
      </c>
      <c r="P21" s="16" t="s">
        <v>52</v>
      </c>
      <c r="Q21" s="47"/>
      <c r="R21" s="47"/>
      <c r="S21" s="47"/>
      <c r="T21" s="47"/>
      <c r="U21" s="47"/>
      <c r="V21" s="47"/>
      <c r="W21" s="47"/>
      <c r="X21" s="47"/>
      <c r="Y21" s="51" t="e">
        <f>VLOOKUP(C21,[7]Sheet1!$B$10:$D$49,3,0)</f>
        <v>#N/A</v>
      </c>
      <c r="Z21" s="51" t="e">
        <f>VLOOKUP(C21,[7]Sheet1!$B$10:$E$49,4,0)</f>
        <v>#N/A</v>
      </c>
      <c r="AA21" s="51" t="e">
        <f>VLOOKUP(C21,[7]Sheet1!$B$10:$F$49,5,0)</f>
        <v>#N/A</v>
      </c>
      <c r="AB21" s="2"/>
      <c r="AC21" s="70" t="s">
        <v>138</v>
      </c>
      <c r="AD21" s="84" t="s">
        <v>139</v>
      </c>
      <c r="AE21" s="86">
        <v>45453</v>
      </c>
      <c r="AF21" s="86"/>
      <c r="AG21" s="86"/>
      <c r="AH21" s="86"/>
      <c r="AI21" s="102" t="str">
        <f>VLOOKUP(C21,'[8]THÁNG 3.2026'!B$10:D$40,3,0)</f>
        <v>4820841336</v>
      </c>
      <c r="AJ21" s="102"/>
      <c r="AK21" s="102"/>
    </row>
    <row r="22" spans="1:37" s="10" customFormat="1" ht="31.5" x14ac:dyDescent="0.25">
      <c r="A22" s="29" t="e">
        <f t="shared" si="1"/>
        <v>#REF!</v>
      </c>
      <c r="B22" s="81" t="s">
        <v>124</v>
      </c>
      <c r="C22" s="63" t="s">
        <v>35</v>
      </c>
      <c r="D22" s="65" t="s">
        <v>27</v>
      </c>
      <c r="E22" s="46" t="str">
        <f>VLOOKUP(C22,'[6]Hồ sơ'!B$2:Y$39,24,0)</f>
        <v>KỸ THUẬT XÂY DỰNG</v>
      </c>
      <c r="F22" s="50" t="s">
        <v>78</v>
      </c>
      <c r="G22" s="50" t="s">
        <v>101</v>
      </c>
      <c r="H22" s="50" t="s">
        <v>76</v>
      </c>
      <c r="I22" s="60" t="str">
        <f>VLOOKUP(C22,'[6]Hồ sơ'!B$2:E$39,4,0)</f>
        <v>03/09/1982</v>
      </c>
      <c r="J22" s="61">
        <v>42604</v>
      </c>
      <c r="K22" s="61">
        <v>46118</v>
      </c>
      <c r="L22" s="62" t="str">
        <f t="shared" si="0"/>
        <v xml:space="preserve">9 năm 7 tháng </v>
      </c>
      <c r="M22" s="1" t="s">
        <v>82</v>
      </c>
      <c r="N22" s="15"/>
      <c r="O22" s="39" t="s">
        <v>7</v>
      </c>
      <c r="P22" s="16" t="s">
        <v>53</v>
      </c>
      <c r="Q22" s="47"/>
      <c r="R22" s="47"/>
      <c r="S22" s="47"/>
      <c r="T22" s="47"/>
      <c r="U22" s="47"/>
      <c r="V22" s="47"/>
      <c r="W22" s="47"/>
      <c r="X22" s="47"/>
      <c r="Y22" s="51" t="e">
        <f>VLOOKUP(C22,[7]Sheet1!$B$10:$D$49,3,0)</f>
        <v>#N/A</v>
      </c>
      <c r="Z22" s="51" t="e">
        <f>VLOOKUP(C22,[7]Sheet1!$B$10:$E$49,4,0)</f>
        <v>#N/A</v>
      </c>
      <c r="AA22" s="51" t="e">
        <f>VLOOKUP(C22,[7]Sheet1!$B$10:$F$49,5,0)</f>
        <v>#N/A</v>
      </c>
      <c r="AB22" s="2"/>
      <c r="AC22" s="118" t="s">
        <v>172</v>
      </c>
      <c r="AD22" s="84" t="s">
        <v>150</v>
      </c>
      <c r="AE22" s="92">
        <v>44374</v>
      </c>
      <c r="AF22" s="92"/>
      <c r="AG22" s="92"/>
      <c r="AH22" s="92"/>
      <c r="AI22" s="102" t="str">
        <f>VLOOKUP(C22,'[8]THÁNG 3.2026'!B$10:D$40,3,0)</f>
        <v>4816024231</v>
      </c>
      <c r="AJ22" s="102"/>
      <c r="AK22" s="102"/>
    </row>
    <row r="23" spans="1:37" s="10" customFormat="1" ht="31.5" x14ac:dyDescent="0.25">
      <c r="A23" s="29" t="e">
        <f t="shared" si="1"/>
        <v>#REF!</v>
      </c>
      <c r="B23" s="246" t="s">
        <v>115</v>
      </c>
      <c r="C23" s="63" t="s">
        <v>36</v>
      </c>
      <c r="D23" s="68" t="s">
        <v>38</v>
      </c>
      <c r="E23" s="46" t="str">
        <f>VLOOKUP(C23,'[6]Hồ sơ'!B$2:Y$39,24,0)</f>
        <v>KỸ THUẬT XÂY DỰNG</v>
      </c>
      <c r="F23" s="50" t="s">
        <v>78</v>
      </c>
      <c r="G23" s="50" t="s">
        <v>102</v>
      </c>
      <c r="H23" s="50" t="s">
        <v>76</v>
      </c>
      <c r="I23" s="60">
        <f>VLOOKUP(C23,'[6]Hồ sơ'!B$2:E$39,4,0)</f>
        <v>31754</v>
      </c>
      <c r="J23" s="72">
        <v>45748</v>
      </c>
      <c r="K23" s="61">
        <v>46118</v>
      </c>
      <c r="L23" s="62" t="str">
        <f t="shared" si="0"/>
        <v xml:space="preserve">1 năm 0 tháng </v>
      </c>
      <c r="M23" s="1" t="s">
        <v>82</v>
      </c>
      <c r="N23" s="15"/>
      <c r="O23" s="39" t="s">
        <v>7</v>
      </c>
      <c r="P23" s="16" t="s">
        <v>59</v>
      </c>
      <c r="Q23" s="47"/>
      <c r="R23" s="47"/>
      <c r="S23" s="47"/>
      <c r="T23" s="47"/>
      <c r="U23" s="47"/>
      <c r="V23" s="47"/>
      <c r="W23" s="47"/>
      <c r="X23" s="47"/>
      <c r="Y23" s="51" t="e">
        <f>VLOOKUP(C23,[7]Sheet1!$B$10:$D$49,3,0)</f>
        <v>#N/A</v>
      </c>
      <c r="Z23" s="51" t="e">
        <f>VLOOKUP(C23,[7]Sheet1!$B$10:$E$49,4,0)</f>
        <v>#N/A</v>
      </c>
      <c r="AA23" s="51" t="e">
        <f>VLOOKUP(C23,[7]Sheet1!$B$10:$F$49,5,0)</f>
        <v>#N/A</v>
      </c>
      <c r="AB23" s="2">
        <v>3300000</v>
      </c>
      <c r="AC23" s="70" t="s">
        <v>153</v>
      </c>
      <c r="AD23" s="84" t="s">
        <v>169</v>
      </c>
      <c r="AE23" s="86">
        <v>44375</v>
      </c>
      <c r="AF23" s="86"/>
      <c r="AG23" s="86"/>
      <c r="AH23" s="86"/>
      <c r="AI23" s="102" t="str">
        <f>VLOOKUP(C23,'[8]THÁNG 3.2026'!B$10:D$40,3,0)</f>
        <v>7909335919</v>
      </c>
      <c r="AJ23" s="102"/>
      <c r="AK23" s="102"/>
    </row>
    <row r="24" spans="1:37" s="10" customFormat="1" ht="31.5" x14ac:dyDescent="0.25">
      <c r="A24" s="29" t="e">
        <f t="shared" si="1"/>
        <v>#REF!</v>
      </c>
      <c r="B24" s="248"/>
      <c r="C24" s="97" t="s">
        <v>37</v>
      </c>
      <c r="D24" s="68" t="s">
        <v>38</v>
      </c>
      <c r="E24" s="46" t="str">
        <f>VLOOKUP(C24,'[6]Hồ sơ'!B$2:Y$39,24,0)</f>
        <v>KỸ THUẬT XÂY DỰNG</v>
      </c>
      <c r="F24" s="50" t="s">
        <v>78</v>
      </c>
      <c r="G24" s="50" t="s">
        <v>103</v>
      </c>
      <c r="H24" s="50" t="s">
        <v>76</v>
      </c>
      <c r="I24" s="60">
        <f>VLOOKUP(C24,'[6]Hồ sơ'!B$2:E$39,4,0)</f>
        <v>29444</v>
      </c>
      <c r="J24" s="72">
        <v>45779</v>
      </c>
      <c r="K24" s="61">
        <v>46118</v>
      </c>
      <c r="L24" s="62" t="str">
        <f t="shared" si="0"/>
        <v xml:space="preserve">0 năm 11 tháng </v>
      </c>
      <c r="M24" s="1" t="s">
        <v>82</v>
      </c>
      <c r="N24" s="15"/>
      <c r="O24" s="39" t="s">
        <v>7</v>
      </c>
      <c r="P24" s="16" t="s">
        <v>60</v>
      </c>
      <c r="Q24" s="47"/>
      <c r="R24" s="47"/>
      <c r="S24" s="47"/>
      <c r="T24" s="47"/>
      <c r="U24" s="47"/>
      <c r="V24" s="47"/>
      <c r="W24" s="47"/>
      <c r="X24" s="47"/>
      <c r="Y24" s="51" t="e">
        <f>VLOOKUP(C24,[7]Sheet1!$B$10:$D$49,3,0)</f>
        <v>#N/A</v>
      </c>
      <c r="Z24" s="51" t="e">
        <f>VLOOKUP(C24,[7]Sheet1!$B$10:$E$49,4,0)</f>
        <v>#N/A</v>
      </c>
      <c r="AA24" s="51" t="e">
        <f>VLOOKUP(C24,[7]Sheet1!$B$10:$F$49,5,0)</f>
        <v>#N/A</v>
      </c>
      <c r="AB24" s="2">
        <v>3300000</v>
      </c>
      <c r="AC24" s="118" t="s">
        <v>189</v>
      </c>
      <c r="AD24" s="84" t="s">
        <v>188</v>
      </c>
      <c r="AE24" s="86">
        <v>44310</v>
      </c>
      <c r="AF24" s="86"/>
      <c r="AG24" s="86"/>
      <c r="AH24" s="86"/>
      <c r="AI24" s="102" t="str">
        <f>VLOOKUP(C24,'[8]THÁNG 3.2026'!B$10:D$40,3,0)</f>
        <v>0407012241</v>
      </c>
      <c r="AJ24" s="102"/>
      <c r="AK24" s="102"/>
    </row>
    <row r="25" spans="1:37" s="10" customFormat="1" ht="63" customHeight="1" x14ac:dyDescent="0.25">
      <c r="A25" s="29" t="e">
        <f t="shared" si="1"/>
        <v>#REF!</v>
      </c>
      <c r="B25" s="214" t="s">
        <v>116</v>
      </c>
      <c r="C25" s="97" t="s">
        <v>39</v>
      </c>
      <c r="D25" s="68" t="s">
        <v>31</v>
      </c>
      <c r="E25" s="46" t="str">
        <f>VLOOKUP(C25,'[6]Hồ sơ'!B$2:Y$39,24,0)</f>
        <v xml:space="preserve">KẾ HOẠCH ĐẦU TƯ </v>
      </c>
      <c r="F25" s="50" t="s">
        <v>78</v>
      </c>
      <c r="G25" s="50" t="s">
        <v>104</v>
      </c>
      <c r="H25" s="50" t="s">
        <v>76</v>
      </c>
      <c r="I25" s="60">
        <f>VLOOKUP(C25,'[6]Hồ sơ'!B$2:E$39,4,0)</f>
        <v>34915</v>
      </c>
      <c r="J25" s="61">
        <v>44958</v>
      </c>
      <c r="K25" s="61">
        <v>46118</v>
      </c>
      <c r="L25" s="62" t="str">
        <f t="shared" si="0"/>
        <v xml:space="preserve">3 năm 2 tháng </v>
      </c>
      <c r="M25" s="1" t="s">
        <v>82</v>
      </c>
      <c r="N25" s="15"/>
      <c r="O25" s="39" t="s">
        <v>7</v>
      </c>
      <c r="P25" s="16" t="s">
        <v>61</v>
      </c>
      <c r="Q25" s="47"/>
      <c r="R25" s="47"/>
      <c r="S25" s="47"/>
      <c r="T25" s="47"/>
      <c r="U25" s="47"/>
      <c r="V25" s="47"/>
      <c r="W25" s="47"/>
      <c r="X25" s="47"/>
      <c r="Y25" s="51" t="e">
        <f>VLOOKUP(C25,[7]Sheet1!$B$10:$D$49,3,0)</f>
        <v>#N/A</v>
      </c>
      <c r="Z25" s="51" t="e">
        <f>VLOOKUP(C25,[7]Sheet1!$B$10:$E$49,4,0)</f>
        <v>#N/A</v>
      </c>
      <c r="AA25" s="51" t="e">
        <f>VLOOKUP(C25,[7]Sheet1!$B$10:$F$49,5,0)</f>
        <v>#N/A</v>
      </c>
      <c r="AB25" s="2"/>
      <c r="AC25" s="39" t="s">
        <v>181</v>
      </c>
      <c r="AD25" s="84" t="s">
        <v>137</v>
      </c>
      <c r="AE25" s="86">
        <v>44375</v>
      </c>
      <c r="AF25" s="86"/>
      <c r="AG25" s="86"/>
      <c r="AH25" s="86"/>
      <c r="AI25" s="102" t="str">
        <f>VLOOKUP(C25,'[8]THÁNG 3.2026'!B$10:D$40,3,0)</f>
        <v>4820549229</v>
      </c>
      <c r="AJ25" s="102"/>
      <c r="AK25" s="102"/>
    </row>
    <row r="26" spans="1:37" s="10" customFormat="1" ht="47.25" x14ac:dyDescent="0.25">
      <c r="A26" s="29" t="e">
        <f t="shared" si="1"/>
        <v>#REF!</v>
      </c>
      <c r="B26" s="215"/>
      <c r="C26" s="100" t="s">
        <v>130</v>
      </c>
      <c r="D26" s="68" t="s">
        <v>44</v>
      </c>
      <c r="E26" s="46" t="s">
        <v>135</v>
      </c>
      <c r="F26" s="50" t="s">
        <v>78</v>
      </c>
      <c r="G26" s="66" t="s">
        <v>71</v>
      </c>
      <c r="H26" s="50" t="s">
        <v>76</v>
      </c>
      <c r="I26" s="60" t="e">
        <f>VLOOKUP(C26,'[6]Hồ sơ'!B$2:E$39,4,0)</f>
        <v>#N/A</v>
      </c>
      <c r="J26" s="73" t="s">
        <v>74</v>
      </c>
      <c r="K26" s="61">
        <v>46118</v>
      </c>
      <c r="L26" s="62" t="str">
        <f t="shared" si="0"/>
        <v xml:space="preserve">9 năm 2 tháng </v>
      </c>
      <c r="M26" s="1" t="s">
        <v>82</v>
      </c>
      <c r="N26" s="74" t="s">
        <v>83</v>
      </c>
      <c r="O26" s="39" t="s">
        <v>7</v>
      </c>
      <c r="P26" s="67" t="s">
        <v>53</v>
      </c>
      <c r="Q26" s="123"/>
      <c r="R26" s="123"/>
      <c r="S26" s="123"/>
      <c r="T26" s="123"/>
      <c r="U26" s="123"/>
      <c r="V26" s="123"/>
      <c r="W26" s="123"/>
      <c r="X26" s="123"/>
      <c r="Y26" s="51" t="e">
        <f>VLOOKUP(C26,[7]Sheet1!$B$10:$D$49,3,0)</f>
        <v>#N/A</v>
      </c>
      <c r="Z26" s="51" t="e">
        <f>VLOOKUP(C26,[7]Sheet1!$B$10:$E$49,4,0)</f>
        <v>#N/A</v>
      </c>
      <c r="AA26" s="51" t="e">
        <f>VLOOKUP(C26,[7]Sheet1!$B$10:$F$49,5,0)</f>
        <v>#N/A</v>
      </c>
      <c r="AB26" s="2"/>
      <c r="AC26" s="39" t="s">
        <v>187</v>
      </c>
      <c r="AD26" s="99" t="s">
        <v>141</v>
      </c>
      <c r="AE26" s="95">
        <v>44325</v>
      </c>
      <c r="AF26" s="95"/>
      <c r="AG26" s="95"/>
      <c r="AH26" s="95"/>
      <c r="AI26" s="102" t="str">
        <f>VLOOKUP(C26,'[8]THÁNG 3.2026'!B$10:D$40,3,0)</f>
        <v>4815022961</v>
      </c>
      <c r="AJ26" s="102" t="s">
        <v>180</v>
      </c>
      <c r="AK26" s="102"/>
    </row>
    <row r="27" spans="1:37" s="10" customFormat="1" ht="31.5" x14ac:dyDescent="0.25">
      <c r="A27" s="29" t="e">
        <f t="shared" si="1"/>
        <v>#REF!</v>
      </c>
      <c r="B27" s="215"/>
      <c r="C27" s="63" t="s">
        <v>40</v>
      </c>
      <c r="D27" s="68" t="s">
        <v>44</v>
      </c>
      <c r="E27" s="46" t="str">
        <f>VLOOKUP(C27,'[6]Hồ sơ'!B$2:Y$39,24,0)</f>
        <v xml:space="preserve">KẾ HOẠCH ĐẦU TƯ </v>
      </c>
      <c r="F27" s="50" t="s">
        <v>78</v>
      </c>
      <c r="G27" s="50" t="s">
        <v>105</v>
      </c>
      <c r="H27" s="50" t="s">
        <v>76</v>
      </c>
      <c r="I27" s="60" t="str">
        <f>VLOOKUP(C27,'[6]Hồ sơ'!B$2:E$39,4,0)</f>
        <v>13/03/1979</v>
      </c>
      <c r="J27" s="61" t="s">
        <v>67</v>
      </c>
      <c r="K27" s="61">
        <v>46118</v>
      </c>
      <c r="L27" s="62" t="str">
        <f t="shared" si="0"/>
        <v xml:space="preserve">8 năm 8 tháng </v>
      </c>
      <c r="M27" s="1" t="s">
        <v>82</v>
      </c>
      <c r="N27" s="15"/>
      <c r="O27" s="39" t="s">
        <v>7</v>
      </c>
      <c r="P27" s="16" t="s">
        <v>62</v>
      </c>
      <c r="Q27" s="47"/>
      <c r="R27" s="47"/>
      <c r="S27" s="47"/>
      <c r="T27" s="47"/>
      <c r="U27" s="47"/>
      <c r="V27" s="47"/>
      <c r="W27" s="47"/>
      <c r="X27" s="47"/>
      <c r="Y27" s="51" t="e">
        <f>VLOOKUP(C27,[7]Sheet1!$B$10:$D$49,3,0)</f>
        <v>#N/A</v>
      </c>
      <c r="Z27" s="51" t="e">
        <f>VLOOKUP(C27,[7]Sheet1!$B$10:$E$49,4,0)</f>
        <v>#N/A</v>
      </c>
      <c r="AA27" s="51" t="e">
        <f>VLOOKUP(C27,[7]Sheet1!$B$10:$F$49,5,0)</f>
        <v>#N/A</v>
      </c>
      <c r="AB27" s="2"/>
      <c r="AC27" s="119" t="s">
        <v>183</v>
      </c>
      <c r="AD27" s="84" t="s">
        <v>136</v>
      </c>
      <c r="AE27" s="86">
        <v>44552</v>
      </c>
      <c r="AF27" s="86"/>
      <c r="AG27" s="86"/>
      <c r="AH27" s="86"/>
      <c r="AI27" s="102" t="str">
        <f>VLOOKUP(C27,'[8]THÁNG 3.2026'!B$10:D$40,3,0)</f>
        <v>0402006721</v>
      </c>
      <c r="AJ27" s="102"/>
      <c r="AK27" s="102"/>
    </row>
    <row r="28" spans="1:37" s="10" customFormat="1" ht="63" x14ac:dyDescent="0.25">
      <c r="A28" s="29" t="e">
        <f t="shared" si="1"/>
        <v>#REF!</v>
      </c>
      <c r="B28" s="215"/>
      <c r="C28" s="63" t="s">
        <v>41</v>
      </c>
      <c r="D28" s="65" t="s">
        <v>27</v>
      </c>
      <c r="E28" s="46" t="str">
        <f>VLOOKUP(C28,'[6]Hồ sơ'!B$2:Y$39,24,0)</f>
        <v xml:space="preserve">KẾ HOẠCH ĐẦU TƯ </v>
      </c>
      <c r="F28" s="50" t="s">
        <v>78</v>
      </c>
      <c r="G28" s="50" t="s">
        <v>106</v>
      </c>
      <c r="H28" s="50" t="s">
        <v>89</v>
      </c>
      <c r="I28" s="60" t="str">
        <f>VLOOKUP(C28,'[6]Hồ sơ'!B$2:E$39,4,0)</f>
        <v>29/12/1988</v>
      </c>
      <c r="J28" s="61">
        <v>41799</v>
      </c>
      <c r="K28" s="61">
        <v>46118</v>
      </c>
      <c r="L28" s="62" t="str">
        <f t="shared" si="0"/>
        <v xml:space="preserve">11 năm 9 tháng </v>
      </c>
      <c r="M28" s="1" t="s">
        <v>82</v>
      </c>
      <c r="N28" s="15"/>
      <c r="O28" s="39" t="s">
        <v>10</v>
      </c>
      <c r="P28" s="16" t="s">
        <v>52</v>
      </c>
      <c r="Q28" s="47"/>
      <c r="R28" s="47"/>
      <c r="S28" s="47"/>
      <c r="T28" s="47"/>
      <c r="U28" s="47"/>
      <c r="V28" s="47"/>
      <c r="W28" s="47"/>
      <c r="X28" s="47"/>
      <c r="Y28" s="51" t="e">
        <f>VLOOKUP(C28,[7]Sheet1!$B$10:$D$49,3,0)</f>
        <v>#N/A</v>
      </c>
      <c r="Z28" s="51" t="e">
        <f>VLOOKUP(C28,[7]Sheet1!$B$10:$E$49,4,0)</f>
        <v>#N/A</v>
      </c>
      <c r="AA28" s="51" t="e">
        <f>VLOOKUP(C28,[7]Sheet1!$B$10:$F$49,5,0)</f>
        <v>#N/A</v>
      </c>
      <c r="AB28" s="2"/>
      <c r="AC28" s="39" t="s">
        <v>160</v>
      </c>
      <c r="AD28" s="84" t="s">
        <v>161</v>
      </c>
      <c r="AE28" s="93" t="s">
        <v>162</v>
      </c>
      <c r="AF28" s="93"/>
      <c r="AG28" s="93"/>
      <c r="AH28" s="93"/>
      <c r="AI28" s="102" t="str">
        <f>VLOOKUP(C28,'[8]THÁNG 3.2026'!B$10:D$40,3,0)</f>
        <v>4814026957</v>
      </c>
      <c r="AJ28" s="102"/>
      <c r="AK28" s="102"/>
    </row>
    <row r="29" spans="1:37" s="10" customFormat="1" ht="31.5" x14ac:dyDescent="0.25">
      <c r="A29" s="29" t="e">
        <f t="shared" si="1"/>
        <v>#REF!</v>
      </c>
      <c r="B29" s="215"/>
      <c r="C29" s="63" t="s">
        <v>42</v>
      </c>
      <c r="D29" s="65" t="s">
        <v>27</v>
      </c>
      <c r="E29" s="46" t="str">
        <f>VLOOKUP(C29,'[6]Hồ sơ'!B$2:Y$39,24,0)</f>
        <v xml:space="preserve">KẾ HOẠCH ĐẦU TƯ </v>
      </c>
      <c r="F29" s="50" t="s">
        <v>78</v>
      </c>
      <c r="G29" s="50" t="s">
        <v>107</v>
      </c>
      <c r="H29" s="50" t="s">
        <v>76</v>
      </c>
      <c r="I29" s="60">
        <f>VLOOKUP(C29,'[6]Hồ sơ'!B$2:E$39,4,0)</f>
        <v>33986</v>
      </c>
      <c r="J29" s="61">
        <v>43598</v>
      </c>
      <c r="K29" s="61">
        <v>46118</v>
      </c>
      <c r="L29" s="62" t="str">
        <f t="shared" si="0"/>
        <v xml:space="preserve">6 năm 10 tháng </v>
      </c>
      <c r="M29" s="1" t="s">
        <v>82</v>
      </c>
      <c r="N29" s="15"/>
      <c r="O29" s="39" t="s">
        <v>7</v>
      </c>
      <c r="P29" s="16" t="s">
        <v>52</v>
      </c>
      <c r="Q29" s="47"/>
      <c r="R29" s="47"/>
      <c r="S29" s="47"/>
      <c r="T29" s="47"/>
      <c r="U29" s="47"/>
      <c r="V29" s="47"/>
      <c r="W29" s="47"/>
      <c r="X29" s="47"/>
      <c r="Y29" s="51" t="e">
        <f>VLOOKUP(C29,[7]Sheet1!$B$10:$D$49,3,0)</f>
        <v>#N/A</v>
      </c>
      <c r="Z29" s="51" t="e">
        <f>VLOOKUP(C29,[7]Sheet1!$B$10:$E$49,4,0)</f>
        <v>#N/A</v>
      </c>
      <c r="AA29" s="51" t="e">
        <f>VLOOKUP(C29,[7]Sheet1!$B$10:$F$49,5,0)</f>
        <v>#N/A</v>
      </c>
      <c r="AB29" s="2"/>
      <c r="AC29" s="39" t="s">
        <v>163</v>
      </c>
      <c r="AD29" s="84" t="s">
        <v>164</v>
      </c>
      <c r="AE29" s="92">
        <v>44552</v>
      </c>
      <c r="AF29" s="92"/>
      <c r="AG29" s="92"/>
      <c r="AH29" s="92"/>
      <c r="AI29" s="102" t="str">
        <f>VLOOKUP(C29,'[8]THÁNG 3.2026'!B$10:D$40,3,0)</f>
        <v>4821414009</v>
      </c>
      <c r="AJ29" s="102"/>
      <c r="AK29" s="102"/>
    </row>
    <row r="30" spans="1:37" s="10" customFormat="1" ht="31.5" x14ac:dyDescent="0.25">
      <c r="A30" s="29" t="e">
        <f t="shared" si="1"/>
        <v>#REF!</v>
      </c>
      <c r="B30" s="215"/>
      <c r="C30" s="97" t="s">
        <v>43</v>
      </c>
      <c r="D30" s="65" t="s">
        <v>27</v>
      </c>
      <c r="E30" s="46" t="str">
        <f>VLOOKUP(C30,'[6]Hồ sơ'!B$2:Y$39,24,0)</f>
        <v xml:space="preserve">KẾ HOẠCH ĐẦU TƯ </v>
      </c>
      <c r="F30" s="50" t="s">
        <v>78</v>
      </c>
      <c r="G30" s="50" t="s">
        <v>72</v>
      </c>
      <c r="H30" s="50" t="s">
        <v>76</v>
      </c>
      <c r="I30" s="60">
        <f>VLOOKUP(C30,'[6]Hồ sơ'!B$2:E$39,4,0)</f>
        <v>36472</v>
      </c>
      <c r="J30" s="61">
        <v>45006</v>
      </c>
      <c r="K30" s="61">
        <v>46118</v>
      </c>
      <c r="L30" s="62" t="str">
        <f t="shared" si="0"/>
        <v xml:space="preserve">3 năm 0 tháng </v>
      </c>
      <c r="M30" s="1" t="s">
        <v>82</v>
      </c>
      <c r="N30" s="15"/>
      <c r="O30" s="39" t="s">
        <v>7</v>
      </c>
      <c r="P30" s="16" t="s">
        <v>52</v>
      </c>
      <c r="Q30" s="47"/>
      <c r="R30" s="47"/>
      <c r="S30" s="47"/>
      <c r="T30" s="47"/>
      <c r="U30" s="47"/>
      <c r="V30" s="47"/>
      <c r="W30" s="47"/>
      <c r="X30" s="47"/>
      <c r="Y30" s="51" t="e">
        <f>VLOOKUP(C30,[7]Sheet1!$B$10:$D$49,3,0)</f>
        <v>#N/A</v>
      </c>
      <c r="Z30" s="51" t="e">
        <f>VLOOKUP(C30,[7]Sheet1!$B$10:$E$49,4,0)</f>
        <v>#N/A</v>
      </c>
      <c r="AA30" s="51" t="e">
        <f>VLOOKUP(C30,[7]Sheet1!$B$10:$F$49,5,0)</f>
        <v>#N/A</v>
      </c>
      <c r="AB30" s="2"/>
      <c r="AC30" s="118" t="s">
        <v>170</v>
      </c>
      <c r="AD30" s="84" t="s">
        <v>171</v>
      </c>
      <c r="AE30" s="92">
        <v>45663</v>
      </c>
      <c r="AF30" s="92"/>
      <c r="AG30" s="92"/>
      <c r="AH30" s="92"/>
      <c r="AI30" s="102" t="str">
        <f>VLOOKUP(C30,'[8]THÁNG 3.2026'!B$10:D$40,3,0)</f>
        <v>4820999781</v>
      </c>
      <c r="AJ30" s="102"/>
      <c r="AK30" s="102"/>
    </row>
    <row r="31" spans="1:37" s="10" customFormat="1" ht="31.5" x14ac:dyDescent="0.25">
      <c r="A31" s="29" t="e">
        <f t="shared" si="1"/>
        <v>#REF!</v>
      </c>
      <c r="B31" s="216"/>
      <c r="C31" s="87" t="s">
        <v>165</v>
      </c>
      <c r="D31" s="65" t="s">
        <v>27</v>
      </c>
      <c r="E31" s="46" t="s">
        <v>135</v>
      </c>
      <c r="F31" s="50"/>
      <c r="G31" s="50"/>
      <c r="H31" s="50"/>
      <c r="I31" s="60">
        <v>26978</v>
      </c>
      <c r="J31" s="61">
        <v>46113</v>
      </c>
      <c r="K31" s="61"/>
      <c r="L31" s="62"/>
      <c r="M31" s="1"/>
      <c r="N31" s="15"/>
      <c r="O31" s="39"/>
      <c r="P31" s="16"/>
      <c r="Q31" s="47"/>
      <c r="R31" s="47"/>
      <c r="S31" s="47"/>
      <c r="T31" s="47"/>
      <c r="U31" s="47"/>
      <c r="V31" s="47"/>
      <c r="W31" s="47"/>
      <c r="X31" s="47"/>
      <c r="Y31" s="51"/>
      <c r="Z31" s="51"/>
      <c r="AA31" s="51"/>
      <c r="AB31" s="2"/>
      <c r="AC31" s="70" t="s">
        <v>166</v>
      </c>
      <c r="AD31" s="84" t="s">
        <v>167</v>
      </c>
      <c r="AE31" s="86">
        <v>45895</v>
      </c>
      <c r="AF31" s="86"/>
      <c r="AG31" s="86"/>
      <c r="AH31" s="86"/>
      <c r="AI31" s="104" t="s">
        <v>186</v>
      </c>
      <c r="AJ31" s="104"/>
      <c r="AK31" s="104"/>
    </row>
    <row r="32" spans="1:37" s="10" customFormat="1" ht="47.25" x14ac:dyDescent="0.25">
      <c r="A32" s="29" t="e">
        <f t="shared" si="1"/>
        <v>#REF!</v>
      </c>
      <c r="B32" s="246" t="s">
        <v>117</v>
      </c>
      <c r="C32" s="97" t="s">
        <v>45</v>
      </c>
      <c r="D32" s="42" t="s">
        <v>27</v>
      </c>
      <c r="E32" s="46" t="str">
        <f>VLOOKUP(C32,'[6]Hồ sơ'!B$2:Y$39,24,0)</f>
        <v>ĐỀN BÙ GIẢI TỎA</v>
      </c>
      <c r="F32" s="50" t="s">
        <v>78</v>
      </c>
      <c r="G32" s="50" t="s">
        <v>108</v>
      </c>
      <c r="H32" s="50" t="s">
        <v>88</v>
      </c>
      <c r="I32" s="60" t="str">
        <f>VLOOKUP(C32,'[6]Hồ sơ'!B$2:E$39,4,0)</f>
        <v>09/03/1977</v>
      </c>
      <c r="J32" s="61">
        <v>39742</v>
      </c>
      <c r="K32" s="61">
        <v>46118</v>
      </c>
      <c r="L32" s="62" t="str">
        <f t="shared" si="0"/>
        <v xml:space="preserve">17 năm 5 tháng </v>
      </c>
      <c r="M32" s="1" t="s">
        <v>82</v>
      </c>
      <c r="N32" s="15"/>
      <c r="O32" s="39" t="s">
        <v>7</v>
      </c>
      <c r="P32" s="16" t="s">
        <v>52</v>
      </c>
      <c r="Q32" s="47"/>
      <c r="R32" s="47"/>
      <c r="S32" s="47"/>
      <c r="T32" s="47"/>
      <c r="U32" s="47"/>
      <c r="V32" s="47"/>
      <c r="W32" s="47"/>
      <c r="X32" s="47"/>
      <c r="Y32" s="51" t="e">
        <f>VLOOKUP(C32,[7]Sheet1!$B$10:$D$49,3,0)</f>
        <v>#N/A</v>
      </c>
      <c r="Z32" s="51" t="e">
        <f>VLOOKUP(C32,[7]Sheet1!$B$10:$E$49,4,0)</f>
        <v>#N/A</v>
      </c>
      <c r="AA32" s="51" t="e">
        <f>VLOOKUP(C32,[7]Sheet1!$B$10:$F$49,5,0)</f>
        <v>#N/A</v>
      </c>
      <c r="AB32" s="2">
        <v>1500000</v>
      </c>
      <c r="AC32" s="119" t="s">
        <v>184</v>
      </c>
      <c r="AD32" s="105" t="s">
        <v>185</v>
      </c>
      <c r="AE32" s="106">
        <v>44423</v>
      </c>
      <c r="AF32" s="106"/>
      <c r="AG32" s="106"/>
      <c r="AH32" s="106"/>
      <c r="AI32" s="102" t="str">
        <f>VLOOKUP(C32,'[8]THÁNG 3.2026'!B$10:D$40,3,0)</f>
        <v>0403012361</v>
      </c>
      <c r="AJ32" s="102"/>
      <c r="AK32" s="102"/>
    </row>
    <row r="33" spans="1:37" s="10" customFormat="1" ht="31.5" x14ac:dyDescent="0.25">
      <c r="A33" s="29" t="e">
        <f t="shared" si="1"/>
        <v>#REF!</v>
      </c>
      <c r="B33" s="247"/>
      <c r="C33" s="63" t="s">
        <v>46</v>
      </c>
      <c r="D33" s="42" t="s">
        <v>27</v>
      </c>
      <c r="E33" s="46" t="str">
        <f>VLOOKUP(C33,'[6]Hồ sơ'!B$2:Y$39,24,0)</f>
        <v>ĐỀN BÙ GIẢI TỎA</v>
      </c>
      <c r="F33" s="50" t="s">
        <v>78</v>
      </c>
      <c r="G33" s="50" t="s">
        <v>109</v>
      </c>
      <c r="H33" s="50" t="s">
        <v>76</v>
      </c>
      <c r="I33" s="60" t="str">
        <f>VLOOKUP(C33,'[6]Hồ sơ'!B$2:E$39,4,0)</f>
        <v>03/11/1989</v>
      </c>
      <c r="J33" s="61">
        <v>41927</v>
      </c>
      <c r="K33" s="61">
        <v>46118</v>
      </c>
      <c r="L33" s="62" t="str">
        <f t="shared" si="0"/>
        <v xml:space="preserve">11 năm 5 tháng </v>
      </c>
      <c r="M33" s="1" t="s">
        <v>82</v>
      </c>
      <c r="N33" s="15"/>
      <c r="O33" s="39" t="s">
        <v>7</v>
      </c>
      <c r="P33" s="16" t="s">
        <v>52</v>
      </c>
      <c r="Q33" s="47"/>
      <c r="R33" s="47"/>
      <c r="S33" s="47"/>
      <c r="T33" s="47"/>
      <c r="U33" s="47"/>
      <c r="V33" s="47"/>
      <c r="W33" s="47"/>
      <c r="X33" s="47"/>
      <c r="Y33" s="51" t="e">
        <f>VLOOKUP(C33,[7]Sheet1!$B$10:$D$49,3,0)</f>
        <v>#N/A</v>
      </c>
      <c r="Z33" s="51" t="e">
        <f>VLOOKUP(C33,[7]Sheet1!$B$10:$E$49,4,0)</f>
        <v>#N/A</v>
      </c>
      <c r="AA33" s="51" t="e">
        <f>VLOOKUP(C33,[7]Sheet1!$B$10:$F$49,5,0)</f>
        <v>#N/A</v>
      </c>
      <c r="AB33" s="2">
        <v>1000000</v>
      </c>
      <c r="AC33" s="39" t="s">
        <v>156</v>
      </c>
      <c r="AD33" s="98" t="s">
        <v>157</v>
      </c>
      <c r="AE33" s="92">
        <v>44715</v>
      </c>
      <c r="AF33" s="92"/>
      <c r="AG33" s="92"/>
      <c r="AH33" s="92"/>
      <c r="AI33" s="102" t="str">
        <f>VLOOKUP(C33,'[8]THÁNG 3.2026'!B$10:D$40,3,0)</f>
        <v>4812004713</v>
      </c>
      <c r="AJ33" s="102"/>
      <c r="AK33" s="102"/>
    </row>
    <row r="34" spans="1:37" s="10" customFormat="1" ht="44.1" customHeight="1" x14ac:dyDescent="0.25">
      <c r="A34" s="29" t="e">
        <f t="shared" si="1"/>
        <v>#REF!</v>
      </c>
      <c r="B34" s="248"/>
      <c r="C34" s="97" t="s">
        <v>47</v>
      </c>
      <c r="D34" s="42" t="s">
        <v>27</v>
      </c>
      <c r="E34" s="46" t="str">
        <f>VLOOKUP(C34,'[6]Hồ sơ'!B$2:Y$39,24,0)</f>
        <v>ĐỀN BÙ GIẢI TỎA</v>
      </c>
      <c r="F34" s="50" t="s">
        <v>78</v>
      </c>
      <c r="G34" s="50" t="s">
        <v>110</v>
      </c>
      <c r="H34" s="50" t="s">
        <v>88</v>
      </c>
      <c r="I34" s="60">
        <f>VLOOKUP(C34,'[6]Hồ sơ'!B$2:E$39,4,0)</f>
        <v>29943</v>
      </c>
      <c r="J34" s="61">
        <v>44652</v>
      </c>
      <c r="K34" s="61">
        <v>46118</v>
      </c>
      <c r="L34" s="62" t="str">
        <f t="shared" si="0"/>
        <v xml:space="preserve">4 năm 0 tháng </v>
      </c>
      <c r="M34" s="1" t="s">
        <v>82</v>
      </c>
      <c r="N34" s="15"/>
      <c r="O34" s="39" t="s">
        <v>7</v>
      </c>
      <c r="P34" s="16" t="s">
        <v>52</v>
      </c>
      <c r="Q34" s="47"/>
      <c r="R34" s="47"/>
      <c r="S34" s="47"/>
      <c r="T34" s="47"/>
      <c r="U34" s="47"/>
      <c r="V34" s="47"/>
      <c r="W34" s="47"/>
      <c r="X34" s="47"/>
      <c r="Y34" s="51" t="e">
        <f>VLOOKUP(C34,[7]Sheet1!$B$10:$D$49,3,0)</f>
        <v>#N/A</v>
      </c>
      <c r="Z34" s="51" t="e">
        <f>VLOOKUP(C34,[7]Sheet1!$B$10:$E$49,4,0)</f>
        <v>#N/A</v>
      </c>
      <c r="AA34" s="51" t="e">
        <f>VLOOKUP(C34,[7]Sheet1!$B$10:$F$49,5,0)</f>
        <v>#N/A</v>
      </c>
      <c r="AB34" s="2">
        <v>1500000</v>
      </c>
      <c r="AC34" s="120" t="s">
        <v>193</v>
      </c>
      <c r="AD34" s="84" t="s">
        <v>194</v>
      </c>
      <c r="AE34" s="86">
        <v>44652</v>
      </c>
      <c r="AF34" s="86"/>
      <c r="AG34" s="86"/>
      <c r="AH34" s="86"/>
      <c r="AI34" s="102" t="str">
        <f>VLOOKUP(C34,'[8]THÁNG 3.2026'!B$10:D$40,3,0)</f>
        <v>4811008669</v>
      </c>
      <c r="AJ34" s="102"/>
      <c r="AK34" s="102"/>
    </row>
    <row r="35" spans="1:37" s="10" customFormat="1" ht="63" x14ac:dyDescent="0.25">
      <c r="A35" s="29" t="e">
        <f t="shared" si="1"/>
        <v>#REF!</v>
      </c>
      <c r="B35" s="77" t="s">
        <v>119</v>
      </c>
      <c r="C35" s="63" t="s">
        <v>48</v>
      </c>
      <c r="D35" s="65" t="s">
        <v>27</v>
      </c>
      <c r="E35" s="46" t="str">
        <f>VLOOKUP(C35,'[6]Hồ sơ'!B$2:Y$39,24,0)</f>
        <v>XN DUY TU BD</v>
      </c>
      <c r="F35" s="50" t="s">
        <v>78</v>
      </c>
      <c r="G35" s="50" t="s">
        <v>73</v>
      </c>
      <c r="H35" s="50" t="s">
        <v>76</v>
      </c>
      <c r="I35" s="60">
        <f>VLOOKUP(C35,'[6]Hồ sơ'!B$2:E$39,4,0)</f>
        <v>32948</v>
      </c>
      <c r="J35" s="61">
        <v>44470</v>
      </c>
      <c r="K35" s="61">
        <v>46118</v>
      </c>
      <c r="L35" s="62" t="str">
        <f t="shared" si="0"/>
        <v xml:space="preserve">4 năm 6 tháng </v>
      </c>
      <c r="M35" s="1" t="s">
        <v>82</v>
      </c>
      <c r="N35" s="15"/>
      <c r="O35" s="39" t="s">
        <v>7</v>
      </c>
      <c r="P35" s="16">
        <v>0</v>
      </c>
      <c r="Q35" s="47"/>
      <c r="R35" s="47"/>
      <c r="S35" s="47"/>
      <c r="T35" s="47"/>
      <c r="U35" s="47"/>
      <c r="V35" s="47"/>
      <c r="W35" s="47"/>
      <c r="X35" s="47"/>
      <c r="Y35" s="51" t="e">
        <f>VLOOKUP(C35,[7]Sheet1!$B$10:$D$49,3,0)</f>
        <v>#N/A</v>
      </c>
      <c r="Z35" s="51" t="e">
        <f>VLOOKUP(C35,[7]Sheet1!$B$10:$E$49,4,0)</f>
        <v>#N/A</v>
      </c>
      <c r="AA35" s="51" t="e">
        <f>VLOOKUP(C35,[7]Sheet1!$B$10:$F$49,5,0)</f>
        <v>#N/A</v>
      </c>
      <c r="AB35" s="2"/>
      <c r="AC35" s="39" t="s">
        <v>158</v>
      </c>
      <c r="AD35" s="84" t="s">
        <v>159</v>
      </c>
      <c r="AE35" s="92">
        <v>44424</v>
      </c>
      <c r="AF35" s="92"/>
      <c r="AG35" s="92"/>
      <c r="AH35" s="92"/>
      <c r="AI35" s="102" t="str">
        <f>VLOOKUP(C35,'[8]THÁNG 3.2026'!B$10:D$40,3,0)</f>
        <v>4813022061</v>
      </c>
      <c r="AJ35" s="102"/>
      <c r="AK35" s="102"/>
    </row>
    <row r="36" spans="1:37" s="10" customFormat="1" ht="31.5" x14ac:dyDescent="0.25">
      <c r="A36" s="29" t="e">
        <f t="shared" si="1"/>
        <v>#REF!</v>
      </c>
      <c r="B36" s="77" t="s">
        <v>118</v>
      </c>
      <c r="C36" s="63" t="s">
        <v>49</v>
      </c>
      <c r="D36" s="68" t="s">
        <v>50</v>
      </c>
      <c r="E36" s="46" t="str">
        <f>VLOOKUP(C36,'[6]Hồ sơ'!B$2:Y$39,24,0)</f>
        <v xml:space="preserve">SÀN BĐS DMT </v>
      </c>
      <c r="F36" s="50" t="s">
        <v>78</v>
      </c>
      <c r="G36" s="50" t="s">
        <v>111</v>
      </c>
      <c r="H36" s="50" t="s">
        <v>76</v>
      </c>
      <c r="I36" s="60" t="str">
        <f>VLOOKUP(C36,'[6]Hồ sơ'!B$2:E$39,4,0)</f>
        <v>06/04/1987</v>
      </c>
      <c r="J36" s="61">
        <v>40529</v>
      </c>
      <c r="K36" s="61">
        <v>46118</v>
      </c>
      <c r="L36" s="62" t="str">
        <f t="shared" si="0"/>
        <v xml:space="preserve">15 năm 3 tháng </v>
      </c>
      <c r="M36" s="1" t="s">
        <v>82</v>
      </c>
      <c r="N36" s="15"/>
      <c r="O36" s="39" t="s">
        <v>7</v>
      </c>
      <c r="P36" s="16" t="s">
        <v>63</v>
      </c>
      <c r="Q36" s="47"/>
      <c r="R36" s="47"/>
      <c r="S36" s="47"/>
      <c r="T36" s="47"/>
      <c r="U36" s="47"/>
      <c r="V36" s="47"/>
      <c r="W36" s="47"/>
      <c r="X36" s="47"/>
      <c r="Y36" s="51" t="e">
        <f>VLOOKUP(C36,[7]Sheet1!$B$10:$D$49,3,0)</f>
        <v>#N/A</v>
      </c>
      <c r="Z36" s="51" t="e">
        <f>VLOOKUP(C36,[7]Sheet1!$B$10:$E$49,4,0)</f>
        <v>#N/A</v>
      </c>
      <c r="AA36" s="51" t="e">
        <f>VLOOKUP(C36,[7]Sheet1!$B$10:$F$49,5,0)</f>
        <v>#N/A</v>
      </c>
      <c r="AB36" s="2"/>
      <c r="AC36" s="70" t="s">
        <v>147</v>
      </c>
      <c r="AD36" s="84" t="s">
        <v>148</v>
      </c>
      <c r="AE36" s="86">
        <v>44552</v>
      </c>
      <c r="AF36" s="86"/>
      <c r="AG36" s="86"/>
      <c r="AH36" s="86"/>
      <c r="AI36" s="102" t="str">
        <f>VLOOKUP(C36,'[8]THÁNG 3.2026'!B$10:D$40,3,0)</f>
        <v>4811004942</v>
      </c>
      <c r="AJ36" s="102"/>
      <c r="AK36" s="102"/>
    </row>
    <row r="37" spans="1:37" s="7" customFormat="1" ht="15" customHeight="1" x14ac:dyDescent="0.2">
      <c r="A37" s="5"/>
      <c r="B37" s="9"/>
      <c r="C37" s="112"/>
      <c r="D37" s="20"/>
      <c r="E37" s="20"/>
      <c r="F37" s="53"/>
      <c r="G37" s="53"/>
      <c r="H37" s="53"/>
      <c r="I37" s="53"/>
      <c r="J37" s="5"/>
      <c r="K37" s="5"/>
      <c r="L37" s="5"/>
      <c r="M37" s="30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AC37" s="121"/>
      <c r="AD37" s="88"/>
      <c r="AE37" s="89"/>
      <c r="AF37" s="89"/>
      <c r="AG37" s="89"/>
      <c r="AH37" s="89"/>
      <c r="AI37" s="107"/>
      <c r="AJ37" s="107"/>
      <c r="AK37" s="107"/>
    </row>
    <row r="38" spans="1:37" s="7" customFormat="1" ht="15" customHeight="1" x14ac:dyDescent="0.2">
      <c r="B38" s="40"/>
      <c r="C38" s="23"/>
      <c r="D38" s="25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  <c r="AA38" s="253"/>
      <c r="AB38" s="253"/>
      <c r="AC38" s="121"/>
      <c r="AD38" s="88"/>
      <c r="AE38" s="89"/>
      <c r="AF38" s="89"/>
      <c r="AG38" s="89"/>
      <c r="AH38" s="89"/>
      <c r="AI38" s="107"/>
      <c r="AJ38" s="107"/>
      <c r="AK38" s="107"/>
    </row>
    <row r="39" spans="1:37" s="7" customFormat="1" ht="15" customHeight="1" x14ac:dyDescent="0.2">
      <c r="B39" s="40"/>
      <c r="C39" s="23"/>
      <c r="D39" s="21"/>
      <c r="E39" s="21"/>
      <c r="F39" s="43"/>
      <c r="G39" s="43"/>
      <c r="H39" s="43"/>
      <c r="I39" s="43"/>
      <c r="J39" s="8"/>
      <c r="K39" s="8"/>
      <c r="L39" s="8"/>
      <c r="M39" s="32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21"/>
      <c r="AD39" s="88"/>
      <c r="AE39" s="89"/>
      <c r="AF39" s="89"/>
      <c r="AG39" s="89"/>
      <c r="AH39" s="89"/>
      <c r="AI39" s="107"/>
      <c r="AJ39" s="107"/>
      <c r="AK39" s="107"/>
    </row>
    <row r="40" spans="1:37" s="7" customFormat="1" ht="15" customHeight="1" x14ac:dyDescent="0.2">
      <c r="B40" s="40"/>
      <c r="C40" s="22"/>
      <c r="D40" s="22"/>
      <c r="E40" s="22"/>
      <c r="F40" s="55"/>
      <c r="G40" s="55"/>
      <c r="H40" s="55"/>
      <c r="I40" s="55"/>
      <c r="J40" s="8"/>
      <c r="K40" s="8"/>
      <c r="L40" s="8"/>
      <c r="M40" s="3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21"/>
      <c r="AD40" s="88"/>
      <c r="AE40" s="89"/>
      <c r="AF40" s="89"/>
      <c r="AG40" s="89"/>
      <c r="AH40" s="89"/>
      <c r="AI40" s="107"/>
      <c r="AJ40" s="107"/>
      <c r="AK40" s="107"/>
    </row>
    <row r="41" spans="1:37" s="7" customFormat="1" ht="15" customHeight="1" x14ac:dyDescent="0.2">
      <c r="B41" s="40"/>
      <c r="C41" s="23"/>
      <c r="D41" s="23"/>
      <c r="E41" s="23"/>
      <c r="F41" s="56"/>
      <c r="G41" s="56"/>
      <c r="H41" s="56"/>
      <c r="I41" s="56"/>
      <c r="M41" s="33"/>
      <c r="AC41" s="121"/>
      <c r="AD41" s="88"/>
      <c r="AE41" s="89"/>
      <c r="AF41" s="89"/>
      <c r="AG41" s="89"/>
      <c r="AH41" s="89"/>
      <c r="AI41" s="107"/>
      <c r="AJ41" s="107"/>
      <c r="AK41" s="107"/>
    </row>
    <row r="42" spans="1:37" s="7" customFormat="1" ht="15" customHeight="1" x14ac:dyDescent="0.2">
      <c r="B42" s="40"/>
      <c r="C42" s="22"/>
      <c r="D42" s="23"/>
      <c r="E42" s="23"/>
      <c r="F42" s="56"/>
      <c r="G42" s="56"/>
      <c r="H42" s="56"/>
      <c r="I42" s="56"/>
      <c r="M42" s="33"/>
      <c r="AC42" s="121"/>
      <c r="AD42" s="88"/>
      <c r="AE42" s="89"/>
      <c r="AF42" s="89"/>
      <c r="AG42" s="89"/>
      <c r="AH42" s="89"/>
      <c r="AI42" s="107"/>
      <c r="AJ42" s="107"/>
      <c r="AK42" s="107"/>
    </row>
    <row r="43" spans="1:37" s="7" customFormat="1" ht="15" customHeight="1" x14ac:dyDescent="0.2">
      <c r="B43" s="40"/>
      <c r="C43" s="23"/>
      <c r="D43" s="23"/>
      <c r="E43" s="23"/>
      <c r="F43" s="56"/>
      <c r="G43" s="56"/>
      <c r="H43" s="56"/>
      <c r="I43" s="56"/>
      <c r="M43" s="33"/>
      <c r="AC43" s="121"/>
      <c r="AD43" s="88"/>
      <c r="AE43" s="89"/>
      <c r="AF43" s="89"/>
      <c r="AG43" s="89"/>
      <c r="AH43" s="89"/>
      <c r="AI43" s="107"/>
      <c r="AJ43" s="107"/>
      <c r="AK43" s="107"/>
    </row>
    <row r="44" spans="1:37" s="4" customFormat="1" ht="15" customHeight="1" x14ac:dyDescent="0.25">
      <c r="B44" s="41"/>
      <c r="C44" s="24"/>
      <c r="D44" s="24"/>
      <c r="E44" s="24"/>
      <c r="F44" s="57"/>
      <c r="G44" s="57"/>
      <c r="H44" s="57"/>
      <c r="I44" s="57"/>
      <c r="J44" s="10"/>
      <c r="K44" s="10"/>
      <c r="L44" s="10"/>
      <c r="M44" s="34"/>
      <c r="N44" s="11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52"/>
      <c r="AD44" s="88"/>
      <c r="AE44" s="90"/>
      <c r="AF44" s="90"/>
      <c r="AG44" s="90"/>
      <c r="AH44" s="90"/>
      <c r="AI44" s="108"/>
      <c r="AJ44" s="108"/>
      <c r="AK44" s="108"/>
    </row>
    <row r="45" spans="1:37" s="7" customFormat="1" ht="15" customHeight="1" x14ac:dyDescent="0.25">
      <c r="B45" s="40"/>
      <c r="C45" s="113"/>
      <c r="D45" s="23"/>
      <c r="E45" s="23"/>
      <c r="F45" s="234"/>
      <c r="G45" s="234"/>
      <c r="H45" s="234"/>
      <c r="I45" s="234"/>
      <c r="J45" s="234"/>
      <c r="K45" s="12"/>
      <c r="L45" s="12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12"/>
      <c r="AA45" s="12"/>
      <c r="AB45" s="12"/>
      <c r="AC45" s="121"/>
      <c r="AD45" s="88"/>
      <c r="AE45" s="89"/>
      <c r="AF45" s="89"/>
      <c r="AG45" s="89"/>
      <c r="AH45" s="89"/>
      <c r="AI45" s="107"/>
      <c r="AJ45" s="107"/>
      <c r="AK45" s="107"/>
    </row>
    <row r="46" spans="1:37" s="7" customFormat="1" ht="15" customHeight="1" x14ac:dyDescent="0.25">
      <c r="B46" s="40"/>
      <c r="C46" s="113"/>
      <c r="F46" s="58"/>
      <c r="G46" s="58"/>
      <c r="H46" s="58"/>
      <c r="I46" s="58"/>
      <c r="J46" s="13"/>
      <c r="K46" s="13"/>
      <c r="L46" s="13"/>
      <c r="M46" s="12"/>
      <c r="N46" s="14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21"/>
      <c r="AD46" s="88"/>
      <c r="AE46" s="89"/>
      <c r="AF46" s="89"/>
      <c r="AG46" s="89"/>
      <c r="AH46" s="89"/>
      <c r="AI46" s="107"/>
      <c r="AJ46" s="107"/>
      <c r="AK46" s="107"/>
    </row>
    <row r="47" spans="1:37" x14ac:dyDescent="0.25">
      <c r="C47" s="113"/>
      <c r="F47" s="58"/>
      <c r="G47" s="58"/>
      <c r="H47" s="58"/>
      <c r="I47" s="58"/>
      <c r="J47" s="13"/>
      <c r="K47" s="13"/>
      <c r="L47" s="13"/>
      <c r="M47" s="12"/>
      <c r="N47" s="14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1:37" x14ac:dyDescent="0.25">
      <c r="C48" s="113"/>
      <c r="F48" s="58"/>
      <c r="G48" s="58"/>
      <c r="H48" s="58"/>
      <c r="I48" s="58"/>
      <c r="J48" s="13"/>
      <c r="K48" s="13"/>
      <c r="L48" s="13"/>
      <c r="M48" s="12"/>
      <c r="N48" s="14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1:37" x14ac:dyDescent="0.25">
      <c r="C49" s="113"/>
      <c r="F49" s="58"/>
      <c r="G49" s="58"/>
      <c r="H49" s="58"/>
      <c r="I49" s="58"/>
      <c r="J49" s="13"/>
      <c r="K49" s="13"/>
      <c r="L49" s="13"/>
      <c r="M49" s="12"/>
      <c r="N49" s="14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37" x14ac:dyDescent="0.25">
      <c r="C50" s="113"/>
      <c r="F50" s="58"/>
      <c r="G50" s="58"/>
      <c r="H50" s="58"/>
      <c r="I50" s="58"/>
      <c r="J50" s="13"/>
      <c r="K50" s="13"/>
      <c r="L50" s="13"/>
      <c r="M50" s="12"/>
      <c r="N50" s="14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1:37" s="38" customFormat="1" x14ac:dyDescent="0.25">
      <c r="A51" s="3"/>
      <c r="C51" s="113"/>
      <c r="D51" s="25"/>
      <c r="E51" s="25"/>
      <c r="F51" s="58"/>
      <c r="G51" s="58"/>
      <c r="H51" s="58"/>
      <c r="I51" s="58"/>
      <c r="J51" s="13"/>
      <c r="K51" s="13"/>
      <c r="L51" s="13"/>
      <c r="M51" s="12"/>
      <c r="N51" s="14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16"/>
      <c r="AD51" s="82"/>
      <c r="AE51" s="85"/>
      <c r="AF51" s="85"/>
      <c r="AG51" s="85"/>
      <c r="AH51" s="85"/>
      <c r="AI51" s="101"/>
      <c r="AJ51" s="101"/>
      <c r="AK51" s="101"/>
    </row>
    <row r="52" spans="1:37" s="38" customFormat="1" x14ac:dyDescent="0.25">
      <c r="A52" s="3"/>
      <c r="B52" s="243"/>
      <c r="C52" s="243"/>
      <c r="D52" s="25"/>
      <c r="E52" s="25"/>
      <c r="F52" s="234"/>
      <c r="G52" s="234"/>
      <c r="H52" s="234"/>
      <c r="I52" s="234"/>
      <c r="J52" s="234"/>
      <c r="K52" s="12"/>
      <c r="L52" s="12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12"/>
      <c r="AA52" s="12"/>
      <c r="AB52" s="12"/>
      <c r="AC52" s="116"/>
      <c r="AD52" s="82"/>
      <c r="AE52" s="85"/>
      <c r="AF52" s="85"/>
      <c r="AG52" s="85"/>
      <c r="AH52" s="85"/>
      <c r="AI52" s="101"/>
      <c r="AJ52" s="101"/>
      <c r="AK52" s="101"/>
    </row>
    <row r="55" spans="1:37" s="38" customFormat="1" ht="24.95" customHeight="1" x14ac:dyDescent="0.25">
      <c r="A55" s="3"/>
      <c r="C55" s="25"/>
      <c r="D55" s="25"/>
      <c r="E55" s="25"/>
      <c r="F55" s="59"/>
      <c r="G55" s="59"/>
      <c r="H55" s="59"/>
      <c r="I55" s="59"/>
      <c r="J55" s="3"/>
      <c r="K55" s="3"/>
      <c r="L55" s="3"/>
      <c r="M55" s="3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116"/>
      <c r="AD55" s="82"/>
      <c r="AE55" s="85"/>
      <c r="AF55" s="85"/>
      <c r="AG55" s="85"/>
      <c r="AH55" s="85"/>
      <c r="AI55" s="101"/>
      <c r="AJ55" s="101"/>
      <c r="AK55" s="101"/>
    </row>
  </sheetData>
  <mergeCells count="37">
    <mergeCell ref="AJ5:AJ6"/>
    <mergeCell ref="AE5:AE6"/>
    <mergeCell ref="AI5:AI6"/>
    <mergeCell ref="I5:I6"/>
    <mergeCell ref="AF5:AF6"/>
    <mergeCell ref="Q5:Q6"/>
    <mergeCell ref="B52:C52"/>
    <mergeCell ref="F52:J52"/>
    <mergeCell ref="M52:Y52"/>
    <mergeCell ref="Y5:Y6"/>
    <mergeCell ref="P5:P6"/>
    <mergeCell ref="B8:B11"/>
    <mergeCell ref="B12:B18"/>
    <mergeCell ref="B19:B21"/>
    <mergeCell ref="A7:AI7"/>
    <mergeCell ref="E5:E6"/>
    <mergeCell ref="B23:B24"/>
    <mergeCell ref="B32:B34"/>
    <mergeCell ref="D38:AB38"/>
    <mergeCell ref="F45:J45"/>
    <mergeCell ref="AC5:AC6"/>
    <mergeCell ref="AD5:AD6"/>
    <mergeCell ref="M45:Y45"/>
    <mergeCell ref="B25:B31"/>
    <mergeCell ref="A3:AB3"/>
    <mergeCell ref="A5:A6"/>
    <mergeCell ref="B5:B6"/>
    <mergeCell ref="C5:C6"/>
    <mergeCell ref="D5:D6"/>
    <mergeCell ref="F5:F6"/>
    <mergeCell ref="J5:J6"/>
    <mergeCell ref="L5:L6"/>
    <mergeCell ref="G5:G6"/>
    <mergeCell ref="H5:H6"/>
    <mergeCell ref="Z5:AB5"/>
    <mergeCell ref="M5:N5"/>
    <mergeCell ref="O5:O6"/>
  </mergeCells>
  <phoneticPr fontId="20" type="noConversion"/>
  <conditionalFormatting sqref="B8">
    <cfRule type="duplicateValues" dxfId="77" priority="411"/>
    <cfRule type="duplicateValues" dxfId="76" priority="412"/>
  </conditionalFormatting>
  <conditionalFormatting sqref="B19">
    <cfRule type="duplicateValues" dxfId="75" priority="375"/>
    <cfRule type="duplicateValues" dxfId="74" priority="376"/>
  </conditionalFormatting>
  <conditionalFormatting sqref="B23">
    <cfRule type="duplicateValues" dxfId="73" priority="351"/>
    <cfRule type="duplicateValues" dxfId="72" priority="352"/>
  </conditionalFormatting>
  <conditionalFormatting sqref="B25">
    <cfRule type="duplicateValues" dxfId="71" priority="347"/>
    <cfRule type="duplicateValues" dxfId="70" priority="348"/>
  </conditionalFormatting>
  <conditionalFormatting sqref="B32">
    <cfRule type="duplicateValues" dxfId="69" priority="321"/>
    <cfRule type="duplicateValues" dxfId="68" priority="322"/>
  </conditionalFormatting>
  <conditionalFormatting sqref="B35">
    <cfRule type="duplicateValues" dxfId="67" priority="315"/>
    <cfRule type="duplicateValues" dxfId="66" priority="316"/>
  </conditionalFormatting>
  <conditionalFormatting sqref="B36">
    <cfRule type="duplicateValues" dxfId="65" priority="313"/>
    <cfRule type="duplicateValues" dxfId="64" priority="314"/>
  </conditionalFormatting>
  <conditionalFormatting sqref="C8">
    <cfRule type="duplicateValues" dxfId="63" priority="435"/>
    <cfRule type="duplicateValues" dxfId="62" priority="436"/>
    <cfRule type="duplicateValues" dxfId="61" priority="437"/>
    <cfRule type="duplicateValues" dxfId="60" priority="438"/>
  </conditionalFormatting>
  <conditionalFormatting sqref="C12:C13">
    <cfRule type="duplicateValues" dxfId="59" priority="414"/>
    <cfRule type="duplicateValues" dxfId="58" priority="415"/>
    <cfRule type="duplicateValues" dxfId="57" priority="416"/>
    <cfRule type="duplicateValues" dxfId="56" priority="417"/>
  </conditionalFormatting>
  <conditionalFormatting sqref="C14:C15 C9:C11">
    <cfRule type="duplicateValues" dxfId="55" priority="577"/>
    <cfRule type="duplicateValues" dxfId="54" priority="578"/>
    <cfRule type="duplicateValues" dxfId="53" priority="579"/>
    <cfRule type="duplicateValues" dxfId="52" priority="580"/>
  </conditionalFormatting>
  <conditionalFormatting sqref="C16">
    <cfRule type="duplicateValues" dxfId="51" priority="389"/>
    <cfRule type="duplicateValues" dxfId="50" priority="390"/>
    <cfRule type="duplicateValues" dxfId="49" priority="391"/>
    <cfRule type="duplicateValues" dxfId="48" priority="392"/>
  </conditionalFormatting>
  <conditionalFormatting sqref="C20">
    <cfRule type="duplicateValues" dxfId="47" priority="385"/>
    <cfRule type="duplicateValues" dxfId="46" priority="386"/>
    <cfRule type="duplicateValues" dxfId="45" priority="387"/>
    <cfRule type="duplicateValues" dxfId="44" priority="388"/>
  </conditionalFormatting>
  <conditionalFormatting sqref="C21 C17:C19">
    <cfRule type="duplicateValues" dxfId="43" priority="593"/>
    <cfRule type="duplicateValues" dxfId="42" priority="594"/>
    <cfRule type="duplicateValues" dxfId="41" priority="595"/>
    <cfRule type="duplicateValues" dxfId="40" priority="596"/>
  </conditionalFormatting>
  <conditionalFormatting sqref="C22:C25 C27">
    <cfRule type="duplicateValues" dxfId="39" priority="585"/>
    <cfRule type="duplicateValues" dxfId="38" priority="586"/>
    <cfRule type="duplicateValues" dxfId="37" priority="587"/>
    <cfRule type="duplicateValues" dxfId="36" priority="588"/>
  </conditionalFormatting>
  <conditionalFormatting sqref="C26">
    <cfRule type="duplicateValues" dxfId="35" priority="357"/>
    <cfRule type="duplicateValues" dxfId="34" priority="358"/>
    <cfRule type="duplicateValues" dxfId="33" priority="359"/>
    <cfRule type="duplicateValues" dxfId="32" priority="360"/>
  </conditionalFormatting>
  <conditionalFormatting sqref="C28">
    <cfRule type="duplicateValues" dxfId="31" priority="333"/>
    <cfRule type="duplicateValues" dxfId="30" priority="334"/>
    <cfRule type="duplicateValues" dxfId="29" priority="335"/>
    <cfRule type="duplicateValues" dxfId="28" priority="336"/>
  </conditionalFormatting>
  <conditionalFormatting sqref="C29:C33 C35:C36">
    <cfRule type="duplicateValues" dxfId="27" priority="337"/>
    <cfRule type="duplicateValues" dxfId="26" priority="338"/>
    <cfRule type="duplicateValues" dxfId="25" priority="339"/>
    <cfRule type="duplicateValues" dxfId="24" priority="340"/>
  </conditionalFormatting>
  <conditionalFormatting sqref="C34">
    <cfRule type="duplicateValues" dxfId="23" priority="329"/>
    <cfRule type="duplicateValues" dxfId="22" priority="330"/>
    <cfRule type="duplicateValues" dxfId="21" priority="331"/>
    <cfRule type="duplicateValues" dxfId="20" priority="332"/>
  </conditionalFormatting>
  <dataValidations count="2">
    <dataValidation type="list" allowBlank="1" showInputMessage="1" showErrorMessage="1" sqref="O37:X37">
      <formula1>"Điều chỉnh lương,Thay đổi vị trí,Khác"</formula1>
    </dataValidation>
    <dataValidation type="list" allowBlank="1" showInputMessage="1" showErrorMessage="1" sqref="O8:O36">
      <formula1>"Điều chỉnh lương,Thay đổi vị trí,Khác,Chưa được điều chỉnh lương, Qua thử việc"</formula1>
    </dataValidation>
  </dataValidations>
  <pageMargins left="0.2" right="0.2" top="0.2" bottom="0.2" header="0.3" footer="0.3"/>
  <pageSetup paperSize="9" scale="5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8"/>
  <sheetViews>
    <sheetView zoomScale="85" zoomScaleNormal="85" zoomScaleSheetLayoutView="92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Y16" sqref="Y16"/>
    </sheetView>
  </sheetViews>
  <sheetFormatPr defaultColWidth="8.85546875" defaultRowHeight="15" x14ac:dyDescent="0.25"/>
  <cols>
    <col min="1" max="1" width="5.42578125" style="3" customWidth="1"/>
    <col min="2" max="2" width="10.28515625" style="38" customWidth="1"/>
    <col min="3" max="3" width="24.140625" style="25" customWidth="1"/>
    <col min="4" max="4" width="15.42578125" style="25" customWidth="1"/>
    <col min="5" max="6" width="15.85546875" style="25" customWidth="1"/>
    <col min="7" max="7" width="15.85546875" style="25" hidden="1" customWidth="1"/>
    <col min="8" max="8" width="16.85546875" style="25" customWidth="1"/>
    <col min="9" max="9" width="12" style="25" bestFit="1" customWidth="1"/>
    <col min="10" max="10" width="15.85546875" style="25" customWidth="1"/>
    <col min="11" max="11" width="12.28515625" style="25" customWidth="1"/>
    <col min="12" max="12" width="15.85546875" style="25" customWidth="1"/>
    <col min="13" max="13" width="37.7109375" style="25" customWidth="1"/>
    <col min="14" max="14" width="16.85546875" style="25" customWidth="1"/>
    <col min="15" max="15" width="11" style="25" customWidth="1"/>
    <col min="16" max="16" width="16" style="25" customWidth="1"/>
    <col min="17" max="17" width="15.140625" style="25" customWidth="1"/>
    <col min="18" max="18" width="18.140625" style="25" customWidth="1"/>
    <col min="19" max="19" width="12.85546875" style="25" bestFit="1" customWidth="1"/>
    <col min="20" max="20" width="29.5703125" style="59" customWidth="1"/>
    <col min="21" max="21" width="13.85546875" style="59" customWidth="1"/>
    <col min="22" max="22" width="13.5703125" style="35" hidden="1" customWidth="1"/>
    <col min="23" max="23" width="12" style="3" hidden="1" customWidth="1"/>
    <col min="24" max="24" width="13.28515625" style="3" customWidth="1"/>
    <col min="25" max="25" width="12.28515625" style="3" customWidth="1"/>
    <col min="26" max="26" width="18" style="3" customWidth="1"/>
    <col min="27" max="28" width="24.28515625" style="3" customWidth="1"/>
    <col min="29" max="29" width="27.85546875" style="3" customWidth="1"/>
    <col min="30" max="30" width="34.42578125" style="3" bestFit="1" customWidth="1"/>
    <col min="31" max="32" width="14.140625" style="3" customWidth="1"/>
    <col min="33" max="34" width="16.85546875" style="3" customWidth="1"/>
    <col min="35" max="35" width="17.28515625" style="101" customWidth="1"/>
    <col min="36" max="16384" width="8.85546875" style="3"/>
  </cols>
  <sheetData>
    <row r="1" spans="1:35" s="168" customFormat="1" ht="26.1" customHeight="1" x14ac:dyDescent="0.35">
      <c r="A1" s="162" t="s">
        <v>296</v>
      </c>
      <c r="B1" s="163"/>
      <c r="C1" s="164"/>
      <c r="D1" s="164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5"/>
      <c r="U1" s="165"/>
      <c r="V1" s="166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7"/>
    </row>
    <row r="2" spans="1:35" x14ac:dyDescent="0.25">
      <c r="A2" s="4"/>
      <c r="B2" s="9"/>
      <c r="C2" s="23"/>
      <c r="D2" s="23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53"/>
      <c r="U2" s="53"/>
      <c r="V2" s="30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5" ht="29.1" customHeight="1" x14ac:dyDescent="0.25">
      <c r="A3" s="259" t="s">
        <v>297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159"/>
      <c r="AH3" s="159"/>
    </row>
    <row r="4" spans="1:35" ht="20.25" x14ac:dyDescent="0.3">
      <c r="A4" s="6"/>
      <c r="B4" s="37"/>
      <c r="C4" s="110"/>
      <c r="D4" s="110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54"/>
      <c r="U4" s="54"/>
      <c r="V4" s="31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5" s="160" customFormat="1" ht="30.75" customHeight="1" x14ac:dyDescent="0.25">
      <c r="A5" s="219"/>
      <c r="B5" s="219"/>
      <c r="C5" s="219"/>
      <c r="D5" s="220" t="s">
        <v>303</v>
      </c>
      <c r="E5" s="220"/>
      <c r="F5" s="220"/>
      <c r="G5" s="220"/>
      <c r="H5" s="220"/>
      <c r="I5" s="221" t="s">
        <v>304</v>
      </c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2" t="s">
        <v>309</v>
      </c>
      <c r="U5" s="222"/>
      <c r="V5" s="219" t="s">
        <v>312</v>
      </c>
      <c r="W5" s="219"/>
      <c r="X5" s="223" t="s">
        <v>310</v>
      </c>
      <c r="Y5" s="223"/>
      <c r="Z5" s="223"/>
      <c r="AA5" s="260" t="s">
        <v>311</v>
      </c>
      <c r="AB5" s="260"/>
      <c r="AC5" s="260"/>
      <c r="AD5" s="260"/>
      <c r="AE5" s="260"/>
      <c r="AF5" s="260"/>
      <c r="AG5" s="260"/>
      <c r="AH5" s="260"/>
      <c r="AI5" s="260"/>
    </row>
    <row r="6" spans="1:35" s="10" customFormat="1" ht="50.25" customHeight="1" x14ac:dyDescent="0.25">
      <c r="A6" s="217" t="s">
        <v>0</v>
      </c>
      <c r="B6" s="217" t="s">
        <v>2</v>
      </c>
      <c r="C6" s="217" t="s">
        <v>1</v>
      </c>
      <c r="D6" s="208" t="s">
        <v>305</v>
      </c>
      <c r="E6" s="208" t="s">
        <v>306</v>
      </c>
      <c r="F6" s="208" t="s">
        <v>12</v>
      </c>
      <c r="G6" s="208"/>
      <c r="H6" s="208" t="s">
        <v>20</v>
      </c>
      <c r="I6" s="209" t="s">
        <v>128</v>
      </c>
      <c r="J6" s="209" t="s">
        <v>126</v>
      </c>
      <c r="K6" s="213" t="s">
        <v>132</v>
      </c>
      <c r="L6" s="213" t="s">
        <v>307</v>
      </c>
      <c r="M6" s="209" t="s">
        <v>125</v>
      </c>
      <c r="N6" s="213" t="s">
        <v>195</v>
      </c>
      <c r="O6" s="213" t="s">
        <v>204</v>
      </c>
      <c r="P6" s="213" t="s">
        <v>203</v>
      </c>
      <c r="Q6" s="209" t="s">
        <v>127</v>
      </c>
      <c r="R6" s="209" t="s">
        <v>308</v>
      </c>
      <c r="S6" s="209" t="s">
        <v>202</v>
      </c>
      <c r="T6" s="210" t="s">
        <v>69</v>
      </c>
      <c r="U6" s="210" t="s">
        <v>75</v>
      </c>
      <c r="V6" s="211" t="s">
        <v>235</v>
      </c>
      <c r="W6" s="211"/>
      <c r="X6" s="208" t="s">
        <v>299</v>
      </c>
      <c r="Y6" s="212" t="s">
        <v>51</v>
      </c>
      <c r="Z6" s="208" t="s">
        <v>6</v>
      </c>
      <c r="AA6" s="209" t="s">
        <v>196</v>
      </c>
      <c r="AB6" s="209" t="s">
        <v>197</v>
      </c>
      <c r="AC6" s="209" t="s">
        <v>206</v>
      </c>
      <c r="AD6" s="209" t="s">
        <v>302</v>
      </c>
      <c r="AE6" s="209" t="s">
        <v>324</v>
      </c>
      <c r="AF6" s="209" t="s">
        <v>325</v>
      </c>
      <c r="AG6" s="232" t="s">
        <v>328</v>
      </c>
      <c r="AH6" s="232" t="s">
        <v>330</v>
      </c>
      <c r="AI6" s="209" t="s">
        <v>205</v>
      </c>
    </row>
    <row r="7" spans="1:35" s="10" customFormat="1" ht="31.5" x14ac:dyDescent="0.25">
      <c r="A7" s="217"/>
      <c r="B7" s="217"/>
      <c r="C7" s="217"/>
      <c r="D7" s="208"/>
      <c r="E7" s="208"/>
      <c r="F7" s="208"/>
      <c r="G7" s="208"/>
      <c r="H7" s="208"/>
      <c r="I7" s="209"/>
      <c r="J7" s="209"/>
      <c r="K7" s="213"/>
      <c r="L7" s="213"/>
      <c r="M7" s="209"/>
      <c r="N7" s="213"/>
      <c r="O7" s="213"/>
      <c r="P7" s="213"/>
      <c r="Q7" s="209"/>
      <c r="R7" s="209"/>
      <c r="S7" s="209"/>
      <c r="T7" s="210"/>
      <c r="U7" s="210"/>
      <c r="V7" s="161" t="s">
        <v>4</v>
      </c>
      <c r="W7" s="161" t="s">
        <v>5</v>
      </c>
      <c r="X7" s="208"/>
      <c r="Y7" s="212"/>
      <c r="Z7" s="208"/>
      <c r="AA7" s="209"/>
      <c r="AB7" s="209"/>
      <c r="AC7" s="209"/>
      <c r="AD7" s="209"/>
      <c r="AE7" s="209"/>
      <c r="AF7" s="209"/>
      <c r="AG7" s="233"/>
      <c r="AH7" s="233"/>
      <c r="AI7" s="209"/>
    </row>
    <row r="8" spans="1:35" s="10" customFormat="1" ht="31.5" x14ac:dyDescent="0.25">
      <c r="A8" s="44">
        <v>1</v>
      </c>
      <c r="B8" s="216" t="s">
        <v>207</v>
      </c>
      <c r="C8" s="141" t="s">
        <v>208</v>
      </c>
      <c r="D8" s="128" t="s">
        <v>291</v>
      </c>
      <c r="E8" s="128" t="s">
        <v>221</v>
      </c>
      <c r="F8" s="169"/>
      <c r="G8" s="60">
        <v>46203</v>
      </c>
      <c r="H8" s="76" t="str">
        <f>DATEDIF(F8,G8+1,"y") &amp; " năm " &amp; DATEDIF(F8,G8+1,"ym") &amp; " tháng "</f>
        <v xml:space="preserve">126 năm 6 tháng </v>
      </c>
      <c r="I8" s="169">
        <v>35529</v>
      </c>
      <c r="J8" s="137" t="s">
        <v>287</v>
      </c>
      <c r="K8" s="142">
        <v>44734</v>
      </c>
      <c r="L8" s="142"/>
      <c r="M8" s="44" t="s">
        <v>236</v>
      </c>
      <c r="N8" s="137" t="s">
        <v>292</v>
      </c>
      <c r="O8" s="143" t="s">
        <v>286</v>
      </c>
      <c r="P8" s="144"/>
      <c r="Q8" s="145"/>
      <c r="R8" s="145"/>
      <c r="S8" s="146">
        <v>5601262522</v>
      </c>
      <c r="T8" s="44" t="s">
        <v>227</v>
      </c>
      <c r="U8" s="44" t="s">
        <v>77</v>
      </c>
      <c r="V8" s="49"/>
      <c r="W8" s="48"/>
      <c r="X8" s="139">
        <f>VLOOKUP(C8,'[9]LUONG T05.2026'!$B$12:$G$16,6,0)</f>
        <v>28560000</v>
      </c>
      <c r="Y8" s="44"/>
      <c r="Z8" s="44" t="s">
        <v>87</v>
      </c>
      <c r="AA8" s="44" t="s">
        <v>313</v>
      </c>
      <c r="AB8" s="169"/>
      <c r="AC8" s="49"/>
      <c r="AD8" s="44"/>
      <c r="AE8" s="169"/>
      <c r="AF8" s="169"/>
      <c r="AG8" s="47"/>
      <c r="AH8" s="47"/>
      <c r="AI8" s="145"/>
    </row>
    <row r="9" spans="1:35" s="10" customFormat="1" ht="31.5" x14ac:dyDescent="0.25">
      <c r="A9" s="29">
        <f>A8+1</f>
        <v>2</v>
      </c>
      <c r="B9" s="207"/>
      <c r="C9" s="125" t="s">
        <v>209</v>
      </c>
      <c r="D9" s="127" t="s">
        <v>291</v>
      </c>
      <c r="E9" s="127" t="s">
        <v>222</v>
      </c>
      <c r="F9" s="169">
        <v>41610</v>
      </c>
      <c r="G9" s="61">
        <v>46203</v>
      </c>
      <c r="H9" s="62" t="str">
        <f t="shared" ref="H9:H19" si="0">DATEDIF(F9,G9+1,"y") &amp; " năm " &amp; DATEDIF(F9,G9+1,"ym") &amp; " tháng "</f>
        <v xml:space="preserve">12 năm 6 tháng </v>
      </c>
      <c r="I9" s="169">
        <v>28581</v>
      </c>
      <c r="J9" s="103" t="s">
        <v>255</v>
      </c>
      <c r="K9" s="95">
        <v>45981</v>
      </c>
      <c r="L9" s="95"/>
      <c r="M9" s="29" t="s">
        <v>237</v>
      </c>
      <c r="N9" s="103" t="s">
        <v>300</v>
      </c>
      <c r="O9" s="133" t="s">
        <v>285</v>
      </c>
      <c r="P9" s="86"/>
      <c r="Q9" s="102"/>
      <c r="R9" s="102"/>
      <c r="S9" s="135" t="s">
        <v>274</v>
      </c>
      <c r="T9" s="129" t="s">
        <v>228</v>
      </c>
      <c r="U9" s="29" t="s">
        <v>76</v>
      </c>
      <c r="V9" s="1"/>
      <c r="W9" s="15"/>
      <c r="X9" s="132">
        <f>VLOOKUP(C9,'[9]LUONG T05.2026'!$B$12:$G$16,6,0)</f>
        <v>18240000</v>
      </c>
      <c r="Y9" s="136" t="s">
        <v>265</v>
      </c>
      <c r="Z9" s="29" t="s">
        <v>10</v>
      </c>
      <c r="AA9" s="44" t="s">
        <v>313</v>
      </c>
      <c r="AB9" s="169"/>
      <c r="AC9" s="49"/>
      <c r="AD9" s="44"/>
      <c r="AE9" s="169"/>
      <c r="AF9" s="169"/>
      <c r="AG9" s="47"/>
      <c r="AH9" s="47"/>
      <c r="AI9" s="102"/>
    </row>
    <row r="10" spans="1:35" s="10" customFormat="1" ht="31.5" x14ac:dyDescent="0.25">
      <c r="A10" s="29">
        <f t="shared" ref="A10:A19" si="1">A9+1</f>
        <v>3</v>
      </c>
      <c r="B10" s="207"/>
      <c r="C10" s="125" t="s">
        <v>210</v>
      </c>
      <c r="D10" s="127" t="s">
        <v>288</v>
      </c>
      <c r="E10" s="127" t="s">
        <v>223</v>
      </c>
      <c r="F10" s="169">
        <v>46146</v>
      </c>
      <c r="G10" s="61">
        <v>46203</v>
      </c>
      <c r="H10" s="62" t="str">
        <f t="shared" si="0"/>
        <v xml:space="preserve">0 năm 1 tháng </v>
      </c>
      <c r="I10" s="169">
        <v>37039</v>
      </c>
      <c r="J10" s="103">
        <v>48301007140</v>
      </c>
      <c r="K10" s="95">
        <v>44753</v>
      </c>
      <c r="L10" s="95"/>
      <c r="M10" s="29" t="s">
        <v>238</v>
      </c>
      <c r="N10" s="103" t="s">
        <v>295</v>
      </c>
      <c r="O10" s="133" t="s">
        <v>286</v>
      </c>
      <c r="P10" s="86"/>
      <c r="Q10" s="102"/>
      <c r="R10" s="102"/>
      <c r="S10" s="135" t="s">
        <v>275</v>
      </c>
      <c r="T10" s="129" t="s">
        <v>229</v>
      </c>
      <c r="U10" s="29" t="s">
        <v>76</v>
      </c>
      <c r="V10" s="1"/>
      <c r="W10" s="15"/>
      <c r="X10" s="132">
        <f>VLOOKUP(C10,'[9]LUONG T05.2026'!$B$12:$G$16,6,0)</f>
        <v>12000000</v>
      </c>
      <c r="Y10" s="136" t="s">
        <v>301</v>
      </c>
      <c r="Z10" s="29" t="s">
        <v>298</v>
      </c>
      <c r="AA10" s="44" t="s">
        <v>314</v>
      </c>
      <c r="AB10" s="169">
        <v>46146</v>
      </c>
      <c r="AC10" s="44" t="s">
        <v>331</v>
      </c>
      <c r="AD10" s="44"/>
      <c r="AE10" s="169"/>
      <c r="AF10" s="169">
        <v>46510</v>
      </c>
      <c r="AG10" s="47"/>
      <c r="AH10" s="47"/>
      <c r="AI10" s="102"/>
    </row>
    <row r="11" spans="1:35" s="10" customFormat="1" ht="31.5" x14ac:dyDescent="0.25">
      <c r="A11" s="29">
        <f t="shared" si="1"/>
        <v>4</v>
      </c>
      <c r="B11" s="207"/>
      <c r="C11" s="125" t="s">
        <v>211</v>
      </c>
      <c r="D11" s="127" t="s">
        <v>289</v>
      </c>
      <c r="E11" s="127" t="s">
        <v>224</v>
      </c>
      <c r="F11" s="169">
        <v>45597</v>
      </c>
      <c r="G11" s="61">
        <v>46203</v>
      </c>
      <c r="H11" s="62" t="str">
        <f t="shared" si="0"/>
        <v xml:space="preserve">1 năm 8 tháng </v>
      </c>
      <c r="I11" s="169">
        <v>33042</v>
      </c>
      <c r="J11" s="103" t="s">
        <v>256</v>
      </c>
      <c r="K11" s="95">
        <v>44923</v>
      </c>
      <c r="L11" s="95"/>
      <c r="M11" s="29" t="s">
        <v>239</v>
      </c>
      <c r="N11" s="103" t="s">
        <v>293</v>
      </c>
      <c r="O11" s="133" t="s">
        <v>286</v>
      </c>
      <c r="P11" s="86"/>
      <c r="Q11" s="102"/>
      <c r="R11" s="102"/>
      <c r="S11" s="135" t="s">
        <v>276</v>
      </c>
      <c r="T11" s="129" t="s">
        <v>230</v>
      </c>
      <c r="U11" s="29" t="s">
        <v>76</v>
      </c>
      <c r="V11" s="1"/>
      <c r="W11" s="15"/>
      <c r="X11" s="132">
        <f>VLOOKUP(C11,'[9]LUONG T05.2026'!$B$12:$G$16,6,0)</f>
        <v>12500000</v>
      </c>
      <c r="Y11" s="136" t="s">
        <v>266</v>
      </c>
      <c r="Z11" s="29" t="s">
        <v>7</v>
      </c>
      <c r="AA11" s="44" t="s">
        <v>313</v>
      </c>
      <c r="AB11" s="169">
        <v>45966</v>
      </c>
      <c r="AC11" s="44" t="s">
        <v>327</v>
      </c>
      <c r="AD11" s="44" t="s">
        <v>326</v>
      </c>
      <c r="AE11" s="169">
        <v>46113</v>
      </c>
      <c r="AF11" s="169"/>
      <c r="AG11" s="47"/>
      <c r="AH11" s="47"/>
      <c r="AI11" s="102"/>
    </row>
    <row r="12" spans="1:35" s="10" customFormat="1" ht="31.5" x14ac:dyDescent="0.25">
      <c r="A12" s="29">
        <f t="shared" si="1"/>
        <v>5</v>
      </c>
      <c r="B12" s="207"/>
      <c r="C12" s="125" t="s">
        <v>212</v>
      </c>
      <c r="D12" s="127" t="s">
        <v>288</v>
      </c>
      <c r="E12" s="127" t="s">
        <v>290</v>
      </c>
      <c r="F12" s="169">
        <v>46007</v>
      </c>
      <c r="G12" s="61">
        <v>46203</v>
      </c>
      <c r="H12" s="62" t="str">
        <f t="shared" si="0"/>
        <v xml:space="preserve">0 năm 6 tháng </v>
      </c>
      <c r="I12" s="169">
        <v>32513</v>
      </c>
      <c r="J12" s="103" t="s">
        <v>257</v>
      </c>
      <c r="K12" s="61">
        <v>44467</v>
      </c>
      <c r="L12" s="61"/>
      <c r="M12" s="29" t="s">
        <v>240</v>
      </c>
      <c r="N12" s="103" t="s">
        <v>294</v>
      </c>
      <c r="O12" s="133" t="s">
        <v>286</v>
      </c>
      <c r="P12" s="86"/>
      <c r="Q12" s="102"/>
      <c r="R12" s="102"/>
      <c r="S12" s="135" t="s">
        <v>277</v>
      </c>
      <c r="T12" s="29" t="s">
        <v>231</v>
      </c>
      <c r="U12" s="29" t="s">
        <v>76</v>
      </c>
      <c r="V12" s="1"/>
      <c r="W12" s="15"/>
      <c r="X12" s="132">
        <f>VLOOKUP(C12,'[9]LUONG T05.2026'!$B$12:$G$16,6,0)</f>
        <v>8000000</v>
      </c>
      <c r="Y12" s="137" t="s">
        <v>267</v>
      </c>
      <c r="Z12" s="29" t="s">
        <v>298</v>
      </c>
      <c r="AA12" s="44" t="s">
        <v>314</v>
      </c>
      <c r="AB12" s="169" t="s">
        <v>323</v>
      </c>
      <c r="AC12" s="44" t="s">
        <v>329</v>
      </c>
      <c r="AD12" s="44"/>
      <c r="AE12" s="169"/>
      <c r="AF12" s="169">
        <v>46402</v>
      </c>
      <c r="AG12" s="47"/>
      <c r="AH12" s="47"/>
      <c r="AI12" s="102"/>
    </row>
    <row r="13" spans="1:35" s="10" customFormat="1" ht="44.1" customHeight="1" x14ac:dyDescent="0.25">
      <c r="A13" s="29">
        <f t="shared" si="1"/>
        <v>6</v>
      </c>
      <c r="B13" s="207" t="s">
        <v>213</v>
      </c>
      <c r="C13" s="125" t="s">
        <v>214</v>
      </c>
      <c r="D13" s="125"/>
      <c r="E13" s="127" t="s">
        <v>225</v>
      </c>
      <c r="F13" s="169">
        <v>45791</v>
      </c>
      <c r="G13" s="61">
        <v>46203</v>
      </c>
      <c r="H13" s="62" t="str">
        <f>DATEDIF(F13,G13+1,"y") &amp; " năm " &amp; DATEDIF(F13,G13+1,"ym") &amp; " tháng "</f>
        <v xml:space="preserve">1 năm 1 tháng </v>
      </c>
      <c r="I13" s="169">
        <v>27115</v>
      </c>
      <c r="J13" s="103" t="s">
        <v>258</v>
      </c>
      <c r="K13" s="95">
        <v>45222</v>
      </c>
      <c r="L13" s="95"/>
      <c r="M13" s="29" t="s">
        <v>241</v>
      </c>
      <c r="N13" s="103" t="s">
        <v>248</v>
      </c>
      <c r="O13" s="133" t="s">
        <v>285</v>
      </c>
      <c r="P13" s="86"/>
      <c r="Q13" s="102"/>
      <c r="R13" s="102"/>
      <c r="S13" s="135" t="s">
        <v>278</v>
      </c>
      <c r="T13" s="29" t="s">
        <v>73</v>
      </c>
      <c r="U13" s="29" t="s">
        <v>89</v>
      </c>
      <c r="V13" s="1"/>
      <c r="W13" s="15"/>
      <c r="X13" s="132">
        <f>VLOOKUP(C13,'[9]LUONG T05.2026'!B$18:G$24,6,0)</f>
        <v>7340000</v>
      </c>
      <c r="Y13" s="137" t="s">
        <v>268</v>
      </c>
      <c r="Z13" s="29" t="s">
        <v>7</v>
      </c>
      <c r="AA13" s="44" t="s">
        <v>313</v>
      </c>
      <c r="AB13" s="169">
        <v>45778</v>
      </c>
      <c r="AC13" s="130"/>
      <c r="AD13" s="170"/>
      <c r="AE13" s="169"/>
      <c r="AF13" s="169"/>
      <c r="AG13" s="123"/>
      <c r="AH13" s="123"/>
      <c r="AI13" s="102"/>
    </row>
    <row r="14" spans="1:35" s="10" customFormat="1" ht="31.5" x14ac:dyDescent="0.25">
      <c r="A14" s="29">
        <f t="shared" si="1"/>
        <v>7</v>
      </c>
      <c r="B14" s="207"/>
      <c r="C14" s="125" t="s">
        <v>215</v>
      </c>
      <c r="D14" s="125"/>
      <c r="E14" s="127" t="s">
        <v>225</v>
      </c>
      <c r="F14" s="169">
        <v>45061</v>
      </c>
      <c r="G14" s="61">
        <v>46203</v>
      </c>
      <c r="H14" s="62" t="str">
        <f t="shared" si="0"/>
        <v xml:space="preserve">3 năm 1 tháng </v>
      </c>
      <c r="I14" s="169">
        <v>35166</v>
      </c>
      <c r="J14" s="103" t="s">
        <v>259</v>
      </c>
      <c r="K14" s="95">
        <v>44939</v>
      </c>
      <c r="L14" s="95"/>
      <c r="M14" s="29" t="s">
        <v>242</v>
      </c>
      <c r="N14" s="103" t="s">
        <v>249</v>
      </c>
      <c r="O14" s="133" t="s">
        <v>286</v>
      </c>
      <c r="P14" s="86"/>
      <c r="Q14" s="102"/>
      <c r="R14" s="102"/>
      <c r="S14" s="135" t="s">
        <v>279</v>
      </c>
      <c r="T14" s="29" t="s">
        <v>232</v>
      </c>
      <c r="U14" s="29" t="s">
        <v>88</v>
      </c>
      <c r="V14" s="1"/>
      <c r="W14" s="15"/>
      <c r="X14" s="132">
        <f>VLOOKUP(C14,'[9]LUONG T05.2026'!B$18:G$24,6,0)</f>
        <v>6930000</v>
      </c>
      <c r="Y14" s="137" t="s">
        <v>269</v>
      </c>
      <c r="Z14" s="29" t="s">
        <v>7</v>
      </c>
      <c r="AA14" s="44" t="s">
        <v>313</v>
      </c>
      <c r="AB14" s="169">
        <v>45122</v>
      </c>
      <c r="AC14" s="130"/>
      <c r="AD14" s="170"/>
      <c r="AE14" s="169"/>
      <c r="AF14" s="169"/>
      <c r="AG14" s="123"/>
      <c r="AH14" s="123"/>
      <c r="AI14" s="102"/>
    </row>
    <row r="15" spans="1:35" s="10" customFormat="1" ht="31.5" x14ac:dyDescent="0.25">
      <c r="A15" s="29">
        <f t="shared" si="1"/>
        <v>8</v>
      </c>
      <c r="B15" s="207"/>
      <c r="C15" s="126" t="s">
        <v>216</v>
      </c>
      <c r="D15" s="126"/>
      <c r="E15" s="131" t="s">
        <v>29</v>
      </c>
      <c r="F15" s="169">
        <v>42841</v>
      </c>
      <c r="G15" s="61">
        <v>46203</v>
      </c>
      <c r="H15" s="62" t="str">
        <f t="shared" si="0"/>
        <v xml:space="preserve">9 năm 2 tháng </v>
      </c>
      <c r="I15" s="169">
        <v>27206</v>
      </c>
      <c r="J15" s="103" t="s">
        <v>260</v>
      </c>
      <c r="K15" s="95">
        <v>44552</v>
      </c>
      <c r="L15" s="95"/>
      <c r="M15" s="29" t="s">
        <v>243</v>
      </c>
      <c r="N15" s="103" t="s">
        <v>250</v>
      </c>
      <c r="O15" s="133" t="s">
        <v>286</v>
      </c>
      <c r="P15" s="86"/>
      <c r="Q15" s="102"/>
      <c r="R15" s="102"/>
      <c r="S15" s="135" t="s">
        <v>280</v>
      </c>
      <c r="T15" s="29" t="s">
        <v>233</v>
      </c>
      <c r="U15" s="29" t="s">
        <v>234</v>
      </c>
      <c r="V15" s="1"/>
      <c r="W15" s="15"/>
      <c r="X15" s="132">
        <f>VLOOKUP(C15,'[9]LUONG T05.2026'!B$18:G$24,6,0)</f>
        <v>4730000</v>
      </c>
      <c r="Y15" s="138">
        <v>46023</v>
      </c>
      <c r="Z15" s="29" t="s">
        <v>7</v>
      </c>
      <c r="AA15" s="44" t="s">
        <v>313</v>
      </c>
      <c r="AB15" s="169">
        <v>42806</v>
      </c>
      <c r="AC15" s="49"/>
      <c r="AD15" s="44"/>
      <c r="AE15" s="169"/>
      <c r="AF15" s="169"/>
      <c r="AG15" s="47"/>
      <c r="AH15" s="47"/>
      <c r="AI15" s="102"/>
    </row>
    <row r="16" spans="1:35" s="10" customFormat="1" ht="44.1" customHeight="1" x14ac:dyDescent="0.25">
      <c r="A16" s="29">
        <f t="shared" si="1"/>
        <v>9</v>
      </c>
      <c r="B16" s="207"/>
      <c r="C16" s="126" t="s">
        <v>217</v>
      </c>
      <c r="D16" s="126"/>
      <c r="E16" s="131" t="s">
        <v>226</v>
      </c>
      <c r="F16" s="169">
        <v>42842</v>
      </c>
      <c r="G16" s="61">
        <v>46203</v>
      </c>
      <c r="H16" s="62" t="str">
        <f t="shared" si="0"/>
        <v xml:space="preserve">9 năm 2 tháng </v>
      </c>
      <c r="I16" s="169">
        <v>24893</v>
      </c>
      <c r="J16" s="103" t="s">
        <v>261</v>
      </c>
      <c r="K16" s="95">
        <v>44320</v>
      </c>
      <c r="L16" s="95"/>
      <c r="M16" s="29" t="s">
        <v>244</v>
      </c>
      <c r="N16" s="103" t="s">
        <v>251</v>
      </c>
      <c r="O16" s="133" t="s">
        <v>286</v>
      </c>
      <c r="P16" s="86"/>
      <c r="Q16" s="102"/>
      <c r="R16" s="102"/>
      <c r="S16" s="135" t="s">
        <v>281</v>
      </c>
      <c r="T16" s="29" t="s">
        <v>233</v>
      </c>
      <c r="U16" s="29" t="s">
        <v>234</v>
      </c>
      <c r="V16" s="1"/>
      <c r="W16" s="15"/>
      <c r="X16" s="132">
        <f>VLOOKUP(C16,'[9]LUONG T05.2026'!B$18:G$24,6,0)</f>
        <v>6220000</v>
      </c>
      <c r="Y16" s="137" t="s">
        <v>270</v>
      </c>
      <c r="Z16" s="29" t="s">
        <v>7</v>
      </c>
      <c r="AA16" s="44" t="s">
        <v>313</v>
      </c>
      <c r="AB16" s="169">
        <v>42962</v>
      </c>
      <c r="AC16" s="49"/>
      <c r="AD16" s="44"/>
      <c r="AE16" s="169"/>
      <c r="AF16" s="169"/>
      <c r="AG16" s="47"/>
      <c r="AH16" s="47"/>
      <c r="AI16" s="102"/>
    </row>
    <row r="17" spans="1:35" s="10" customFormat="1" ht="44.1" customHeight="1" x14ac:dyDescent="0.25">
      <c r="A17" s="29">
        <f t="shared" si="1"/>
        <v>10</v>
      </c>
      <c r="B17" s="207"/>
      <c r="C17" s="126" t="s">
        <v>218</v>
      </c>
      <c r="D17" s="126"/>
      <c r="E17" s="131" t="s">
        <v>28</v>
      </c>
      <c r="F17" s="169">
        <v>44805</v>
      </c>
      <c r="G17" s="61">
        <v>46203</v>
      </c>
      <c r="H17" s="62" t="str">
        <f t="shared" si="0"/>
        <v xml:space="preserve">3 năm 10 tháng </v>
      </c>
      <c r="I17" s="169">
        <v>26191</v>
      </c>
      <c r="J17" s="103" t="s">
        <v>262</v>
      </c>
      <c r="K17" s="95">
        <v>44317</v>
      </c>
      <c r="L17" s="95"/>
      <c r="M17" s="29" t="s">
        <v>245</v>
      </c>
      <c r="N17" s="103" t="s">
        <v>252</v>
      </c>
      <c r="O17" s="133" t="s">
        <v>286</v>
      </c>
      <c r="P17" s="86"/>
      <c r="Q17" s="102"/>
      <c r="R17" s="102"/>
      <c r="S17" s="135" t="s">
        <v>282</v>
      </c>
      <c r="T17" s="29" t="s">
        <v>233</v>
      </c>
      <c r="U17" s="29" t="s">
        <v>234</v>
      </c>
      <c r="V17" s="1"/>
      <c r="W17" s="15"/>
      <c r="X17" s="132">
        <f>VLOOKUP(C17,'[9]LUONG T05.2026'!B$18:G$24,6,0)</f>
        <v>5060000</v>
      </c>
      <c r="Y17" s="137" t="s">
        <v>271</v>
      </c>
      <c r="Z17" s="29" t="s">
        <v>7</v>
      </c>
      <c r="AA17" s="44" t="s">
        <v>313</v>
      </c>
      <c r="AB17" s="169">
        <v>44805</v>
      </c>
      <c r="AC17" s="60"/>
      <c r="AD17" s="138"/>
      <c r="AE17" s="169"/>
      <c r="AF17" s="169"/>
      <c r="AG17" s="124"/>
      <c r="AH17" s="124"/>
      <c r="AI17" s="102"/>
    </row>
    <row r="18" spans="1:35" s="10" customFormat="1" ht="31.5" x14ac:dyDescent="0.25">
      <c r="A18" s="29">
        <f t="shared" si="1"/>
        <v>11</v>
      </c>
      <c r="B18" s="207"/>
      <c r="C18" s="126" t="s">
        <v>219</v>
      </c>
      <c r="D18" s="126"/>
      <c r="E18" s="131" t="s">
        <v>28</v>
      </c>
      <c r="F18" s="169">
        <v>42844</v>
      </c>
      <c r="G18" s="61">
        <v>46203</v>
      </c>
      <c r="H18" s="62" t="str">
        <f t="shared" si="0"/>
        <v xml:space="preserve">9 năm 2 tháng </v>
      </c>
      <c r="I18" s="169">
        <v>24355</v>
      </c>
      <c r="J18" s="103" t="s">
        <v>263</v>
      </c>
      <c r="K18" s="95">
        <v>45264</v>
      </c>
      <c r="L18" s="95"/>
      <c r="M18" s="29" t="s">
        <v>246</v>
      </c>
      <c r="N18" s="103" t="s">
        <v>253</v>
      </c>
      <c r="O18" s="133" t="s">
        <v>286</v>
      </c>
      <c r="P18" s="86"/>
      <c r="Q18" s="83"/>
      <c r="R18" s="83"/>
      <c r="S18" s="135" t="s">
        <v>283</v>
      </c>
      <c r="T18" s="29" t="s">
        <v>233</v>
      </c>
      <c r="U18" s="29" t="s">
        <v>234</v>
      </c>
      <c r="V18" s="1"/>
      <c r="W18" s="15"/>
      <c r="X18" s="132">
        <f>VLOOKUP(C18,'[9]LUONG T05.2026'!B$18:G$24,6,0)</f>
        <v>5060000</v>
      </c>
      <c r="Y18" s="137" t="s">
        <v>272</v>
      </c>
      <c r="Z18" s="29" t="s">
        <v>7</v>
      </c>
      <c r="AA18" s="44" t="s">
        <v>313</v>
      </c>
      <c r="AB18" s="169">
        <v>42778</v>
      </c>
      <c r="AC18" s="49"/>
      <c r="AD18" s="44"/>
      <c r="AE18" s="169"/>
      <c r="AF18" s="169"/>
      <c r="AG18" s="47"/>
      <c r="AH18" s="47"/>
      <c r="AI18" s="83"/>
    </row>
    <row r="19" spans="1:35" s="10" customFormat="1" ht="31.5" x14ac:dyDescent="0.25">
      <c r="A19" s="29">
        <f t="shared" si="1"/>
        <v>12</v>
      </c>
      <c r="B19" s="207"/>
      <c r="C19" s="126" t="s">
        <v>220</v>
      </c>
      <c r="D19" s="126"/>
      <c r="E19" s="131" t="s">
        <v>28</v>
      </c>
      <c r="F19" s="169">
        <v>42845</v>
      </c>
      <c r="G19" s="61">
        <v>46203</v>
      </c>
      <c r="H19" s="62" t="str">
        <f t="shared" si="0"/>
        <v xml:space="preserve">9 năm 2 tháng </v>
      </c>
      <c r="I19" s="169">
        <v>25711</v>
      </c>
      <c r="J19" s="103" t="s">
        <v>264</v>
      </c>
      <c r="K19" s="95">
        <v>45075</v>
      </c>
      <c r="L19" s="95"/>
      <c r="M19" s="29" t="s">
        <v>247</v>
      </c>
      <c r="N19" s="103" t="s">
        <v>254</v>
      </c>
      <c r="O19" s="133" t="s">
        <v>286</v>
      </c>
      <c r="P19" s="86"/>
      <c r="Q19" s="91"/>
      <c r="R19" s="91"/>
      <c r="S19" s="135" t="s">
        <v>284</v>
      </c>
      <c r="T19" s="29" t="s">
        <v>233</v>
      </c>
      <c r="U19" s="29" t="s">
        <v>234</v>
      </c>
      <c r="V19" s="1"/>
      <c r="W19" s="15"/>
      <c r="X19" s="132">
        <f>VLOOKUP(C19,'[9]LUONG T05.2026'!B$18:G$24,6,0)</f>
        <v>5620000</v>
      </c>
      <c r="Y19" s="137" t="s">
        <v>273</v>
      </c>
      <c r="Z19" s="29" t="s">
        <v>7</v>
      </c>
      <c r="AA19" s="44" t="s">
        <v>313</v>
      </c>
      <c r="AB19" s="169">
        <v>43019</v>
      </c>
      <c r="AC19" s="49"/>
      <c r="AD19" s="44"/>
      <c r="AE19" s="169"/>
      <c r="AF19" s="169"/>
      <c r="AG19" s="47"/>
      <c r="AH19" s="47"/>
      <c r="AI19" s="91"/>
    </row>
    <row r="20" spans="1:35" s="7" customFormat="1" ht="15" customHeight="1" x14ac:dyDescent="0.2">
      <c r="A20" s="5"/>
      <c r="B20" s="9"/>
      <c r="C20" s="112"/>
      <c r="D20" s="112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53"/>
      <c r="U20" s="53"/>
      <c r="V20" s="30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107"/>
    </row>
    <row r="21" spans="1:35" s="7" customFormat="1" ht="15" customHeight="1" x14ac:dyDescent="0.2">
      <c r="B21" s="40"/>
      <c r="C21" s="23"/>
      <c r="D21" s="2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171"/>
      <c r="AH21" s="171"/>
      <c r="AI21" s="107"/>
    </row>
    <row r="22" spans="1:35" s="7" customFormat="1" ht="15" customHeight="1" x14ac:dyDescent="0.2">
      <c r="B22" s="40"/>
      <c r="C22" s="23"/>
      <c r="D22" s="23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43"/>
      <c r="U22" s="43"/>
      <c r="V22" s="32"/>
      <c r="W22" s="8"/>
      <c r="X22" s="8"/>
      <c r="Y22" s="8"/>
      <c r="Z22" s="8"/>
      <c r="AA22" s="8"/>
      <c r="AB22" s="8"/>
      <c r="AC22" s="8"/>
      <c r="AD22" s="8"/>
      <c r="AE22" s="8"/>
      <c r="AF22" s="8"/>
      <c r="AI22" s="107"/>
    </row>
    <row r="23" spans="1:35" s="7" customFormat="1" ht="15" customHeight="1" x14ac:dyDescent="0.2">
      <c r="B23" s="40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55"/>
      <c r="U23" s="55"/>
      <c r="V23" s="32"/>
      <c r="W23" s="8"/>
      <c r="X23" s="8"/>
      <c r="Y23" s="8"/>
      <c r="Z23" s="8"/>
      <c r="AA23" s="8"/>
      <c r="AB23" s="8"/>
      <c r="AC23" s="8"/>
      <c r="AD23" s="8"/>
      <c r="AE23" s="8"/>
      <c r="AF23" s="8"/>
      <c r="AI23" s="107"/>
    </row>
    <row r="24" spans="1:35" s="7" customFormat="1" ht="15" customHeight="1" x14ac:dyDescent="0.2">
      <c r="B24" s="40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56"/>
      <c r="U24" s="56"/>
      <c r="V24" s="33"/>
      <c r="AI24" s="107"/>
    </row>
    <row r="25" spans="1:35" s="7" customFormat="1" ht="15" customHeight="1" x14ac:dyDescent="0.2">
      <c r="B25" s="40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56"/>
      <c r="U25" s="56"/>
      <c r="V25" s="33"/>
      <c r="AI25" s="107"/>
    </row>
    <row r="26" spans="1:35" s="7" customFormat="1" ht="15" customHeight="1" x14ac:dyDescent="0.2">
      <c r="B26" s="40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56"/>
      <c r="U26" s="56"/>
      <c r="V26" s="33"/>
      <c r="AI26" s="107"/>
    </row>
    <row r="27" spans="1:35" s="4" customFormat="1" ht="15" customHeight="1" x14ac:dyDescent="0.25">
      <c r="B27" s="41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57"/>
      <c r="U27" s="57"/>
      <c r="V27" s="34"/>
      <c r="W27" s="11"/>
      <c r="X27" s="11"/>
      <c r="Y27" s="11"/>
      <c r="Z27" s="10"/>
      <c r="AA27" s="10"/>
      <c r="AB27" s="10"/>
      <c r="AC27" s="10"/>
      <c r="AD27" s="10"/>
      <c r="AE27" s="10"/>
      <c r="AF27" s="10"/>
      <c r="AG27" s="10"/>
      <c r="AH27" s="10"/>
      <c r="AI27" s="108"/>
    </row>
    <row r="28" spans="1:35" s="7" customFormat="1" ht="15" customHeight="1" x14ac:dyDescent="0.25">
      <c r="B28" s="40"/>
      <c r="C28" s="113"/>
      <c r="D28" s="11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12"/>
      <c r="AH28" s="12"/>
      <c r="AI28" s="107"/>
    </row>
    <row r="29" spans="1:35" s="7" customFormat="1" ht="15" customHeight="1" x14ac:dyDescent="0.25">
      <c r="B29" s="40"/>
      <c r="C29" s="113"/>
      <c r="D29" s="113"/>
      <c r="T29" s="58"/>
      <c r="U29" s="58"/>
      <c r="V29" s="12"/>
      <c r="W29" s="14"/>
      <c r="X29" s="14"/>
      <c r="Y29" s="14"/>
      <c r="Z29" s="13"/>
      <c r="AA29" s="13"/>
      <c r="AB29" s="13"/>
      <c r="AC29" s="13"/>
      <c r="AD29" s="13"/>
      <c r="AE29" s="13"/>
      <c r="AF29" s="13"/>
      <c r="AG29" s="13"/>
      <c r="AH29" s="13"/>
      <c r="AI29" s="107"/>
    </row>
    <row r="30" spans="1:35" ht="15.75" x14ac:dyDescent="0.25">
      <c r="C30" s="113"/>
      <c r="D30" s="113"/>
      <c r="T30" s="58"/>
      <c r="U30" s="58"/>
      <c r="V30" s="12"/>
      <c r="W30" s="14"/>
      <c r="X30" s="14"/>
      <c r="Y30" s="14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1:35" ht="15.75" x14ac:dyDescent="0.25">
      <c r="C31" s="113"/>
      <c r="D31" s="113"/>
      <c r="T31" s="58"/>
      <c r="U31" s="58"/>
      <c r="V31" s="12"/>
      <c r="W31" s="14"/>
      <c r="X31" s="14"/>
      <c r="Y31" s="14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1:35" ht="15.75" x14ac:dyDescent="0.25">
      <c r="C32" s="113"/>
      <c r="D32" s="113"/>
      <c r="T32" s="58"/>
      <c r="U32" s="58"/>
      <c r="V32" s="12"/>
      <c r="W32" s="14"/>
      <c r="X32" s="14"/>
      <c r="Y32" s="14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1:35" ht="15.75" x14ac:dyDescent="0.25">
      <c r="C33" s="113"/>
      <c r="D33" s="113"/>
      <c r="T33" s="58"/>
      <c r="U33" s="58"/>
      <c r="V33" s="12"/>
      <c r="W33" s="14"/>
      <c r="X33" s="14"/>
      <c r="Y33" s="14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1:35" s="38" customFormat="1" ht="15.75" x14ac:dyDescent="0.25">
      <c r="A34" s="3"/>
      <c r="C34" s="113"/>
      <c r="D34" s="113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58"/>
      <c r="U34" s="58"/>
      <c r="V34" s="12"/>
      <c r="W34" s="14"/>
      <c r="X34" s="14"/>
      <c r="Y34" s="14"/>
      <c r="Z34" s="13"/>
      <c r="AA34" s="13"/>
      <c r="AB34" s="13"/>
      <c r="AC34" s="13"/>
      <c r="AD34" s="13"/>
      <c r="AE34" s="13"/>
      <c r="AF34" s="13"/>
      <c r="AG34" s="13"/>
      <c r="AH34" s="13"/>
      <c r="AI34" s="101"/>
    </row>
    <row r="35" spans="1:35" s="38" customFormat="1" ht="15.75" x14ac:dyDescent="0.25">
      <c r="A35" s="3"/>
      <c r="B35" s="243"/>
      <c r="C35" s="243"/>
      <c r="D35" s="122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12"/>
      <c r="AH35" s="12"/>
      <c r="AI35" s="101"/>
    </row>
    <row r="38" spans="1:35" s="38" customFormat="1" ht="24.95" customHeight="1" x14ac:dyDescent="0.25">
      <c r="A38" s="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59"/>
      <c r="U38" s="59"/>
      <c r="V38" s="35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101"/>
    </row>
  </sheetData>
  <mergeCells count="50">
    <mergeCell ref="B13:B19"/>
    <mergeCell ref="G6:G7"/>
    <mergeCell ref="AD6:AD7"/>
    <mergeCell ref="Q6:Q7"/>
    <mergeCell ref="M6:M7"/>
    <mergeCell ref="N6:N7"/>
    <mergeCell ref="AA6:AA7"/>
    <mergeCell ref="T6:T7"/>
    <mergeCell ref="U6:U7"/>
    <mergeCell ref="Y6:Y7"/>
    <mergeCell ref="AI6:AI7"/>
    <mergeCell ref="P6:P7"/>
    <mergeCell ref="O6:O7"/>
    <mergeCell ref="B8:B12"/>
    <mergeCell ref="AE6:AE7"/>
    <mergeCell ref="AG6:AG7"/>
    <mergeCell ref="AH6:AH7"/>
    <mergeCell ref="R6:R7"/>
    <mergeCell ref="B35:C35"/>
    <mergeCell ref="T35:U35"/>
    <mergeCell ref="V35:AF35"/>
    <mergeCell ref="AC6:AC7"/>
    <mergeCell ref="AB6:AB7"/>
    <mergeCell ref="AF6:AF7"/>
    <mergeCell ref="X6:X7"/>
    <mergeCell ref="S6:S7"/>
    <mergeCell ref="E21:AF21"/>
    <mergeCell ref="T28:U28"/>
    <mergeCell ref="V28:AF28"/>
    <mergeCell ref="F6:F7"/>
    <mergeCell ref="H6:H7"/>
    <mergeCell ref="V6:W6"/>
    <mergeCell ref="Z6:Z7"/>
    <mergeCell ref="A6:A7"/>
    <mergeCell ref="B6:B7"/>
    <mergeCell ref="C6:C7"/>
    <mergeCell ref="E6:E7"/>
    <mergeCell ref="L6:L7"/>
    <mergeCell ref="K6:K7"/>
    <mergeCell ref="D6:D7"/>
    <mergeCell ref="I6:I7"/>
    <mergeCell ref="J6:J7"/>
    <mergeCell ref="I5:S5"/>
    <mergeCell ref="T5:U5"/>
    <mergeCell ref="D5:H5"/>
    <mergeCell ref="X5:Z5"/>
    <mergeCell ref="A3:AF3"/>
    <mergeCell ref="AA5:AI5"/>
    <mergeCell ref="V5:W5"/>
    <mergeCell ref="A5:C5"/>
  </mergeCells>
  <conditionalFormatting sqref="B8">
    <cfRule type="duplicateValues" dxfId="19" priority="7"/>
    <cfRule type="duplicateValues" dxfId="18" priority="8"/>
  </conditionalFormatting>
  <conditionalFormatting sqref="B13">
    <cfRule type="duplicateValues" dxfId="17" priority="5"/>
    <cfRule type="duplicateValues" dxfId="16" priority="6"/>
  </conditionalFormatting>
  <conditionalFormatting sqref="C11">
    <cfRule type="duplicateValues" dxfId="15" priority="9"/>
    <cfRule type="duplicateValues" dxfId="14" priority="10"/>
    <cfRule type="duplicateValues" dxfId="13" priority="11"/>
    <cfRule type="duplicateValues" dxfId="12" priority="12"/>
  </conditionalFormatting>
  <conditionalFormatting sqref="C13:D13 C8:C10 C12">
    <cfRule type="duplicateValues" dxfId="11" priority="13"/>
    <cfRule type="duplicateValues" dxfId="10" priority="14"/>
    <cfRule type="duplicateValues" dxfId="9" priority="15"/>
    <cfRule type="duplicateValues" dxfId="8" priority="16"/>
  </conditionalFormatting>
  <conditionalFormatting sqref="C14:D17 C19:D19">
    <cfRule type="duplicateValues" dxfId="7" priority="17"/>
    <cfRule type="duplicateValues" dxfId="6" priority="18"/>
    <cfRule type="duplicateValues" dxfId="5" priority="19"/>
    <cfRule type="duplicateValues" dxfId="4" priority="20"/>
  </conditionalFormatting>
  <conditionalFormatting sqref="C18:D18">
    <cfRule type="duplicateValues" dxfId="3" priority="1"/>
    <cfRule type="duplicateValues" dxfId="2" priority="2"/>
    <cfRule type="duplicateValues" dxfId="1" priority="3"/>
    <cfRule type="duplicateValues" dxfId="0" priority="4"/>
  </conditionalFormatting>
  <dataValidations count="3">
    <dataValidation type="list" allowBlank="1" showInputMessage="1" showErrorMessage="1" sqref="Z8:Z19">
      <formula1>"Điều chỉnh lương,Thay đổi vị trí,Khác,Chưa được điều chỉnh lương, Qua thử việc"</formula1>
    </dataValidation>
    <dataValidation type="list" allowBlank="1" showInputMessage="1" showErrorMessage="1" sqref="AA8:AA19">
      <formula1>"HĐ xác định thời hạn 12 tháng (Lần 1), HĐ xác định thời hạn 12 tháng (Lần 2), HĐ không xác định thời hạn"</formula1>
    </dataValidation>
    <dataValidation type="list" allowBlank="1" showInputMessage="1" showErrorMessage="1" sqref="Z20:AH20">
      <formula1>"Điều chỉnh lương,Thay đổi vị trí,Khác"</formula1>
    </dataValidation>
  </dataValidations>
  <pageMargins left="0.2" right="0.2" top="0.2" bottom="0.2" header="0.3" footer="0.3"/>
  <pageSetup paperSize="9" scale="57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DMT</vt:lpstr>
      <vt:lpstr>NHÁP DMT</vt:lpstr>
      <vt:lpstr>MARINA</vt:lpstr>
      <vt:lpstr>DMT!Print_Titles</vt:lpstr>
      <vt:lpstr>MARINA!Print_Titles</vt:lpstr>
      <vt:lpstr>'NHÁP DMT'!Print_Titles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Phuong</dc:creator>
  <cp:lastModifiedBy>Admin</cp:lastModifiedBy>
  <cp:lastPrinted>2026-04-21T08:49:22Z</cp:lastPrinted>
  <dcterms:created xsi:type="dcterms:W3CDTF">2018-05-22T06:50:05Z</dcterms:created>
  <dcterms:modified xsi:type="dcterms:W3CDTF">2026-06-22T10:42:01Z</dcterms:modified>
</cp:coreProperties>
</file>