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3275" windowHeight="507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19" i="1" l="1"/>
  <c r="I12" i="1"/>
  <c r="I11" i="1"/>
  <c r="I10" i="1"/>
  <c r="I23" i="1"/>
  <c r="I27" i="1"/>
  <c r="I28" i="1" l="1"/>
  <c r="I29" i="1"/>
  <c r="I19" i="1"/>
  <c r="I26" i="1"/>
  <c r="I25" i="1" s="1"/>
  <c r="I13" i="1" l="1"/>
  <c r="I7" i="1"/>
  <c r="I9" i="1"/>
  <c r="I30" i="1" l="1"/>
  <c r="I8" i="1"/>
</calcChain>
</file>

<file path=xl/sharedStrings.xml><?xml version="1.0" encoding="utf-8"?>
<sst xmlns="http://schemas.openxmlformats.org/spreadsheetml/2006/main" count="65" uniqueCount="39">
  <si>
    <t>MỤC TIÊU</t>
  </si>
  <si>
    <t>LOẠI MỤC TIÊU</t>
  </si>
  <si>
    <t>MỨC ĐỘ
QUAN TRỌNG</t>
  </si>
  <si>
    <t xml:space="preserve">  CHỈ TIÊU</t>
  </si>
  <si>
    <t>THƯỚC ĐO</t>
  </si>
  <si>
    <t>ĐIỂM CHUẨN</t>
  </si>
  <si>
    <t>THỰC HIỆN</t>
  </si>
  <si>
    <t>Kết quả</t>
  </si>
  <si>
    <t>Điểm</t>
  </si>
  <si>
    <t>GHI CHÚ</t>
  </si>
  <si>
    <t>Càng lớn càng tốt</t>
  </si>
  <si>
    <t>%</t>
  </si>
  <si>
    <r>
      <t xml:space="preserve">                                                            </t>
    </r>
    <r>
      <rPr>
        <sz val="22"/>
        <color theme="1"/>
        <rFont val="Arial"/>
        <family val="2"/>
      </rPr>
      <t xml:space="preserve"> MỤC TIÊU KẾ HOẠCH CÔNG TY ABC NĂM 2015</t>
    </r>
  </si>
  <si>
    <t>BM01/KPI</t>
  </si>
  <si>
    <t>Mục tiêu TC2: Giảm chi phí 9,75%</t>
  </si>
  <si>
    <t>Cáng lớn càng tốt</t>
  </si>
  <si>
    <t>Mục tiêu KH2: tỷ lệ giao hàng đúng hạn &gt;98%</t>
  </si>
  <si>
    <t>Mục tiêu KH1: tỷ lệ chào hàng thành công&gt; 70%</t>
  </si>
  <si>
    <t>Mục tiêu KH3: mức độ hài lòng của khách hàng &gt;90%</t>
  </si>
  <si>
    <t>Càng nhanh càng tốt</t>
  </si>
  <si>
    <t>Mục tiêu HHPT 1: Thực hiện đào tạo 8 chương trình theo KH</t>
  </si>
  <si>
    <t>Đạt/không đạt</t>
  </si>
  <si>
    <t>KẾT QUẢ</t>
  </si>
  <si>
    <t>Mục tiêu KH4  có không quá 3 khách hàng khiếu nại chất lượng sản phẩm</t>
  </si>
  <si>
    <t>càng nhỏ càng tốt</t>
  </si>
  <si>
    <t>TÀI CHÍNH (Doanh thu, lợi nhuận, chí phí, tồn kho)</t>
  </si>
  <si>
    <t>QUY TRÌNH NỘI BỘ (các Quy trình hoạt động)</t>
  </si>
  <si>
    <t>HỌC HỎI PHÁT TRIỂN (các chương trình đào tạo, phát triển)</t>
  </si>
  <si>
    <t>KHÁCH HÀNG (Chất lượng, giao hàng, giá bán, dịch vụ)</t>
  </si>
  <si>
    <t>Mục tiêu TC1: tăng doanh thu thêm 120 Tỷ VNĐ</t>
  </si>
  <si>
    <t>Mục tiêu TC4: tăng 5% giá bán sản phẩm</t>
  </si>
  <si>
    <t>Mục tiêu TC5: đạt lợi nhuận  100 tỷ VNĐ</t>
  </si>
  <si>
    <t>Mục tiêu NB3: Kiểm kê xong kho trong vòng 10 ngày ,kể từ ngày…</t>
  </si>
  <si>
    <t>Mục tiêu NB2: Xây dựng hệ thống tiền lương mới trong vòng 90 ngày ,kể từ ngày…</t>
  </si>
  <si>
    <t>Mục tiêu NB1: Thay đổi chính sách hoa hồng khách hàng sau 30 ngày  kể từ ngày 1/4</t>
  </si>
  <si>
    <t>Mục tiêu NB4: 100% CBNV hoàn thành KPIs được giao</t>
  </si>
  <si>
    <t>Mục tiêu NB5: đánh giá ISO,SA 8000 dạt loại A</t>
  </si>
  <si>
    <t>Mục tiêu TC3: Hoàn thành KH doanh thu TT Mỹ+EU 1200 tỷ VNĐ</t>
  </si>
  <si>
    <t>Mục tiêu HHPT2: 90% nhân viên đạt điểm 8 trở lên khi tham dự các khóa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</si>
</sst>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;[Red]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2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/>
    <xf numFmtId="0" fontId="2" fillId="3" borderId="1" xfId="0" applyFont="1" applyFill="1" applyBorder="1"/>
    <xf numFmtId="0" fontId="1" fillId="3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2" fontId="1" fillId="0" borderId="1" xfId="0" applyNumberFormat="1" applyFont="1" applyBorder="1"/>
    <xf numFmtId="2" fontId="2" fillId="5" borderId="1" xfId="0" applyNumberFormat="1" applyFont="1" applyFill="1" applyBorder="1"/>
    <xf numFmtId="164" fontId="2" fillId="6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vertical="center"/>
    </xf>
    <xf numFmtId="0" fontId="5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wrapText="1"/>
    </xf>
    <xf numFmtId="164" fontId="2" fillId="8" borderId="1" xfId="0" applyNumberFormat="1" applyFont="1" applyFill="1" applyBorder="1" applyAlignment="1">
      <alignment horizontal="right"/>
    </xf>
    <xf numFmtId="0" fontId="2" fillId="0" borderId="0" xfId="0" applyFont="1"/>
    <xf numFmtId="2" fontId="2" fillId="4" borderId="1" xfId="0" applyNumberFormat="1" applyFont="1" applyFill="1" applyBorder="1"/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1F1F1F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0"/>
  <sheetViews>
    <sheetView showGridLines="0" tabSelected="1" zoomScaleNormal="100" workbookViewId="0">
      <selection activeCell="B28" sqref="B28"/>
    </sheetView>
  </sheetViews>
  <sheetFormatPr defaultRowHeight="14.25" x14ac:dyDescent="0.2"/>
  <cols>
    <col min="1" max="1" width="5.85546875" style="1" customWidth="1"/>
    <col min="2" max="2" width="60.85546875" style="1" customWidth="1"/>
    <col min="3" max="3" width="21.42578125" style="1" customWidth="1"/>
    <col min="4" max="4" width="10" style="1" customWidth="1"/>
    <col min="5" max="5" width="8.42578125" style="1" customWidth="1"/>
    <col min="6" max="6" width="8.85546875" style="1" customWidth="1"/>
    <col min="7" max="7" width="9.28515625" style="1" customWidth="1"/>
    <col min="8" max="8" width="9.140625" style="1"/>
    <col min="9" max="9" width="11" style="1" customWidth="1"/>
    <col min="10" max="10" width="12" style="1" customWidth="1"/>
    <col min="11" max="16384" width="9.140625" style="1"/>
  </cols>
  <sheetData>
    <row r="3" spans="2:10" ht="27" x14ac:dyDescent="0.35">
      <c r="B3" s="1" t="s">
        <v>12</v>
      </c>
      <c r="D3" s="2"/>
      <c r="E3" s="3"/>
    </row>
    <row r="4" spans="2:10" ht="15" x14ac:dyDescent="0.25">
      <c r="J4" s="29" t="s">
        <v>13</v>
      </c>
    </row>
    <row r="5" spans="2:10" ht="45" customHeight="1" x14ac:dyDescent="0.2">
      <c r="B5" s="33" t="s">
        <v>0</v>
      </c>
      <c r="C5" s="33" t="s">
        <v>1</v>
      </c>
      <c r="D5" s="34" t="s">
        <v>2</v>
      </c>
      <c r="E5" s="36" t="s">
        <v>3</v>
      </c>
      <c r="F5" s="36" t="s">
        <v>4</v>
      </c>
      <c r="G5" s="36" t="s">
        <v>5</v>
      </c>
      <c r="H5" s="33" t="s">
        <v>6</v>
      </c>
      <c r="I5" s="33"/>
      <c r="J5" s="31" t="s">
        <v>9</v>
      </c>
    </row>
    <row r="6" spans="2:10" ht="14.25" customHeight="1" x14ac:dyDescent="0.2">
      <c r="B6" s="33"/>
      <c r="C6" s="33"/>
      <c r="D6" s="35"/>
      <c r="E6" s="36"/>
      <c r="F6" s="36"/>
      <c r="G6" s="36"/>
      <c r="H6" s="23" t="s">
        <v>7</v>
      </c>
      <c r="I6" s="23" t="s">
        <v>8</v>
      </c>
      <c r="J6" s="32"/>
    </row>
    <row r="7" spans="2:10" ht="14.25" customHeight="1" x14ac:dyDescent="0.25">
      <c r="B7" s="24" t="s">
        <v>25</v>
      </c>
      <c r="C7" s="25"/>
      <c r="D7" s="25"/>
      <c r="E7" s="25"/>
      <c r="F7" s="26"/>
      <c r="G7" s="27">
        <v>33.33</v>
      </c>
      <c r="H7" s="26"/>
      <c r="I7" s="28">
        <f>SUM(I8:I12)</f>
        <v>24.984455128205131</v>
      </c>
      <c r="J7" s="25"/>
    </row>
    <row r="8" spans="2:10" x14ac:dyDescent="0.2">
      <c r="B8" s="4" t="s">
        <v>29</v>
      </c>
      <c r="C8" s="4" t="s">
        <v>10</v>
      </c>
      <c r="D8" s="4">
        <v>5</v>
      </c>
      <c r="E8" s="4">
        <v>100</v>
      </c>
      <c r="F8" s="5" t="s">
        <v>11</v>
      </c>
      <c r="G8" s="6">
        <v>12.5</v>
      </c>
      <c r="H8" s="4">
        <v>70</v>
      </c>
      <c r="I8" s="6">
        <f>12.5/120*70</f>
        <v>7.291666666666667</v>
      </c>
      <c r="J8" s="4"/>
    </row>
    <row r="9" spans="2:10" x14ac:dyDescent="0.2">
      <c r="B9" s="4" t="s">
        <v>14</v>
      </c>
      <c r="C9" s="4" t="s">
        <v>10</v>
      </c>
      <c r="D9" s="4">
        <v>3</v>
      </c>
      <c r="E9" s="4">
        <v>100</v>
      </c>
      <c r="F9" s="5" t="s">
        <v>11</v>
      </c>
      <c r="G9" s="4">
        <v>4.17</v>
      </c>
      <c r="H9" s="4">
        <v>8</v>
      </c>
      <c r="I9" s="6">
        <f>4.17/9.75*8</f>
        <v>3.4215384615384616</v>
      </c>
      <c r="J9" s="4"/>
    </row>
    <row r="10" spans="2:10" x14ac:dyDescent="0.2">
      <c r="B10" s="4" t="s">
        <v>37</v>
      </c>
      <c r="C10" s="4" t="s">
        <v>10</v>
      </c>
      <c r="D10" s="4">
        <v>5</v>
      </c>
      <c r="E10" s="4">
        <v>100</v>
      </c>
      <c r="F10" s="5" t="s">
        <v>11</v>
      </c>
      <c r="G10" s="4">
        <v>4.53</v>
      </c>
      <c r="H10" s="4">
        <v>1150</v>
      </c>
      <c r="I10" s="19">
        <f>G10/1200*H10</f>
        <v>4.3412500000000005</v>
      </c>
      <c r="J10" s="4"/>
    </row>
    <row r="11" spans="2:10" x14ac:dyDescent="0.2">
      <c r="B11" s="4" t="s">
        <v>30</v>
      </c>
      <c r="C11" s="4" t="s">
        <v>10</v>
      </c>
      <c r="D11" s="4">
        <v>4</v>
      </c>
      <c r="E11" s="4">
        <v>100</v>
      </c>
      <c r="F11" s="5" t="s">
        <v>11</v>
      </c>
      <c r="G11" s="4">
        <v>2.13</v>
      </c>
      <c r="H11" s="4">
        <v>5</v>
      </c>
      <c r="I11" s="19">
        <f>G11/5*H11</f>
        <v>2.13</v>
      </c>
      <c r="J11" s="4"/>
    </row>
    <row r="12" spans="2:10" x14ac:dyDescent="0.2">
      <c r="B12" s="4" t="s">
        <v>31</v>
      </c>
      <c r="C12" s="4" t="s">
        <v>10</v>
      </c>
      <c r="D12" s="4">
        <v>5</v>
      </c>
      <c r="E12" s="4">
        <v>100</v>
      </c>
      <c r="F12" s="5" t="s">
        <v>11</v>
      </c>
      <c r="G12" s="4">
        <v>10</v>
      </c>
      <c r="H12" s="4">
        <v>78</v>
      </c>
      <c r="I12" s="4">
        <f>G12/100*H12</f>
        <v>7.8000000000000007</v>
      </c>
      <c r="J12" s="4"/>
    </row>
    <row r="13" spans="2:10" ht="15" x14ac:dyDescent="0.25">
      <c r="B13" s="7" t="s">
        <v>28</v>
      </c>
      <c r="C13" s="8"/>
      <c r="D13" s="8"/>
      <c r="E13" s="8"/>
      <c r="F13" s="14"/>
      <c r="G13" s="7">
        <v>33.33</v>
      </c>
      <c r="H13" s="8"/>
      <c r="I13" s="7">
        <f>SUM(I14:I18)</f>
        <v>21.32</v>
      </c>
      <c r="J13" s="8"/>
    </row>
    <row r="14" spans="2:10" x14ac:dyDescent="0.2">
      <c r="B14" s="4" t="s">
        <v>17</v>
      </c>
      <c r="C14" s="4" t="s">
        <v>10</v>
      </c>
      <c r="D14" s="4">
        <v>3</v>
      </c>
      <c r="E14" s="4">
        <v>100</v>
      </c>
      <c r="F14" s="5" t="s">
        <v>11</v>
      </c>
      <c r="G14" s="19">
        <v>10</v>
      </c>
      <c r="H14" s="4">
        <v>75.5</v>
      </c>
      <c r="I14" s="4">
        <v>7.55</v>
      </c>
      <c r="J14" s="4"/>
    </row>
    <row r="15" spans="2:10" x14ac:dyDescent="0.2">
      <c r="B15" s="4" t="s">
        <v>16</v>
      </c>
      <c r="C15" s="4" t="s">
        <v>10</v>
      </c>
      <c r="D15" s="4">
        <v>5</v>
      </c>
      <c r="E15" s="4">
        <v>100</v>
      </c>
      <c r="F15" s="5" t="s">
        <v>11</v>
      </c>
      <c r="G15" s="4">
        <v>6.67</v>
      </c>
      <c r="H15" s="4">
        <v>20</v>
      </c>
      <c r="I15" s="4">
        <v>1.33</v>
      </c>
      <c r="J15" s="4"/>
    </row>
    <row r="16" spans="2:10" x14ac:dyDescent="0.2">
      <c r="B16" s="4" t="s">
        <v>18</v>
      </c>
      <c r="C16" s="4" t="s">
        <v>15</v>
      </c>
      <c r="D16" s="4">
        <v>5</v>
      </c>
      <c r="E16" s="4">
        <v>100</v>
      </c>
      <c r="F16" s="5" t="s">
        <v>11</v>
      </c>
      <c r="G16" s="19">
        <v>10</v>
      </c>
      <c r="H16" s="4">
        <v>80</v>
      </c>
      <c r="I16" s="4">
        <v>8</v>
      </c>
      <c r="J16" s="4"/>
    </row>
    <row r="17" spans="2:10" ht="28.5" x14ac:dyDescent="0.2">
      <c r="B17" s="13" t="s">
        <v>23</v>
      </c>
      <c r="C17" s="22" t="s">
        <v>24</v>
      </c>
      <c r="D17" s="4">
        <v>3</v>
      </c>
      <c r="E17" s="4">
        <v>100</v>
      </c>
      <c r="F17" s="5" t="s">
        <v>11</v>
      </c>
      <c r="G17" s="4">
        <v>6.66</v>
      </c>
      <c r="H17" s="4">
        <v>66.66</v>
      </c>
      <c r="I17" s="4">
        <v>4.4400000000000004</v>
      </c>
      <c r="J17" s="4"/>
    </row>
    <row r="18" spans="2:10" x14ac:dyDescent="0.2">
      <c r="B18" s="4"/>
      <c r="C18" s="4"/>
      <c r="D18" s="4"/>
      <c r="E18" s="4"/>
      <c r="F18" s="5"/>
      <c r="G18" s="4"/>
      <c r="H18" s="4"/>
      <c r="I18" s="4"/>
      <c r="J18" s="4"/>
    </row>
    <row r="19" spans="2:10" ht="15" x14ac:dyDescent="0.25">
      <c r="B19" s="9" t="s">
        <v>26</v>
      </c>
      <c r="C19" s="10"/>
      <c r="D19" s="10"/>
      <c r="E19" s="10"/>
      <c r="F19" s="15"/>
      <c r="G19" s="30">
        <f>SUM(G20:G24)</f>
        <v>22.22</v>
      </c>
      <c r="H19" s="10"/>
      <c r="I19" s="30">
        <f>SUM(I20:I24)</f>
        <v>21.919999999999998</v>
      </c>
      <c r="J19" s="10"/>
    </row>
    <row r="20" spans="2:10" ht="28.5" x14ac:dyDescent="0.2">
      <c r="B20" s="13" t="s">
        <v>34</v>
      </c>
      <c r="C20" s="22" t="s">
        <v>19</v>
      </c>
      <c r="D20" s="4">
        <v>2</v>
      </c>
      <c r="E20" s="4">
        <v>100</v>
      </c>
      <c r="F20" s="5" t="s">
        <v>11</v>
      </c>
      <c r="G20" s="19">
        <v>5.5</v>
      </c>
      <c r="H20" s="4">
        <v>100</v>
      </c>
      <c r="I20" s="19">
        <v>5.5</v>
      </c>
      <c r="J20" s="4"/>
    </row>
    <row r="21" spans="2:10" ht="28.5" x14ac:dyDescent="0.2">
      <c r="B21" s="13" t="s">
        <v>33</v>
      </c>
      <c r="C21" s="22" t="s">
        <v>21</v>
      </c>
      <c r="D21" s="4">
        <v>4</v>
      </c>
      <c r="E21" s="4">
        <v>100</v>
      </c>
      <c r="F21" s="5" t="s">
        <v>11</v>
      </c>
      <c r="G21" s="19">
        <v>6</v>
      </c>
      <c r="H21" s="4">
        <v>100</v>
      </c>
      <c r="I21" s="19">
        <v>6</v>
      </c>
      <c r="J21" s="4"/>
    </row>
    <row r="22" spans="2:10" ht="28.5" x14ac:dyDescent="0.2">
      <c r="B22" s="13" t="s">
        <v>32</v>
      </c>
      <c r="C22" s="22" t="s">
        <v>19</v>
      </c>
      <c r="D22" s="4">
        <v>2</v>
      </c>
      <c r="E22" s="4">
        <v>100</v>
      </c>
      <c r="F22" s="5" t="s">
        <v>11</v>
      </c>
      <c r="G22" s="4">
        <v>2.5</v>
      </c>
      <c r="H22" s="4">
        <v>100</v>
      </c>
      <c r="I22" s="4">
        <v>2.5</v>
      </c>
      <c r="J22" s="4"/>
    </row>
    <row r="23" spans="2:10" x14ac:dyDescent="0.2">
      <c r="B23" s="4" t="s">
        <v>35</v>
      </c>
      <c r="C23" s="4" t="s">
        <v>15</v>
      </c>
      <c r="D23" s="4">
        <v>5</v>
      </c>
      <c r="E23" s="4">
        <v>100</v>
      </c>
      <c r="F23" s="5" t="s">
        <v>11</v>
      </c>
      <c r="G23" s="19">
        <v>6</v>
      </c>
      <c r="H23" s="4">
        <v>95</v>
      </c>
      <c r="I23" s="4">
        <f>G23/100*H23</f>
        <v>5.7</v>
      </c>
      <c r="J23" s="4"/>
    </row>
    <row r="24" spans="2:10" x14ac:dyDescent="0.2">
      <c r="B24" s="4" t="s">
        <v>36</v>
      </c>
      <c r="C24" s="4" t="s">
        <v>21</v>
      </c>
      <c r="D24" s="4">
        <v>3</v>
      </c>
      <c r="E24" s="4">
        <v>100</v>
      </c>
      <c r="F24" s="5" t="s">
        <v>11</v>
      </c>
      <c r="G24" s="4">
        <v>2.2200000000000002</v>
      </c>
      <c r="H24" s="4">
        <v>100</v>
      </c>
      <c r="I24" s="4">
        <v>2.2200000000000002</v>
      </c>
      <c r="J24" s="4"/>
    </row>
    <row r="25" spans="2:10" ht="15" x14ac:dyDescent="0.25">
      <c r="B25" s="11" t="s">
        <v>27</v>
      </c>
      <c r="C25" s="11"/>
      <c r="D25" s="12"/>
      <c r="E25" s="12"/>
      <c r="F25" s="16"/>
      <c r="G25" s="11">
        <v>11.11</v>
      </c>
      <c r="H25" s="12"/>
      <c r="I25" s="20">
        <f>SUM(I26:I27)</f>
        <v>4.0155555555555553</v>
      </c>
      <c r="J25" s="12"/>
    </row>
    <row r="26" spans="2:10" x14ac:dyDescent="0.2">
      <c r="B26" s="4" t="s">
        <v>20</v>
      </c>
      <c r="C26" s="4" t="s">
        <v>10</v>
      </c>
      <c r="D26" s="4">
        <v>2</v>
      </c>
      <c r="E26" s="4">
        <v>100</v>
      </c>
      <c r="F26" s="5" t="s">
        <v>11</v>
      </c>
      <c r="G26" s="4">
        <v>1.39</v>
      </c>
      <c r="H26" s="4">
        <v>8</v>
      </c>
      <c r="I26" s="19">
        <f>G26/8*H26</f>
        <v>1.39</v>
      </c>
      <c r="J26" s="4"/>
    </row>
    <row r="27" spans="2:10" ht="28.5" x14ac:dyDescent="0.2">
      <c r="B27" s="13" t="s">
        <v>38</v>
      </c>
      <c r="C27" s="4" t="s">
        <v>10</v>
      </c>
      <c r="D27" s="4">
        <v>4</v>
      </c>
      <c r="E27" s="4">
        <v>100</v>
      </c>
      <c r="F27" s="5" t="s">
        <v>11</v>
      </c>
      <c r="G27" s="4">
        <v>2.78</v>
      </c>
      <c r="H27" s="4">
        <v>85</v>
      </c>
      <c r="I27" s="19">
        <f>G27/90*H27</f>
        <v>2.6255555555555552</v>
      </c>
      <c r="J27" s="4"/>
    </row>
    <row r="28" spans="2:10" x14ac:dyDescent="0.2">
      <c r="B28" s="4"/>
      <c r="C28" s="4"/>
      <c r="D28" s="4"/>
      <c r="E28" s="4"/>
      <c r="F28" s="4"/>
      <c r="G28" s="4"/>
      <c r="H28" s="4"/>
      <c r="I28" s="19">
        <f t="shared" ref="I28:I29" si="0">G28/8*H28</f>
        <v>0</v>
      </c>
      <c r="J28" s="4"/>
    </row>
    <row r="29" spans="2:10" x14ac:dyDescent="0.2">
      <c r="B29" s="4"/>
      <c r="C29" s="4"/>
      <c r="D29" s="4"/>
      <c r="E29" s="4"/>
      <c r="F29" s="4"/>
      <c r="G29" s="4"/>
      <c r="H29" s="4"/>
      <c r="I29" s="19">
        <f t="shared" si="0"/>
        <v>0</v>
      </c>
      <c r="J29" s="4"/>
    </row>
    <row r="30" spans="2:10" ht="15" x14ac:dyDescent="0.25">
      <c r="B30" s="17" t="s">
        <v>22</v>
      </c>
      <c r="C30" s="18"/>
      <c r="D30" s="18"/>
      <c r="E30" s="18"/>
      <c r="F30" s="18"/>
      <c r="G30" s="18"/>
      <c r="H30" s="18"/>
      <c r="I30" s="21">
        <f>SUM(I7+I13+I19+I25)</f>
        <v>72.240010683760687</v>
      </c>
      <c r="J30" s="18"/>
    </row>
  </sheetData>
  <mergeCells count="8">
    <mergeCell ref="J5:J6"/>
    <mergeCell ref="H5:I5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2015-05-07T09:47:55Z</dcterms:created>
  <dcterms:modified xsi:type="dcterms:W3CDTF">2015-05-15T15:20:55Z</dcterms:modified>
</cp:coreProperties>
</file>