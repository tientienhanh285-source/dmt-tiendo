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275" windowHeight="50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2" i="1" l="1"/>
  <c r="J26" i="1"/>
  <c r="J17" i="1"/>
  <c r="G17" i="1"/>
  <c r="J8" i="1"/>
  <c r="G7" i="1"/>
  <c r="G12" i="1"/>
  <c r="J15" i="1"/>
  <c r="J14" i="1"/>
  <c r="J16" i="1"/>
  <c r="J13" i="1"/>
  <c r="J7" i="1"/>
  <c r="J9" i="1"/>
  <c r="J12" i="1" l="1"/>
</calcChain>
</file>

<file path=xl/sharedStrings.xml><?xml version="1.0" encoding="utf-8"?>
<sst xmlns="http://schemas.openxmlformats.org/spreadsheetml/2006/main" count="70" uniqueCount="49">
  <si>
    <t>MỤC TIÊU</t>
  </si>
  <si>
    <t>LOẠI MỤC TIÊU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</si>
  <si>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</si>
  <si>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</si>
  <si>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</si>
  <si>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</si>
  <si>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</si>
  <si>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</si>
  <si>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</si>
  <si>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>TÀI CHÍNH( Doanh thu, lợi nhuận, chí phí, tồn kho)</t>
  </si>
  <si>
    <t>Càng lớn càng tốt</t>
  </si>
  <si>
    <t>%</t>
  </si>
  <si>
    <t>Mục tiêu TC3</t>
  </si>
  <si>
    <t>Mục tiêu TC4</t>
  </si>
  <si>
    <t>Mục tiêu TC1: tăng doanh thu thêm 120 Tỷ vnđ</t>
  </si>
  <si>
    <t>BM03/KPI</t>
  </si>
  <si>
    <t>NGUỒN</t>
  </si>
  <si>
    <t>Tỷ lệ đạt</t>
  </si>
  <si>
    <t>Muc tiêu TC1 của Công ty</t>
  </si>
  <si>
    <t xml:space="preserve">           CÔNG TY ABC</t>
  </si>
  <si>
    <t>Mục tiêu TC2: Giảm chi phí PKD 10%</t>
  </si>
  <si>
    <t>MTKH1: Giao hàng đúng hạn 90% đơn hàng</t>
  </si>
  <si>
    <t>Muc tiêu KH1 của Công ty</t>
  </si>
  <si>
    <t>Muc tiêu TC3 của Công ty</t>
  </si>
  <si>
    <t>Muc tiêu TC4 của Công ty</t>
  </si>
  <si>
    <t>Muc tiêu TC2 của Công ty</t>
  </si>
  <si>
    <t>Mục tiêu KH2 của Công ty</t>
  </si>
  <si>
    <t>MTKH2: Xây dựng tiêu chí đánh giá sự thỏa mãn của khách hàng trong vòng 60 ngày kể từ ngày 1/1/2015</t>
  </si>
  <si>
    <t>MTKH3:có tất cả 8 bộ phận trong công ty hài lòng khi phối hợp với PKD</t>
  </si>
  <si>
    <t>Mục tiêu KH3 của Công ty</t>
  </si>
  <si>
    <t>MTKH4: Tỷ lệ chào giá lần đầu được KH đồng ý đạt 70% trởlên</t>
  </si>
  <si>
    <t>Mục tiêu KH 4 của Công ty</t>
  </si>
  <si>
    <t>QUY TRÌNH NỘI BỘ(Các quy trình hoạt động)</t>
  </si>
  <si>
    <t>KHÁCH HÀNG(Chất lượng, giao hàng, giá cả ,dịch vụ)</t>
  </si>
  <si>
    <t>MTNB1:Điều chỉnh chính sách hoa hồng KH trong vòng 30 ngày kể từ ngày 20/3/2015</t>
  </si>
  <si>
    <t>MTNB2: PKD chấp hành đúng 100% quy trình nghiệp vụ của PKD và Công ty.</t>
  </si>
  <si>
    <t>Càng nhanh càng tốt</t>
  </si>
  <si>
    <t>Mục tiêu NB1 của Công ty</t>
  </si>
  <si>
    <t>Mục tiêu NB2 của Công ty</t>
  </si>
  <si>
    <t>MTNB3: Báo cáo đầy đủ, chính xác, đúng hạn các báo cáo hoạt động theo quy định của Công ty.</t>
  </si>
  <si>
    <t>HỌC HỎI&amp;PHÁT TRIỂN(Các chương trình đào tạo,phát triển của Công ty)</t>
  </si>
  <si>
    <r>
      <t xml:space="preserve">                                                            </t>
    </r>
    <r>
      <rPr>
        <sz val="22"/>
        <color rgb="FFFF0000"/>
        <rFont val="Arial"/>
        <family val="2"/>
      </rPr>
      <t xml:space="preserve"> MỤC TIÊU KẾ HOẠCH BỘ PHẬN KINH DOANH NĂM 2015</t>
    </r>
  </si>
  <si>
    <t>KẾT QUẢ THỰC HIỆN</t>
  </si>
  <si>
    <t>MTPT1: tham gia 100% các khóa học theo yêu cầu</t>
  </si>
  <si>
    <t>Mục tiêu NB3 của Công ty</t>
  </si>
  <si>
    <t>MTPT2: 100% người học đạt điểm 8 trở lên</t>
  </si>
  <si>
    <t>Mục tiêu PT1 của Công ty</t>
  </si>
  <si>
    <t>Mục tiêu PT2 của Công ty</t>
  </si>
  <si>
    <t>20/20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</si>
</sst>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22"/>
      <color rgb="FFFF000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2" fillId="0" borderId="0" xfId="0" applyFont="1"/>
    <xf numFmtId="9" fontId="1" fillId="0" borderId="1" xfId="0" applyNumberFormat="1" applyFont="1" applyBorder="1"/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vertical="center"/>
    </xf>
    <xf numFmtId="9" fontId="1" fillId="4" borderId="1" xfId="0" applyNumberFormat="1" applyFont="1" applyFill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4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vertical="center"/>
    </xf>
    <xf numFmtId="9" fontId="1" fillId="8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right" vertical="center"/>
    </xf>
    <xf numFmtId="9" fontId="1" fillId="9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6" fillId="2" borderId="0" xfId="0" applyFont="1" applyFill="1"/>
    <xf numFmtId="165" fontId="5" fillId="3" borderId="1" xfId="0" applyNumberFormat="1" applyFont="1" applyFill="1" applyBorder="1"/>
    <xf numFmtId="165" fontId="5" fillId="3" borderId="1" xfId="0" applyNumberFormat="1" applyFont="1" applyFill="1" applyBorder="1" applyAlignment="1">
      <alignment wrapText="1"/>
    </xf>
    <xf numFmtId="165" fontId="1" fillId="10" borderId="1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9" fontId="1" fillId="10" borderId="1" xfId="0" applyNumberFormat="1" applyFont="1" applyFill="1" applyBorder="1"/>
    <xf numFmtId="165" fontId="5" fillId="3" borderId="1" xfId="0" applyNumberFormat="1" applyFont="1" applyFill="1" applyBorder="1" applyAlignment="1">
      <alignment horizontal="right"/>
    </xf>
    <xf numFmtId="165" fontId="1" fillId="10" borderId="1" xfId="0" applyNumberFormat="1" applyFont="1" applyFill="1" applyBorder="1"/>
    <xf numFmtId="165" fontId="1" fillId="0" borderId="1" xfId="0" applyNumberFormat="1" applyFont="1" applyBorder="1"/>
    <xf numFmtId="165" fontId="1" fillId="4" borderId="1" xfId="0" applyNumberFormat="1" applyFont="1" applyFill="1" applyBorder="1"/>
    <xf numFmtId="0" fontId="6" fillId="7" borderId="1" xfId="0" applyFont="1" applyFill="1" applyBorder="1"/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right"/>
    </xf>
    <xf numFmtId="164" fontId="9" fillId="7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F1F1F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showGridLines="0" tabSelected="1" zoomScale="60" zoomScaleNormal="60" workbookViewId="0">
      <selection activeCell="K26" sqref="K26"/>
    </sheetView>
  </sheetViews>
  <sheetFormatPr defaultRowHeight="14.25" x14ac:dyDescent="0.2"/>
  <cols>
    <col min="1" max="1" width="9.140625" style="1"/>
    <col min="2" max="2" width="56" style="1" customWidth="1"/>
    <col min="3" max="3" width="17.5703125" style="1" customWidth="1"/>
    <col min="4" max="4" width="13.85546875" style="1" customWidth="1"/>
    <col min="5" max="5" width="9" style="1" customWidth="1"/>
    <col min="6" max="6" width="10.42578125" style="1" customWidth="1"/>
    <col min="7" max="7" width="11.140625" style="1" customWidth="1"/>
    <col min="8" max="10" width="9.140625" style="1"/>
    <col min="11" max="11" width="17.28515625" style="1" customWidth="1"/>
    <col min="12" max="16384" width="9.140625" style="1"/>
  </cols>
  <sheetData>
    <row r="2" spans="2:11" ht="20.25" x14ac:dyDescent="0.3">
      <c r="B2" s="2" t="s">
        <v>19</v>
      </c>
    </row>
    <row r="3" spans="2:11" ht="27" x14ac:dyDescent="0.35">
      <c r="B3" s="55" t="s">
        <v>41</v>
      </c>
      <c r="C3" s="55"/>
      <c r="D3" s="56"/>
      <c r="E3" s="57"/>
      <c r="F3" s="55"/>
      <c r="G3" s="55"/>
      <c r="H3" s="55"/>
      <c r="I3" s="55"/>
      <c r="J3" s="55"/>
    </row>
    <row r="4" spans="2:11" ht="15" x14ac:dyDescent="0.25">
      <c r="K4" s="12" t="s">
        <v>15</v>
      </c>
    </row>
    <row r="5" spans="2:11" ht="45" customHeight="1" x14ac:dyDescent="0.2">
      <c r="B5" s="79" t="s">
        <v>0</v>
      </c>
      <c r="C5" s="79" t="s">
        <v>1</v>
      </c>
      <c r="D5" s="80" t="s">
        <v>16</v>
      </c>
      <c r="E5" s="82" t="s">
        <v>2</v>
      </c>
      <c r="F5" s="82" t="s">
        <v>3</v>
      </c>
      <c r="G5" s="82" t="s">
        <v>4</v>
      </c>
      <c r="H5" s="79" t="s">
        <v>5</v>
      </c>
      <c r="I5" s="79"/>
      <c r="J5" s="79"/>
      <c r="K5" s="77" t="s">
        <v>8</v>
      </c>
    </row>
    <row r="6" spans="2:11" ht="14.25" customHeight="1" x14ac:dyDescent="0.25">
      <c r="B6" s="79"/>
      <c r="C6" s="79"/>
      <c r="D6" s="81"/>
      <c r="E6" s="82"/>
      <c r="F6" s="82"/>
      <c r="G6" s="82"/>
      <c r="H6" s="22" t="s">
        <v>6</v>
      </c>
      <c r="I6" s="22" t="s">
        <v>17</v>
      </c>
      <c r="J6" s="22" t="s">
        <v>7</v>
      </c>
      <c r="K6" s="78"/>
    </row>
    <row r="7" spans="2:11" ht="14.25" customHeight="1" x14ac:dyDescent="0.25">
      <c r="B7" s="3" t="s">
        <v>9</v>
      </c>
      <c r="C7" s="4"/>
      <c r="D7" s="4"/>
      <c r="E7" s="4"/>
      <c r="F7" s="5"/>
      <c r="G7" s="59">
        <f>SUM(G8:G11)</f>
        <v>40</v>
      </c>
      <c r="H7" s="5"/>
      <c r="I7" s="5"/>
      <c r="J7" s="33">
        <f>SUM(J8:J11)</f>
        <v>23.083035714285714</v>
      </c>
      <c r="K7" s="4"/>
    </row>
    <row r="8" spans="2:11" ht="28.5" x14ac:dyDescent="0.2">
      <c r="B8" s="14" t="s">
        <v>14</v>
      </c>
      <c r="C8" s="14" t="s">
        <v>10</v>
      </c>
      <c r="D8" s="9" t="s">
        <v>18</v>
      </c>
      <c r="E8" s="14">
        <v>100</v>
      </c>
      <c r="F8" s="17" t="s">
        <v>11</v>
      </c>
      <c r="G8" s="18">
        <v>22.5</v>
      </c>
      <c r="H8" s="14">
        <v>112</v>
      </c>
      <c r="I8" s="19">
        <v>0.93</v>
      </c>
      <c r="J8" s="18">
        <f>22.5/112*93</f>
        <v>18.683035714285715</v>
      </c>
      <c r="K8" s="8"/>
    </row>
    <row r="9" spans="2:11" ht="28.5" x14ac:dyDescent="0.2">
      <c r="B9" s="15" t="s">
        <v>20</v>
      </c>
      <c r="C9" s="36" t="s">
        <v>10</v>
      </c>
      <c r="D9" s="37" t="s">
        <v>25</v>
      </c>
      <c r="E9" s="7">
        <v>100</v>
      </c>
      <c r="F9" s="26" t="s">
        <v>11</v>
      </c>
      <c r="G9" s="15">
        <v>5.5</v>
      </c>
      <c r="H9" s="15">
        <v>8</v>
      </c>
      <c r="I9" s="20">
        <v>0.8</v>
      </c>
      <c r="J9" s="21">
        <f>G9*I9</f>
        <v>4.4000000000000004</v>
      </c>
      <c r="K9" s="7"/>
    </row>
    <row r="10" spans="2:11" ht="28.5" x14ac:dyDescent="0.2">
      <c r="B10" s="16" t="s">
        <v>12</v>
      </c>
      <c r="C10" s="16" t="s">
        <v>10</v>
      </c>
      <c r="D10" s="35" t="s">
        <v>23</v>
      </c>
      <c r="E10" s="11"/>
      <c r="F10" s="27"/>
      <c r="G10" s="11">
        <v>5.5</v>
      </c>
      <c r="H10" s="11"/>
      <c r="I10" s="11"/>
      <c r="J10" s="11"/>
      <c r="K10" s="11"/>
    </row>
    <row r="11" spans="2:11" ht="28.5" x14ac:dyDescent="0.2">
      <c r="B11" s="15" t="s">
        <v>13</v>
      </c>
      <c r="C11" s="36" t="s">
        <v>10</v>
      </c>
      <c r="D11" s="37" t="s">
        <v>24</v>
      </c>
      <c r="E11" s="7"/>
      <c r="F11" s="26"/>
      <c r="G11" s="7">
        <v>6.5</v>
      </c>
      <c r="H11" s="7"/>
      <c r="I11" s="7"/>
      <c r="J11" s="7"/>
      <c r="K11" s="7"/>
    </row>
    <row r="12" spans="2:11" ht="15" x14ac:dyDescent="0.25">
      <c r="B12" s="3" t="s">
        <v>33</v>
      </c>
      <c r="C12" s="4"/>
      <c r="D12" s="4"/>
      <c r="E12" s="4"/>
      <c r="F12" s="28"/>
      <c r="G12" s="58">
        <f>SUM(G13:G16)</f>
        <v>30.03</v>
      </c>
      <c r="H12" s="4"/>
      <c r="I12" s="4"/>
      <c r="J12" s="34">
        <f>SUM(J13:J16)</f>
        <v>27.795000000000002</v>
      </c>
      <c r="K12" s="4"/>
    </row>
    <row r="13" spans="2:11" ht="28.5" x14ac:dyDescent="0.2">
      <c r="B13" s="38" t="s">
        <v>21</v>
      </c>
      <c r="C13" s="39" t="s">
        <v>10</v>
      </c>
      <c r="D13" s="40" t="s">
        <v>22</v>
      </c>
      <c r="E13" s="39">
        <v>100</v>
      </c>
      <c r="F13" s="41" t="s">
        <v>11</v>
      </c>
      <c r="G13" s="42">
        <v>7.5</v>
      </c>
      <c r="H13" s="39">
        <v>85</v>
      </c>
      <c r="I13" s="43">
        <v>0.85</v>
      </c>
      <c r="J13" s="42">
        <f>G13*I13</f>
        <v>6.375</v>
      </c>
      <c r="K13" s="38"/>
    </row>
    <row r="14" spans="2:11" ht="28.5" x14ac:dyDescent="0.2">
      <c r="B14" s="23" t="s">
        <v>27</v>
      </c>
      <c r="C14" s="23" t="s">
        <v>36</v>
      </c>
      <c r="D14" s="23" t="s">
        <v>26</v>
      </c>
      <c r="E14" s="15">
        <v>100</v>
      </c>
      <c r="F14" s="26" t="s">
        <v>11</v>
      </c>
      <c r="G14" s="21">
        <v>7.25</v>
      </c>
      <c r="H14" s="15">
        <v>50</v>
      </c>
      <c r="I14" s="20">
        <v>1</v>
      </c>
      <c r="J14" s="21">
        <f>G14*I14</f>
        <v>7.25</v>
      </c>
      <c r="K14" s="7"/>
    </row>
    <row r="15" spans="2:11" ht="28.5" x14ac:dyDescent="0.2">
      <c r="B15" s="44" t="s">
        <v>28</v>
      </c>
      <c r="C15" s="45" t="s">
        <v>10</v>
      </c>
      <c r="D15" s="46" t="s">
        <v>29</v>
      </c>
      <c r="E15" s="47">
        <v>100</v>
      </c>
      <c r="F15" s="48" t="s">
        <v>11</v>
      </c>
      <c r="G15" s="49">
        <v>4.18</v>
      </c>
      <c r="H15" s="49">
        <v>8</v>
      </c>
      <c r="I15" s="50">
        <v>1</v>
      </c>
      <c r="J15" s="49">
        <f>G15*I15</f>
        <v>4.18</v>
      </c>
      <c r="K15" s="45"/>
    </row>
    <row r="16" spans="2:11" ht="42.75" x14ac:dyDescent="0.2">
      <c r="B16" s="23" t="s">
        <v>30</v>
      </c>
      <c r="C16" s="7" t="s">
        <v>10</v>
      </c>
      <c r="D16" s="24" t="s">
        <v>31</v>
      </c>
      <c r="E16" s="15">
        <v>100</v>
      </c>
      <c r="F16" s="26" t="s">
        <v>11</v>
      </c>
      <c r="G16" s="30">
        <v>11.1</v>
      </c>
      <c r="H16" s="30">
        <v>12</v>
      </c>
      <c r="I16" s="31">
        <v>0.9</v>
      </c>
      <c r="J16" s="32">
        <f>G16*I16</f>
        <v>9.99</v>
      </c>
      <c r="K16" s="7"/>
    </row>
    <row r="17" spans="2:11" ht="15" x14ac:dyDescent="0.25">
      <c r="B17" s="3" t="s">
        <v>32</v>
      </c>
      <c r="C17" s="4"/>
      <c r="D17" s="4"/>
      <c r="E17" s="4"/>
      <c r="F17" s="4"/>
      <c r="G17" s="58">
        <f>SUM(G18:G18:G20)</f>
        <v>16</v>
      </c>
      <c r="H17" s="4"/>
      <c r="I17" s="4"/>
      <c r="J17" s="64">
        <f>SUM(J18:J21)</f>
        <v>14.9</v>
      </c>
      <c r="K17" s="4"/>
    </row>
    <row r="18" spans="2:11" ht="28.5" x14ac:dyDescent="0.2">
      <c r="B18" s="51" t="s">
        <v>34</v>
      </c>
      <c r="C18" s="51" t="s">
        <v>36</v>
      </c>
      <c r="D18" s="51" t="s">
        <v>37</v>
      </c>
      <c r="E18" s="52">
        <v>100</v>
      </c>
      <c r="F18" s="53" t="s">
        <v>11</v>
      </c>
      <c r="G18" s="60">
        <v>7</v>
      </c>
      <c r="H18" s="52">
        <v>30</v>
      </c>
      <c r="I18" s="63">
        <v>1</v>
      </c>
      <c r="J18" s="65">
        <v>7</v>
      </c>
      <c r="K18" s="52"/>
    </row>
    <row r="19" spans="2:11" ht="28.5" x14ac:dyDescent="0.2">
      <c r="B19" s="23" t="s">
        <v>35</v>
      </c>
      <c r="C19" s="15" t="s">
        <v>10</v>
      </c>
      <c r="D19" s="23" t="s">
        <v>44</v>
      </c>
      <c r="E19" s="7">
        <v>100</v>
      </c>
      <c r="F19" s="29" t="s">
        <v>11</v>
      </c>
      <c r="G19" s="61">
        <v>5</v>
      </c>
      <c r="H19" s="7">
        <v>90</v>
      </c>
      <c r="I19" s="13">
        <v>0.9</v>
      </c>
      <c r="J19" s="66">
        <v>4.5</v>
      </c>
      <c r="K19" s="7"/>
    </row>
    <row r="20" spans="2:11" ht="28.5" x14ac:dyDescent="0.2">
      <c r="B20" s="9" t="s">
        <v>39</v>
      </c>
      <c r="C20" s="15" t="s">
        <v>10</v>
      </c>
      <c r="D20" s="23" t="s">
        <v>38</v>
      </c>
      <c r="E20" s="8">
        <v>100</v>
      </c>
      <c r="F20" s="10" t="s">
        <v>11</v>
      </c>
      <c r="G20" s="62">
        <v>4</v>
      </c>
      <c r="H20" s="8">
        <v>23</v>
      </c>
      <c r="I20" s="8">
        <v>85</v>
      </c>
      <c r="J20" s="67">
        <v>3.4</v>
      </c>
      <c r="K20" s="8"/>
    </row>
    <row r="21" spans="2:11" x14ac:dyDescent="0.2">
      <c r="B21" s="7"/>
      <c r="C21" s="7"/>
      <c r="D21" s="7"/>
      <c r="E21" s="7"/>
      <c r="F21" s="29"/>
      <c r="G21" s="54"/>
      <c r="H21" s="7"/>
      <c r="I21" s="7"/>
      <c r="J21" s="66"/>
      <c r="K21" s="7"/>
    </row>
    <row r="22" spans="2:11" ht="30" x14ac:dyDescent="0.25">
      <c r="B22" s="6" t="s">
        <v>40</v>
      </c>
      <c r="C22" s="4"/>
      <c r="D22" s="4"/>
      <c r="E22" s="4"/>
      <c r="F22" s="5"/>
      <c r="G22" s="75">
        <v>14</v>
      </c>
      <c r="H22" s="25"/>
      <c r="I22" s="25"/>
      <c r="J22" s="76">
        <f>SUM(J23:J25)</f>
        <v>13.4</v>
      </c>
      <c r="K22" s="4"/>
    </row>
    <row r="23" spans="2:11" ht="28.5" x14ac:dyDescent="0.2">
      <c r="B23" s="15" t="s">
        <v>43</v>
      </c>
      <c r="C23" s="15" t="s">
        <v>10</v>
      </c>
      <c r="D23" s="23" t="s">
        <v>46</v>
      </c>
      <c r="E23" s="15">
        <v>100</v>
      </c>
      <c r="F23" s="26" t="s">
        <v>11</v>
      </c>
      <c r="G23" s="73">
        <v>6</v>
      </c>
      <c r="H23" s="15">
        <v>9</v>
      </c>
      <c r="I23" s="20">
        <v>0.9</v>
      </c>
      <c r="J23" s="15">
        <v>5.4</v>
      </c>
      <c r="K23" s="7"/>
    </row>
    <row r="24" spans="2:11" ht="28.5" x14ac:dyDescent="0.2">
      <c r="B24" s="15" t="s">
        <v>45</v>
      </c>
      <c r="C24" s="15" t="s">
        <v>10</v>
      </c>
      <c r="D24" s="23" t="s">
        <v>47</v>
      </c>
      <c r="E24" s="15">
        <v>100</v>
      </c>
      <c r="F24" s="26" t="s">
        <v>11</v>
      </c>
      <c r="G24" s="73">
        <v>8</v>
      </c>
      <c r="H24" s="15" t="s">
        <v>48</v>
      </c>
      <c r="I24" s="20">
        <v>1</v>
      </c>
      <c r="J24" s="74">
        <v>8</v>
      </c>
      <c r="K24" s="7"/>
    </row>
    <row r="25" spans="2:11" x14ac:dyDescent="0.2">
      <c r="B25" s="7"/>
      <c r="C25" s="7"/>
      <c r="D25" s="7"/>
      <c r="E25" s="7"/>
      <c r="F25" s="29"/>
      <c r="G25" s="54"/>
      <c r="H25" s="7"/>
      <c r="I25" s="7"/>
      <c r="J25" s="7"/>
      <c r="K25" s="7"/>
    </row>
    <row r="26" spans="2:11" ht="20.25" x14ac:dyDescent="0.3">
      <c r="B26" s="72" t="s">
        <v>42</v>
      </c>
      <c r="C26" s="68"/>
      <c r="D26" s="68"/>
      <c r="E26" s="68"/>
      <c r="F26" s="69"/>
      <c r="G26" s="70"/>
      <c r="H26" s="68"/>
      <c r="I26" s="68"/>
      <c r="J26" s="71">
        <f>SUM(J7+J12+J17+J22)</f>
        <v>79.178035714285727</v>
      </c>
      <c r="K26" s="72"/>
    </row>
  </sheetData>
  <mergeCells count="8">
    <mergeCell ref="K5:K6"/>
    <mergeCell ref="H5:J5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2015-05-07T09:47:55Z</dcterms:created>
  <dcterms:modified xsi:type="dcterms:W3CDTF">2015-05-15T23:24:53Z</dcterms:modified>
</cp:coreProperties>
</file>