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M KHẢO\Tài liệu KPIs\Tài liệu KPIs\"/>
    </mc:Choice>
  </mc:AlternateContent>
  <bookViews>
    <workbookView xWindow="480" yWindow="165" windowWidth="13275" windowHeight="5040"/>
  </bookViews>
  <sheets>
    <sheet name="Sheet1" sheetId="1" r:id="rId1"/>
    <sheet name="Sheet2" sheetId="2" r:id="rId2"/>
    <sheet name="Sheet3" sheetId="3" r:id="rId3"/>
  </sheets>
  <calcPr calcId="162913"/>
  <fileRecoveryPr repairLoad="1"/>
</workbook>
</file>

<file path=xl/calcChain.xml><?xml version="1.0" encoding="utf-8"?>
<calcChain xmlns="http://schemas.openxmlformats.org/spreadsheetml/2006/main">
  <c r="J27" i="1" l="1"/>
  <c r="J24" i="1"/>
  <c r="J20" i="1"/>
  <c r="J17" i="1"/>
  <c r="J32" i="1" l="1"/>
  <c r="J38" i="1" s="1"/>
  <c r="J47" i="1" s="1"/>
</calcChain>
</file>

<file path=xl/sharedStrings.xml><?xml version="1.0" encoding="utf-8"?>
<sst xmlns="http://schemas.openxmlformats.org/spreadsheetml/2006/main" count="73" uniqueCount="64">
  <si>
    <t>MỤC TIÊU</t>
  </si>
  <si>
    <t>LOẠI MỤC TIÊU</t>
  </si>
  <si>
    <t>MỨC ĐỘ
QUAN TRỌNG</t>
  </si>
  <si>
    <t xml:space="preserve">  CHỈ TIÊU</t>
  </si>
  <si>
    <t>THƯỚC ĐO</t>
  </si>
  <si>
    <t>ĐIỂM CHUẨN</t>
  </si>
  <si>
    <t>THỰC HIỆN</t>
  </si>
  <si>
    <t>Kết quả</t>
  </si>
  <si>
    <t>Điểm</t>
  </si>
  <si>
    <t>GHI CHÚ</t>
  </si>
  <si>
    <t>%</t>
  </si>
  <si>
    <t xml:space="preserve">           CÔNG TY ABC</t>
  </si>
  <si>
    <t xml:space="preserve">       PHÒNG KINH DOANH</t>
  </si>
  <si>
    <t>A- THÔNG TIN CÁ NHÂN</t>
  </si>
  <si>
    <t xml:space="preserve">Người được đánh giá:  </t>
  </si>
  <si>
    <t xml:space="preserve">Người đánh giá:  </t>
  </si>
  <si>
    <t>BM-05/KPI</t>
  </si>
  <si>
    <t>B- THÔNG TIN ĐÁNH GIÁ</t>
  </si>
  <si>
    <t>PHƯƠNG PHÁP ĐO</t>
  </si>
  <si>
    <t>CL/CT</t>
  </si>
  <si>
    <t>Cắt giảm 10% chi phí</t>
  </si>
  <si>
    <t>Cắt giảm theo kế hoạch, số liệu từ phòng kế toán</t>
  </si>
  <si>
    <t>1.1 TÀI CHÍNH( Doanh thu, lợi nhuận, chí phí, tồn kho)</t>
  </si>
  <si>
    <t>Điều chỉnh kế hoạch doanh thu</t>
  </si>
  <si>
    <t>Cung cấp thông tin chính xác, kịp thời, đúng, đủ cho PKD</t>
  </si>
  <si>
    <t>Vị trí /chức danh: Thư ký kinh doanh</t>
  </si>
  <si>
    <t>Bộ phận: Phòng kinh doanh</t>
  </si>
  <si>
    <t>Vị trí /chức danh: Giám đốc</t>
  </si>
  <si>
    <t>Xây dựng xong kế hoạch bán hàng</t>
  </si>
  <si>
    <t>Thực hiện đúng yêu cầu của TPKD</t>
  </si>
  <si>
    <t>Nhập số liệu cho phần mềm quản trị</t>
  </si>
  <si>
    <t>Báo cáo đầy đủ,  đúng thời  hạn  theo mẫu quy định</t>
  </si>
  <si>
    <t>Đạt/không đạt</t>
  </si>
  <si>
    <t>1.4 Học hỏi, phát triển</t>
  </si>
  <si>
    <t>Tham gia đầy đủ và đạt loại khá trở lên các lớp đào tạo được chỉ định tham dự</t>
  </si>
  <si>
    <t>Kết quả  các khóa học</t>
  </si>
  <si>
    <t>D- KHEN THƯỞNG, KỶ LUẬT TRONG KỲ</t>
  </si>
  <si>
    <t>Tùy mức độ khen thưởng /hoặc kỷ luật để xét tăng/giảm điểm( 1-5) và xếp hạng.</t>
  </si>
  <si>
    <t>( Đính kèm quyết định, biên bản khen thưởng/kỷ luật)</t>
  </si>
  <si>
    <t>KỶ LUẬT</t>
  </si>
  <si>
    <t>KHEN THƯỞNG</t>
  </si>
  <si>
    <t>Ghi rõ số điểm bị trừ, số bậc bị hạ</t>
  </si>
  <si>
    <t>GHI NHẬN</t>
  </si>
  <si>
    <t>E- KẾT QUẢ CUỐI CÙNG</t>
  </si>
  <si>
    <t>ĐIỂM</t>
  </si>
  <si>
    <t>Ý KIẾN CỦA NGƯỜI ĐÁNH GIÁ</t>
  </si>
  <si>
    <t>Xây dựng xong kế hoạch quảng cáo</t>
  </si>
  <si>
    <t>Họ và tên:  Trần Tuấn Dũng</t>
  </si>
  <si>
    <t>Ý KIẾN CỦA NGƯỜI  ĐƯỢC ĐÁNH GIÁ</t>
  </si>
  <si>
    <t>G- ĐỀ XUẤT SAU ĐÁNH GIÁ :</t>
  </si>
  <si>
    <t>GIÁM ĐỐC NHÂN SỰ</t>
  </si>
  <si>
    <t>BAN GIÁM ĐỐC CÔNG TY</t>
  </si>
  <si>
    <t>1.3  Nội bộ</t>
  </si>
  <si>
    <t xml:space="preserve">             BẢN XÁC ĐỊNH KPIs &amp; ĐÁNH GIÁ KẾT QUẢ CÁ NHÂN  THÁNG 3 NĂM 2015</t>
  </si>
  <si>
    <t>1.2 KHÁCH HÀNG(Chất lượng, giao hàng, giá cả ,dịch vụ)</t>
  </si>
  <si>
    <t>Theo yêu cầu của TPKD</t>
  </si>
  <si>
    <t>Họ và tên: Nguyễn Thị Minh An</t>
  </si>
  <si>
    <t xml:space="preserve"> - Kiến thức.</t>
  </si>
  <si>
    <t xml:space="preserve"> - Kỹ năng:</t>
  </si>
  <si>
    <t xml:space="preserve"> - Thái độ:</t>
  </si>
  <si>
    <t>III- KẾT QUẢ NĂNG LỰC CÔNG TÁC (30%)</t>
  </si>
  <si>
    <t>II- KẾT QUẢ HOÀN THÀNH  KPIs(70%)</t>
  </si>
  <si>
    <t xml:space="preserve">IV- KẾT QUẢ </t>
  </si>
  <si>
    <t>I- KPIs  MỤC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</si>
</sst>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3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4"/>
      <color rgb="FFFF0000"/>
      <name val="Arial"/>
      <family val="2"/>
    </font>
    <font>
      <b/>
      <sz val="22"/>
      <color rgb="FFFF0000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4" borderId="0" xfId="0" applyFont="1" applyFill="1"/>
    <xf numFmtId="0" fontId="3" fillId="4" borderId="0" xfId="0" applyFont="1" applyFill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164" fontId="7" fillId="3" borderId="1" xfId="0" applyNumberFormat="1" applyFont="1" applyFill="1" applyBorder="1"/>
    <xf numFmtId="0" fontId="1" fillId="0" borderId="0" xfId="0" applyFont="1" applyAlignment="1">
      <alignment horizontal="left"/>
    </xf>
    <xf numFmtId="0" fontId="2" fillId="3" borderId="0" xfId="0" applyFont="1" applyFill="1"/>
    <xf numFmtId="0" fontId="1" fillId="3" borderId="0" xfId="0" applyFont="1" applyFill="1"/>
    <xf numFmtId="0" fontId="8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0" xfId="0" applyFont="1" applyFill="1" applyBorder="1"/>
    <xf numFmtId="0" fontId="1" fillId="6" borderId="8" xfId="0" applyFont="1" applyFill="1" applyBorder="1"/>
    <xf numFmtId="0" fontId="2" fillId="6" borderId="0" xfId="0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1" fillId="7" borderId="1" xfId="0" applyFont="1" applyFill="1" applyBorder="1"/>
    <xf numFmtId="0" fontId="2" fillId="8" borderId="0" xfId="0" applyFont="1" applyFill="1"/>
    <xf numFmtId="0" fontId="1" fillId="8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6" fillId="4" borderId="0" xfId="0" applyFont="1" applyFill="1" applyBorder="1"/>
    <xf numFmtId="0" fontId="8" fillId="6" borderId="5" xfId="0" applyFont="1" applyFill="1" applyBorder="1"/>
    <xf numFmtId="0" fontId="10" fillId="0" borderId="0" xfId="0" applyFont="1"/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10" borderId="1" xfId="0" applyFont="1" applyFill="1" applyBorder="1"/>
    <xf numFmtId="0" fontId="1" fillId="10" borderId="1" xfId="0" applyFont="1" applyFill="1" applyBorder="1"/>
    <xf numFmtId="0" fontId="2" fillId="5" borderId="1" xfId="0" applyFont="1" applyFill="1" applyBorder="1" applyAlignment="1">
      <alignment wrapText="1"/>
    </xf>
    <xf numFmtId="164" fontId="7" fillId="3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vertical="center"/>
    </xf>
    <xf numFmtId="2" fontId="7" fillId="5" borderId="1" xfId="0" applyNumberFormat="1" applyFont="1" applyFill="1" applyBorder="1"/>
    <xf numFmtId="2" fontId="7" fillId="3" borderId="1" xfId="0" applyNumberFormat="1" applyFont="1" applyFill="1" applyBorder="1" applyAlignment="1">
      <alignment wrapText="1"/>
    </xf>
    <xf numFmtId="2" fontId="1" fillId="0" borderId="1" xfId="0" applyNumberFormat="1" applyFont="1" applyBorder="1"/>
    <xf numFmtId="2" fontId="7" fillId="4" borderId="1" xfId="0" applyNumberFormat="1" applyFont="1" applyFill="1" applyBorder="1"/>
    <xf numFmtId="0" fontId="12" fillId="4" borderId="1" xfId="0" applyFont="1" applyFill="1" applyBorder="1"/>
    <xf numFmtId="2" fontId="7" fillId="10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64" fontId="8" fillId="3" borderId="0" xfId="0" applyNumberFormat="1" applyFont="1" applyFill="1"/>
    <xf numFmtId="0" fontId="1" fillId="1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7" fillId="12" borderId="1" xfId="0" applyFont="1" applyFill="1" applyBorder="1"/>
    <xf numFmtId="0" fontId="7" fillId="11" borderId="1" xfId="0" applyFont="1" applyFill="1" applyBorder="1" applyAlignment="1">
      <alignment horizontal="center" vertical="center" wrapText="1"/>
    </xf>
    <xf numFmtId="0" fontId="13" fillId="4" borderId="0" xfId="0" applyFont="1" applyFill="1"/>
    <xf numFmtId="0" fontId="14" fillId="4" borderId="0" xfId="0" applyFont="1" applyFill="1"/>
    <xf numFmtId="0" fontId="15" fillId="11" borderId="1" xfId="0" applyFont="1" applyFill="1" applyBorder="1" applyAlignment="1">
      <alignment horizontal="left" vertical="center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wrapText="1"/>
    </xf>
    <xf numFmtId="0" fontId="14" fillId="11" borderId="1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wrapText="1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vertical="center"/>
    </xf>
    <xf numFmtId="0" fontId="4" fillId="13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164" fontId="7" fillId="1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11" fillId="0" borderId="0" xfId="0" applyFont="1" applyAlignment="1"/>
    <xf numFmtId="0" fontId="6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3"/>
  <sheetViews>
    <sheetView showGridLines="0" tabSelected="1" topLeftCell="A7" zoomScale="80" zoomScaleNormal="80" workbookViewId="0">
      <selection activeCell="J20" sqref="J20"/>
    </sheetView>
  </sheetViews>
  <sheetFormatPr defaultRowHeight="14.25" x14ac:dyDescent="0.2"/>
  <cols>
    <col min="1" max="1" width="2.85546875" style="1" customWidth="1"/>
    <col min="2" max="2" width="56" style="1" customWidth="1"/>
    <col min="3" max="4" width="13.85546875" style="1" customWidth="1"/>
    <col min="5" max="5" width="12.140625" style="1" customWidth="1"/>
    <col min="6" max="6" width="10.42578125" style="1" customWidth="1"/>
    <col min="7" max="7" width="22.7109375" style="1" customWidth="1"/>
    <col min="8" max="8" width="11.140625" style="1" customWidth="1"/>
    <col min="9" max="10" width="9.140625" style="1"/>
    <col min="11" max="11" width="12.42578125" style="1" customWidth="1"/>
    <col min="12" max="16384" width="9.140625" style="1"/>
  </cols>
  <sheetData>
    <row r="2" spans="2:11" ht="15" x14ac:dyDescent="0.25">
      <c r="B2" s="7" t="s">
        <v>11</v>
      </c>
    </row>
    <row r="3" spans="2:11" ht="20.25" x14ac:dyDescent="0.3">
      <c r="B3" s="7" t="s">
        <v>12</v>
      </c>
      <c r="D3" s="2"/>
      <c r="E3" s="3"/>
    </row>
    <row r="4" spans="2:11" ht="20.25" x14ac:dyDescent="0.3">
      <c r="D4" s="2"/>
      <c r="E4" s="3"/>
    </row>
    <row r="5" spans="2:11" ht="27.75" x14ac:dyDescent="0.4">
      <c r="B5" s="104" t="s">
        <v>53</v>
      </c>
      <c r="C5" s="104"/>
      <c r="D5" s="104"/>
      <c r="E5" s="104"/>
      <c r="F5" s="104"/>
      <c r="G5" s="104"/>
      <c r="H5" s="104"/>
      <c r="I5" s="104"/>
      <c r="J5" s="104"/>
      <c r="K5" s="104"/>
    </row>
    <row r="6" spans="2:11" ht="20.25" x14ac:dyDescent="0.3">
      <c r="D6" s="2"/>
      <c r="E6" s="3"/>
      <c r="K6" s="1" t="s">
        <v>16</v>
      </c>
    </row>
    <row r="7" spans="2:11" ht="20.25" x14ac:dyDescent="0.3">
      <c r="B7" s="39" t="s">
        <v>13</v>
      </c>
      <c r="C7" s="8"/>
      <c r="D7" s="9"/>
      <c r="E7" s="8"/>
      <c r="F7" s="105"/>
      <c r="G7" s="105"/>
      <c r="H7" s="105"/>
      <c r="I7" s="105"/>
      <c r="J7" s="105"/>
      <c r="K7" s="105"/>
    </row>
    <row r="8" spans="2:11" ht="20.25" x14ac:dyDescent="0.3">
      <c r="B8" s="6" t="s">
        <v>14</v>
      </c>
      <c r="D8" s="2"/>
      <c r="E8" s="3"/>
      <c r="F8" s="88" t="s">
        <v>15</v>
      </c>
      <c r="G8" s="88"/>
      <c r="H8" s="88"/>
      <c r="I8" s="88"/>
      <c r="J8" s="88"/>
      <c r="K8" s="88"/>
    </row>
    <row r="9" spans="2:11" ht="20.25" x14ac:dyDescent="0.3">
      <c r="B9" s="6" t="s">
        <v>56</v>
      </c>
      <c r="D9" s="2"/>
      <c r="E9" s="3"/>
      <c r="F9" s="88" t="s">
        <v>47</v>
      </c>
      <c r="G9" s="88"/>
      <c r="H9" s="88"/>
      <c r="I9" s="88"/>
      <c r="J9" s="88"/>
      <c r="K9" s="88"/>
    </row>
    <row r="10" spans="2:11" ht="20.25" x14ac:dyDescent="0.3">
      <c r="B10" s="6" t="s">
        <v>25</v>
      </c>
      <c r="D10" s="2"/>
      <c r="E10" s="3"/>
      <c r="F10" s="88" t="s">
        <v>27</v>
      </c>
      <c r="G10" s="88"/>
      <c r="H10" s="88"/>
      <c r="I10" s="88"/>
      <c r="J10" s="88"/>
      <c r="K10" s="88"/>
    </row>
    <row r="11" spans="2:11" ht="20.25" x14ac:dyDescent="0.3">
      <c r="B11" s="6" t="s">
        <v>26</v>
      </c>
      <c r="D11" s="2"/>
      <c r="E11" s="3"/>
      <c r="F11" s="88" t="s">
        <v>26</v>
      </c>
      <c r="G11" s="88"/>
      <c r="H11" s="88"/>
      <c r="I11" s="88"/>
      <c r="J11" s="88"/>
      <c r="K11" s="88"/>
    </row>
    <row r="12" spans="2:11" ht="20.25" x14ac:dyDescent="0.3">
      <c r="D12" s="2"/>
      <c r="E12" s="3"/>
    </row>
    <row r="13" spans="2:11" ht="15.75" x14ac:dyDescent="0.25">
      <c r="B13" s="68" t="s">
        <v>17</v>
      </c>
      <c r="C13" s="69"/>
      <c r="D13" s="69"/>
      <c r="E13" s="69"/>
      <c r="F13" s="69"/>
      <c r="G13" s="69"/>
      <c r="H13" s="69"/>
      <c r="I13" s="69"/>
      <c r="J13" s="69"/>
      <c r="K13" s="69"/>
    </row>
    <row r="14" spans="2:11" ht="45" customHeight="1" x14ac:dyDescent="0.25">
      <c r="B14" s="92" t="s">
        <v>0</v>
      </c>
      <c r="C14" s="93" t="s">
        <v>1</v>
      </c>
      <c r="D14" s="93" t="s">
        <v>2</v>
      </c>
      <c r="E14" s="95" t="s">
        <v>3</v>
      </c>
      <c r="F14" s="95" t="s">
        <v>4</v>
      </c>
      <c r="G14" s="83" t="s">
        <v>18</v>
      </c>
      <c r="H14" s="95" t="s">
        <v>5</v>
      </c>
      <c r="I14" s="92" t="s">
        <v>6</v>
      </c>
      <c r="J14" s="92"/>
      <c r="K14" s="102" t="s">
        <v>9</v>
      </c>
    </row>
    <row r="15" spans="2:11" ht="14.25" customHeight="1" x14ac:dyDescent="0.25">
      <c r="B15" s="92"/>
      <c r="C15" s="94"/>
      <c r="D15" s="94"/>
      <c r="E15" s="95"/>
      <c r="F15" s="95"/>
      <c r="G15" s="83"/>
      <c r="H15" s="95"/>
      <c r="I15" s="84" t="s">
        <v>7</v>
      </c>
      <c r="J15" s="84" t="s">
        <v>8</v>
      </c>
      <c r="K15" s="103"/>
    </row>
    <row r="16" spans="2:11" ht="30" customHeight="1" x14ac:dyDescent="0.25">
      <c r="B16" s="70" t="s">
        <v>63</v>
      </c>
      <c r="C16" s="71"/>
      <c r="D16" s="71"/>
      <c r="E16" s="72"/>
      <c r="F16" s="72"/>
      <c r="G16" s="73"/>
      <c r="H16" s="67">
        <v>70</v>
      </c>
      <c r="I16" s="74"/>
      <c r="J16" s="74"/>
      <c r="K16" s="75"/>
    </row>
    <row r="17" spans="2:11" ht="30.75" customHeight="1" x14ac:dyDescent="0.25">
      <c r="B17" s="76" t="s">
        <v>22</v>
      </c>
      <c r="C17" s="77"/>
      <c r="D17" s="77"/>
      <c r="E17" s="77"/>
      <c r="F17" s="78"/>
      <c r="G17" s="78"/>
      <c r="H17" s="54">
        <v>25</v>
      </c>
      <c r="I17" s="78"/>
      <c r="J17" s="51">
        <f>SUM(J18:J19)</f>
        <v>0</v>
      </c>
      <c r="K17" s="77"/>
    </row>
    <row r="18" spans="2:11" ht="42.75" x14ac:dyDescent="0.2">
      <c r="B18" s="79" t="s">
        <v>20</v>
      </c>
      <c r="C18" s="79" t="s">
        <v>19</v>
      </c>
      <c r="D18" s="79">
        <v>2</v>
      </c>
      <c r="E18" s="79">
        <v>100</v>
      </c>
      <c r="F18" s="80" t="s">
        <v>10</v>
      </c>
      <c r="G18" s="81" t="s">
        <v>21</v>
      </c>
      <c r="H18" s="82">
        <v>25</v>
      </c>
      <c r="I18" s="79"/>
      <c r="J18" s="82"/>
      <c r="K18" s="79"/>
    </row>
    <row r="19" spans="2:11" x14ac:dyDescent="0.2"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2:11" ht="30" x14ac:dyDescent="0.25">
      <c r="B20" s="50" t="s">
        <v>54</v>
      </c>
      <c r="C20" s="15"/>
      <c r="D20" s="15"/>
      <c r="E20" s="15"/>
      <c r="F20" s="15"/>
      <c r="G20" s="15"/>
      <c r="H20" s="53">
        <v>25</v>
      </c>
      <c r="I20" s="15"/>
      <c r="J20" s="53">
        <f>SUM(J21:J23)</f>
        <v>0</v>
      </c>
      <c r="K20" s="15"/>
    </row>
    <row r="21" spans="2:11" ht="42.75" x14ac:dyDescent="0.2">
      <c r="B21" s="11" t="s">
        <v>23</v>
      </c>
      <c r="C21" s="11" t="s">
        <v>32</v>
      </c>
      <c r="D21" s="11">
        <v>2</v>
      </c>
      <c r="E21" s="11">
        <v>100</v>
      </c>
      <c r="F21" s="12" t="s">
        <v>10</v>
      </c>
      <c r="G21" s="13" t="s">
        <v>24</v>
      </c>
      <c r="H21" s="52">
        <v>5</v>
      </c>
      <c r="I21" s="11"/>
      <c r="J21" s="52"/>
      <c r="K21" s="11"/>
    </row>
    <row r="22" spans="2:11" ht="28.5" x14ac:dyDescent="0.2">
      <c r="B22" s="11" t="s">
        <v>28</v>
      </c>
      <c r="C22" s="11" t="s">
        <v>19</v>
      </c>
      <c r="D22" s="11">
        <v>3</v>
      </c>
      <c r="E22" s="11">
        <v>100</v>
      </c>
      <c r="F22" s="12" t="s">
        <v>10</v>
      </c>
      <c r="G22" s="13" t="s">
        <v>29</v>
      </c>
      <c r="H22" s="52">
        <v>5</v>
      </c>
      <c r="I22" s="11"/>
      <c r="J22" s="52"/>
      <c r="K22" s="11"/>
    </row>
    <row r="23" spans="2:11" x14ac:dyDescent="0.2">
      <c r="B23" s="5" t="s">
        <v>46</v>
      </c>
      <c r="C23" s="11" t="s">
        <v>32</v>
      </c>
      <c r="D23" s="5">
        <v>4</v>
      </c>
      <c r="E23" s="5">
        <v>100</v>
      </c>
      <c r="F23" s="59" t="s">
        <v>10</v>
      </c>
      <c r="G23" s="5" t="s">
        <v>55</v>
      </c>
      <c r="H23" s="55">
        <v>15</v>
      </c>
      <c r="I23" s="5"/>
      <c r="J23" s="55"/>
      <c r="K23" s="5"/>
    </row>
    <row r="24" spans="2:11" ht="15" x14ac:dyDescent="0.25">
      <c r="B24" s="16" t="s">
        <v>52</v>
      </c>
      <c r="C24" s="14"/>
      <c r="D24" s="14"/>
      <c r="E24" s="14"/>
      <c r="F24" s="60"/>
      <c r="G24" s="14"/>
      <c r="H24" s="56">
        <v>10</v>
      </c>
      <c r="I24" s="57"/>
      <c r="J24" s="56">
        <f>SUM(J25:J26)</f>
        <v>0</v>
      </c>
      <c r="K24" s="14"/>
    </row>
    <row r="25" spans="2:11" x14ac:dyDescent="0.2">
      <c r="B25" s="5" t="s">
        <v>30</v>
      </c>
      <c r="C25" s="5"/>
      <c r="D25" s="5"/>
      <c r="E25" s="5"/>
      <c r="F25" s="59"/>
      <c r="G25" s="5"/>
      <c r="H25" s="55">
        <v>5</v>
      </c>
      <c r="I25" s="5"/>
      <c r="J25" s="55"/>
      <c r="K25" s="5"/>
    </row>
    <row r="26" spans="2:11" x14ac:dyDescent="0.2">
      <c r="B26" s="5" t="s">
        <v>31</v>
      </c>
      <c r="C26" s="5"/>
      <c r="D26" s="5"/>
      <c r="E26" s="5"/>
      <c r="F26" s="59"/>
      <c r="G26" s="5"/>
      <c r="H26" s="55">
        <v>5</v>
      </c>
      <c r="I26" s="5"/>
      <c r="J26" s="55"/>
      <c r="K26" s="5"/>
    </row>
    <row r="27" spans="2:11" ht="15" x14ac:dyDescent="0.25">
      <c r="B27" s="48" t="s">
        <v>33</v>
      </c>
      <c r="C27" s="49"/>
      <c r="D27" s="49"/>
      <c r="E27" s="49"/>
      <c r="F27" s="61"/>
      <c r="G27" s="49"/>
      <c r="H27" s="58">
        <v>10</v>
      </c>
      <c r="I27" s="48"/>
      <c r="J27" s="58">
        <f>SUM(J28:J31)</f>
        <v>0</v>
      </c>
      <c r="K27" s="49"/>
    </row>
    <row r="28" spans="2:11" ht="28.5" x14ac:dyDescent="0.2">
      <c r="B28" s="10" t="s">
        <v>34</v>
      </c>
      <c r="C28" s="5" t="s">
        <v>19</v>
      </c>
      <c r="D28" s="5">
        <v>2</v>
      </c>
      <c r="E28" s="5">
        <v>100</v>
      </c>
      <c r="F28" s="59" t="s">
        <v>10</v>
      </c>
      <c r="G28" s="5" t="s">
        <v>35</v>
      </c>
      <c r="H28" s="55">
        <v>10</v>
      </c>
      <c r="I28" s="5"/>
      <c r="J28" s="55"/>
      <c r="K28" s="5"/>
    </row>
    <row r="29" spans="2:11" x14ac:dyDescent="0.2">
      <c r="B29" s="5"/>
      <c r="C29" s="5"/>
      <c r="D29" s="5"/>
      <c r="E29" s="5"/>
      <c r="F29" s="59"/>
      <c r="G29" s="5"/>
      <c r="H29" s="5"/>
      <c r="I29" s="5"/>
      <c r="J29" s="5"/>
      <c r="K29" s="5"/>
    </row>
    <row r="30" spans="2:11" x14ac:dyDescent="0.2">
      <c r="B30" s="5"/>
      <c r="C30" s="5"/>
      <c r="D30" s="5"/>
      <c r="E30" s="5"/>
      <c r="F30" s="59"/>
      <c r="G30" s="5"/>
      <c r="H30" s="5"/>
      <c r="I30" s="5"/>
      <c r="J30" s="5"/>
      <c r="K30" s="5"/>
    </row>
    <row r="31" spans="2:11" x14ac:dyDescent="0.2">
      <c r="B31" s="5"/>
      <c r="C31" s="5"/>
      <c r="D31" s="5"/>
      <c r="E31" s="5"/>
      <c r="F31" s="59"/>
      <c r="G31" s="5"/>
      <c r="H31" s="5"/>
      <c r="I31" s="5"/>
      <c r="J31" s="5"/>
      <c r="K31" s="5"/>
    </row>
    <row r="32" spans="2:11" ht="21.75" customHeight="1" x14ac:dyDescent="0.25">
      <c r="B32" s="64" t="s">
        <v>61</v>
      </c>
      <c r="C32" s="4"/>
      <c r="D32" s="4"/>
      <c r="E32" s="4"/>
      <c r="F32" s="4"/>
      <c r="G32" s="4"/>
      <c r="H32" s="4"/>
      <c r="I32" s="4"/>
      <c r="J32" s="18">
        <f>SUM(J17+J20+J24+J27)</f>
        <v>0</v>
      </c>
      <c r="K32" s="37"/>
    </row>
    <row r="33" spans="2:11" ht="22.5" customHeight="1" x14ac:dyDescent="0.25">
      <c r="B33" s="65" t="s">
        <v>60</v>
      </c>
      <c r="C33" s="63"/>
      <c r="D33" s="63"/>
      <c r="E33" s="63"/>
      <c r="F33" s="63"/>
      <c r="G33" s="63"/>
      <c r="H33" s="66">
        <v>30</v>
      </c>
      <c r="I33" s="63"/>
      <c r="J33" s="63"/>
      <c r="K33" s="63"/>
    </row>
    <row r="34" spans="2:11" x14ac:dyDescent="0.2">
      <c r="B34" s="5" t="s">
        <v>57</v>
      </c>
      <c r="C34" s="5"/>
      <c r="D34" s="5"/>
      <c r="E34" s="5"/>
      <c r="F34" s="5"/>
      <c r="G34" s="5"/>
      <c r="H34" s="5">
        <v>10</v>
      </c>
      <c r="I34" s="5"/>
      <c r="J34" s="5"/>
      <c r="K34" s="5"/>
    </row>
    <row r="35" spans="2:11" x14ac:dyDescent="0.2">
      <c r="B35" s="5" t="s">
        <v>58</v>
      </c>
      <c r="C35" s="5"/>
      <c r="D35" s="5"/>
      <c r="E35" s="5"/>
      <c r="F35" s="5"/>
      <c r="G35" s="5"/>
      <c r="H35" s="5">
        <v>10</v>
      </c>
      <c r="I35" s="5"/>
      <c r="J35" s="5"/>
      <c r="K35" s="5"/>
    </row>
    <row r="36" spans="2:11" x14ac:dyDescent="0.2">
      <c r="B36" s="5" t="s">
        <v>59</v>
      </c>
      <c r="C36" s="5"/>
      <c r="D36" s="5"/>
      <c r="E36" s="5"/>
      <c r="F36" s="5"/>
      <c r="G36" s="5"/>
      <c r="H36" s="5">
        <v>10</v>
      </c>
      <c r="I36" s="5"/>
      <c r="J36" s="5"/>
      <c r="K36" s="5"/>
    </row>
    <row r="37" spans="2:1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2:11" ht="30.75" customHeight="1" x14ac:dyDescent="0.2">
      <c r="B38" s="85" t="s">
        <v>62</v>
      </c>
      <c r="C38" s="86"/>
      <c r="D38" s="86"/>
      <c r="E38" s="86"/>
      <c r="F38" s="86"/>
      <c r="G38" s="86"/>
      <c r="H38" s="86"/>
      <c r="I38" s="86"/>
      <c r="J38" s="87">
        <f>SUM(J32+J33)</f>
        <v>0</v>
      </c>
      <c r="K38" s="86"/>
    </row>
    <row r="39" spans="2:11" x14ac:dyDescent="0.2">
      <c r="B39" s="19"/>
    </row>
    <row r="40" spans="2:11" ht="15" x14ac:dyDescent="0.25">
      <c r="B40" s="35" t="s">
        <v>36</v>
      </c>
      <c r="C40" s="35" t="s">
        <v>37</v>
      </c>
      <c r="D40" s="36"/>
      <c r="E40" s="36"/>
      <c r="F40" s="36"/>
      <c r="G40" s="36"/>
      <c r="H40" s="36"/>
      <c r="I40" s="36"/>
      <c r="J40" s="36"/>
      <c r="K40" s="36"/>
    </row>
    <row r="41" spans="2:11" x14ac:dyDescent="0.2">
      <c r="B41" s="1" t="s">
        <v>38</v>
      </c>
    </row>
    <row r="43" spans="2:11" ht="15" x14ac:dyDescent="0.25">
      <c r="B43" s="32" t="s">
        <v>39</v>
      </c>
      <c r="C43" s="33" t="s">
        <v>42</v>
      </c>
      <c r="G43" s="99" t="s">
        <v>40</v>
      </c>
      <c r="H43" s="100"/>
      <c r="I43" s="100"/>
      <c r="J43" s="101"/>
      <c r="K43" s="17" t="s">
        <v>42</v>
      </c>
    </row>
    <row r="44" spans="2:11" x14ac:dyDescent="0.2">
      <c r="B44" s="34" t="s">
        <v>41</v>
      </c>
      <c r="C44" s="34"/>
      <c r="G44" s="96"/>
      <c r="H44" s="97"/>
      <c r="I44" s="97"/>
      <c r="J44" s="98"/>
      <c r="K44" s="14"/>
    </row>
    <row r="45" spans="2:11" x14ac:dyDescent="0.2">
      <c r="B45" s="34"/>
      <c r="C45" s="34"/>
      <c r="G45" s="96"/>
      <c r="H45" s="97"/>
      <c r="I45" s="97"/>
      <c r="J45" s="98"/>
      <c r="K45" s="14"/>
    </row>
    <row r="47" spans="2:11" ht="15" x14ac:dyDescent="0.25">
      <c r="B47" s="20" t="s">
        <v>43</v>
      </c>
      <c r="C47" s="21"/>
      <c r="D47" s="21"/>
      <c r="E47" s="21"/>
      <c r="F47" s="21"/>
      <c r="G47" s="21"/>
      <c r="H47" s="21"/>
      <c r="I47" s="20" t="s">
        <v>44</v>
      </c>
      <c r="J47" s="62">
        <f>J38-C44</f>
        <v>0</v>
      </c>
      <c r="K47" s="38"/>
    </row>
    <row r="49" spans="2:11" ht="15" x14ac:dyDescent="0.25">
      <c r="B49" s="22" t="s">
        <v>45</v>
      </c>
      <c r="C49" s="23"/>
      <c r="D49" s="24"/>
      <c r="E49" s="40" t="s">
        <v>48</v>
      </c>
      <c r="F49" s="23"/>
      <c r="G49" s="23"/>
      <c r="H49" s="23"/>
      <c r="I49" s="23"/>
      <c r="J49" s="23"/>
      <c r="K49" s="24"/>
    </row>
    <row r="50" spans="2:11" x14ac:dyDescent="0.2">
      <c r="B50" s="25"/>
      <c r="C50" s="26"/>
      <c r="D50" s="27"/>
      <c r="E50" s="26"/>
      <c r="F50" s="26"/>
      <c r="G50" s="26"/>
      <c r="H50" s="26"/>
      <c r="I50" s="26"/>
      <c r="J50" s="26"/>
      <c r="K50" s="27"/>
    </row>
    <row r="51" spans="2:11" x14ac:dyDescent="0.2">
      <c r="B51" s="25"/>
      <c r="C51" s="26"/>
      <c r="D51" s="27"/>
      <c r="E51" s="26"/>
      <c r="F51" s="26"/>
      <c r="G51" s="26"/>
      <c r="H51" s="26"/>
      <c r="I51" s="26"/>
      <c r="J51" s="26"/>
      <c r="K51" s="27"/>
    </row>
    <row r="52" spans="2:11" x14ac:dyDescent="0.2">
      <c r="B52" s="25"/>
      <c r="C52" s="26"/>
      <c r="D52" s="27"/>
      <c r="E52" s="26"/>
      <c r="F52" s="26"/>
      <c r="G52" s="26"/>
      <c r="H52" s="26"/>
      <c r="I52" s="26"/>
      <c r="J52" s="26"/>
      <c r="K52" s="27"/>
    </row>
    <row r="53" spans="2:11" ht="15" x14ac:dyDescent="0.25">
      <c r="B53" s="25"/>
      <c r="C53" s="26"/>
      <c r="D53" s="27"/>
      <c r="E53" s="26"/>
      <c r="F53" s="26"/>
      <c r="G53" s="26"/>
      <c r="H53" s="28"/>
      <c r="I53" s="28"/>
      <c r="J53" s="26"/>
      <c r="K53" s="27"/>
    </row>
    <row r="54" spans="2:11" ht="15" x14ac:dyDescent="0.25">
      <c r="B54" s="25"/>
      <c r="C54" s="26"/>
      <c r="D54" s="27"/>
      <c r="E54" s="26"/>
      <c r="F54" s="26"/>
      <c r="G54" s="26"/>
      <c r="H54" s="28"/>
      <c r="I54" s="26"/>
      <c r="J54" s="26"/>
      <c r="K54" s="27"/>
    </row>
    <row r="55" spans="2:11" x14ac:dyDescent="0.2">
      <c r="B55" s="25"/>
      <c r="C55" s="26"/>
      <c r="D55" s="27"/>
      <c r="E55" s="26"/>
      <c r="F55" s="26"/>
      <c r="G55" s="26"/>
      <c r="H55" s="26"/>
      <c r="I55" s="26"/>
      <c r="J55" s="26"/>
      <c r="K55" s="27"/>
    </row>
    <row r="56" spans="2:11" x14ac:dyDescent="0.2">
      <c r="B56" s="25"/>
      <c r="C56" s="26"/>
      <c r="D56" s="27"/>
      <c r="E56" s="26"/>
      <c r="F56" s="26"/>
      <c r="G56" s="26"/>
      <c r="H56" s="26"/>
      <c r="I56" s="26"/>
      <c r="J56" s="26"/>
      <c r="K56" s="27"/>
    </row>
    <row r="57" spans="2:11" x14ac:dyDescent="0.2">
      <c r="B57" s="29"/>
      <c r="C57" s="30"/>
      <c r="D57" s="31"/>
      <c r="E57" s="30"/>
      <c r="F57" s="30"/>
      <c r="G57" s="30"/>
      <c r="H57" s="30"/>
      <c r="I57" s="30"/>
      <c r="J57" s="30"/>
      <c r="K57" s="31"/>
    </row>
    <row r="59" spans="2:11" ht="18" x14ac:dyDescent="0.25">
      <c r="B59" s="41" t="s">
        <v>49</v>
      </c>
    </row>
    <row r="62" spans="2:11" ht="20.25" x14ac:dyDescent="0.3">
      <c r="B62" s="89" t="s">
        <v>51</v>
      </c>
      <c r="C62" s="90"/>
      <c r="D62" s="91"/>
      <c r="E62" s="2"/>
      <c r="F62" s="89" t="s">
        <v>50</v>
      </c>
      <c r="G62" s="90"/>
      <c r="H62" s="90"/>
      <c r="I62" s="90"/>
      <c r="J62" s="90"/>
      <c r="K62" s="91"/>
    </row>
    <row r="63" spans="2:11" ht="20.25" x14ac:dyDescent="0.3">
      <c r="B63" s="42"/>
      <c r="C63" s="43"/>
      <c r="D63" s="44"/>
      <c r="E63" s="2"/>
      <c r="F63" s="42"/>
      <c r="G63" s="43"/>
      <c r="H63" s="43"/>
      <c r="I63" s="43"/>
      <c r="J63" s="43"/>
      <c r="K63" s="44"/>
    </row>
    <row r="64" spans="2:11" ht="20.25" x14ac:dyDescent="0.3">
      <c r="B64" s="42"/>
      <c r="C64" s="43"/>
      <c r="D64" s="44"/>
      <c r="E64" s="2"/>
      <c r="F64" s="42"/>
      <c r="G64" s="43"/>
      <c r="H64" s="43"/>
      <c r="I64" s="43"/>
      <c r="J64" s="43"/>
      <c r="K64" s="44"/>
    </row>
    <row r="65" spans="2:11" ht="20.25" x14ac:dyDescent="0.3">
      <c r="B65" s="42"/>
      <c r="C65" s="43"/>
      <c r="D65" s="44"/>
      <c r="E65" s="2"/>
      <c r="F65" s="42"/>
      <c r="G65" s="43"/>
      <c r="H65" s="43"/>
      <c r="I65" s="43"/>
      <c r="J65" s="43"/>
      <c r="K65" s="44"/>
    </row>
    <row r="66" spans="2:11" ht="20.25" x14ac:dyDescent="0.3">
      <c r="B66" s="42"/>
      <c r="C66" s="43"/>
      <c r="D66" s="44"/>
      <c r="E66" s="2"/>
      <c r="F66" s="42"/>
      <c r="G66" s="43"/>
      <c r="H66" s="43"/>
      <c r="I66" s="43"/>
      <c r="J66" s="43"/>
      <c r="K66" s="44"/>
    </row>
    <row r="67" spans="2:11" ht="20.25" x14ac:dyDescent="0.3">
      <c r="B67" s="42"/>
      <c r="C67" s="43"/>
      <c r="D67" s="44"/>
      <c r="E67" s="2"/>
      <c r="F67" s="42"/>
      <c r="G67" s="43"/>
      <c r="H67" s="43"/>
      <c r="I67" s="43"/>
      <c r="J67" s="43"/>
      <c r="K67" s="44"/>
    </row>
    <row r="68" spans="2:11" ht="20.25" x14ac:dyDescent="0.3">
      <c r="B68" s="42"/>
      <c r="C68" s="43"/>
      <c r="D68" s="44"/>
      <c r="E68" s="2"/>
      <c r="F68" s="42"/>
      <c r="G68" s="43"/>
      <c r="H68" s="43"/>
      <c r="I68" s="43"/>
      <c r="J68" s="43"/>
      <c r="K68" s="44"/>
    </row>
    <row r="69" spans="2:11" ht="20.25" x14ac:dyDescent="0.3">
      <c r="B69" s="42"/>
      <c r="C69" s="43"/>
      <c r="D69" s="44"/>
      <c r="E69" s="2"/>
      <c r="F69" s="42"/>
      <c r="G69" s="43"/>
      <c r="H69" s="43"/>
      <c r="I69" s="43"/>
      <c r="J69" s="43"/>
      <c r="K69" s="44"/>
    </row>
    <row r="70" spans="2:11" ht="20.25" x14ac:dyDescent="0.3">
      <c r="B70" s="42"/>
      <c r="C70" s="43"/>
      <c r="D70" s="44"/>
      <c r="E70" s="2"/>
      <c r="F70" s="42"/>
      <c r="G70" s="43"/>
      <c r="H70" s="43"/>
      <c r="I70" s="43"/>
      <c r="J70" s="43"/>
      <c r="K70" s="44"/>
    </row>
    <row r="71" spans="2:11" ht="20.25" x14ac:dyDescent="0.3">
      <c r="B71" s="45"/>
      <c r="C71" s="46"/>
      <c r="D71" s="47"/>
      <c r="E71" s="2"/>
      <c r="F71" s="45"/>
      <c r="G71" s="46"/>
      <c r="H71" s="46"/>
      <c r="I71" s="46"/>
      <c r="J71" s="46"/>
      <c r="K71" s="47"/>
    </row>
    <row r="72" spans="2:11" ht="20.25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ht="20.25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</sheetData>
  <mergeCells count="19">
    <mergeCell ref="B5:K5"/>
    <mergeCell ref="F7:K7"/>
    <mergeCell ref="F8:K8"/>
    <mergeCell ref="F9:K9"/>
    <mergeCell ref="F10:K10"/>
    <mergeCell ref="F11:K11"/>
    <mergeCell ref="B62:D62"/>
    <mergeCell ref="F62:K62"/>
    <mergeCell ref="B14:B15"/>
    <mergeCell ref="C14:C15"/>
    <mergeCell ref="D14:D15"/>
    <mergeCell ref="E14:E15"/>
    <mergeCell ref="F14:F15"/>
    <mergeCell ref="G45:J45"/>
    <mergeCell ref="G43:J43"/>
    <mergeCell ref="G44:J44"/>
    <mergeCell ref="K14:K15"/>
    <mergeCell ref="I14:J14"/>
    <mergeCell ref="H14:H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2015-05-07T09:47:55Z</dcterms:created>
  <dcterms:modified xsi:type="dcterms:W3CDTF">2026-06-17T04:04:36Z</dcterms:modified>
</cp:coreProperties>
</file>