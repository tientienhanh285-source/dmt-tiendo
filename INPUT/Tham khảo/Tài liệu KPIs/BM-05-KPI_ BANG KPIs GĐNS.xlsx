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275" windowHeight="50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9" i="1" l="1"/>
  <c r="J24" i="1"/>
  <c r="J19" i="1"/>
  <c r="J16" i="1"/>
  <c r="J34" i="1" l="1"/>
  <c r="J44" i="1" s="1"/>
</calcChain>
</file>

<file path=xl/sharedStrings.xml><?xml version="1.0" encoding="utf-8"?>
<sst xmlns="http://schemas.openxmlformats.org/spreadsheetml/2006/main" count="98" uniqueCount="76">
  <si>
    <t>MỤC TIÊU</t>
  </si>
  <si>
    <t>LOẠI MỤC TIÊU</t>
  </si>
  <si>
    <t>MỨC ĐỘ
QUAN TRỌNG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</si>
  <si>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</si>
  <si>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</si>
  <si>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</si>
  <si>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</si>
  <si>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</si>
  <si>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</si>
  <si>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</si>
  <si>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>%</t>
  </si>
  <si>
    <t xml:space="preserve">           CÔNG TY ABC</t>
  </si>
  <si>
    <t>A- THÔNG TIN CÁ NHÂN</t>
  </si>
  <si>
    <t xml:space="preserve">Người được đánh giá:  </t>
  </si>
  <si>
    <t xml:space="preserve">Người đánh giá:  </t>
  </si>
  <si>
    <t>BM-05/KPI</t>
  </si>
  <si>
    <t>B- THÔNG TIN ĐÁNH GIÁ</t>
  </si>
  <si>
    <t>PHƯƠNG PHÁP ĐO</t>
  </si>
  <si>
    <t>CL/CT</t>
  </si>
  <si>
    <t>1.1 TÀI CHÍNH( Doanh thu, lợi nhuận, chí phí, tồn kho)</t>
  </si>
  <si>
    <t>Đạt/không đạt</t>
  </si>
  <si>
    <t>1.4 Học hỏi, phát triển</t>
  </si>
  <si>
    <t>C- KẾT QUẢ</t>
  </si>
  <si>
    <t>D- KHEN THƯỞNG, KỶ LUẬT TRONG KỲ</t>
  </si>
  <si>
    <t>Tùy mức độ khen thưởng /hoặc kỷ luật để xét tăng/giảm điểm( 1-5) và xếp hạng.</t>
  </si>
  <si>
    <t>( Đính kèm quyết định, biên bản khen thưởng/kỷ luật)</t>
  </si>
  <si>
    <t>KỶ LUẬT</t>
  </si>
  <si>
    <t>KHEN THƯỞNG</t>
  </si>
  <si>
    <t>Ghi rõ số điểm bị trừ, số bậc bị hạ</t>
  </si>
  <si>
    <t>GHI NHẬN</t>
  </si>
  <si>
    <t>E- KẾT QUẢ CUỐI CÙNG</t>
  </si>
  <si>
    <t>ĐIỂM</t>
  </si>
  <si>
    <t>Ý KIẾN CỦA NGƯỜI ĐÁNH GIÁ</t>
  </si>
  <si>
    <t>Khá</t>
  </si>
  <si>
    <t>Ý KIẾN CỦA NGƯỜI  ĐƯỢC ĐÁNH GIÁ</t>
  </si>
  <si>
    <t>G- ĐỀ XUẤT SAU ĐÁNH GIÁ :</t>
  </si>
  <si>
    <t>BAN GIÁM ĐỐC CÔNG TY</t>
  </si>
  <si>
    <t>1.3  Nội bộ</t>
  </si>
  <si>
    <t>1.2 KHÁCH HÀNG(Chất lượng, giao hàng, giá cả ,dịch vụ)</t>
  </si>
  <si>
    <t>Họ và tên: Nguyễn Mai Hồng</t>
  </si>
  <si>
    <t>Vị trí /chức danh: Giám đốc nhân sự</t>
  </si>
  <si>
    <t>Họ và tên:  Trần Minh</t>
  </si>
  <si>
    <t>Vị trí /chức danh: Phó Tổng Giám đốc</t>
  </si>
  <si>
    <t>Khối: Hành chính Nhân sự- vật tư thiết bị</t>
  </si>
  <si>
    <t>Cắt giảm 10% chi phí HCNS</t>
  </si>
  <si>
    <t>Thực hiện tất cả các biện pháp để tuyển dụng 100% nhân sự Nhà máy chế biến 2 trước 15/6/2016</t>
  </si>
  <si>
    <t>Xây dựng xong toàn bộ định mức lao động tiền lương NMCB2 trước 28/2/2016.</t>
  </si>
  <si>
    <t>Được duyệt và ban hành</t>
  </si>
  <si>
    <t>Triển khai xong kế hoạch tuyển dụng năm 2016</t>
  </si>
  <si>
    <t>Đánh giá  và xây dựng xong kế hoạch đào tạo phát triển 2016 trước 30.3.2016</t>
  </si>
  <si>
    <t>Đ/Kg đạt</t>
  </si>
  <si>
    <t>Được duyệt và thực hiện</t>
  </si>
  <si>
    <t>Đạt/kg đạt</t>
  </si>
  <si>
    <t xml:space="preserve">Định mức lại lao động Bảo trì để giảm 20% Quỹ lương </t>
  </si>
  <si>
    <t>CL-CT</t>
  </si>
  <si>
    <t>Giảm 22 triệu/tháng</t>
  </si>
  <si>
    <t>GIÁM ĐỐC KHỐI</t>
  </si>
  <si>
    <t xml:space="preserve">             BẢN XÁC ĐỊNH KPIs &amp; ĐÁNH GIÁ KẾT QUẢ CÁ NHÂN  NĂM 2016</t>
  </si>
  <si>
    <t>Bộ phận: Phòng HCNS</t>
  </si>
  <si>
    <t xml:space="preserve">       KHỐI HCNS-VTTB</t>
  </si>
  <si>
    <t>Xây dựng xong chính sách lương- thưởng  theo doanh thu mới cho BP Kinh doanh trước 30/1/2016</t>
  </si>
  <si>
    <t>Đúng theo yêu cầu của TPKD và được phê duyệt.</t>
  </si>
  <si>
    <t>Cắt giảm theo kế hoạch chi tiêu ( CPHC/DT), số liệu từ phòng kế toán</t>
  </si>
  <si>
    <t>Đơn vị có ít nhất 3 sáng kiến làm lợi từ 20 triệu đồng trở lên</t>
  </si>
  <si>
    <t>Tổ chức đầy đủ các khóa đào tạo ( sau đào tạo &gt;90% hoc viên có cải tiến công việc được công nhận)</t>
  </si>
  <si>
    <t>Lộ trình công danh của CBNV   đạt tỷ lệ tiến bộ &gt;45%</t>
  </si>
  <si>
    <t>Kết quả cải tiến được công nhận trong năm 2016</t>
  </si>
  <si>
    <t>Kế quả đánh giá các CBNV đang đào tạo trong Lộ trinh công danh.</t>
  </si>
  <si>
    <t>Nhập đầy đủ chính xác 100% số liệu cho phần mềm quản trị</t>
  </si>
  <si>
    <t>Báo cáo đầy đủ,  chính xác đúng thời  hạn  theo mẫu quy định</t>
  </si>
  <si>
    <t>Kết quả đánh giá cuối năm</t>
  </si>
  <si>
    <t>Cung cấp các dịch vụ HCNS cho  đơn vị 100%  không có khiếu nại.</t>
  </si>
  <si>
    <t>Kết quả đánh giá định kỳ</t>
  </si>
  <si>
    <t>Kết quả đánh giá thi đua cuối năm</t>
  </si>
  <si>
    <t>Kết quả Audit trong năm</t>
  </si>
  <si>
    <t>Kết qủa đánh giá các Hệ thống chất lượng của P.HCNS đạt loại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</si>
</sst>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3" tint="-0.499984740745262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4"/>
      <color rgb="FFFF0000"/>
      <name val="Arial"/>
      <family val="2"/>
    </font>
    <font>
      <b/>
      <sz val="22"/>
      <color rgb="FFFF0000"/>
      <name val="Arial"/>
      <family val="2"/>
    </font>
    <font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4" borderId="0" xfId="0" applyFont="1" applyFill="1"/>
    <xf numFmtId="0" fontId="3" fillId="4" borderId="0" xfId="0" applyFont="1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164" fontId="7" fillId="3" borderId="1" xfId="0" applyNumberFormat="1" applyFont="1" applyFill="1" applyBorder="1"/>
    <xf numFmtId="0" fontId="8" fillId="4" borderId="0" xfId="0" applyFont="1" applyFill="1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/>
    <xf numFmtId="0" fontId="1" fillId="3" borderId="0" xfId="0" applyFont="1" applyFill="1"/>
    <xf numFmtId="0" fontId="9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0" xfId="0" applyFont="1" applyFill="1" applyBorder="1"/>
    <xf numFmtId="0" fontId="1" fillId="6" borderId="8" xfId="0" applyFont="1" applyFill="1" applyBorder="1"/>
    <xf numFmtId="0" fontId="2" fillId="6" borderId="0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1" fillId="7" borderId="1" xfId="0" applyFont="1" applyFill="1" applyBorder="1"/>
    <xf numFmtId="0" fontId="2" fillId="8" borderId="0" xfId="0" applyFont="1" applyFill="1"/>
    <xf numFmtId="0" fontId="1" fillId="8" borderId="0" xfId="0" applyFont="1" applyFill="1"/>
    <xf numFmtId="0" fontId="9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6" fillId="4" borderId="0" xfId="0" applyFont="1" applyFill="1" applyBorder="1"/>
    <xf numFmtId="0" fontId="9" fillId="6" borderId="5" xfId="0" applyFont="1" applyFill="1" applyBorder="1"/>
    <xf numFmtId="0" fontId="11" fillId="0" borderId="0" xfId="0" applyFont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1" fillId="11" borderId="1" xfId="0" applyFont="1" applyFill="1" applyBorder="1"/>
    <xf numFmtId="0" fontId="2" fillId="5" borderId="1" xfId="0" applyFont="1" applyFill="1" applyBorder="1" applyAlignment="1">
      <alignment wrapText="1"/>
    </xf>
    <xf numFmtId="164" fontId="7" fillId="3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vertical="center"/>
    </xf>
    <xf numFmtId="2" fontId="7" fillId="5" borderId="1" xfId="0" applyNumberFormat="1" applyFont="1" applyFill="1" applyBorder="1"/>
    <xf numFmtId="2" fontId="7" fillId="3" borderId="1" xfId="0" applyNumberFormat="1" applyFont="1" applyFill="1" applyBorder="1" applyAlignment="1">
      <alignment wrapText="1"/>
    </xf>
    <xf numFmtId="2" fontId="1" fillId="0" borderId="1" xfId="0" applyNumberFormat="1" applyFont="1" applyBorder="1"/>
    <xf numFmtId="2" fontId="7" fillId="4" borderId="1" xfId="0" applyNumberFormat="1" applyFont="1" applyFill="1" applyBorder="1"/>
    <xf numFmtId="0" fontId="13" fillId="4" borderId="1" xfId="0" applyFont="1" applyFill="1" applyBorder="1"/>
    <xf numFmtId="2" fontId="7" fillId="11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4" fontId="9" fillId="3" borderId="0" xfId="0" applyNumberFormat="1" applyFont="1" applyFill="1"/>
    <xf numFmtId="0" fontId="12" fillId="0" borderId="0" xfId="0" applyFont="1" applyAlignment="1"/>
    <xf numFmtId="0" fontId="6" fillId="4" borderId="0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F1F1F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0"/>
  <sheetViews>
    <sheetView showGridLines="0" tabSelected="1" topLeftCell="A31" zoomScale="80" zoomScaleNormal="80" workbookViewId="0">
      <selection activeCell="O28" sqref="O28"/>
    </sheetView>
  </sheetViews>
  <sheetFormatPr defaultRowHeight="14.25" x14ac:dyDescent="0.2"/>
  <cols>
    <col min="1" max="1" width="9.140625" style="1"/>
    <col min="2" max="2" width="56" style="1" customWidth="1"/>
    <col min="3" max="3" width="16" style="1" customWidth="1"/>
    <col min="4" max="4" width="13.85546875" style="1" customWidth="1"/>
    <col min="5" max="5" width="12.140625" style="1" customWidth="1"/>
    <col min="6" max="6" width="10.42578125" style="1" customWidth="1"/>
    <col min="7" max="7" width="29.7109375" style="1" customWidth="1"/>
    <col min="8" max="8" width="11.140625" style="1" customWidth="1"/>
    <col min="9" max="10" width="9.140625" style="1"/>
    <col min="11" max="11" width="12.42578125" style="1" customWidth="1"/>
    <col min="12" max="16384" width="9.140625" style="1"/>
  </cols>
  <sheetData>
    <row r="2" spans="2:11" ht="15" x14ac:dyDescent="0.25">
      <c r="B2" s="9" t="s">
        <v>11</v>
      </c>
    </row>
    <row r="3" spans="2:11" ht="20.25" x14ac:dyDescent="0.3">
      <c r="B3" s="9" t="s">
        <v>59</v>
      </c>
      <c r="D3" s="2"/>
      <c r="E3" s="3"/>
    </row>
    <row r="4" spans="2:11" ht="20.25" x14ac:dyDescent="0.3">
      <c r="D4" s="2"/>
      <c r="E4" s="3"/>
    </row>
    <row r="5" spans="2:11" ht="27.75" x14ac:dyDescent="0.4">
      <c r="B5" s="71" t="s">
        <v>57</v>
      </c>
      <c r="C5" s="71"/>
      <c r="D5" s="71"/>
      <c r="E5" s="71"/>
      <c r="F5" s="71"/>
      <c r="G5" s="71"/>
      <c r="H5" s="71"/>
      <c r="I5" s="71"/>
      <c r="J5" s="71"/>
      <c r="K5" s="71"/>
    </row>
    <row r="6" spans="2:11" ht="20.25" x14ac:dyDescent="0.3">
      <c r="D6" s="2"/>
      <c r="E6" s="3"/>
      <c r="K6" s="1" t="s">
        <v>15</v>
      </c>
    </row>
    <row r="7" spans="2:11" ht="20.25" x14ac:dyDescent="0.3">
      <c r="B7" s="45" t="s">
        <v>12</v>
      </c>
      <c r="C7" s="10"/>
      <c r="D7" s="11"/>
      <c r="E7" s="10"/>
      <c r="F7" s="72"/>
      <c r="G7" s="72"/>
      <c r="H7" s="72"/>
      <c r="I7" s="72"/>
      <c r="J7" s="72"/>
      <c r="K7" s="72"/>
    </row>
    <row r="8" spans="2:11" ht="20.25" x14ac:dyDescent="0.3">
      <c r="B8" s="8" t="s">
        <v>13</v>
      </c>
      <c r="D8" s="2"/>
      <c r="E8" s="3"/>
      <c r="F8" s="73" t="s">
        <v>14</v>
      </c>
      <c r="G8" s="73"/>
      <c r="H8" s="73"/>
      <c r="I8" s="73"/>
      <c r="J8" s="73"/>
      <c r="K8" s="73"/>
    </row>
    <row r="9" spans="2:11" ht="20.25" x14ac:dyDescent="0.3">
      <c r="B9" s="8" t="s">
        <v>39</v>
      </c>
      <c r="D9" s="2"/>
      <c r="E9" s="3"/>
      <c r="F9" s="73" t="s">
        <v>41</v>
      </c>
      <c r="G9" s="73"/>
      <c r="H9" s="73"/>
      <c r="I9" s="73"/>
      <c r="J9" s="73"/>
      <c r="K9" s="73"/>
    </row>
    <row r="10" spans="2:11" ht="20.25" x14ac:dyDescent="0.3">
      <c r="B10" s="8" t="s">
        <v>40</v>
      </c>
      <c r="D10" s="2"/>
      <c r="E10" s="3"/>
      <c r="F10" s="73" t="s">
        <v>42</v>
      </c>
      <c r="G10" s="73"/>
      <c r="H10" s="73"/>
      <c r="I10" s="73"/>
      <c r="J10" s="73"/>
      <c r="K10" s="73"/>
    </row>
    <row r="11" spans="2:11" ht="20.25" x14ac:dyDescent="0.3">
      <c r="B11" s="8" t="s">
        <v>58</v>
      </c>
      <c r="D11" s="2"/>
      <c r="E11" s="3"/>
      <c r="F11" s="73" t="s">
        <v>43</v>
      </c>
      <c r="G11" s="73"/>
      <c r="H11" s="73"/>
      <c r="I11" s="73"/>
      <c r="J11" s="73"/>
      <c r="K11" s="73"/>
    </row>
    <row r="12" spans="2:11" ht="20.25" x14ac:dyDescent="0.3">
      <c r="D12" s="2"/>
      <c r="E12" s="3"/>
    </row>
    <row r="13" spans="2:11" ht="15.75" x14ac:dyDescent="0.25">
      <c r="B13" s="23" t="s">
        <v>16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45" customHeight="1" x14ac:dyDescent="0.25">
      <c r="B14" s="77" t="s">
        <v>0</v>
      </c>
      <c r="C14" s="78" t="s">
        <v>1</v>
      </c>
      <c r="D14" s="78" t="s">
        <v>2</v>
      </c>
      <c r="E14" s="80" t="s">
        <v>3</v>
      </c>
      <c r="F14" s="80" t="s">
        <v>4</v>
      </c>
      <c r="G14" s="54" t="s">
        <v>17</v>
      </c>
      <c r="H14" s="80" t="s">
        <v>5</v>
      </c>
      <c r="I14" s="77" t="s">
        <v>6</v>
      </c>
      <c r="J14" s="77"/>
      <c r="K14" s="87" t="s">
        <v>9</v>
      </c>
    </row>
    <row r="15" spans="2:11" ht="14.25" customHeight="1" x14ac:dyDescent="0.25">
      <c r="B15" s="77"/>
      <c r="C15" s="79"/>
      <c r="D15" s="79"/>
      <c r="E15" s="80"/>
      <c r="F15" s="80"/>
      <c r="G15" s="54"/>
      <c r="H15" s="80"/>
      <c r="I15" s="55" t="s">
        <v>7</v>
      </c>
      <c r="J15" s="55" t="s">
        <v>8</v>
      </c>
      <c r="K15" s="88"/>
    </row>
    <row r="16" spans="2:11" ht="30.75" customHeight="1" x14ac:dyDescent="0.25">
      <c r="B16" s="6" t="s">
        <v>19</v>
      </c>
      <c r="C16" s="4"/>
      <c r="D16" s="4"/>
      <c r="E16" s="4"/>
      <c r="F16" s="5"/>
      <c r="G16" s="5"/>
      <c r="H16" s="62">
        <v>15</v>
      </c>
      <c r="I16" s="5"/>
      <c r="J16" s="59">
        <f>SUM(J17:J18)</f>
        <v>0</v>
      </c>
      <c r="K16" s="4"/>
    </row>
    <row r="17" spans="2:11" ht="42.75" x14ac:dyDescent="0.2">
      <c r="B17" s="13" t="s">
        <v>44</v>
      </c>
      <c r="C17" s="13" t="s">
        <v>18</v>
      </c>
      <c r="D17" s="13">
        <v>2</v>
      </c>
      <c r="E17" s="13">
        <v>100</v>
      </c>
      <c r="F17" s="14" t="s">
        <v>10</v>
      </c>
      <c r="G17" s="15" t="s">
        <v>62</v>
      </c>
      <c r="H17" s="16">
        <v>10</v>
      </c>
      <c r="I17" s="13"/>
      <c r="J17" s="16"/>
      <c r="K17" s="13"/>
    </row>
    <row r="18" spans="2:11" ht="18.75" customHeight="1" x14ac:dyDescent="0.2">
      <c r="B18" s="13" t="s">
        <v>53</v>
      </c>
      <c r="C18" s="13" t="s">
        <v>54</v>
      </c>
      <c r="D18" s="13">
        <v>3</v>
      </c>
      <c r="E18" s="13">
        <v>100</v>
      </c>
      <c r="F18" s="13" t="s">
        <v>10</v>
      </c>
      <c r="G18" s="13" t="s">
        <v>55</v>
      </c>
      <c r="H18" s="60">
        <v>5</v>
      </c>
      <c r="I18" s="13"/>
      <c r="J18" s="13"/>
      <c r="K18" s="13"/>
    </row>
    <row r="19" spans="2:11" ht="30" x14ac:dyDescent="0.25">
      <c r="B19" s="58" t="s">
        <v>38</v>
      </c>
      <c r="C19" s="19"/>
      <c r="D19" s="19"/>
      <c r="E19" s="19"/>
      <c r="F19" s="19"/>
      <c r="G19" s="19"/>
      <c r="H19" s="61">
        <v>35</v>
      </c>
      <c r="I19" s="19"/>
      <c r="J19" s="61">
        <f>SUM(J20:J22)</f>
        <v>0</v>
      </c>
      <c r="K19" s="19"/>
    </row>
    <row r="20" spans="2:11" ht="57" x14ac:dyDescent="0.2">
      <c r="B20" s="13" t="s">
        <v>48</v>
      </c>
      <c r="C20" s="13" t="s">
        <v>20</v>
      </c>
      <c r="D20" s="13">
        <v>2</v>
      </c>
      <c r="E20" s="13">
        <v>100</v>
      </c>
      <c r="F20" s="14" t="s">
        <v>10</v>
      </c>
      <c r="G20" s="17" t="s">
        <v>45</v>
      </c>
      <c r="H20" s="60">
        <v>15</v>
      </c>
      <c r="I20" s="13"/>
      <c r="J20" s="60"/>
      <c r="K20" s="13"/>
    </row>
    <row r="21" spans="2:11" ht="51" customHeight="1" x14ac:dyDescent="0.2">
      <c r="B21" s="17" t="s">
        <v>46</v>
      </c>
      <c r="C21" s="13" t="s">
        <v>50</v>
      </c>
      <c r="D21" s="7">
        <v>3</v>
      </c>
      <c r="E21" s="13">
        <v>100</v>
      </c>
      <c r="F21" s="14" t="s">
        <v>10</v>
      </c>
      <c r="G21" s="17" t="s">
        <v>47</v>
      </c>
      <c r="H21" s="60">
        <v>5</v>
      </c>
      <c r="I21" s="7"/>
      <c r="J21" s="63"/>
      <c r="K21" s="7"/>
    </row>
    <row r="22" spans="2:11" ht="43.5" customHeight="1" x14ac:dyDescent="0.2">
      <c r="B22" s="17" t="s">
        <v>60</v>
      </c>
      <c r="C22" s="13" t="s">
        <v>20</v>
      </c>
      <c r="D22" s="7">
        <v>4</v>
      </c>
      <c r="E22" s="13">
        <v>100</v>
      </c>
      <c r="F22" s="14" t="s">
        <v>10</v>
      </c>
      <c r="G22" s="17" t="s">
        <v>61</v>
      </c>
      <c r="H22" s="60">
        <v>10</v>
      </c>
      <c r="I22" s="7"/>
      <c r="J22" s="63"/>
      <c r="K22" s="7"/>
    </row>
    <row r="23" spans="2:11" ht="43.5" customHeight="1" x14ac:dyDescent="0.2">
      <c r="B23" s="17" t="s">
        <v>71</v>
      </c>
      <c r="C23" s="13" t="s">
        <v>20</v>
      </c>
      <c r="D23" s="13">
        <v>3</v>
      </c>
      <c r="E23" s="13">
        <v>100</v>
      </c>
      <c r="F23" s="14" t="s">
        <v>10</v>
      </c>
      <c r="G23" s="17" t="s">
        <v>70</v>
      </c>
      <c r="H23" s="60">
        <v>5</v>
      </c>
      <c r="I23" s="7"/>
      <c r="J23" s="63"/>
      <c r="K23" s="7"/>
    </row>
    <row r="24" spans="2:11" ht="22.5" customHeight="1" x14ac:dyDescent="0.25">
      <c r="B24" s="20" t="s">
        <v>37</v>
      </c>
      <c r="C24" s="89"/>
      <c r="D24" s="18"/>
      <c r="E24" s="18"/>
      <c r="F24" s="68"/>
      <c r="G24" s="18"/>
      <c r="H24" s="64">
        <v>25</v>
      </c>
      <c r="I24" s="65"/>
      <c r="J24" s="64">
        <f>SUM(J25:J27)</f>
        <v>0</v>
      </c>
      <c r="K24" s="18"/>
    </row>
    <row r="25" spans="2:11" ht="28.5" x14ac:dyDescent="0.2">
      <c r="B25" s="17" t="s">
        <v>68</v>
      </c>
      <c r="C25" s="13" t="s">
        <v>20</v>
      </c>
      <c r="D25" s="13">
        <v>3</v>
      </c>
      <c r="E25" s="13">
        <v>100</v>
      </c>
      <c r="F25" s="14" t="s">
        <v>10</v>
      </c>
      <c r="G25" s="17" t="s">
        <v>72</v>
      </c>
      <c r="H25" s="60">
        <v>5</v>
      </c>
      <c r="I25" s="7"/>
      <c r="J25" s="63"/>
      <c r="K25" s="7"/>
    </row>
    <row r="26" spans="2:11" ht="28.5" x14ac:dyDescent="0.2">
      <c r="B26" s="17" t="s">
        <v>63</v>
      </c>
      <c r="C26" s="13" t="s">
        <v>20</v>
      </c>
      <c r="D26" s="13">
        <v>3</v>
      </c>
      <c r="E26" s="13">
        <v>100</v>
      </c>
      <c r="F26" s="14" t="s">
        <v>10</v>
      </c>
      <c r="G26" s="17" t="s">
        <v>73</v>
      </c>
      <c r="H26" s="60">
        <v>10</v>
      </c>
      <c r="I26" s="7"/>
      <c r="J26" s="63"/>
      <c r="K26" s="7"/>
    </row>
    <row r="27" spans="2:11" ht="28.5" x14ac:dyDescent="0.2">
      <c r="B27" s="12" t="s">
        <v>69</v>
      </c>
      <c r="C27" s="13" t="s">
        <v>20</v>
      </c>
      <c r="D27" s="13">
        <v>4</v>
      </c>
      <c r="E27" s="13">
        <v>100</v>
      </c>
      <c r="F27" s="14" t="s">
        <v>10</v>
      </c>
      <c r="G27" s="17" t="s">
        <v>72</v>
      </c>
      <c r="H27" s="60">
        <v>5</v>
      </c>
      <c r="I27" s="7"/>
      <c r="J27" s="63"/>
      <c r="K27" s="7"/>
    </row>
    <row r="28" spans="2:11" ht="28.5" x14ac:dyDescent="0.2">
      <c r="B28" s="12" t="s">
        <v>75</v>
      </c>
      <c r="C28" s="13" t="s">
        <v>20</v>
      </c>
      <c r="D28" s="13">
        <v>2</v>
      </c>
      <c r="E28" s="13">
        <v>100</v>
      </c>
      <c r="F28" s="14" t="s">
        <v>10</v>
      </c>
      <c r="G28" s="17" t="s">
        <v>74</v>
      </c>
      <c r="H28" s="60">
        <v>5</v>
      </c>
      <c r="I28" s="7"/>
      <c r="J28" s="63"/>
      <c r="K28" s="7"/>
    </row>
    <row r="29" spans="2:11" ht="15" x14ac:dyDescent="0.25">
      <c r="B29" s="56" t="s">
        <v>21</v>
      </c>
      <c r="C29" s="57"/>
      <c r="D29" s="57"/>
      <c r="E29" s="57"/>
      <c r="F29" s="69"/>
      <c r="G29" s="57"/>
      <c r="H29" s="66">
        <v>25</v>
      </c>
      <c r="I29" s="56"/>
      <c r="J29" s="66">
        <f>SUM(J30:J33)</f>
        <v>0</v>
      </c>
      <c r="K29" s="57"/>
    </row>
    <row r="30" spans="2:11" ht="28.5" x14ac:dyDescent="0.2">
      <c r="B30" s="12" t="s">
        <v>49</v>
      </c>
      <c r="C30" s="14" t="s">
        <v>50</v>
      </c>
      <c r="D30" s="13">
        <v>2</v>
      </c>
      <c r="E30" s="13">
        <v>100</v>
      </c>
      <c r="F30" s="14" t="s">
        <v>10</v>
      </c>
      <c r="G30" s="17" t="s">
        <v>51</v>
      </c>
      <c r="H30" s="60">
        <v>5</v>
      </c>
      <c r="I30" s="7"/>
      <c r="J30" s="63"/>
      <c r="K30" s="7"/>
    </row>
    <row r="31" spans="2:11" ht="42" customHeight="1" x14ac:dyDescent="0.2">
      <c r="B31" s="17" t="s">
        <v>64</v>
      </c>
      <c r="C31" s="14" t="s">
        <v>52</v>
      </c>
      <c r="D31" s="13">
        <v>4</v>
      </c>
      <c r="E31" s="13">
        <v>100</v>
      </c>
      <c r="F31" s="14" t="s">
        <v>10</v>
      </c>
      <c r="G31" s="17" t="s">
        <v>66</v>
      </c>
      <c r="H31" s="60">
        <v>5</v>
      </c>
      <c r="I31" s="7"/>
      <c r="J31" s="7"/>
      <c r="K31" s="7"/>
    </row>
    <row r="32" spans="2:11" ht="57" customHeight="1" x14ac:dyDescent="0.2">
      <c r="B32" s="13" t="s">
        <v>65</v>
      </c>
      <c r="C32" s="14" t="s">
        <v>52</v>
      </c>
      <c r="D32" s="13">
        <v>3</v>
      </c>
      <c r="E32" s="13">
        <v>100</v>
      </c>
      <c r="F32" s="14" t="s">
        <v>10</v>
      </c>
      <c r="G32" s="15" t="s">
        <v>67</v>
      </c>
      <c r="H32" s="60">
        <v>5</v>
      </c>
      <c r="I32" s="7"/>
      <c r="J32" s="7"/>
      <c r="K32" s="7"/>
    </row>
    <row r="33" spans="2:11" ht="22.5" customHeight="1" x14ac:dyDescent="0.2">
      <c r="B33" s="7"/>
      <c r="C33" s="7"/>
      <c r="D33" s="7"/>
      <c r="E33" s="7"/>
      <c r="F33" s="67"/>
      <c r="G33" s="7"/>
      <c r="H33" s="7"/>
      <c r="I33" s="7"/>
      <c r="J33" s="7"/>
      <c r="K33" s="7"/>
    </row>
    <row r="34" spans="2:11" ht="23.25" customHeight="1" x14ac:dyDescent="0.25">
      <c r="B34" s="25" t="s">
        <v>22</v>
      </c>
      <c r="C34" s="4"/>
      <c r="D34" s="4"/>
      <c r="E34" s="4"/>
      <c r="F34" s="4"/>
      <c r="G34" s="4"/>
      <c r="H34" s="4"/>
      <c r="I34" s="4"/>
      <c r="J34" s="22">
        <f>SUM(J16+J19+J24+J29)</f>
        <v>0</v>
      </c>
      <c r="K34" s="43"/>
    </row>
    <row r="36" spans="2:11" x14ac:dyDescent="0.2">
      <c r="B36" s="24"/>
    </row>
    <row r="37" spans="2:11" ht="15" x14ac:dyDescent="0.25">
      <c r="B37" s="41" t="s">
        <v>23</v>
      </c>
      <c r="C37" s="41" t="s">
        <v>24</v>
      </c>
      <c r="D37" s="42"/>
      <c r="E37" s="42"/>
      <c r="F37" s="42"/>
      <c r="G37" s="42"/>
      <c r="H37" s="42"/>
      <c r="I37" s="42"/>
      <c r="J37" s="42"/>
      <c r="K37" s="42"/>
    </row>
    <row r="38" spans="2:11" x14ac:dyDescent="0.2">
      <c r="B38" s="1" t="s">
        <v>25</v>
      </c>
    </row>
    <row r="40" spans="2:11" ht="15" x14ac:dyDescent="0.25">
      <c r="B40" s="38" t="s">
        <v>26</v>
      </c>
      <c r="C40" s="39" t="s">
        <v>29</v>
      </c>
      <c r="G40" s="84" t="s">
        <v>27</v>
      </c>
      <c r="H40" s="85"/>
      <c r="I40" s="85"/>
      <c r="J40" s="86"/>
      <c r="K40" s="21" t="s">
        <v>29</v>
      </c>
    </row>
    <row r="41" spans="2:11" x14ac:dyDescent="0.2">
      <c r="B41" s="40" t="s">
        <v>28</v>
      </c>
      <c r="C41" s="40"/>
      <c r="G41" s="81"/>
      <c r="H41" s="82"/>
      <c r="I41" s="82"/>
      <c r="J41" s="83"/>
      <c r="K41" s="18"/>
    </row>
    <row r="42" spans="2:11" x14ac:dyDescent="0.2">
      <c r="B42" s="40"/>
      <c r="C42" s="40"/>
      <c r="G42" s="81"/>
      <c r="H42" s="82"/>
      <c r="I42" s="82"/>
      <c r="J42" s="83"/>
      <c r="K42" s="18"/>
    </row>
    <row r="44" spans="2:11" ht="15" x14ac:dyDescent="0.25">
      <c r="B44" s="26" t="s">
        <v>30</v>
      </c>
      <c r="C44" s="27"/>
      <c r="D44" s="27"/>
      <c r="E44" s="27"/>
      <c r="F44" s="27"/>
      <c r="G44" s="27"/>
      <c r="H44" s="27"/>
      <c r="I44" s="26" t="s">
        <v>31</v>
      </c>
      <c r="J44" s="70">
        <f>J34-C41</f>
        <v>0</v>
      </c>
      <c r="K44" s="44" t="s">
        <v>33</v>
      </c>
    </row>
    <row r="46" spans="2:11" ht="15" x14ac:dyDescent="0.25">
      <c r="B46" s="28" t="s">
        <v>32</v>
      </c>
      <c r="C46" s="29"/>
      <c r="D46" s="30"/>
      <c r="E46" s="46" t="s">
        <v>34</v>
      </c>
      <c r="F46" s="29"/>
      <c r="G46" s="29"/>
      <c r="H46" s="29"/>
      <c r="I46" s="29"/>
      <c r="J46" s="29"/>
      <c r="K46" s="30"/>
    </row>
    <row r="47" spans="2:11" x14ac:dyDescent="0.2">
      <c r="B47" s="31"/>
      <c r="C47" s="32"/>
      <c r="D47" s="33"/>
      <c r="E47" s="32"/>
      <c r="F47" s="32"/>
      <c r="G47" s="32"/>
      <c r="H47" s="32"/>
      <c r="I47" s="32"/>
      <c r="J47" s="32"/>
      <c r="K47" s="33"/>
    </row>
    <row r="48" spans="2:11" x14ac:dyDescent="0.2">
      <c r="B48" s="31"/>
      <c r="C48" s="32"/>
      <c r="D48" s="33"/>
      <c r="E48" s="32"/>
      <c r="F48" s="32"/>
      <c r="G48" s="32"/>
      <c r="H48" s="32"/>
      <c r="I48" s="32"/>
      <c r="J48" s="32"/>
      <c r="K48" s="33"/>
    </row>
    <row r="49" spans="2:11" x14ac:dyDescent="0.2">
      <c r="B49" s="31"/>
      <c r="C49" s="32"/>
      <c r="D49" s="33"/>
      <c r="E49" s="32"/>
      <c r="F49" s="32"/>
      <c r="G49" s="32"/>
      <c r="H49" s="32"/>
      <c r="I49" s="32"/>
      <c r="J49" s="32"/>
      <c r="K49" s="33"/>
    </row>
    <row r="50" spans="2:11" ht="15" x14ac:dyDescent="0.25">
      <c r="B50" s="31"/>
      <c r="C50" s="32"/>
      <c r="D50" s="33"/>
      <c r="E50" s="32"/>
      <c r="F50" s="32"/>
      <c r="G50" s="32"/>
      <c r="H50" s="34"/>
      <c r="I50" s="34"/>
      <c r="J50" s="32"/>
      <c r="K50" s="33"/>
    </row>
    <row r="51" spans="2:11" ht="15" x14ac:dyDescent="0.25">
      <c r="B51" s="31"/>
      <c r="C51" s="32"/>
      <c r="D51" s="33"/>
      <c r="E51" s="32"/>
      <c r="F51" s="32"/>
      <c r="G51" s="32"/>
      <c r="H51" s="34"/>
      <c r="I51" s="32"/>
      <c r="J51" s="32"/>
      <c r="K51" s="33"/>
    </row>
    <row r="52" spans="2:11" x14ac:dyDescent="0.2">
      <c r="B52" s="31"/>
      <c r="C52" s="32"/>
      <c r="D52" s="33"/>
      <c r="E52" s="32"/>
      <c r="F52" s="32"/>
      <c r="G52" s="32"/>
      <c r="H52" s="32"/>
      <c r="I52" s="32"/>
      <c r="J52" s="32"/>
      <c r="K52" s="33"/>
    </row>
    <row r="53" spans="2:11" x14ac:dyDescent="0.2">
      <c r="B53" s="31"/>
      <c r="C53" s="32"/>
      <c r="D53" s="33"/>
      <c r="E53" s="32"/>
      <c r="F53" s="32"/>
      <c r="G53" s="32"/>
      <c r="H53" s="32"/>
      <c r="I53" s="32"/>
      <c r="J53" s="32"/>
      <c r="K53" s="33"/>
    </row>
    <row r="54" spans="2:11" x14ac:dyDescent="0.2">
      <c r="B54" s="35"/>
      <c r="C54" s="36"/>
      <c r="D54" s="37"/>
      <c r="E54" s="36"/>
      <c r="F54" s="36"/>
      <c r="G54" s="36"/>
      <c r="H54" s="36"/>
      <c r="I54" s="36"/>
      <c r="J54" s="36"/>
      <c r="K54" s="37"/>
    </row>
    <row r="56" spans="2:11" ht="18" x14ac:dyDescent="0.25">
      <c r="B56" s="47" t="s">
        <v>35</v>
      </c>
    </row>
    <row r="59" spans="2:11" ht="20.25" x14ac:dyDescent="0.3">
      <c r="B59" s="74" t="s">
        <v>36</v>
      </c>
      <c r="C59" s="75"/>
      <c r="D59" s="76"/>
      <c r="E59" s="2"/>
      <c r="F59" s="74" t="s">
        <v>56</v>
      </c>
      <c r="G59" s="75"/>
      <c r="H59" s="75"/>
      <c r="I59" s="75"/>
      <c r="J59" s="75"/>
      <c r="K59" s="76"/>
    </row>
    <row r="60" spans="2:11" ht="20.25" x14ac:dyDescent="0.3">
      <c r="B60" s="48"/>
      <c r="C60" s="49"/>
      <c r="D60" s="50"/>
      <c r="E60" s="2"/>
      <c r="F60" s="48"/>
      <c r="G60" s="49"/>
      <c r="H60" s="49"/>
      <c r="I60" s="49"/>
      <c r="J60" s="49"/>
      <c r="K60" s="50"/>
    </row>
    <row r="61" spans="2:11" ht="20.25" x14ac:dyDescent="0.3">
      <c r="B61" s="48"/>
      <c r="C61" s="49"/>
      <c r="D61" s="50"/>
      <c r="E61" s="2"/>
      <c r="F61" s="48"/>
      <c r="G61" s="49"/>
      <c r="H61" s="49"/>
      <c r="I61" s="49"/>
      <c r="J61" s="49"/>
      <c r="K61" s="50"/>
    </row>
    <row r="62" spans="2:11" ht="20.25" x14ac:dyDescent="0.3">
      <c r="B62" s="48"/>
      <c r="C62" s="49"/>
      <c r="D62" s="50"/>
      <c r="E62" s="2"/>
      <c r="F62" s="48"/>
      <c r="G62" s="49"/>
      <c r="H62" s="49"/>
      <c r="I62" s="49"/>
      <c r="J62" s="49"/>
      <c r="K62" s="50"/>
    </row>
    <row r="63" spans="2:11" ht="20.25" x14ac:dyDescent="0.3">
      <c r="B63" s="48"/>
      <c r="C63" s="49"/>
      <c r="D63" s="50"/>
      <c r="E63" s="2"/>
      <c r="F63" s="48"/>
      <c r="G63" s="49"/>
      <c r="H63" s="49"/>
      <c r="I63" s="49"/>
      <c r="J63" s="49"/>
      <c r="K63" s="50"/>
    </row>
    <row r="64" spans="2:11" ht="20.25" x14ac:dyDescent="0.3">
      <c r="B64" s="48"/>
      <c r="C64" s="49"/>
      <c r="D64" s="50"/>
      <c r="E64" s="2"/>
      <c r="F64" s="48"/>
      <c r="G64" s="49"/>
      <c r="H64" s="49"/>
      <c r="I64" s="49"/>
      <c r="J64" s="49"/>
      <c r="K64" s="50"/>
    </row>
    <row r="65" spans="2:11" ht="20.25" x14ac:dyDescent="0.3">
      <c r="B65" s="48"/>
      <c r="C65" s="49"/>
      <c r="D65" s="50"/>
      <c r="E65" s="2"/>
      <c r="F65" s="48"/>
      <c r="G65" s="49"/>
      <c r="H65" s="49"/>
      <c r="I65" s="49"/>
      <c r="J65" s="49"/>
      <c r="K65" s="50"/>
    </row>
    <row r="66" spans="2:11" ht="20.25" x14ac:dyDescent="0.3">
      <c r="B66" s="48"/>
      <c r="C66" s="49"/>
      <c r="D66" s="50"/>
      <c r="E66" s="2"/>
      <c r="F66" s="48"/>
      <c r="G66" s="49"/>
      <c r="H66" s="49"/>
      <c r="I66" s="49"/>
      <c r="J66" s="49"/>
      <c r="K66" s="50"/>
    </row>
    <row r="67" spans="2:11" ht="20.25" x14ac:dyDescent="0.3">
      <c r="B67" s="48"/>
      <c r="C67" s="49"/>
      <c r="D67" s="50"/>
      <c r="E67" s="2"/>
      <c r="F67" s="48"/>
      <c r="G67" s="49"/>
      <c r="H67" s="49"/>
      <c r="I67" s="49"/>
      <c r="J67" s="49"/>
      <c r="K67" s="50"/>
    </row>
    <row r="68" spans="2:11" ht="20.25" x14ac:dyDescent="0.3">
      <c r="B68" s="51"/>
      <c r="C68" s="52"/>
      <c r="D68" s="53"/>
      <c r="E68" s="2"/>
      <c r="F68" s="51"/>
      <c r="G68" s="52"/>
      <c r="H68" s="52"/>
      <c r="I68" s="52"/>
      <c r="J68" s="52"/>
      <c r="K68" s="53"/>
    </row>
    <row r="69" spans="2:11" ht="20.25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2:11" ht="20.25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</sheetData>
  <mergeCells count="19">
    <mergeCell ref="F11:K11"/>
    <mergeCell ref="B59:D59"/>
    <mergeCell ref="F59:K59"/>
    <mergeCell ref="B14:B15"/>
    <mergeCell ref="C14:C15"/>
    <mergeCell ref="D14:D15"/>
    <mergeCell ref="E14:E15"/>
    <mergeCell ref="F14:F15"/>
    <mergeCell ref="G42:J42"/>
    <mergeCell ref="G40:J40"/>
    <mergeCell ref="G41:J41"/>
    <mergeCell ref="K14:K15"/>
    <mergeCell ref="I14:J14"/>
    <mergeCell ref="H14:H15"/>
    <mergeCell ref="B5:K5"/>
    <mergeCell ref="F7:K7"/>
    <mergeCell ref="F8:K8"/>
    <mergeCell ref="F9:K9"/>
    <mergeCell ref="F10:K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2015-05-07T09:47:55Z</dcterms:created>
  <dcterms:modified xsi:type="dcterms:W3CDTF">2015-12-03T02:29:29Z</dcterms:modified>
</cp:coreProperties>
</file>